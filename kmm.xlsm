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r/Desktop/"/>
    </mc:Choice>
  </mc:AlternateContent>
  <xr:revisionPtr revIDLastSave="0" documentId="13_ncr:1_{5B3FF253-9B5C-3647-91DB-A13B06200AE5}" xr6:coauthVersionLast="47" xr6:coauthVersionMax="47" xr10:uidLastSave="{00000000-0000-0000-0000-000000000000}"/>
  <bookViews>
    <workbookView xWindow="320" yWindow="280" windowWidth="23960" windowHeight="16920" activeTab="5" xr2:uid="{4F2C5078-D8A4-B340-A780-D2C59BF3A328}"/>
  </bookViews>
  <sheets>
    <sheet name="Sheet4" sheetId="4" r:id="rId1"/>
    <sheet name="Sheet1 (3)" sheetId="5" r:id="rId2"/>
    <sheet name="Sheet1 (4)" sheetId="6" r:id="rId3"/>
    <sheet name="Sheet1 (5)" sheetId="7" r:id="rId4"/>
    <sheet name="Calc" sheetId="9" r:id="rId5"/>
    <sheet name="Sheet2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2" i="9" l="1"/>
  <c r="R31" i="9"/>
  <c r="I5" i="4"/>
  <c r="I4" i="4"/>
  <c r="H5" i="4"/>
  <c r="H4" i="4"/>
  <c r="R12" i="9"/>
  <c r="R13" i="9" s="1"/>
  <c r="R15" i="9" s="1"/>
  <c r="R16" i="9" s="1"/>
  <c r="S6" i="9"/>
  <c r="T6" i="9"/>
  <c r="T7" i="9" s="1"/>
  <c r="C10" i="9"/>
  <c r="C9" i="9"/>
  <c r="R8" i="9"/>
  <c r="Q7" i="9"/>
  <c r="Q6" i="9"/>
  <c r="P22" i="9"/>
  <c r="R52" i="4"/>
  <c r="Q52" i="4"/>
  <c r="F26" i="9"/>
  <c r="F27" i="9" s="1"/>
  <c r="D37" i="9"/>
  <c r="B35" i="9"/>
  <c r="D35" i="9" s="1"/>
  <c r="I16" i="9"/>
  <c r="C27" i="9"/>
  <c r="C28" i="9"/>
  <c r="C29" i="9"/>
  <c r="I8" i="9"/>
  <c r="F13" i="9"/>
  <c r="F14" i="9" s="1"/>
  <c r="Q5" i="9"/>
  <c r="F8" i="9"/>
  <c r="I24" i="9"/>
  <c r="I25" i="9" s="1"/>
  <c r="F7" i="9"/>
  <c r="C5" i="9"/>
  <c r="P14" i="9" s="1"/>
  <c r="S57" i="4"/>
  <c r="S61" i="4" s="1"/>
  <c r="S62" i="4"/>
  <c r="S55" i="4"/>
  <c r="S56" i="4" s="1"/>
  <c r="S54" i="4"/>
  <c r="N30" i="4"/>
  <c r="O30" i="4" s="1"/>
  <c r="N29" i="4"/>
  <c r="N27" i="4"/>
  <c r="O27" i="4" s="1"/>
  <c r="N26" i="4"/>
  <c r="N24" i="4"/>
  <c r="O24" i="4" s="1"/>
  <c r="N23" i="4"/>
  <c r="T33" i="4"/>
  <c r="P54" i="4"/>
  <c r="P53" i="4"/>
  <c r="P52" i="4"/>
  <c r="P38" i="4"/>
  <c r="O38" i="4"/>
  <c r="P50" i="4"/>
  <c r="R48" i="4"/>
  <c r="Q48" i="4"/>
  <c r="P48" i="4"/>
  <c r="P47" i="4"/>
  <c r="P45" i="4"/>
  <c r="P44" i="4"/>
  <c r="P43" i="4"/>
  <c r="J66" i="4"/>
  <c r="J65" i="4"/>
  <c r="K66" i="4" s="1"/>
  <c r="J63" i="4"/>
  <c r="K63" i="4" s="1"/>
  <c r="J62" i="4"/>
  <c r="J60" i="4"/>
  <c r="J59" i="4"/>
  <c r="K60" i="4" s="1"/>
  <c r="L58" i="4"/>
  <c r="L55" i="4"/>
  <c r="L49" i="4"/>
  <c r="J57" i="4"/>
  <c r="K57" i="4" s="1"/>
  <c r="J56" i="4"/>
  <c r="J55" i="4"/>
  <c r="K55" i="4" s="1"/>
  <c r="J54" i="4"/>
  <c r="J53" i="4"/>
  <c r="J52" i="4"/>
  <c r="K53" i="4" s="1"/>
  <c r="J51" i="4"/>
  <c r="K51" i="4" s="1"/>
  <c r="J50" i="4"/>
  <c r="J49" i="4"/>
  <c r="K49" i="4" s="1"/>
  <c r="J48" i="4"/>
  <c r="J46" i="4"/>
  <c r="J45" i="4"/>
  <c r="J43" i="4"/>
  <c r="K43" i="4" s="1"/>
  <c r="J42" i="4"/>
  <c r="J39" i="4"/>
  <c r="K39" i="4" s="1"/>
  <c r="J38" i="4"/>
  <c r="J37" i="4"/>
  <c r="K37" i="4" s="1"/>
  <c r="J36" i="4"/>
  <c r="E12" i="4"/>
  <c r="H16" i="4"/>
  <c r="J34" i="4"/>
  <c r="J33" i="4"/>
  <c r="J31" i="4"/>
  <c r="J30" i="4"/>
  <c r="J26" i="4"/>
  <c r="K26" i="4" s="1"/>
  <c r="K28" i="4" s="1"/>
  <c r="J25" i="4"/>
  <c r="J24" i="4"/>
  <c r="J23" i="4"/>
  <c r="K24" i="4" s="1"/>
  <c r="J19" i="4"/>
  <c r="K14" i="4"/>
  <c r="L14" i="4" s="1"/>
  <c r="J17" i="4"/>
  <c r="K12" i="4"/>
  <c r="L12" i="4" s="1"/>
  <c r="J9" i="4"/>
  <c r="I9" i="4"/>
  <c r="I11" i="4"/>
  <c r="R7" i="9" l="1"/>
  <c r="I26" i="9" s="1"/>
  <c r="P23" i="9"/>
  <c r="P24" i="9" s="1"/>
  <c r="I18" i="9" s="1"/>
  <c r="I17" i="9"/>
  <c r="C30" i="9"/>
  <c r="C31" i="9" s="1"/>
  <c r="C32" i="9" s="1"/>
  <c r="L5" i="9"/>
  <c r="I6" i="9" s="1"/>
  <c r="I7" i="9" s="1"/>
  <c r="I11" i="9" s="1"/>
  <c r="P10" i="9"/>
  <c r="P15" i="9"/>
  <c r="P11" i="9"/>
  <c r="P16" i="9"/>
  <c r="P12" i="9"/>
  <c r="P17" i="9"/>
  <c r="S63" i="4"/>
  <c r="S64" i="4" s="1"/>
  <c r="Q54" i="4"/>
  <c r="Q45" i="4"/>
  <c r="K46" i="4"/>
  <c r="K31" i="4"/>
  <c r="K34" i="4"/>
  <c r="I9" i="9" l="1"/>
  <c r="I27" i="9"/>
  <c r="I29" i="9" s="1"/>
  <c r="F24" i="9" s="1"/>
  <c r="F25" i="9" s="1"/>
  <c r="F28" i="9" s="1"/>
  <c r="P19" i="9"/>
  <c r="I19" i="9" s="1"/>
  <c r="I32" i="9" l="1"/>
  <c r="I33" i="9" s="1"/>
  <c r="I34" i="9" l="1"/>
  <c r="I35" i="9" s="1"/>
  <c r="I38" i="9" s="1"/>
  <c r="I39" i="9" s="1"/>
  <c r="I40" i="9" s="1"/>
  <c r="I41" i="9" s="1"/>
  <c r="L32" i="9"/>
  <c r="L33" i="9" s="1"/>
</calcChain>
</file>

<file path=xl/sharedStrings.xml><?xml version="1.0" encoding="utf-8"?>
<sst xmlns="http://schemas.openxmlformats.org/spreadsheetml/2006/main" count="192" uniqueCount="153">
  <si>
    <t>n - 140</t>
  </si>
  <si>
    <t>e - 90</t>
  </si>
  <si>
    <t>s - 157</t>
  </si>
  <si>
    <t>w - 121</t>
  </si>
  <si>
    <t>nw-se-186</t>
  </si>
  <si>
    <t>ne-sw-174</t>
  </si>
  <si>
    <t xml:space="preserve"> </t>
  </si>
  <si>
    <t>MW</t>
  </si>
  <si>
    <t>Wash</t>
  </si>
  <si>
    <t>hob</t>
  </si>
  <si>
    <t>fridge</t>
  </si>
  <si>
    <t>grill</t>
  </si>
  <si>
    <t>Pot</t>
  </si>
  <si>
    <t>Kettle</t>
  </si>
  <si>
    <t>Mixer</t>
  </si>
  <si>
    <t>Other</t>
  </si>
  <si>
    <t>fridge - small one</t>
  </si>
  <si>
    <t>no hob</t>
  </si>
  <si>
    <t>no dish washer</t>
  </si>
  <si>
    <t>no washing mc</t>
  </si>
  <si>
    <t>micro wave - small</t>
  </si>
  <si>
    <t>oven/grill - portable</t>
  </si>
  <si>
    <t>instant pot</t>
  </si>
  <si>
    <t>kettle</t>
  </si>
  <si>
    <t>mixie/grinder</t>
  </si>
  <si>
    <t>pans, plates, cups, bowls</t>
  </si>
  <si>
    <t>cutlery, boxes, jars</t>
  </si>
  <si>
    <t>groceries</t>
  </si>
  <si>
    <t>tape cots</t>
  </si>
  <si>
    <t>plastic chairs</t>
  </si>
  <si>
    <t>tables - 2</t>
  </si>
  <si>
    <t>tea poy</t>
  </si>
  <si>
    <t>sofa 2-seater</t>
  </si>
  <si>
    <t>swing chair</t>
  </si>
  <si>
    <t>baths - fully fitted</t>
  </si>
  <si>
    <t>water heaters</t>
  </si>
  <si>
    <t>showers</t>
  </si>
  <si>
    <t>shower curtains</t>
  </si>
  <si>
    <t>small TV and deck</t>
  </si>
  <si>
    <t>fans</t>
  </si>
  <si>
    <t>lighting</t>
  </si>
  <si>
    <t>carpet</t>
  </si>
  <si>
    <t>cupboard</t>
  </si>
  <si>
    <t>modular kitchen</t>
  </si>
  <si>
    <t>wardrobes</t>
  </si>
  <si>
    <t>`</t>
  </si>
  <si>
    <t>basin</t>
  </si>
  <si>
    <t>dishes</t>
  </si>
  <si>
    <t>mw</t>
  </si>
  <si>
    <t>other</t>
  </si>
  <si>
    <t>6 ft</t>
  </si>
  <si>
    <t>min spacing between columns</t>
  </si>
  <si>
    <t>max spacing between columns</t>
  </si>
  <si>
    <t>24 ft</t>
  </si>
  <si>
    <t>ave spacing between columns</t>
  </si>
  <si>
    <t>16 ft</t>
  </si>
  <si>
    <t>for bending momemt</t>
  </si>
  <si>
    <t>for solar etc</t>
  </si>
  <si>
    <t>M20 psi</t>
  </si>
  <si>
    <t>in m^2</t>
  </si>
  <si>
    <t>sft to m^2</t>
  </si>
  <si>
    <t>wt in kg</t>
  </si>
  <si>
    <t>wt in Newtons</t>
  </si>
  <si>
    <t>of M20</t>
  </si>
  <si>
    <t>column area m^2</t>
  </si>
  <si>
    <t>in sft</t>
  </si>
  <si>
    <t>6 in slab wt kg/m^2</t>
  </si>
  <si>
    <t>ft &gt; cm</t>
  </si>
  <si>
    <t>column size cm</t>
  </si>
  <si>
    <t>wt of concrete kg/m3</t>
  </si>
  <si>
    <t>wt of steel kg/m3</t>
  </si>
  <si>
    <t>wt of column</t>
  </si>
  <si>
    <t>beam size cm (1 m L)</t>
  </si>
  <si>
    <t>wt of bricks kg/m3</t>
  </si>
  <si>
    <t>wt of aerated blocks</t>
  </si>
  <si>
    <t>slab size (1 m2)</t>
  </si>
  <si>
    <t>vol of beam</t>
  </si>
  <si>
    <t>vol of slab</t>
  </si>
  <si>
    <t>wt of RCC kg/m3 (1%)</t>
  </si>
  <si>
    <t>wt of RCC kg/m3 (2%)</t>
  </si>
  <si>
    <t>wt of slab kg (1 m2)</t>
  </si>
  <si>
    <t>factor 1.5</t>
  </si>
  <si>
    <t>kN &gt; kg</t>
  </si>
  <si>
    <t>sqm &gt; sft</t>
  </si>
  <si>
    <t>steel strength N/mm2</t>
  </si>
  <si>
    <t>concrete strength N/mm2</t>
  </si>
  <si>
    <t>RCC strength N/mm2</t>
  </si>
  <si>
    <t>column cross-section</t>
  </si>
  <si>
    <t>total wt of slab</t>
  </si>
  <si>
    <t>column area required /m2</t>
  </si>
  <si>
    <t>wt of beam (1 m)</t>
  </si>
  <si>
    <t>per cm2</t>
  </si>
  <si>
    <t>total no. of cols</t>
  </si>
  <si>
    <t>beam lengths</t>
  </si>
  <si>
    <t>slab areas</t>
  </si>
  <si>
    <t>no. of cols (estimate)</t>
  </si>
  <si>
    <t>total col wt</t>
  </si>
  <si>
    <t>total wt of slab + beams+cols</t>
  </si>
  <si>
    <t>Pu</t>
  </si>
  <si>
    <t>kN</t>
  </si>
  <si>
    <t>f_ck</t>
  </si>
  <si>
    <t>N/mm2</t>
  </si>
  <si>
    <t>f_y</t>
  </si>
  <si>
    <t>factor</t>
  </si>
  <si>
    <t>Pu = 0.4 * f_ck * A_c  + 0.67 * f_y * A_sc</t>
  </si>
  <si>
    <t>steel (A_sc)</t>
  </si>
  <si>
    <t>of A_g</t>
  </si>
  <si>
    <t>A_c</t>
  </si>
  <si>
    <t>Pu factored</t>
  </si>
  <si>
    <t>0.67 * f_y *1%</t>
  </si>
  <si>
    <t>0.4 * f_ck * 99%</t>
  </si>
  <si>
    <t>total strength</t>
  </si>
  <si>
    <t>N</t>
  </si>
  <si>
    <t>mm2</t>
  </si>
  <si>
    <t>mm</t>
  </si>
  <si>
    <t>square col side</t>
  </si>
  <si>
    <t>col area required</t>
  </si>
  <si>
    <t>in N/m2</t>
  </si>
  <si>
    <t>kg per m2</t>
  </si>
  <si>
    <t>m3</t>
  </si>
  <si>
    <t>kg</t>
  </si>
  <si>
    <t>cm2</t>
  </si>
  <si>
    <t>column vol</t>
  </si>
  <si>
    <t>column strength</t>
  </si>
  <si>
    <t>m</t>
  </si>
  <si>
    <t>total beam length</t>
  </si>
  <si>
    <t>total beam wt</t>
  </si>
  <si>
    <t>m2</t>
  </si>
  <si>
    <t>total area of slab</t>
  </si>
  <si>
    <t>kg/m2</t>
  </si>
  <si>
    <t>m3/m2</t>
  </si>
  <si>
    <t>kg &gt; N</t>
  </si>
  <si>
    <t>N/m2</t>
  </si>
  <si>
    <t>wt of water tank, solar etc</t>
  </si>
  <si>
    <t>total wt</t>
  </si>
  <si>
    <t>permissible (direct) N/mm2</t>
  </si>
  <si>
    <t>permissible (bending) N/mm2</t>
  </si>
  <si>
    <t>Issa method (simple)</t>
  </si>
  <si>
    <t>load on column</t>
  </si>
  <si>
    <t>add 20% for bending moment</t>
  </si>
  <si>
    <t>20% of concrete strength</t>
  </si>
  <si>
    <t>in kg/mm2</t>
  </si>
  <si>
    <t>column area</t>
  </si>
  <si>
    <t>total col area</t>
  </si>
  <si>
    <t>slab</t>
  </si>
  <si>
    <t>stairs roof</t>
  </si>
  <si>
    <t>stairs</t>
  </si>
  <si>
    <t>cols area required cm2</t>
  </si>
  <si>
    <t>cols</t>
  </si>
  <si>
    <t>permissable load in kg/cm2</t>
  </si>
  <si>
    <t>m3 &gt; cft</t>
  </si>
  <si>
    <t>m &gt; ft</t>
  </si>
  <si>
    <t>in &gt;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</si>
</sst>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"/>
    <numFmt numFmtId="165" formatCode="#,##0.0"/>
    <numFmt numFmtId="166" formatCode="#,##0.0000"/>
  </numFmts>
  <fonts count="7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C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ashDot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dashDot">
        <color indexed="64"/>
      </top>
      <bottom/>
      <diagonal/>
    </border>
    <border>
      <left style="thin">
        <color indexed="64"/>
      </left>
      <right style="thin">
        <color indexed="64"/>
      </right>
      <top style="dashDot">
        <color indexed="64"/>
      </top>
      <bottom/>
      <diagonal/>
    </border>
    <border>
      <left/>
      <right/>
      <top/>
      <bottom style="dashDot">
        <color indexed="64"/>
      </bottom>
      <diagonal/>
    </border>
    <border>
      <left style="thin">
        <color indexed="64"/>
      </left>
      <right style="thin">
        <color indexed="64"/>
      </right>
      <top/>
      <bottom style="dashDot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8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1" xfId="0" applyFill="1" applyBorder="1"/>
    <xf numFmtId="0" fontId="0" fillId="2" borderId="20" xfId="0" applyFill="1" applyBorder="1"/>
    <xf numFmtId="0" fontId="0" fillId="2" borderId="2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8" xfId="0" applyFill="1" applyBorder="1"/>
    <xf numFmtId="0" fontId="0" fillId="3" borderId="0" xfId="0" applyFill="1"/>
    <xf numFmtId="0" fontId="0" fillId="3" borderId="13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2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2" xfId="0" applyFill="1" applyBorder="1"/>
    <xf numFmtId="0" fontId="0" fillId="4" borderId="0" xfId="0" applyFill="1"/>
    <xf numFmtId="0" fontId="0" fillId="4" borderId="11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0" xfId="0" applyFill="1"/>
    <xf numFmtId="0" fontId="0" fillId="6" borderId="13" xfId="0" applyFill="1" applyBorder="1"/>
    <xf numFmtId="0" fontId="0" fillId="6" borderId="0" xfId="0" applyFill="1"/>
    <xf numFmtId="0" fontId="0" fillId="6" borderId="10" xfId="0" applyFill="1" applyBorder="1"/>
    <xf numFmtId="0" fontId="0" fillId="6" borderId="11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4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11" xfId="0" applyFill="1" applyBorder="1"/>
    <xf numFmtId="0" fontId="0" fillId="9" borderId="14" xfId="0" applyFill="1" applyBorder="1"/>
    <xf numFmtId="0" fontId="0" fillId="9" borderId="16" xfId="0" applyFill="1" applyBorder="1"/>
    <xf numFmtId="0" fontId="0" fillId="2" borderId="9" xfId="0" applyFill="1" applyBorder="1"/>
    <xf numFmtId="0" fontId="0" fillId="2" borderId="11" xfId="0" applyFill="1" applyBorder="1"/>
    <xf numFmtId="0" fontId="0" fillId="2" borderId="14" xfId="0" applyFill="1" applyBorder="1"/>
    <xf numFmtId="0" fontId="0" fillId="2" borderId="16" xfId="0" applyFill="1" applyBorder="1"/>
    <xf numFmtId="0" fontId="0" fillId="10" borderId="9" xfId="0" applyFill="1" applyBorder="1"/>
    <xf numFmtId="0" fontId="0" fillId="10" borderId="11" xfId="0" applyFill="1" applyBorder="1"/>
    <xf numFmtId="0" fontId="0" fillId="10" borderId="14" xfId="0" applyFill="1" applyBorder="1"/>
    <xf numFmtId="0" fontId="0" fillId="10" borderId="16" xfId="0" applyFill="1" applyBorder="1"/>
    <xf numFmtId="0" fontId="0" fillId="3" borderId="14" xfId="0" applyFill="1" applyBorder="1"/>
    <xf numFmtId="0" fontId="0" fillId="11" borderId="9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0" fillId="11" borderId="14" xfId="0" applyFill="1" applyBorder="1"/>
    <xf numFmtId="0" fontId="0" fillId="11" borderId="16" xfId="0" applyFill="1" applyBorder="1"/>
    <xf numFmtId="0" fontId="0" fillId="10" borderId="10" xfId="0" applyFill="1" applyBorder="1"/>
    <xf numFmtId="0" fontId="0" fillId="10" borderId="12" xfId="0" applyFill="1" applyBorder="1"/>
    <xf numFmtId="0" fontId="0" fillId="10" borderId="0" xfId="0" applyFill="1"/>
    <xf numFmtId="0" fontId="0" fillId="10" borderId="13" xfId="0" applyFill="1" applyBorder="1"/>
    <xf numFmtId="0" fontId="0" fillId="10" borderId="15" xfId="0" applyFill="1" applyBorder="1"/>
    <xf numFmtId="0" fontId="0" fillId="2" borderId="13" xfId="0" applyFill="1" applyBorder="1"/>
    <xf numFmtId="0" fontId="0" fillId="11" borderId="10" xfId="0" applyFill="1" applyBorder="1"/>
    <xf numFmtId="0" fontId="0" fillId="2" borderId="10" xfId="0" applyFill="1" applyBorder="1"/>
    <xf numFmtId="0" fontId="0" fillId="11" borderId="15" xfId="0" applyFill="1" applyBorder="1"/>
    <xf numFmtId="0" fontId="0" fillId="9" borderId="12" xfId="0" applyFill="1" applyBorder="1"/>
    <xf numFmtId="0" fontId="0" fillId="9" borderId="13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1" fillId="0" borderId="0" xfId="0" applyFont="1"/>
    <xf numFmtId="0" fontId="0" fillId="2" borderId="15" xfId="0" applyFill="1" applyBorder="1"/>
    <xf numFmtId="0" fontId="0" fillId="12" borderId="9" xfId="0" applyFill="1" applyBorder="1"/>
    <xf numFmtId="0" fontId="0" fillId="12" borderId="11" xfId="0" applyFill="1" applyBorder="1"/>
    <xf numFmtId="0" fontId="0" fillId="12" borderId="12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16" xfId="0" applyFill="1" applyBorder="1"/>
    <xf numFmtId="0" fontId="0" fillId="2" borderId="12" xfId="0" applyFill="1" applyBorder="1"/>
    <xf numFmtId="0" fontId="0" fillId="4" borderId="18" xfId="0" applyFill="1" applyBorder="1"/>
    <xf numFmtId="0" fontId="0" fillId="4" borderId="20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4" borderId="11" xfId="0" applyFill="1" applyBorder="1"/>
    <xf numFmtId="0" fontId="0" fillId="14" borderId="14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8" borderId="0" xfId="0" applyFill="1"/>
    <xf numFmtId="0" fontId="0" fillId="8" borderId="15" xfId="0" applyFill="1" applyBorder="1"/>
    <xf numFmtId="0" fontId="0" fillId="8" borderId="12" xfId="0" applyFill="1" applyBorder="1"/>
    <xf numFmtId="0" fontId="0" fillId="8" borderId="13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17" xfId="0" applyFill="1" applyBorder="1"/>
    <xf numFmtId="0" fontId="0" fillId="4" borderId="19" xfId="0" applyFill="1" applyBorder="1"/>
    <xf numFmtId="0" fontId="0" fillId="2" borderId="0" xfId="0" applyFill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0" fontId="0" fillId="0" borderId="23" xfId="0" applyBorder="1"/>
    <xf numFmtId="0" fontId="2" fillId="0" borderId="12" xfId="0" applyFont="1" applyBorder="1" applyAlignment="1">
      <alignment horizontal="left" vertical="center"/>
    </xf>
    <xf numFmtId="0" fontId="0" fillId="10" borderId="21" xfId="0" applyFill="1" applyBorder="1"/>
    <xf numFmtId="0" fontId="0" fillId="10" borderId="20" xfId="0" applyFill="1" applyBorder="1"/>
    <xf numFmtId="0" fontId="0" fillId="10" borderId="23" xfId="0" applyFill="1" applyBorder="1"/>
    <xf numFmtId="0" fontId="2" fillId="10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0" fontId="2" fillId="10" borderId="12" xfId="0" applyFont="1" applyFill="1" applyBorder="1" applyAlignment="1">
      <alignment horizontal="left" vertical="center"/>
    </xf>
    <xf numFmtId="0" fontId="0" fillId="6" borderId="9" xfId="0" applyFill="1" applyBorder="1"/>
    <xf numFmtId="0" fontId="0" fillId="6" borderId="12" xfId="0" applyFill="1" applyBorder="1"/>
    <xf numFmtId="0" fontId="0" fillId="5" borderId="10" xfId="0" applyFill="1" applyBorder="1"/>
    <xf numFmtId="0" fontId="2" fillId="5" borderId="0" xfId="0" applyFont="1" applyFill="1" applyAlignment="1">
      <alignment horizontal="left" vertical="center"/>
    </xf>
    <xf numFmtId="0" fontId="0" fillId="10" borderId="22" xfId="0" applyFill="1" applyBorder="1"/>
    <xf numFmtId="0" fontId="0" fillId="15" borderId="11" xfId="0" applyFill="1" applyBorder="1"/>
    <xf numFmtId="0" fontId="0" fillId="15" borderId="16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0" xfId="0" applyFill="1"/>
    <xf numFmtId="0" fontId="0" fillId="16" borderId="13" xfId="0" applyFill="1" applyBorder="1"/>
    <xf numFmtId="0" fontId="0" fillId="16" borderId="14" xfId="0" applyFill="1" applyBorder="1"/>
    <xf numFmtId="0" fontId="0" fillId="16" borderId="15" xfId="0" applyFill="1" applyBorder="1"/>
    <xf numFmtId="0" fontId="0" fillId="16" borderId="16" xfId="0" applyFill="1" applyBorder="1"/>
    <xf numFmtId="0" fontId="0" fillId="3" borderId="17" xfId="0" applyFill="1" applyBorder="1"/>
    <xf numFmtId="0" fontId="0" fillId="3" borderId="19" xfId="0" applyFill="1" applyBorder="1"/>
    <xf numFmtId="0" fontId="0" fillId="17" borderId="9" xfId="0" applyFill="1" applyBorder="1"/>
    <xf numFmtId="0" fontId="0" fillId="17" borderId="10" xfId="0" applyFill="1" applyBorder="1"/>
    <xf numFmtId="0" fontId="0" fillId="17" borderId="11" xfId="0" applyFill="1" applyBorder="1"/>
    <xf numFmtId="0" fontId="0" fillId="17" borderId="12" xfId="0" applyFill="1" applyBorder="1"/>
    <xf numFmtId="0" fontId="0" fillId="17" borderId="13" xfId="0" applyFill="1" applyBorder="1"/>
    <xf numFmtId="0" fontId="0" fillId="17" borderId="0" xfId="0" applyFill="1"/>
    <xf numFmtId="0" fontId="0" fillId="17" borderId="15" xfId="0" applyFill="1" applyBorder="1"/>
    <xf numFmtId="0" fontId="0" fillId="17" borderId="16" xfId="0" applyFill="1" applyBorder="1"/>
    <xf numFmtId="0" fontId="0" fillId="17" borderId="21" xfId="0" applyFill="1" applyBorder="1"/>
    <xf numFmtId="0" fontId="0" fillId="17" borderId="20" xfId="0" applyFill="1" applyBorder="1"/>
    <xf numFmtId="0" fontId="0" fillId="17" borderId="22" xfId="0" applyFill="1" applyBorder="1"/>
    <xf numFmtId="0" fontId="0" fillId="18" borderId="9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0" xfId="0" applyFill="1"/>
    <xf numFmtId="0" fontId="0" fillId="18" borderId="13" xfId="0" applyFill="1" applyBorder="1"/>
    <xf numFmtId="0" fontId="0" fillId="18" borderId="14" xfId="0" applyFill="1" applyBorder="1"/>
    <xf numFmtId="0" fontId="0" fillId="18" borderId="16" xfId="0" applyFill="1" applyBorder="1"/>
    <xf numFmtId="0" fontId="0" fillId="18" borderId="15" xfId="0" applyFill="1" applyBorder="1"/>
    <xf numFmtId="0" fontId="0" fillId="18" borderId="17" xfId="0" applyFill="1" applyBorder="1"/>
    <xf numFmtId="0" fontId="0" fillId="18" borderId="18" xfId="0" applyFill="1" applyBorder="1"/>
    <xf numFmtId="0" fontId="0" fillId="18" borderId="19" xfId="0" applyFill="1" applyBorder="1"/>
    <xf numFmtId="0" fontId="0" fillId="0" borderId="24" xfId="0" applyBorder="1"/>
    <xf numFmtId="0" fontId="0" fillId="0" borderId="25" xfId="0" applyBorder="1"/>
    <xf numFmtId="0" fontId="0" fillId="3" borderId="23" xfId="0" applyFill="1" applyBorder="1"/>
    <xf numFmtId="0" fontId="0" fillId="19" borderId="14" xfId="0" applyFill="1" applyBorder="1"/>
    <xf numFmtId="0" fontId="0" fillId="19" borderId="0" xfId="0" applyFill="1"/>
    <xf numFmtId="0" fontId="0" fillId="16" borderId="21" xfId="0" applyFill="1" applyBorder="1"/>
    <xf numFmtId="0" fontId="0" fillId="16" borderId="20" xfId="0" applyFill="1" applyBorder="1"/>
    <xf numFmtId="0" fontId="0" fillId="16" borderId="17" xfId="0" applyFill="1" applyBorder="1"/>
    <xf numFmtId="0" fontId="0" fillId="16" borderId="18" xfId="0" applyFill="1" applyBorder="1"/>
    <xf numFmtId="0" fontId="0" fillId="16" borderId="19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6" borderId="14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13" xfId="0" applyFill="1" applyBorder="1"/>
    <xf numFmtId="0" fontId="0" fillId="5" borderId="16" xfId="0" applyFill="1" applyBorder="1"/>
    <xf numFmtId="0" fontId="5" fillId="0" borderId="13" xfId="0" applyFont="1" applyBorder="1"/>
    <xf numFmtId="0" fontId="5" fillId="0" borderId="0" xfId="0" applyFont="1"/>
    <xf numFmtId="0" fontId="0" fillId="7" borderId="20" xfId="0" applyFill="1" applyBorder="1"/>
    <xf numFmtId="0" fontId="0" fillId="7" borderId="22" xfId="0" applyFill="1" applyBorder="1"/>
    <xf numFmtId="0" fontId="0" fillId="5" borderId="12" xfId="0" applyFill="1" applyBorder="1"/>
    <xf numFmtId="9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0" fontId="4" fillId="0" borderId="0" xfId="0" applyFont="1"/>
    <xf numFmtId="165" fontId="0" fillId="0" borderId="0" xfId="1" applyNumberFormat="1" applyFont="1"/>
    <xf numFmtId="3" fontId="0" fillId="0" borderId="0" xfId="0" applyNumberFormat="1"/>
    <xf numFmtId="166" fontId="0" fillId="0" borderId="0" xfId="1" applyNumberFormat="1" applyFont="1"/>
    <xf numFmtId="165" fontId="0" fillId="0" borderId="0" xfId="0" applyNumberFormat="1"/>
    <xf numFmtId="0" fontId="0" fillId="0" borderId="40" xfId="0" applyBorder="1"/>
    <xf numFmtId="0" fontId="5" fillId="7" borderId="0" xfId="0" applyFont="1" applyFill="1"/>
    <xf numFmtId="0" fontId="5" fillId="0" borderId="19" xfId="0" applyFont="1" applyBorder="1"/>
    <xf numFmtId="0" fontId="0" fillId="13" borderId="9" xfId="0" applyFill="1" applyBorder="1"/>
    <xf numFmtId="0" fontId="0" fillId="13" borderId="10" xfId="0" applyFill="1" applyBorder="1"/>
    <xf numFmtId="0" fontId="0" fillId="13" borderId="11" xfId="0" applyFill="1" applyBorder="1"/>
    <xf numFmtId="0" fontId="0" fillId="13" borderId="12" xfId="0" applyFill="1" applyBorder="1"/>
    <xf numFmtId="0" fontId="0" fillId="13" borderId="14" xfId="0" applyFill="1" applyBorder="1"/>
    <xf numFmtId="0" fontId="0" fillId="13" borderId="0" xfId="0" applyFill="1"/>
    <xf numFmtId="0" fontId="0" fillId="13" borderId="13" xfId="0" applyFill="1" applyBorder="1"/>
    <xf numFmtId="0" fontId="0" fillId="13" borderId="15" xfId="0" applyFill="1" applyBorder="1"/>
    <xf numFmtId="0" fontId="0" fillId="13" borderId="16" xfId="0" applyFill="1" applyBorder="1"/>
    <xf numFmtId="0" fontId="0" fillId="5" borderId="11" xfId="0" applyFill="1" applyBorder="1"/>
    <xf numFmtId="0" fontId="0" fillId="5" borderId="14" xfId="0" applyFill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16" xfId="0" applyFont="1" applyBorder="1"/>
    <xf numFmtId="0" fontId="6" fillId="0" borderId="0" xfId="0" applyFont="1"/>
    <xf numFmtId="0" fontId="0" fillId="0" borderId="41" xfId="0" applyBorder="1"/>
    <xf numFmtId="0" fontId="0" fillId="0" borderId="42" xfId="0" applyBorder="1"/>
    <xf numFmtId="0" fontId="6" fillId="0" borderId="42" xfId="0" applyFont="1" applyBorder="1"/>
    <xf numFmtId="0" fontId="6" fillId="0" borderId="2" xfId="0" applyFont="1" applyBorder="1"/>
    <xf numFmtId="0" fontId="6" fillId="0" borderId="41" xfId="0" applyFont="1" applyBorder="1"/>
    <xf numFmtId="0" fontId="6" fillId="0" borderId="24" xfId="0" applyFont="1" applyBorder="1"/>
    <xf numFmtId="0" fontId="6" fillId="0" borderId="7" xfId="0" applyFont="1" applyBorder="1"/>
    <xf numFmtId="0" fontId="6" fillId="0" borderId="25" xfId="0" applyFon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5" borderId="15" xfId="0" applyFill="1" applyBorder="1"/>
    <xf numFmtId="0" fontId="0" fillId="5" borderId="9" xfId="0" applyFill="1" applyBorder="1"/>
    <xf numFmtId="0" fontId="0" fillId="0" borderId="0" xfId="0" applyBorder="1"/>
    <xf numFmtId="0" fontId="0" fillId="7" borderId="0" xfId="0" applyFill="1" applyBorder="1"/>
    <xf numFmtId="0" fontId="0" fillId="0" borderId="0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0" xfId="0" applyFill="1"/>
    <xf numFmtId="0" fontId="0" fillId="0" borderId="15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4" xfId="0" applyFill="1" applyBorder="1"/>
    <xf numFmtId="0" fontId="0" fillId="0" borderId="16" xfId="0" applyFill="1" applyBorder="1"/>
    <xf numFmtId="0" fontId="0" fillId="0" borderId="18" xfId="0" applyFill="1" applyBorder="1"/>
    <xf numFmtId="0" fontId="0" fillId="0" borderId="20" xfId="0" applyFill="1" applyBorder="1"/>
    <xf numFmtId="0" fontId="0" fillId="0" borderId="22" xfId="0" applyFill="1" applyBorder="1"/>
    <xf numFmtId="0" fontId="0" fillId="0" borderId="21" xfId="0" applyFill="1" applyBorder="1"/>
    <xf numFmtId="0" fontId="0" fillId="0" borderId="17" xfId="0" applyFill="1" applyBorder="1"/>
    <xf numFmtId="0" fontId="0" fillId="0" borderId="19" xfId="0" applyFill="1" applyBorder="1"/>
    <xf numFmtId="0" fontId="0" fillId="7" borderId="23" xfId="0" applyFill="1" applyBorder="1"/>
    <xf numFmtId="0" fontId="0" fillId="7" borderId="17" xfId="0" applyFill="1" applyBorder="1"/>
    <xf numFmtId="0" fontId="0" fillId="20" borderId="13" xfId="0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BE4"/>
      <color rgb="FF0852C4"/>
      <color rgb="FF9DC3E6"/>
      <color rgb="FF9CC3E6"/>
      <color rgb="FFFFC0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50800</xdr:colOff>
      <xdr:row>82</xdr:row>
      <xdr:rowOff>101600</xdr:rowOff>
    </xdr:from>
    <xdr:to>
      <xdr:col>30</xdr:col>
      <xdr:colOff>25400</xdr:colOff>
      <xdr:row>85</xdr:row>
      <xdr:rowOff>76200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08800" y="18846800"/>
          <a:ext cx="660400" cy="660400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209932</xdr:colOff>
      <xdr:row>97</xdr:row>
      <xdr:rowOff>201335</xdr:rowOff>
    </xdr:from>
    <xdr:to>
      <xdr:col>62</xdr:col>
      <xdr:colOff>92843</xdr:colOff>
      <xdr:row>104</xdr:row>
      <xdr:rowOff>2771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 rot="3426135">
          <a:off x="13465535" y="23466813"/>
          <a:ext cx="1483328" cy="1564803"/>
          <a:chOff x="21448891" y="25973857"/>
          <a:chExt cx="1382889" cy="1449245"/>
        </a:xfrm>
      </xdr:grpSpPr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68</xdr:col>
      <xdr:colOff>29195</xdr:colOff>
      <xdr:row>160</xdr:row>
      <xdr:rowOff>14598</xdr:rowOff>
    </xdr:from>
    <xdr:to>
      <xdr:col>81</xdr:col>
      <xdr:colOff>189770</xdr:colOff>
      <xdr:row>176</xdr:row>
      <xdr:rowOff>175173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5911494" y="37384713"/>
          <a:ext cx="3196897" cy="3897586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155</xdr:col>
      <xdr:colOff>0</xdr:colOff>
      <xdr:row>246</xdr:row>
      <xdr:rowOff>0</xdr:rowOff>
    </xdr:from>
    <xdr:to>
      <xdr:col>161</xdr:col>
      <xdr:colOff>111511</xdr:colOff>
      <xdr:row>252</xdr:row>
      <xdr:rowOff>30036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 rot="3426135">
          <a:off x="37282630" y="59065748"/>
          <a:ext cx="1471658" cy="1553133"/>
          <a:chOff x="21448891" y="25973857"/>
          <a:chExt cx="1382889" cy="1449245"/>
        </a:xfrm>
      </xdr:grpSpPr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11948</xdr:col>
      <xdr:colOff>25400</xdr:colOff>
      <xdr:row>14296</xdr:row>
      <xdr:rowOff>76200</xdr:rowOff>
    </xdr:from>
    <xdr:to>
      <xdr:col>11948</xdr:col>
      <xdr:colOff>48079</xdr:colOff>
      <xdr:row>14303</xdr:row>
      <xdr:rowOff>43779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 flipV="1">
          <a:off x="33487012" y="52027072"/>
          <a:ext cx="22679" cy="1449245"/>
        </a:xfrm>
        <a:prstGeom prst="straightConnector1">
          <a:avLst/>
        </a:prstGeom>
        <a:ln w="57150">
          <a:headEnd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11960</xdr:col>
      <xdr:colOff>203200</xdr:colOff>
      <xdr:row>14699</xdr:row>
      <xdr:rowOff>0</xdr:rowOff>
    </xdr:from>
    <xdr:to>
      <xdr:col>11967</xdr:col>
      <xdr:colOff>104422</xdr:colOff>
      <xdr:row>14699</xdr:row>
      <xdr:rowOff>9408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V="1">
          <a:off x="32717507" y="52800638"/>
          <a:ext cx="1382889" cy="9408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156584</xdr:colOff>
      <xdr:row>448</xdr:row>
      <xdr:rowOff>208067</xdr:rowOff>
    </xdr:from>
    <xdr:to>
      <xdr:col>100</xdr:col>
      <xdr:colOff>51266</xdr:colOff>
      <xdr:row>455</xdr:row>
      <xdr:rowOff>1324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2E1D723-07E8-984B-B4DA-B0934E8C227D}"/>
            </a:ext>
          </a:extLst>
        </xdr:cNvPr>
        <xdr:cNvGrpSpPr/>
      </xdr:nvGrpSpPr>
      <xdr:grpSpPr>
        <a:xfrm rot="3426135">
          <a:off x="22552431" y="107798436"/>
          <a:ext cx="1475149" cy="1576574"/>
          <a:chOff x="21448891" y="25973857"/>
          <a:chExt cx="1382889" cy="1449245"/>
        </a:xfrm>
      </xdr:grpSpPr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B4135AC6-6C7D-9357-2015-BDFA2632FD52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4B9E7F86-FC6F-FFB4-550A-80DC42D9146C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218</xdr:col>
      <xdr:colOff>84532</xdr:colOff>
      <xdr:row>571</xdr:row>
      <xdr:rowOff>112554</xdr:rowOff>
    </xdr:from>
    <xdr:to>
      <xdr:col>245</xdr:col>
      <xdr:colOff>146210</xdr:colOff>
      <xdr:row>572</xdr:row>
      <xdr:rowOff>129209</xdr:rowOff>
    </xdr:to>
    <xdr:sp macro="" textlink="">
      <xdr:nvSpPr>
        <xdr:cNvPr id="29" name="Parallelogram 28">
          <a:extLst>
            <a:ext uri="{FF2B5EF4-FFF2-40B4-BE49-F238E27FC236}">
              <a16:creationId xmlns:a16="http://schemas.microsoft.com/office/drawing/2014/main" id="{AE2D97C7-21D5-6A49-86D1-A6DEE99AD8B0}"/>
            </a:ext>
          </a:extLst>
        </xdr:cNvPr>
        <xdr:cNvSpPr/>
      </xdr:nvSpPr>
      <xdr:spPr>
        <a:xfrm rot="1574555" flipV="1">
          <a:off x="39387690" y="133696501"/>
          <a:ext cx="6378257" cy="250603"/>
        </a:xfrm>
        <a:prstGeom prst="parallelogram">
          <a:avLst>
            <a:gd name="adj" fmla="val 5178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161</xdr:col>
      <xdr:colOff>72930</xdr:colOff>
      <xdr:row>142</xdr:row>
      <xdr:rowOff>11424</xdr:rowOff>
    </xdr:from>
    <xdr:to>
      <xdr:col>168</xdr:col>
      <xdr:colOff>205694</xdr:colOff>
      <xdr:row>149</xdr:row>
      <xdr:rowOff>123900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E59A381-7CB4-5B4E-A55F-6A2748C37620}"/>
            </a:ext>
          </a:extLst>
        </xdr:cNvPr>
        <xdr:cNvSpPr/>
      </xdr:nvSpPr>
      <xdr:spPr>
        <a:xfrm>
          <a:off x="34982442" y="30801180"/>
          <a:ext cx="1650569" cy="1630281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133</xdr:col>
      <xdr:colOff>211064</xdr:colOff>
      <xdr:row>141</xdr:row>
      <xdr:rowOff>155152</xdr:rowOff>
    </xdr:from>
    <xdr:to>
      <xdr:col>141</xdr:col>
      <xdr:colOff>126999</xdr:colOff>
      <xdr:row>149</xdr:row>
      <xdr:rowOff>50799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33176170-A49A-6840-B585-2119699C21F9}"/>
            </a:ext>
          </a:extLst>
        </xdr:cNvPr>
        <xdr:cNvSpPr/>
      </xdr:nvSpPr>
      <xdr:spPr>
        <a:xfrm>
          <a:off x="30614864" y="32387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173</xdr:col>
      <xdr:colOff>162082</xdr:colOff>
      <xdr:row>152</xdr:row>
      <xdr:rowOff>17001</xdr:rowOff>
    </xdr:from>
    <xdr:to>
      <xdr:col>181</xdr:col>
      <xdr:colOff>65641</xdr:colOff>
      <xdr:row>159</xdr:row>
      <xdr:rowOff>141248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3B43220A-9A4B-2842-817F-A27AFBC4C319}"/>
            </a:ext>
          </a:extLst>
        </xdr:cNvPr>
        <xdr:cNvSpPr/>
      </xdr:nvSpPr>
      <xdr:spPr>
        <a:xfrm>
          <a:off x="42011606" y="36786525"/>
          <a:ext cx="1838797" cy="1817580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194</xdr:col>
      <xdr:colOff>33264</xdr:colOff>
      <xdr:row>152</xdr:row>
      <xdr:rowOff>155152</xdr:rowOff>
    </xdr:from>
    <xdr:to>
      <xdr:col>201</xdr:col>
      <xdr:colOff>177799</xdr:colOff>
      <xdr:row>160</xdr:row>
      <xdr:rowOff>50799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7C9BCA82-F361-674C-907B-AD84D6E4E1F8}"/>
            </a:ext>
          </a:extLst>
        </xdr:cNvPr>
        <xdr:cNvSpPr/>
      </xdr:nvSpPr>
      <xdr:spPr>
        <a:xfrm>
          <a:off x="44381664" y="349023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161</xdr:col>
      <xdr:colOff>185664</xdr:colOff>
      <xdr:row>162</xdr:row>
      <xdr:rowOff>180552</xdr:rowOff>
    </xdr:from>
    <xdr:to>
      <xdr:col>169</xdr:col>
      <xdr:colOff>101599</xdr:colOff>
      <xdr:row>170</xdr:row>
      <xdr:rowOff>76199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5E848770-F0DC-0845-BF05-FD52B07AD8FC}"/>
            </a:ext>
          </a:extLst>
        </xdr:cNvPr>
        <xdr:cNvSpPr/>
      </xdr:nvSpPr>
      <xdr:spPr>
        <a:xfrm>
          <a:off x="36990264" y="37213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4506</xdr:colOff>
      <xdr:row>174</xdr:row>
      <xdr:rowOff>140904</xdr:rowOff>
    </xdr:from>
    <xdr:to>
      <xdr:col>154</xdr:col>
      <xdr:colOff>174117</xdr:colOff>
      <xdr:row>182</xdr:row>
      <xdr:rowOff>48322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F2293EED-B94C-2149-BC43-AC76B4F299EA}"/>
            </a:ext>
          </a:extLst>
        </xdr:cNvPr>
        <xdr:cNvSpPr/>
      </xdr:nvSpPr>
      <xdr:spPr>
        <a:xfrm>
          <a:off x="35564506" y="42232333"/>
          <a:ext cx="1862944" cy="184265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194</xdr:col>
      <xdr:colOff>7864</xdr:colOff>
      <xdr:row>174</xdr:row>
      <xdr:rowOff>28152</xdr:rowOff>
    </xdr:from>
    <xdr:to>
      <xdr:col>201</xdr:col>
      <xdr:colOff>152399</xdr:colOff>
      <xdr:row>181</xdr:row>
      <xdr:rowOff>152399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F435B52D-AC24-E244-A898-A7C8826281FB}"/>
            </a:ext>
          </a:extLst>
        </xdr:cNvPr>
        <xdr:cNvSpPr/>
      </xdr:nvSpPr>
      <xdr:spPr>
        <a:xfrm>
          <a:off x="44356264" y="39804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134</xdr:col>
      <xdr:colOff>211064</xdr:colOff>
      <xdr:row>162</xdr:row>
      <xdr:rowOff>180552</xdr:rowOff>
    </xdr:from>
    <xdr:to>
      <xdr:col>142</xdr:col>
      <xdr:colOff>126999</xdr:colOff>
      <xdr:row>170</xdr:row>
      <xdr:rowOff>76199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142F880B-F001-C348-9DCE-1F2DA533B402}"/>
            </a:ext>
          </a:extLst>
        </xdr:cNvPr>
        <xdr:cNvSpPr/>
      </xdr:nvSpPr>
      <xdr:spPr>
        <a:xfrm>
          <a:off x="30843464" y="37213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109464</xdr:colOff>
      <xdr:row>191</xdr:row>
      <xdr:rowOff>155152</xdr:rowOff>
    </xdr:from>
    <xdr:to>
      <xdr:col>161</xdr:col>
      <xdr:colOff>25399</xdr:colOff>
      <xdr:row>199</xdr:row>
      <xdr:rowOff>50799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5D4416A5-DA1C-444D-8196-2DE680F8196E}"/>
            </a:ext>
          </a:extLst>
        </xdr:cNvPr>
        <xdr:cNvSpPr/>
      </xdr:nvSpPr>
      <xdr:spPr>
        <a:xfrm>
          <a:off x="35085264" y="438177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170</xdr:col>
      <xdr:colOff>185664</xdr:colOff>
      <xdr:row>175</xdr:row>
      <xdr:rowOff>53552</xdr:rowOff>
    </xdr:from>
    <xdr:to>
      <xdr:col>178</xdr:col>
      <xdr:colOff>101599</xdr:colOff>
      <xdr:row>182</xdr:row>
      <xdr:rowOff>177799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301E275-2B4E-C54D-BE9C-91B49930DE5B}"/>
            </a:ext>
          </a:extLst>
        </xdr:cNvPr>
        <xdr:cNvSpPr/>
      </xdr:nvSpPr>
      <xdr:spPr>
        <a:xfrm>
          <a:off x="39047664" y="40058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193</xdr:col>
      <xdr:colOff>109464</xdr:colOff>
      <xdr:row>191</xdr:row>
      <xdr:rowOff>205952</xdr:rowOff>
    </xdr:from>
    <xdr:to>
      <xdr:col>201</xdr:col>
      <xdr:colOff>25399</xdr:colOff>
      <xdr:row>199</xdr:row>
      <xdr:rowOff>101599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DE8169F-BB62-8F4F-8B8B-B6E90E01CB49}"/>
            </a:ext>
          </a:extLst>
        </xdr:cNvPr>
        <xdr:cNvSpPr/>
      </xdr:nvSpPr>
      <xdr:spPr>
        <a:xfrm>
          <a:off x="44229264" y="438685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171</xdr:col>
      <xdr:colOff>7864</xdr:colOff>
      <xdr:row>191</xdr:row>
      <xdr:rowOff>104352</xdr:rowOff>
    </xdr:from>
    <xdr:to>
      <xdr:col>178</xdr:col>
      <xdr:colOff>152399</xdr:colOff>
      <xdr:row>199</xdr:row>
      <xdr:rowOff>-1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3F7EFFD8-59A4-6845-9B83-3FDA930673E6}"/>
            </a:ext>
          </a:extLst>
        </xdr:cNvPr>
        <xdr:cNvSpPr/>
      </xdr:nvSpPr>
      <xdr:spPr>
        <a:xfrm>
          <a:off x="39098464" y="43766952"/>
          <a:ext cx="1744735" cy="172444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11670</xdr:col>
      <xdr:colOff>25400</xdr:colOff>
      <xdr:row>13871</xdr:row>
      <xdr:rowOff>76200</xdr:rowOff>
    </xdr:from>
    <xdr:to>
      <xdr:col>11670</xdr:col>
      <xdr:colOff>48079</xdr:colOff>
      <xdr:row>13878</xdr:row>
      <xdr:rowOff>43779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89A61A9A-A34F-3642-83DA-EEEBB0AF52C8}"/>
            </a:ext>
          </a:extLst>
        </xdr:cNvPr>
        <xdr:cNvCxnSpPr/>
      </xdr:nvCxnSpPr>
      <xdr:spPr>
        <a:xfrm flipH="1" flipV="1">
          <a:off x="2731338200" y="3268141800"/>
          <a:ext cx="22679" cy="1567779"/>
        </a:xfrm>
        <a:prstGeom prst="straightConnector1">
          <a:avLst/>
        </a:prstGeom>
        <a:ln w="57150">
          <a:headEnd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11682</xdr:col>
      <xdr:colOff>203200</xdr:colOff>
      <xdr:row>14274</xdr:row>
      <xdr:rowOff>0</xdr:rowOff>
    </xdr:from>
    <xdr:to>
      <xdr:col>11689</xdr:col>
      <xdr:colOff>104422</xdr:colOff>
      <xdr:row>14274</xdr:row>
      <xdr:rowOff>9408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A926EA5-43E3-5146-B796-CB24E3346148}"/>
            </a:ext>
          </a:extLst>
        </xdr:cNvPr>
        <xdr:cNvCxnSpPr/>
      </xdr:nvCxnSpPr>
      <xdr:spPr>
        <a:xfrm flipV="1">
          <a:off x="2734259200" y="3360191400"/>
          <a:ext cx="1501422" cy="9408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95250</xdr:colOff>
      <xdr:row>35</xdr:row>
      <xdr:rowOff>0</xdr:rowOff>
    </xdr:from>
    <xdr:to>
      <xdr:col>104</xdr:col>
      <xdr:colOff>21682</xdr:colOff>
      <xdr:row>41</xdr:row>
      <xdr:rowOff>47257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41F97509-C76C-4344-A2E2-F8DCB64FEB3F}"/>
            </a:ext>
          </a:extLst>
        </xdr:cNvPr>
        <xdr:cNvGrpSpPr/>
      </xdr:nvGrpSpPr>
      <xdr:grpSpPr>
        <a:xfrm rot="3426135">
          <a:off x="21886308" y="7792472"/>
          <a:ext cx="1391963" cy="1495255"/>
          <a:chOff x="21448891" y="25973857"/>
          <a:chExt cx="1382889" cy="1449245"/>
        </a:xfrm>
      </xdr:grpSpPr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31EBBCCB-BEBB-6316-EEF1-91E1025CAA13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2C023079-944B-8346-3FF0-5C7F430DF1A4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191</xdr:col>
      <xdr:colOff>32167</xdr:colOff>
      <xdr:row>93</xdr:row>
      <xdr:rowOff>214199</xdr:rowOff>
    </xdr:from>
    <xdr:to>
      <xdr:col>216</xdr:col>
      <xdr:colOff>196029</xdr:colOff>
      <xdr:row>94</xdr:row>
      <xdr:rowOff>172229</xdr:rowOff>
    </xdr:to>
    <xdr:sp macro="" textlink="">
      <xdr:nvSpPr>
        <xdr:cNvPr id="20" name="Parallelogram 19">
          <a:extLst>
            <a:ext uri="{FF2B5EF4-FFF2-40B4-BE49-F238E27FC236}">
              <a16:creationId xmlns:a16="http://schemas.microsoft.com/office/drawing/2014/main" id="{9194BE0A-032A-2144-AFBE-393F84821585}"/>
            </a:ext>
          </a:extLst>
        </xdr:cNvPr>
        <xdr:cNvSpPr/>
      </xdr:nvSpPr>
      <xdr:spPr>
        <a:xfrm rot="1172970" flipV="1">
          <a:off x="44257637" y="21748066"/>
          <a:ext cx="5952536" cy="189577"/>
        </a:xfrm>
        <a:prstGeom prst="parallelogram">
          <a:avLst>
            <a:gd name="adj" fmla="val 37154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203200</xdr:colOff>
      <xdr:row>95</xdr:row>
      <xdr:rowOff>0</xdr:rowOff>
    </xdr:from>
    <xdr:to>
      <xdr:col>100</xdr:col>
      <xdr:colOff>43051</xdr:colOff>
      <xdr:row>115</xdr:row>
      <xdr:rowOff>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907FA2BF-3B47-07D9-1C2F-46EB96C1FD2F}"/>
            </a:ext>
          </a:extLst>
        </xdr:cNvPr>
        <xdr:cNvCxnSpPr/>
      </xdr:nvCxnSpPr>
      <xdr:spPr>
        <a:xfrm>
          <a:off x="18172752" y="21608955"/>
          <a:ext cx="4616568" cy="454925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103</xdr:col>
      <xdr:colOff>31750</xdr:colOff>
      <xdr:row>152</xdr:row>
      <xdr:rowOff>63501</xdr:rowOff>
    </xdr:from>
    <xdr:to>
      <xdr:col>109</xdr:col>
      <xdr:colOff>180432</xdr:colOff>
      <xdr:row>158</xdr:row>
      <xdr:rowOff>110758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99446E3A-97F6-0849-ABC0-9C97F303844C}"/>
            </a:ext>
          </a:extLst>
        </xdr:cNvPr>
        <xdr:cNvGrpSpPr/>
      </xdr:nvGrpSpPr>
      <xdr:grpSpPr>
        <a:xfrm rot="3426135">
          <a:off x="23166580" y="34078671"/>
          <a:ext cx="1391963" cy="1493388"/>
          <a:chOff x="21448891" y="25973857"/>
          <a:chExt cx="1382889" cy="1449245"/>
        </a:xfrm>
      </xdr:grpSpPr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785A7311-2C9B-908D-D309-A8A7ABFEA13A}"/>
              </a:ext>
            </a:extLst>
          </xdr:cNvPr>
          <xdr:cNvCxnSpPr/>
        </xdr:nvCxnSpPr>
        <xdr:spPr>
          <a:xfrm flipH="1" flipV="1">
            <a:off x="22126222" y="25973857"/>
            <a:ext cx="22679" cy="1449245"/>
          </a:xfrm>
          <a:prstGeom prst="straightConnector1">
            <a:avLst/>
          </a:prstGeom>
          <a:ln w="57150">
            <a:headEnd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D45D0000-62AB-30F5-C5FC-F59DB09B71A3}"/>
              </a:ext>
            </a:extLst>
          </xdr:cNvPr>
          <xdr:cNvCxnSpPr/>
        </xdr:nvCxnSpPr>
        <xdr:spPr>
          <a:xfrm flipV="1">
            <a:off x="21448891" y="26858148"/>
            <a:ext cx="1382889" cy="9408"/>
          </a:xfrm>
          <a:prstGeom prst="line">
            <a:avLst/>
          </a:prstGeom>
          <a:ln w="571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135</xdr:col>
      <xdr:colOff>203200</xdr:colOff>
      <xdr:row>143</xdr:row>
      <xdr:rowOff>25400</xdr:rowOff>
    </xdr:from>
    <xdr:to>
      <xdr:col>179</xdr:col>
      <xdr:colOff>0</xdr:colOff>
      <xdr:row>146</xdr:row>
      <xdr:rowOff>203200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F604B335-A3D0-A299-3983-097E77653FD9}"/>
            </a:ext>
          </a:extLst>
        </xdr:cNvPr>
        <xdr:cNvSpPr/>
      </xdr:nvSpPr>
      <xdr:spPr>
        <a:xfrm>
          <a:off x="29475151" y="31031985"/>
          <a:ext cx="9337288" cy="828288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175</xdr:col>
      <xdr:colOff>76200</xdr:colOff>
      <xdr:row>154</xdr:row>
      <xdr:rowOff>70652</xdr:rowOff>
    </xdr:from>
    <xdr:to>
      <xdr:col>200</xdr:col>
      <xdr:colOff>16934</xdr:colOff>
      <xdr:row>158</xdr:row>
      <xdr:rowOff>29486</xdr:rowOff>
    </xdr:to>
    <xdr:sp macro="" textlink="">
      <xdr:nvSpPr>
        <xdr:cNvPr id="48" name="Rounded Rectangle 47">
          <a:extLst>
            <a:ext uri="{FF2B5EF4-FFF2-40B4-BE49-F238E27FC236}">
              <a16:creationId xmlns:a16="http://schemas.microsoft.com/office/drawing/2014/main" id="{68D7CAB8-5B37-154D-A8DA-1F9C70008D51}"/>
            </a:ext>
          </a:extLst>
        </xdr:cNvPr>
        <xdr:cNvSpPr/>
      </xdr:nvSpPr>
      <xdr:spPr>
        <a:xfrm>
          <a:off x="40081200" y="35275052"/>
          <a:ext cx="5655734" cy="8732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0</xdr:colOff>
      <xdr:row>164</xdr:row>
      <xdr:rowOff>134885</xdr:rowOff>
    </xdr:from>
    <xdr:to>
      <xdr:col>167</xdr:col>
      <xdr:colOff>152400</xdr:colOff>
      <xdr:row>168</xdr:row>
      <xdr:rowOff>93719</xdr:rowOff>
    </xdr:to>
    <xdr:sp macro="" textlink="">
      <xdr:nvSpPr>
        <xdr:cNvPr id="49" name="Rounded Rectangle 48">
          <a:extLst>
            <a:ext uri="{FF2B5EF4-FFF2-40B4-BE49-F238E27FC236}">
              <a16:creationId xmlns:a16="http://schemas.microsoft.com/office/drawing/2014/main" id="{21F0BB15-091C-8446-9903-874051276A9B}"/>
            </a:ext>
          </a:extLst>
        </xdr:cNvPr>
        <xdr:cNvSpPr/>
      </xdr:nvSpPr>
      <xdr:spPr>
        <a:xfrm>
          <a:off x="32004000" y="37625285"/>
          <a:ext cx="6324600" cy="8732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16933</xdr:colOff>
      <xdr:row>176</xdr:row>
      <xdr:rowOff>50798</xdr:rowOff>
    </xdr:from>
    <xdr:to>
      <xdr:col>195</xdr:col>
      <xdr:colOff>203200</xdr:colOff>
      <xdr:row>179</xdr:row>
      <xdr:rowOff>228598</xdr:rowOff>
    </xdr:to>
    <xdr:sp macro="" textlink="">
      <xdr:nvSpPr>
        <xdr:cNvPr id="50" name="Rounded Rectangle 49">
          <a:extLst>
            <a:ext uri="{FF2B5EF4-FFF2-40B4-BE49-F238E27FC236}">
              <a16:creationId xmlns:a16="http://schemas.microsoft.com/office/drawing/2014/main" id="{5536FD59-AEC3-4947-A5D6-C18CB2C4C8AE}"/>
            </a:ext>
          </a:extLst>
        </xdr:cNvPr>
        <xdr:cNvSpPr/>
      </xdr:nvSpPr>
      <xdr:spPr>
        <a:xfrm>
          <a:off x="32020933" y="40284398"/>
          <a:ext cx="12759267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203200</xdr:colOff>
      <xdr:row>194</xdr:row>
      <xdr:rowOff>71823</xdr:rowOff>
    </xdr:from>
    <xdr:to>
      <xdr:col>196</xdr:col>
      <xdr:colOff>0</xdr:colOff>
      <xdr:row>198</xdr:row>
      <xdr:rowOff>11388</xdr:rowOff>
    </xdr:to>
    <xdr:sp macro="" textlink="">
      <xdr:nvSpPr>
        <xdr:cNvPr id="51" name="Rounded Rectangle 50">
          <a:extLst>
            <a:ext uri="{FF2B5EF4-FFF2-40B4-BE49-F238E27FC236}">
              <a16:creationId xmlns:a16="http://schemas.microsoft.com/office/drawing/2014/main" id="{3C16D7E0-4706-1240-8F76-20BAC3E6FB85}"/>
            </a:ext>
          </a:extLst>
        </xdr:cNvPr>
        <xdr:cNvSpPr/>
      </xdr:nvSpPr>
      <xdr:spPr>
        <a:xfrm>
          <a:off x="35407600" y="44420223"/>
          <a:ext cx="93980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215901</xdr:colOff>
      <xdr:row>147</xdr:row>
      <xdr:rowOff>25400</xdr:rowOff>
    </xdr:from>
    <xdr:to>
      <xdr:col>139</xdr:col>
      <xdr:colOff>165101</xdr:colOff>
      <xdr:row>180</xdr:row>
      <xdr:rowOff>50800</xdr:rowOff>
    </xdr:to>
    <xdr:sp macro="" textlink="">
      <xdr:nvSpPr>
        <xdr:cNvPr id="52" name="Rounded Rectangle 51">
          <a:extLst>
            <a:ext uri="{FF2B5EF4-FFF2-40B4-BE49-F238E27FC236}">
              <a16:creationId xmlns:a16="http://schemas.microsoft.com/office/drawing/2014/main" id="{EE51633F-7DE1-BB42-8C24-20FE37DF6194}"/>
            </a:ext>
          </a:extLst>
        </xdr:cNvPr>
        <xdr:cNvSpPr/>
      </xdr:nvSpPr>
      <xdr:spPr>
        <a:xfrm rot="5400000">
          <a:off x="27724101" y="36982400"/>
          <a:ext cx="7569200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196</xdr:col>
      <xdr:colOff>48608</xdr:colOff>
      <xdr:row>158</xdr:row>
      <xdr:rowOff>25403</xdr:rowOff>
    </xdr:from>
    <xdr:to>
      <xdr:col>199</xdr:col>
      <xdr:colOff>216773</xdr:colOff>
      <xdr:row>198</xdr:row>
      <xdr:rowOff>76201</xdr:rowOff>
    </xdr:to>
    <xdr:sp macro="" textlink="">
      <xdr:nvSpPr>
        <xdr:cNvPr id="53" name="Rounded Rectangle 52">
          <a:extLst>
            <a:ext uri="{FF2B5EF4-FFF2-40B4-BE49-F238E27FC236}">
              <a16:creationId xmlns:a16="http://schemas.microsoft.com/office/drawing/2014/main" id="{57293FBF-C49D-024D-B4F4-2E4BF1196532}"/>
            </a:ext>
          </a:extLst>
        </xdr:cNvPr>
        <xdr:cNvSpPr/>
      </xdr:nvSpPr>
      <xdr:spPr>
        <a:xfrm rot="5400000">
          <a:off x="40683792" y="40314619"/>
          <a:ext cx="9194798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172</xdr:col>
      <xdr:colOff>139700</xdr:colOff>
      <xdr:row>180</xdr:row>
      <xdr:rowOff>25400</xdr:rowOff>
    </xdr:from>
    <xdr:to>
      <xdr:col>176</xdr:col>
      <xdr:colOff>88900</xdr:colOff>
      <xdr:row>194</xdr:row>
      <xdr:rowOff>50800</xdr:rowOff>
    </xdr:to>
    <xdr:sp macro="" textlink="">
      <xdr:nvSpPr>
        <xdr:cNvPr id="55" name="Rounded Rectangle 54">
          <a:extLst>
            <a:ext uri="{FF2B5EF4-FFF2-40B4-BE49-F238E27FC236}">
              <a16:creationId xmlns:a16="http://schemas.microsoft.com/office/drawing/2014/main" id="{E799DC05-266F-2B4F-9CA0-7D45D16A7266}"/>
            </a:ext>
          </a:extLst>
        </xdr:cNvPr>
        <xdr:cNvSpPr/>
      </xdr:nvSpPr>
      <xdr:spPr>
        <a:xfrm rot="5400000">
          <a:off x="38277800" y="42354500"/>
          <a:ext cx="3225800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163</xdr:col>
      <xdr:colOff>139700</xdr:colOff>
      <xdr:row>147</xdr:row>
      <xdr:rowOff>18394</xdr:rowOff>
    </xdr:from>
    <xdr:to>
      <xdr:col>167</xdr:col>
      <xdr:colOff>88900</xdr:colOff>
      <xdr:row>164</xdr:row>
      <xdr:rowOff>76200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38818683-240A-E34B-9470-E8D13761121A}"/>
            </a:ext>
          </a:extLst>
        </xdr:cNvPr>
        <xdr:cNvSpPr/>
      </xdr:nvSpPr>
      <xdr:spPr>
        <a:xfrm rot="5400000">
          <a:off x="35861297" y="35162797"/>
          <a:ext cx="3944006" cy="86360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151</xdr:col>
      <xdr:colOff>61952</xdr:colOff>
      <xdr:row>27</xdr:row>
      <xdr:rowOff>154878</xdr:rowOff>
    </xdr:from>
    <xdr:to>
      <xdr:col>162</xdr:col>
      <xdr:colOff>185854</xdr:colOff>
      <xdr:row>31</xdr:row>
      <xdr:rowOff>61952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A7EB835-8F27-8B93-2AB1-1878E6A0F1C4}"/>
            </a:ext>
          </a:extLst>
        </xdr:cNvPr>
        <xdr:cNvSpPr txBox="1"/>
      </xdr:nvSpPr>
      <xdr:spPr>
        <a:xfrm>
          <a:off x="32803172" y="6009268"/>
          <a:ext cx="2509023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10</a:t>
          </a:r>
        </a:p>
      </xdr:txBody>
    </xdr:sp>
    <xdr:clientData/>
  </xdr:twoCellAnchor>
  <xdr:twoCellAnchor>
    <xdr:from>
      <xdr:col>187</xdr:col>
      <xdr:colOff>90450</xdr:colOff>
      <xdr:row>37</xdr:row>
      <xdr:rowOff>121424</xdr:rowOff>
    </xdr:from>
    <xdr:to>
      <xdr:col>198</xdr:col>
      <xdr:colOff>214351</xdr:colOff>
      <xdr:row>41</xdr:row>
      <xdr:rowOff>28498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314E852-C21C-A947-AA1E-760E5D50F276}"/>
            </a:ext>
          </a:extLst>
        </xdr:cNvPr>
        <xdr:cNvSpPr txBox="1"/>
      </xdr:nvSpPr>
      <xdr:spPr>
        <a:xfrm>
          <a:off x="40637523" y="8144107"/>
          <a:ext cx="2509023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11 x 19</a:t>
          </a:r>
        </a:p>
      </xdr:txBody>
    </xdr:sp>
    <xdr:clientData/>
  </xdr:twoCellAnchor>
  <xdr:twoCellAnchor>
    <xdr:from>
      <xdr:col>167</xdr:col>
      <xdr:colOff>214358</xdr:colOff>
      <xdr:row>62</xdr:row>
      <xdr:rowOff>183380</xdr:rowOff>
    </xdr:from>
    <xdr:to>
      <xdr:col>175</xdr:col>
      <xdr:colOff>92932</xdr:colOff>
      <xdr:row>66</xdr:row>
      <xdr:rowOff>90454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D0B4914C-08F7-714A-B9B0-292249CBCCAE}"/>
            </a:ext>
          </a:extLst>
        </xdr:cNvPr>
        <xdr:cNvSpPr txBox="1"/>
      </xdr:nvSpPr>
      <xdr:spPr>
        <a:xfrm>
          <a:off x="36424846" y="13626795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14</a:t>
          </a:r>
        </a:p>
      </xdr:txBody>
    </xdr:sp>
    <xdr:clientData/>
  </xdr:twoCellAnchor>
  <xdr:twoCellAnchor>
    <xdr:from>
      <xdr:col>145</xdr:col>
      <xdr:colOff>87973</xdr:colOff>
      <xdr:row>41</xdr:row>
      <xdr:rowOff>149921</xdr:rowOff>
    </xdr:from>
    <xdr:to>
      <xdr:col>152</xdr:col>
      <xdr:colOff>183376</xdr:colOff>
      <xdr:row>45</xdr:row>
      <xdr:rowOff>56995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788C772-283E-3345-9500-0BCB75CD8C6C}"/>
            </a:ext>
          </a:extLst>
        </xdr:cNvPr>
        <xdr:cNvSpPr txBox="1"/>
      </xdr:nvSpPr>
      <xdr:spPr>
        <a:xfrm>
          <a:off x="31528217" y="9039921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10 x 5</a:t>
          </a:r>
        </a:p>
      </xdr:txBody>
    </xdr:sp>
    <xdr:clientData/>
  </xdr:twoCellAnchor>
  <xdr:twoCellAnchor>
    <xdr:from>
      <xdr:col>172</xdr:col>
      <xdr:colOff>116470</xdr:colOff>
      <xdr:row>25</xdr:row>
      <xdr:rowOff>23540</xdr:rowOff>
    </xdr:from>
    <xdr:to>
      <xdr:col>179</xdr:col>
      <xdr:colOff>211873</xdr:colOff>
      <xdr:row>28</xdr:row>
      <xdr:rowOff>147443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6BF3495-88B5-614C-8979-77528042E900}"/>
            </a:ext>
          </a:extLst>
        </xdr:cNvPr>
        <xdr:cNvSpPr txBox="1"/>
      </xdr:nvSpPr>
      <xdr:spPr>
        <a:xfrm>
          <a:off x="37411104" y="5444272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5 x 5</a:t>
          </a:r>
        </a:p>
      </xdr:txBody>
    </xdr:sp>
    <xdr:clientData/>
  </xdr:twoCellAnchor>
  <xdr:twoCellAnchor>
    <xdr:from>
      <xdr:col>323</xdr:col>
      <xdr:colOff>214358</xdr:colOff>
      <xdr:row>186</xdr:row>
      <xdr:rowOff>183380</xdr:rowOff>
    </xdr:from>
    <xdr:to>
      <xdr:col>331</xdr:col>
      <xdr:colOff>92932</xdr:colOff>
      <xdr:row>190</xdr:row>
      <xdr:rowOff>90454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1A71A9A1-80CE-A340-B20D-A0B6086CA5C7}"/>
            </a:ext>
          </a:extLst>
        </xdr:cNvPr>
        <xdr:cNvSpPr txBox="1"/>
      </xdr:nvSpPr>
      <xdr:spPr>
        <a:xfrm>
          <a:off x="36424846" y="13626795"/>
          <a:ext cx="1613208" cy="7743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270</xdr:col>
      <xdr:colOff>0</xdr:colOff>
      <xdr:row>160</xdr:row>
      <xdr:rowOff>0</xdr:rowOff>
    </xdr:from>
    <xdr:to>
      <xdr:col>281</xdr:col>
      <xdr:colOff>123902</xdr:colOff>
      <xdr:row>163</xdr:row>
      <xdr:rowOff>135023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58786D3-B231-1140-8DFA-9266784D5623}"/>
            </a:ext>
          </a:extLst>
        </xdr:cNvPr>
        <xdr:cNvSpPr txBox="1"/>
      </xdr:nvSpPr>
      <xdr:spPr>
        <a:xfrm>
          <a:off x="61546154" y="36471795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24</a:t>
          </a:r>
        </a:p>
      </xdr:txBody>
    </xdr:sp>
    <xdr:clientData/>
  </xdr:twoCellAnchor>
  <xdr:twoCellAnchor>
    <xdr:from>
      <xdr:col>240</xdr:col>
      <xdr:colOff>0</xdr:colOff>
      <xdr:row>162</xdr:row>
      <xdr:rowOff>0</xdr:rowOff>
    </xdr:from>
    <xdr:to>
      <xdr:col>251</xdr:col>
      <xdr:colOff>123902</xdr:colOff>
      <xdr:row>165</xdr:row>
      <xdr:rowOff>135023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A08330D2-8AEE-C647-8BC8-452AF700B2B7}"/>
            </a:ext>
          </a:extLst>
        </xdr:cNvPr>
        <xdr:cNvSpPr txBox="1"/>
      </xdr:nvSpPr>
      <xdr:spPr>
        <a:xfrm>
          <a:off x="54707692" y="36927692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10</a:t>
          </a:r>
        </a:p>
      </xdr:txBody>
    </xdr:sp>
    <xdr:clientData/>
  </xdr:twoCellAnchor>
  <xdr:twoCellAnchor>
    <xdr:from>
      <xdr:col>245</xdr:col>
      <xdr:colOff>152399</xdr:colOff>
      <xdr:row>182</xdr:row>
      <xdr:rowOff>22142</xdr:rowOff>
    </xdr:from>
    <xdr:to>
      <xdr:col>257</xdr:col>
      <xdr:colOff>48352</xdr:colOff>
      <xdr:row>185</xdr:row>
      <xdr:rowOff>157165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707A8CF2-F21B-ED47-824F-64B5E64DA2A0}"/>
            </a:ext>
          </a:extLst>
        </xdr:cNvPr>
        <xdr:cNvSpPr txBox="1"/>
      </xdr:nvSpPr>
      <xdr:spPr>
        <a:xfrm>
          <a:off x="55999835" y="41508809"/>
          <a:ext cx="2631338" cy="8188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8</a:t>
          </a:r>
        </a:p>
      </xdr:txBody>
    </xdr:sp>
    <xdr:clientData/>
  </xdr:twoCellAnchor>
  <xdr:twoCellAnchor>
    <xdr:from>
      <xdr:col>307</xdr:col>
      <xdr:colOff>61952</xdr:colOff>
      <xdr:row>153</xdr:row>
      <xdr:rowOff>154878</xdr:rowOff>
    </xdr:from>
    <xdr:to>
      <xdr:col>318</xdr:col>
      <xdr:colOff>185854</xdr:colOff>
      <xdr:row>157</xdr:row>
      <xdr:rowOff>61952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A0E5CAE5-413E-E94B-B0E3-6250FF7D8592}"/>
            </a:ext>
          </a:extLst>
        </xdr:cNvPr>
        <xdr:cNvSpPr txBox="1"/>
      </xdr:nvSpPr>
      <xdr:spPr>
        <a:xfrm>
          <a:off x="68463706" y="33798738"/>
          <a:ext cx="2574780" cy="7983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12</a:t>
          </a:r>
        </a:p>
      </xdr:txBody>
    </xdr:sp>
    <xdr:clientData/>
  </xdr:twoCellAnchor>
  <xdr:twoCellAnchor>
    <xdr:from>
      <xdr:col>341</xdr:col>
      <xdr:colOff>90450</xdr:colOff>
      <xdr:row>163</xdr:row>
      <xdr:rowOff>121424</xdr:rowOff>
    </xdr:from>
    <xdr:to>
      <xdr:col>352</xdr:col>
      <xdr:colOff>214351</xdr:colOff>
      <xdr:row>167</xdr:row>
      <xdr:rowOff>28498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DCEFADBC-C619-EF4E-8CA5-8A3C8900BCE6}"/>
            </a:ext>
          </a:extLst>
        </xdr:cNvPr>
        <xdr:cNvSpPr txBox="1"/>
      </xdr:nvSpPr>
      <xdr:spPr>
        <a:xfrm>
          <a:off x="76067643" y="35993354"/>
          <a:ext cx="2574778" cy="7983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45</xdr:col>
      <xdr:colOff>214358</xdr:colOff>
      <xdr:row>287</xdr:row>
      <xdr:rowOff>183380</xdr:rowOff>
    </xdr:from>
    <xdr:to>
      <xdr:col>53</xdr:col>
      <xdr:colOff>92932</xdr:colOff>
      <xdr:row>291</xdr:row>
      <xdr:rowOff>90454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2A32FE2D-BB64-8543-BB2D-FDCC1B081F8E}"/>
            </a:ext>
          </a:extLst>
        </xdr:cNvPr>
        <xdr:cNvSpPr txBox="1"/>
      </xdr:nvSpPr>
      <xdr:spPr>
        <a:xfrm>
          <a:off x="79609842" y="45903380"/>
          <a:ext cx="1845025" cy="89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29</xdr:col>
      <xdr:colOff>61952</xdr:colOff>
      <xdr:row>254</xdr:row>
      <xdr:rowOff>154878</xdr:rowOff>
    </xdr:from>
    <xdr:to>
      <xdr:col>40</xdr:col>
      <xdr:colOff>185854</xdr:colOff>
      <xdr:row>258</xdr:row>
      <xdr:rowOff>61952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11149A73-874C-524B-8897-9F761C5C9A29}"/>
            </a:ext>
          </a:extLst>
        </xdr:cNvPr>
        <xdr:cNvSpPr txBox="1"/>
      </xdr:nvSpPr>
      <xdr:spPr>
        <a:xfrm>
          <a:off x="75524533" y="37763265"/>
          <a:ext cx="2827773" cy="89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13 x 12</a:t>
          </a:r>
        </a:p>
      </xdr:txBody>
    </xdr:sp>
    <xdr:clientData/>
  </xdr:twoCellAnchor>
  <xdr:twoCellAnchor>
    <xdr:from>
      <xdr:col>63</xdr:col>
      <xdr:colOff>90450</xdr:colOff>
      <xdr:row>264</xdr:row>
      <xdr:rowOff>121424</xdr:rowOff>
    </xdr:from>
    <xdr:to>
      <xdr:col>74</xdr:col>
      <xdr:colOff>214351</xdr:colOff>
      <xdr:row>268</xdr:row>
      <xdr:rowOff>28498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C6FF4891-029F-9548-8FC9-98601B08F596}"/>
            </a:ext>
          </a:extLst>
        </xdr:cNvPr>
        <xdr:cNvSpPr txBox="1"/>
      </xdr:nvSpPr>
      <xdr:spPr>
        <a:xfrm>
          <a:off x="83910450" y="40187876"/>
          <a:ext cx="2827772" cy="8902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16</xdr:col>
      <xdr:colOff>107062</xdr:colOff>
      <xdr:row>267</xdr:row>
      <xdr:rowOff>204838</xdr:rowOff>
    </xdr:from>
    <xdr:to>
      <xdr:col>88</xdr:col>
      <xdr:colOff>120952</xdr:colOff>
      <xdr:row>271</xdr:row>
      <xdr:rowOff>-1</xdr:rowOff>
    </xdr:to>
    <xdr:sp macro="" textlink="">
      <xdr:nvSpPr>
        <xdr:cNvPr id="82" name="Rounded Rectangle 81">
          <a:extLst>
            <a:ext uri="{FF2B5EF4-FFF2-40B4-BE49-F238E27FC236}">
              <a16:creationId xmlns:a16="http://schemas.microsoft.com/office/drawing/2014/main" id="{83AEF2A8-3CB7-7C43-B989-458E3D1141C5}"/>
            </a:ext>
          </a:extLst>
        </xdr:cNvPr>
        <xdr:cNvSpPr/>
      </xdr:nvSpPr>
      <xdr:spPr>
        <a:xfrm>
          <a:off x="30345157" y="58261981"/>
          <a:ext cx="17431033" cy="762780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218495</xdr:colOff>
      <xdr:row>242</xdr:row>
      <xdr:rowOff>29496</xdr:rowOff>
    </xdr:from>
    <xdr:to>
      <xdr:col>62</xdr:col>
      <xdr:colOff>127000</xdr:colOff>
      <xdr:row>245</xdr:row>
      <xdr:rowOff>122904</xdr:rowOff>
    </xdr:to>
    <xdr:sp macro="" textlink="">
      <xdr:nvSpPr>
        <xdr:cNvPr id="83" name="Rounded Rectangle 82">
          <a:extLst>
            <a:ext uri="{FF2B5EF4-FFF2-40B4-BE49-F238E27FC236}">
              <a16:creationId xmlns:a16="http://schemas.microsoft.com/office/drawing/2014/main" id="{41C62774-5BC7-E440-A1B0-E35EB7F51D2E}"/>
            </a:ext>
          </a:extLst>
        </xdr:cNvPr>
        <xdr:cNvSpPr/>
      </xdr:nvSpPr>
      <xdr:spPr>
        <a:xfrm>
          <a:off x="28564895" y="49178496"/>
          <a:ext cx="10652705" cy="779208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228327</xdr:colOff>
      <xdr:row>295</xdr:row>
      <xdr:rowOff>66367</xdr:rowOff>
    </xdr:from>
    <xdr:to>
      <xdr:col>88</xdr:col>
      <xdr:colOff>27038</xdr:colOff>
      <xdr:row>298</xdr:row>
      <xdr:rowOff>142568</xdr:rowOff>
    </xdr:to>
    <xdr:sp macro="" textlink="">
      <xdr:nvSpPr>
        <xdr:cNvPr id="84" name="Rounded Rectangle 83">
          <a:extLst>
            <a:ext uri="{FF2B5EF4-FFF2-40B4-BE49-F238E27FC236}">
              <a16:creationId xmlns:a16="http://schemas.microsoft.com/office/drawing/2014/main" id="{7092F07C-A302-CF44-917A-39B87979FEEF}"/>
            </a:ext>
          </a:extLst>
        </xdr:cNvPr>
        <xdr:cNvSpPr/>
      </xdr:nvSpPr>
      <xdr:spPr>
        <a:xfrm>
          <a:off x="32918127" y="61331167"/>
          <a:ext cx="12143111" cy="762001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81</xdr:col>
      <xdr:colOff>18473</xdr:colOff>
      <xdr:row>252</xdr:row>
      <xdr:rowOff>33485</xdr:rowOff>
    </xdr:from>
    <xdr:to>
      <xdr:col>84</xdr:col>
      <xdr:colOff>94672</xdr:colOff>
      <xdr:row>299</xdr:row>
      <xdr:rowOff>137391</xdr:rowOff>
    </xdr:to>
    <xdr:sp macro="" textlink="">
      <xdr:nvSpPr>
        <xdr:cNvPr id="86" name="Rounded Rectangle 85">
          <a:extLst>
            <a:ext uri="{FF2B5EF4-FFF2-40B4-BE49-F238E27FC236}">
              <a16:creationId xmlns:a16="http://schemas.microsoft.com/office/drawing/2014/main" id="{57D95924-1943-3045-80E2-563818B54E8E}"/>
            </a:ext>
          </a:extLst>
        </xdr:cNvPr>
        <xdr:cNvSpPr/>
      </xdr:nvSpPr>
      <xdr:spPr>
        <a:xfrm rot="5400000">
          <a:off x="38797347" y="57081883"/>
          <a:ext cx="10956634" cy="768927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110392</xdr:colOff>
      <xdr:row>239</xdr:row>
      <xdr:rowOff>46895</xdr:rowOff>
    </xdr:from>
    <xdr:to>
      <xdr:col>22</xdr:col>
      <xdr:colOff>186591</xdr:colOff>
      <xdr:row>283</xdr:row>
      <xdr:rowOff>181432</xdr:rowOff>
    </xdr:to>
    <xdr:sp macro="" textlink="">
      <xdr:nvSpPr>
        <xdr:cNvPr id="87" name="Rounded Rectangle 86">
          <a:extLst>
            <a:ext uri="{FF2B5EF4-FFF2-40B4-BE49-F238E27FC236}">
              <a16:creationId xmlns:a16="http://schemas.microsoft.com/office/drawing/2014/main" id="{6FBD2A29-02B9-D74A-9519-224F5B8D67BC}"/>
            </a:ext>
          </a:extLst>
        </xdr:cNvPr>
        <xdr:cNvSpPr/>
      </xdr:nvSpPr>
      <xdr:spPr>
        <a:xfrm rot="5400000">
          <a:off x="26085986" y="56318921"/>
          <a:ext cx="10778346" cy="801913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104630</xdr:colOff>
      <xdr:row>239</xdr:row>
      <xdr:rowOff>198130</xdr:rowOff>
    </xdr:from>
    <xdr:to>
      <xdr:col>42</xdr:col>
      <xdr:colOff>61645</xdr:colOff>
      <xdr:row>299</xdr:row>
      <xdr:rowOff>211666</xdr:rowOff>
    </xdr:to>
    <xdr:sp macro="" textlink="">
      <xdr:nvSpPr>
        <xdr:cNvPr id="88" name="Rounded Rectangle 87">
          <a:extLst>
            <a:ext uri="{FF2B5EF4-FFF2-40B4-BE49-F238E27FC236}">
              <a16:creationId xmlns:a16="http://schemas.microsoft.com/office/drawing/2014/main" id="{F7C67950-862D-3448-959A-13D06B90F950}"/>
            </a:ext>
          </a:extLst>
        </xdr:cNvPr>
        <xdr:cNvSpPr/>
      </xdr:nvSpPr>
      <xdr:spPr>
        <a:xfrm rot="5400000">
          <a:off x="28863036" y="58283534"/>
          <a:ext cx="14527821" cy="924634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127929</xdr:colOff>
      <xdr:row>266</xdr:row>
      <xdr:rowOff>120952</xdr:rowOff>
    </xdr:from>
    <xdr:to>
      <xdr:col>59</xdr:col>
      <xdr:colOff>72245</xdr:colOff>
      <xdr:row>299</xdr:row>
      <xdr:rowOff>201248</xdr:rowOff>
    </xdr:to>
    <xdr:sp macro="" textlink="">
      <xdr:nvSpPr>
        <xdr:cNvPr id="89" name="Rounded Rectangle 88">
          <a:extLst>
            <a:ext uri="{FF2B5EF4-FFF2-40B4-BE49-F238E27FC236}">
              <a16:creationId xmlns:a16="http://schemas.microsoft.com/office/drawing/2014/main" id="{5F42A2CF-2207-7D45-B023-0D0D533CF336}"/>
            </a:ext>
          </a:extLst>
        </xdr:cNvPr>
        <xdr:cNvSpPr/>
      </xdr:nvSpPr>
      <xdr:spPr>
        <a:xfrm rot="5400000">
          <a:off x="36224701" y="61511799"/>
          <a:ext cx="8063153" cy="91193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213737</xdr:colOff>
      <xdr:row>240</xdr:row>
      <xdr:rowOff>153816</xdr:rowOff>
    </xdr:from>
    <xdr:to>
      <xdr:col>25</xdr:col>
      <xdr:colOff>129672</xdr:colOff>
      <xdr:row>248</xdr:row>
      <xdr:rowOff>49463</xdr:rowOff>
    </xdr:to>
    <xdr:sp macro="" textlink="">
      <xdr:nvSpPr>
        <xdr:cNvPr id="92" name="Oval 91">
          <a:extLst>
            <a:ext uri="{FF2B5EF4-FFF2-40B4-BE49-F238E27FC236}">
              <a16:creationId xmlns:a16="http://schemas.microsoft.com/office/drawing/2014/main" id="{0ABF069A-E4AC-7E47-A8E2-A80527DE5D0D}"/>
            </a:ext>
          </a:extLst>
        </xdr:cNvPr>
        <xdr:cNvSpPr/>
      </xdr:nvSpPr>
      <xdr:spPr>
        <a:xfrm>
          <a:off x="29691105" y="49984605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17222</xdr:colOff>
      <xdr:row>265</xdr:row>
      <xdr:rowOff>90984</xdr:rowOff>
    </xdr:from>
    <xdr:to>
      <xdr:col>24</xdr:col>
      <xdr:colOff>167104</xdr:colOff>
      <xdr:row>272</xdr:row>
      <xdr:rowOff>220579</xdr:rowOff>
    </xdr:to>
    <xdr:sp macro="" textlink="">
      <xdr:nvSpPr>
        <xdr:cNvPr id="94" name="Oval 93">
          <a:extLst>
            <a:ext uri="{FF2B5EF4-FFF2-40B4-BE49-F238E27FC236}">
              <a16:creationId xmlns:a16="http://schemas.microsoft.com/office/drawing/2014/main" id="{D93F9CEB-FD17-BF4E-8301-8F0BF90AA793}"/>
            </a:ext>
          </a:extLst>
        </xdr:cNvPr>
        <xdr:cNvSpPr/>
      </xdr:nvSpPr>
      <xdr:spPr>
        <a:xfrm>
          <a:off x="29494590" y="55770458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2515</xdr:colOff>
      <xdr:row>293</xdr:row>
      <xdr:rowOff>9437</xdr:rowOff>
    </xdr:from>
    <xdr:to>
      <xdr:col>86</xdr:col>
      <xdr:colOff>152397</xdr:colOff>
      <xdr:row>300</xdr:row>
      <xdr:rowOff>139031</xdr:rowOff>
    </xdr:to>
    <xdr:sp macro="" textlink="">
      <xdr:nvSpPr>
        <xdr:cNvPr id="95" name="Oval 94">
          <a:extLst>
            <a:ext uri="{FF2B5EF4-FFF2-40B4-BE49-F238E27FC236}">
              <a16:creationId xmlns:a16="http://schemas.microsoft.com/office/drawing/2014/main" id="{FC77C6D6-7A9B-8744-B29F-99E3CF62D1E1}"/>
            </a:ext>
          </a:extLst>
        </xdr:cNvPr>
        <xdr:cNvSpPr/>
      </xdr:nvSpPr>
      <xdr:spPr>
        <a:xfrm>
          <a:off x="43984620" y="62239437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67</xdr:col>
      <xdr:colOff>111947</xdr:colOff>
      <xdr:row>251</xdr:row>
      <xdr:rowOff>118866</xdr:rowOff>
    </xdr:from>
    <xdr:to>
      <xdr:col>75</xdr:col>
      <xdr:colOff>19925</xdr:colOff>
      <xdr:row>259</xdr:row>
      <xdr:rowOff>6556</xdr:rowOff>
    </xdr:to>
    <xdr:sp macro="" textlink="">
      <xdr:nvSpPr>
        <xdr:cNvPr id="96" name="Oval 95">
          <a:extLst>
            <a:ext uri="{FF2B5EF4-FFF2-40B4-BE49-F238E27FC236}">
              <a16:creationId xmlns:a16="http://schemas.microsoft.com/office/drawing/2014/main" id="{115CE1E4-2990-DA4A-91E3-B137F88D66DA}"/>
            </a:ext>
          </a:extLst>
        </xdr:cNvPr>
        <xdr:cNvSpPr/>
      </xdr:nvSpPr>
      <xdr:spPr>
        <a:xfrm>
          <a:off x="42687185" y="54305533"/>
          <a:ext cx="1843216" cy="18229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79</xdr:col>
      <xdr:colOff>39946</xdr:colOff>
      <xdr:row>265</xdr:row>
      <xdr:rowOff>180553</xdr:rowOff>
    </xdr:from>
    <xdr:to>
      <xdr:col>86</xdr:col>
      <xdr:colOff>189828</xdr:colOff>
      <xdr:row>273</xdr:row>
      <xdr:rowOff>76200</xdr:rowOff>
    </xdr:to>
    <xdr:sp macro="" textlink="">
      <xdr:nvSpPr>
        <xdr:cNvPr id="97" name="Oval 96">
          <a:extLst>
            <a:ext uri="{FF2B5EF4-FFF2-40B4-BE49-F238E27FC236}">
              <a16:creationId xmlns:a16="http://schemas.microsoft.com/office/drawing/2014/main" id="{D51AFE0D-8EFC-DF41-8470-3E1CAA8C917F}"/>
            </a:ext>
          </a:extLst>
        </xdr:cNvPr>
        <xdr:cNvSpPr/>
      </xdr:nvSpPr>
      <xdr:spPr>
        <a:xfrm>
          <a:off x="44022051" y="55860027"/>
          <a:ext cx="1787514" cy="1767226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135054</xdr:colOff>
      <xdr:row>292</xdr:row>
      <xdr:rowOff>219959</xdr:rowOff>
    </xdr:from>
    <xdr:to>
      <xdr:col>61</xdr:col>
      <xdr:colOff>50989</xdr:colOff>
      <xdr:row>300</xdr:row>
      <xdr:rowOff>107648</xdr:rowOff>
    </xdr:to>
    <xdr:sp macro="" textlink="">
      <xdr:nvSpPr>
        <xdr:cNvPr id="98" name="Oval 97">
          <a:extLst>
            <a:ext uri="{FF2B5EF4-FFF2-40B4-BE49-F238E27FC236}">
              <a16:creationId xmlns:a16="http://schemas.microsoft.com/office/drawing/2014/main" id="{3157E960-4DE9-8E47-B681-9ACB55F4E337}"/>
            </a:ext>
          </a:extLst>
        </xdr:cNvPr>
        <xdr:cNvSpPr/>
      </xdr:nvSpPr>
      <xdr:spPr>
        <a:xfrm>
          <a:off x="39323625" y="64324721"/>
          <a:ext cx="1851174" cy="1822927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186999</xdr:colOff>
      <xdr:row>265</xdr:row>
      <xdr:rowOff>169858</xdr:rowOff>
    </xdr:from>
    <xdr:to>
      <xdr:col>44</xdr:col>
      <xdr:colOff>102934</xdr:colOff>
      <xdr:row>273</xdr:row>
      <xdr:rowOff>70853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02E694EC-9F51-514A-95FE-BED931C35DE6}"/>
            </a:ext>
          </a:extLst>
        </xdr:cNvPr>
        <xdr:cNvSpPr/>
      </xdr:nvSpPr>
      <xdr:spPr>
        <a:xfrm>
          <a:off x="35263189" y="57743191"/>
          <a:ext cx="1851174" cy="1836233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130151</xdr:colOff>
      <xdr:row>265</xdr:row>
      <xdr:rowOff>47697</xdr:rowOff>
    </xdr:from>
    <xdr:to>
      <xdr:col>64</xdr:col>
      <xdr:colOff>32782</xdr:colOff>
      <xdr:row>272</xdr:row>
      <xdr:rowOff>164592</xdr:rowOff>
    </xdr:to>
    <xdr:sp macro="" textlink="">
      <xdr:nvSpPr>
        <xdr:cNvPr id="100" name="Oval 99">
          <a:extLst>
            <a:ext uri="{FF2B5EF4-FFF2-40B4-BE49-F238E27FC236}">
              <a16:creationId xmlns:a16="http://schemas.microsoft.com/office/drawing/2014/main" id="{DBA1B24F-FB89-B745-AA3E-14D0D54CAC98}"/>
            </a:ext>
          </a:extLst>
        </xdr:cNvPr>
        <xdr:cNvSpPr/>
      </xdr:nvSpPr>
      <xdr:spPr>
        <a:xfrm>
          <a:off x="40044437" y="57621030"/>
          <a:ext cx="1837869" cy="1810229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119409</xdr:colOff>
      <xdr:row>239</xdr:row>
      <xdr:rowOff>229126</xdr:rowOff>
    </xdr:from>
    <xdr:to>
      <xdr:col>64</xdr:col>
      <xdr:colOff>35344</xdr:colOff>
      <xdr:row>247</xdr:row>
      <xdr:rowOff>104116</xdr:rowOff>
    </xdr:to>
    <xdr:sp macro="" textlink="">
      <xdr:nvSpPr>
        <xdr:cNvPr id="101" name="Oval 100">
          <a:extLst>
            <a:ext uri="{FF2B5EF4-FFF2-40B4-BE49-F238E27FC236}">
              <a16:creationId xmlns:a16="http://schemas.microsoft.com/office/drawing/2014/main" id="{27C7C03D-39B9-364C-A198-5AD711B5A0C8}"/>
            </a:ext>
          </a:extLst>
        </xdr:cNvPr>
        <xdr:cNvSpPr/>
      </xdr:nvSpPr>
      <xdr:spPr>
        <a:xfrm>
          <a:off x="40033695" y="51512936"/>
          <a:ext cx="1851173" cy="18102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110799</xdr:colOff>
      <xdr:row>293</xdr:row>
      <xdr:rowOff>17458</xdr:rowOff>
    </xdr:from>
    <xdr:to>
      <xdr:col>44</xdr:col>
      <xdr:colOff>26734</xdr:colOff>
      <xdr:row>300</xdr:row>
      <xdr:rowOff>147053</xdr:rowOff>
    </xdr:to>
    <xdr:sp macro="" textlink="">
      <xdr:nvSpPr>
        <xdr:cNvPr id="103" name="Oval 102">
          <a:extLst>
            <a:ext uri="{FF2B5EF4-FFF2-40B4-BE49-F238E27FC236}">
              <a16:creationId xmlns:a16="http://schemas.microsoft.com/office/drawing/2014/main" id="{CF1C5087-850D-BD4D-A307-A46A43441CFA}"/>
            </a:ext>
          </a:extLst>
        </xdr:cNvPr>
        <xdr:cNvSpPr/>
      </xdr:nvSpPr>
      <xdr:spPr>
        <a:xfrm>
          <a:off x="33257799" y="60825058"/>
          <a:ext cx="1744735" cy="1729795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150857</xdr:colOff>
      <xdr:row>238</xdr:row>
      <xdr:rowOff>230335</xdr:rowOff>
    </xdr:from>
    <xdr:to>
      <xdr:col>44</xdr:col>
      <xdr:colOff>66791</xdr:colOff>
      <xdr:row>246</xdr:row>
      <xdr:rowOff>105325</xdr:rowOff>
    </xdr:to>
    <xdr:sp macro="" textlink="">
      <xdr:nvSpPr>
        <xdr:cNvPr id="105" name="Oval 104">
          <a:extLst>
            <a:ext uri="{FF2B5EF4-FFF2-40B4-BE49-F238E27FC236}">
              <a16:creationId xmlns:a16="http://schemas.microsoft.com/office/drawing/2014/main" id="{E1AEA608-DB42-0549-9DAB-1F2446F46428}"/>
            </a:ext>
          </a:extLst>
        </xdr:cNvPr>
        <xdr:cNvSpPr/>
      </xdr:nvSpPr>
      <xdr:spPr>
        <a:xfrm>
          <a:off x="35227047" y="51272240"/>
          <a:ext cx="1851173" cy="18102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234109</xdr:colOff>
      <xdr:row>277</xdr:row>
      <xdr:rowOff>180553</xdr:rowOff>
    </xdr:from>
    <xdr:to>
      <xdr:col>33</xdr:col>
      <xdr:colOff>142087</xdr:colOff>
      <xdr:row>285</xdr:row>
      <xdr:rowOff>68242</xdr:rowOff>
    </xdr:to>
    <xdr:sp macro="" textlink="">
      <xdr:nvSpPr>
        <xdr:cNvPr id="106" name="Oval 105">
          <a:extLst>
            <a:ext uri="{FF2B5EF4-FFF2-40B4-BE49-F238E27FC236}">
              <a16:creationId xmlns:a16="http://schemas.microsoft.com/office/drawing/2014/main" id="{AE6EBE23-107B-AE49-8FB8-AB23F3FD4068}"/>
            </a:ext>
          </a:extLst>
        </xdr:cNvPr>
        <xdr:cNvSpPr/>
      </xdr:nvSpPr>
      <xdr:spPr>
        <a:xfrm>
          <a:off x="32649347" y="60656743"/>
          <a:ext cx="1843216" cy="1822928"/>
        </a:xfrm>
        <a:prstGeom prst="ellipse">
          <a:avLst/>
        </a:prstGeom>
        <a:solidFill>
          <a:srgbClr val="9DC3E6">
            <a:alpha val="40000"/>
          </a:srgbClr>
        </a:solidFill>
        <a:ln w="38100"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22700</xdr:colOff>
      <xdr:row>241</xdr:row>
      <xdr:rowOff>61686</xdr:rowOff>
    </xdr:from>
    <xdr:to>
      <xdr:col>61</xdr:col>
      <xdr:colOff>195616</xdr:colOff>
      <xdr:row>270</xdr:row>
      <xdr:rowOff>151191</xdr:rowOff>
    </xdr:to>
    <xdr:sp macro="" textlink="">
      <xdr:nvSpPr>
        <xdr:cNvPr id="107" name="Rounded Rectangle 106">
          <a:extLst>
            <a:ext uri="{FF2B5EF4-FFF2-40B4-BE49-F238E27FC236}">
              <a16:creationId xmlns:a16="http://schemas.microsoft.com/office/drawing/2014/main" id="{FD56EC30-90AE-D84D-A56F-83E79B7DA8A6}"/>
            </a:ext>
          </a:extLst>
        </xdr:cNvPr>
        <xdr:cNvSpPr/>
      </xdr:nvSpPr>
      <xdr:spPr>
        <a:xfrm rot="5400000">
          <a:off x="35268805" y="51912181"/>
          <a:ext cx="6718905" cy="858716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58</xdr:col>
      <xdr:colOff>152400</xdr:colOff>
      <xdr:row>253</xdr:row>
      <xdr:rowOff>0</xdr:rowOff>
    </xdr:from>
    <xdr:to>
      <xdr:col>85</xdr:col>
      <xdr:colOff>101600</xdr:colOff>
      <xdr:row>256</xdr:row>
      <xdr:rowOff>168165</xdr:rowOff>
    </xdr:to>
    <xdr:sp macro="" textlink="">
      <xdr:nvSpPr>
        <xdr:cNvPr id="108" name="Rounded Rectangle 107">
          <a:extLst>
            <a:ext uri="{FF2B5EF4-FFF2-40B4-BE49-F238E27FC236}">
              <a16:creationId xmlns:a16="http://schemas.microsoft.com/office/drawing/2014/main" id="{31F6443F-1B5C-2C41-9EB0-1B99A33F79D8}"/>
            </a:ext>
          </a:extLst>
        </xdr:cNvPr>
        <xdr:cNvSpPr/>
      </xdr:nvSpPr>
      <xdr:spPr>
        <a:xfrm>
          <a:off x="38328600" y="51663600"/>
          <a:ext cx="61214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101600</xdr:colOff>
      <xdr:row>279</xdr:row>
      <xdr:rowOff>101600</xdr:rowOff>
    </xdr:from>
    <xdr:to>
      <xdr:col>43</xdr:col>
      <xdr:colOff>25400</xdr:colOff>
      <xdr:row>283</xdr:row>
      <xdr:rowOff>41165</xdr:rowOff>
    </xdr:to>
    <xdr:sp macro="" textlink="">
      <xdr:nvSpPr>
        <xdr:cNvPr id="109" name="Rounded Rectangle 108">
          <a:extLst>
            <a:ext uri="{FF2B5EF4-FFF2-40B4-BE49-F238E27FC236}">
              <a16:creationId xmlns:a16="http://schemas.microsoft.com/office/drawing/2014/main" id="{7156998C-ECD5-CB4A-AC74-4B757057975D}"/>
            </a:ext>
          </a:extLst>
        </xdr:cNvPr>
        <xdr:cNvSpPr/>
      </xdr:nvSpPr>
      <xdr:spPr>
        <a:xfrm>
          <a:off x="28905200" y="57708800"/>
          <a:ext cx="5867400" cy="853965"/>
        </a:xfrm>
        <a:prstGeom prst="roundRect">
          <a:avLst/>
        </a:prstGeom>
        <a:solidFill>
          <a:srgbClr val="0852C4">
            <a:alpha val="31765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61952</xdr:colOff>
      <xdr:row>251</xdr:row>
      <xdr:rowOff>154878</xdr:rowOff>
    </xdr:from>
    <xdr:to>
      <xdr:col>143</xdr:col>
      <xdr:colOff>84667</xdr:colOff>
      <xdr:row>255</xdr:row>
      <xdr:rowOff>61952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49FE7D71-362E-7D4A-804F-4827576A6FDE}"/>
            </a:ext>
          </a:extLst>
        </xdr:cNvPr>
        <xdr:cNvSpPr txBox="1"/>
      </xdr:nvSpPr>
      <xdr:spPr>
        <a:xfrm>
          <a:off x="50582552" y="51589878"/>
          <a:ext cx="1851515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154</xdr:col>
      <xdr:colOff>214358</xdr:colOff>
      <xdr:row>284</xdr:row>
      <xdr:rowOff>183380</xdr:rowOff>
    </xdr:from>
    <xdr:to>
      <xdr:col>161</xdr:col>
      <xdr:colOff>143933</xdr:colOff>
      <xdr:row>288</xdr:row>
      <xdr:rowOff>90454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E71E2AA-D4D1-644F-AC5E-1147FD5E0C22}"/>
            </a:ext>
          </a:extLst>
        </xdr:cNvPr>
        <xdr:cNvSpPr txBox="1"/>
      </xdr:nvSpPr>
      <xdr:spPr>
        <a:xfrm>
          <a:off x="55078358" y="59162180"/>
          <a:ext cx="1529775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127</xdr:col>
      <xdr:colOff>92365</xdr:colOff>
      <xdr:row>238</xdr:row>
      <xdr:rowOff>49653</xdr:rowOff>
    </xdr:from>
    <xdr:to>
      <xdr:col>130</xdr:col>
      <xdr:colOff>168564</xdr:colOff>
      <xdr:row>271</xdr:row>
      <xdr:rowOff>177800</xdr:rowOff>
    </xdr:to>
    <xdr:sp macro="" textlink="">
      <xdr:nvSpPr>
        <xdr:cNvPr id="125" name="Rounded Rectangle 124">
          <a:extLst>
            <a:ext uri="{FF2B5EF4-FFF2-40B4-BE49-F238E27FC236}">
              <a16:creationId xmlns:a16="http://schemas.microsoft.com/office/drawing/2014/main" id="{960B75C1-3716-EC45-BD97-F8D3A9C18D84}"/>
            </a:ext>
          </a:extLst>
        </xdr:cNvPr>
        <xdr:cNvSpPr/>
      </xdr:nvSpPr>
      <xdr:spPr>
        <a:xfrm rot="5400000">
          <a:off x="25669591" y="57911427"/>
          <a:ext cx="7671947" cy="76199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71583</xdr:colOff>
      <xdr:row>238</xdr:row>
      <xdr:rowOff>202053</xdr:rowOff>
    </xdr:from>
    <xdr:to>
      <xdr:col>150</xdr:col>
      <xdr:colOff>147783</xdr:colOff>
      <xdr:row>296</xdr:row>
      <xdr:rowOff>57727</xdr:rowOff>
    </xdr:to>
    <xdr:sp macro="" textlink="">
      <xdr:nvSpPr>
        <xdr:cNvPr id="126" name="Rounded Rectangle 125">
          <a:extLst>
            <a:ext uri="{FF2B5EF4-FFF2-40B4-BE49-F238E27FC236}">
              <a16:creationId xmlns:a16="http://schemas.microsoft.com/office/drawing/2014/main" id="{DC45D008-22E6-2241-BE46-52194AFAC09B}"/>
            </a:ext>
          </a:extLst>
        </xdr:cNvPr>
        <xdr:cNvSpPr/>
      </xdr:nvSpPr>
      <xdr:spPr>
        <a:xfrm rot="5400000">
          <a:off x="47633664" y="55394517"/>
          <a:ext cx="13248402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163</xdr:col>
      <xdr:colOff>195120</xdr:colOff>
      <xdr:row>238</xdr:row>
      <xdr:rowOff>158753</xdr:rowOff>
    </xdr:from>
    <xdr:to>
      <xdr:col>167</xdr:col>
      <xdr:colOff>40411</xdr:colOff>
      <xdr:row>296</xdr:row>
      <xdr:rowOff>210127</xdr:rowOff>
    </xdr:to>
    <xdr:sp macro="" textlink="">
      <xdr:nvSpPr>
        <xdr:cNvPr id="127" name="Rounded Rectangle 126">
          <a:extLst>
            <a:ext uri="{FF2B5EF4-FFF2-40B4-BE49-F238E27FC236}">
              <a16:creationId xmlns:a16="http://schemas.microsoft.com/office/drawing/2014/main" id="{42AD1AF8-D891-784B-A9DF-13D8B58F563B}"/>
            </a:ext>
          </a:extLst>
        </xdr:cNvPr>
        <xdr:cNvSpPr/>
      </xdr:nvSpPr>
      <xdr:spPr>
        <a:xfrm rot="5400000">
          <a:off x="52955829" y="57173669"/>
          <a:ext cx="13862624" cy="79779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76783</xdr:colOff>
      <xdr:row>239</xdr:row>
      <xdr:rowOff>110266</xdr:rowOff>
    </xdr:from>
    <xdr:to>
      <xdr:col>168</xdr:col>
      <xdr:colOff>109483</xdr:colOff>
      <xdr:row>242</xdr:row>
      <xdr:rowOff>186465</xdr:rowOff>
    </xdr:to>
    <xdr:sp macro="" textlink="">
      <xdr:nvSpPr>
        <xdr:cNvPr id="129" name="Rounded Rectangle 128">
          <a:extLst>
            <a:ext uri="{FF2B5EF4-FFF2-40B4-BE49-F238E27FC236}">
              <a16:creationId xmlns:a16="http://schemas.microsoft.com/office/drawing/2014/main" id="{AD1FB3E7-8715-DE49-9EA4-0DEF545306C8}"/>
            </a:ext>
          </a:extLst>
        </xdr:cNvPr>
        <xdr:cNvSpPr/>
      </xdr:nvSpPr>
      <xdr:spPr>
        <a:xfrm>
          <a:off x="46278507" y="46749921"/>
          <a:ext cx="9448217" cy="733096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200320</xdr:colOff>
      <xdr:row>266</xdr:row>
      <xdr:rowOff>9863</xdr:rowOff>
    </xdr:from>
    <xdr:to>
      <xdr:col>192</xdr:col>
      <xdr:colOff>173182</xdr:colOff>
      <xdr:row>269</xdr:row>
      <xdr:rowOff>86064</xdr:rowOff>
    </xdr:to>
    <xdr:sp macro="" textlink="">
      <xdr:nvSpPr>
        <xdr:cNvPr id="130" name="Rounded Rectangle 129">
          <a:extLst>
            <a:ext uri="{FF2B5EF4-FFF2-40B4-BE49-F238E27FC236}">
              <a16:creationId xmlns:a16="http://schemas.microsoft.com/office/drawing/2014/main" id="{C46F7148-60F9-8147-8876-AC8DC5AE72EF}"/>
            </a:ext>
          </a:extLst>
        </xdr:cNvPr>
        <xdr:cNvSpPr/>
      </xdr:nvSpPr>
      <xdr:spPr>
        <a:xfrm>
          <a:off x="27571010" y="58254691"/>
          <a:ext cx="14643551" cy="73309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121811</xdr:colOff>
      <xdr:row>276</xdr:row>
      <xdr:rowOff>97565</xdr:rowOff>
    </xdr:from>
    <xdr:to>
      <xdr:col>151</xdr:col>
      <xdr:colOff>202045</xdr:colOff>
      <xdr:row>279</xdr:row>
      <xdr:rowOff>173765</xdr:rowOff>
    </xdr:to>
    <xdr:sp macro="" textlink="">
      <xdr:nvSpPr>
        <xdr:cNvPr id="131" name="Rounded Rectangle 130">
          <a:extLst>
            <a:ext uri="{FF2B5EF4-FFF2-40B4-BE49-F238E27FC236}">
              <a16:creationId xmlns:a16="http://schemas.microsoft.com/office/drawing/2014/main" id="{100E02B6-3D92-ED4E-9439-55D8E6038246}"/>
            </a:ext>
          </a:extLst>
        </xdr:cNvPr>
        <xdr:cNvSpPr/>
      </xdr:nvSpPr>
      <xdr:spPr>
        <a:xfrm>
          <a:off x="48843629" y="57824838"/>
          <a:ext cx="6083871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0</xdr:colOff>
      <xdr:row>292</xdr:row>
      <xdr:rowOff>97566</xdr:rowOff>
    </xdr:from>
    <xdr:to>
      <xdr:col>193</xdr:col>
      <xdr:colOff>123537</xdr:colOff>
      <xdr:row>295</xdr:row>
      <xdr:rowOff>173766</xdr:rowOff>
    </xdr:to>
    <xdr:sp macro="" textlink="">
      <xdr:nvSpPr>
        <xdr:cNvPr id="132" name="Rounded Rectangle 131">
          <a:extLst>
            <a:ext uri="{FF2B5EF4-FFF2-40B4-BE49-F238E27FC236}">
              <a16:creationId xmlns:a16="http://schemas.microsoft.com/office/drawing/2014/main" id="{11EE4371-1680-9D46-B629-A280676A1837}"/>
            </a:ext>
          </a:extLst>
        </xdr:cNvPr>
        <xdr:cNvSpPr/>
      </xdr:nvSpPr>
      <xdr:spPr>
        <a:xfrm>
          <a:off x="53035200" y="60905166"/>
          <a:ext cx="10867737" cy="76200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158756</xdr:colOff>
      <xdr:row>250</xdr:row>
      <xdr:rowOff>76784</xdr:rowOff>
    </xdr:from>
    <xdr:to>
      <xdr:col>192</xdr:col>
      <xdr:colOff>202046</xdr:colOff>
      <xdr:row>253</xdr:row>
      <xdr:rowOff>152983</xdr:rowOff>
    </xdr:to>
    <xdr:sp macro="" textlink="">
      <xdr:nvSpPr>
        <xdr:cNvPr id="133" name="Rounded Rectangle 132">
          <a:extLst>
            <a:ext uri="{FF2B5EF4-FFF2-40B4-BE49-F238E27FC236}">
              <a16:creationId xmlns:a16="http://schemas.microsoft.com/office/drawing/2014/main" id="{62D56638-34B3-CD41-94C4-8829EC52F95B}"/>
            </a:ext>
          </a:extLst>
        </xdr:cNvPr>
        <xdr:cNvSpPr/>
      </xdr:nvSpPr>
      <xdr:spPr>
        <a:xfrm>
          <a:off x="57424211" y="51800420"/>
          <a:ext cx="6970562" cy="76892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129</xdr:col>
      <xdr:colOff>0</xdr:colOff>
      <xdr:row>273</xdr:row>
      <xdr:rowOff>127000</xdr:rowOff>
    </xdr:from>
    <xdr:to>
      <xdr:col>138</xdr:col>
      <xdr:colOff>229577</xdr:colOff>
      <xdr:row>278</xdr:row>
      <xdr:rowOff>0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73B92096-014D-38A1-9A6A-9ECECCDD672E}"/>
            </a:ext>
          </a:extLst>
        </xdr:cNvPr>
        <xdr:cNvCxnSpPr/>
      </xdr:nvCxnSpPr>
      <xdr:spPr>
        <a:xfrm>
          <a:off x="29615423" y="62801500"/>
          <a:ext cx="2295769" cy="10208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219808</xdr:colOff>
      <xdr:row>272</xdr:row>
      <xdr:rowOff>122115</xdr:rowOff>
    </xdr:from>
    <xdr:to>
      <xdr:col>138</xdr:col>
      <xdr:colOff>4885</xdr:colOff>
      <xdr:row>278</xdr:row>
      <xdr:rowOff>9769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1C12F614-BD31-4B44-936E-0C60B63D8169}"/>
            </a:ext>
          </a:extLst>
        </xdr:cNvPr>
        <xdr:cNvCxnSpPr/>
      </xdr:nvCxnSpPr>
      <xdr:spPr>
        <a:xfrm>
          <a:off x="29605654" y="62567038"/>
          <a:ext cx="2080846" cy="126511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215</xdr:col>
      <xdr:colOff>61952</xdr:colOff>
      <xdr:row>251</xdr:row>
      <xdr:rowOff>154878</xdr:rowOff>
    </xdr:from>
    <xdr:to>
      <xdr:col>224</xdr:col>
      <xdr:colOff>50800</xdr:colOff>
      <xdr:row>255</xdr:row>
      <xdr:rowOff>61952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8F25E414-7F49-2842-ACC8-2EFBC8528B24}"/>
            </a:ext>
          </a:extLst>
        </xdr:cNvPr>
        <xdr:cNvSpPr txBox="1"/>
      </xdr:nvSpPr>
      <xdr:spPr>
        <a:xfrm>
          <a:off x="49210952" y="57533478"/>
          <a:ext cx="204624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234</xdr:col>
      <xdr:colOff>214358</xdr:colOff>
      <xdr:row>285</xdr:row>
      <xdr:rowOff>117694</xdr:rowOff>
    </xdr:from>
    <xdr:to>
      <xdr:col>243</xdr:col>
      <xdr:colOff>109482</xdr:colOff>
      <xdr:row>289</xdr:row>
      <xdr:rowOff>24768</xdr:rowOff>
    </xdr:to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F363B574-1EA6-324E-BBA8-7422F72C1444}"/>
            </a:ext>
          </a:extLst>
        </xdr:cNvPr>
        <xdr:cNvSpPr txBox="1"/>
      </xdr:nvSpPr>
      <xdr:spPr>
        <a:xfrm>
          <a:off x="51452289" y="62522866"/>
          <a:ext cx="1865814" cy="782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254</xdr:col>
      <xdr:colOff>24770</xdr:colOff>
      <xdr:row>272</xdr:row>
      <xdr:rowOff>218564</xdr:rowOff>
    </xdr:from>
    <xdr:to>
      <xdr:col>262</xdr:col>
      <xdr:colOff>110068</xdr:colOff>
      <xdr:row>276</xdr:row>
      <xdr:rowOff>125638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2E4ED707-C598-9C40-8166-C04E4659411C}"/>
            </a:ext>
          </a:extLst>
        </xdr:cNvPr>
        <xdr:cNvSpPr txBox="1"/>
      </xdr:nvSpPr>
      <xdr:spPr>
        <a:xfrm>
          <a:off x="57631970" y="62397764"/>
          <a:ext cx="191409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174</xdr:col>
      <xdr:colOff>24770</xdr:colOff>
      <xdr:row>272</xdr:row>
      <xdr:rowOff>218564</xdr:rowOff>
    </xdr:from>
    <xdr:to>
      <xdr:col>182</xdr:col>
      <xdr:colOff>110068</xdr:colOff>
      <xdr:row>276</xdr:row>
      <xdr:rowOff>125638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D97C4921-CD9F-524F-A0BF-A3BF742A4F64}"/>
            </a:ext>
          </a:extLst>
        </xdr:cNvPr>
        <xdr:cNvSpPr txBox="1"/>
      </xdr:nvSpPr>
      <xdr:spPr>
        <a:xfrm>
          <a:off x="39343970" y="62397764"/>
          <a:ext cx="1914098" cy="82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20</a:t>
          </a:r>
        </a:p>
      </xdr:txBody>
    </xdr:sp>
    <xdr:clientData/>
  </xdr:twoCellAnchor>
  <xdr:twoCellAnchor>
    <xdr:from>
      <xdr:col>190</xdr:col>
      <xdr:colOff>106220</xdr:colOff>
      <xdr:row>263</xdr:row>
      <xdr:rowOff>127000</xdr:rowOff>
    </xdr:from>
    <xdr:to>
      <xdr:col>193</xdr:col>
      <xdr:colOff>182420</xdr:colOff>
      <xdr:row>296</xdr:row>
      <xdr:rowOff>116614</xdr:rowOff>
    </xdr:to>
    <xdr:sp macro="" textlink="">
      <xdr:nvSpPr>
        <xdr:cNvPr id="166" name="Rounded Rectangle 165">
          <a:extLst>
            <a:ext uri="{FF2B5EF4-FFF2-40B4-BE49-F238E27FC236}">
              <a16:creationId xmlns:a16="http://schemas.microsoft.com/office/drawing/2014/main" id="{5012E017-A4CF-4443-8403-33C91F95A2D4}"/>
            </a:ext>
          </a:extLst>
        </xdr:cNvPr>
        <xdr:cNvSpPr/>
      </xdr:nvSpPr>
      <xdr:spPr>
        <a:xfrm rot="5400000">
          <a:off x="40154513" y="63634507"/>
          <a:ext cx="7533414" cy="76200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203827</xdr:colOff>
      <xdr:row>252</xdr:row>
      <xdr:rowOff>31358</xdr:rowOff>
    </xdr:from>
    <xdr:to>
      <xdr:col>191</xdr:col>
      <xdr:colOff>221435</xdr:colOff>
      <xdr:row>257</xdr:row>
      <xdr:rowOff>225019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E6C45A6F-2698-8846-8405-305495E47097}"/>
            </a:ext>
          </a:extLst>
        </xdr:cNvPr>
        <xdr:cNvCxnSpPr/>
      </xdr:nvCxnSpPr>
      <xdr:spPr>
        <a:xfrm>
          <a:off x="42066790" y="59298025"/>
          <a:ext cx="3075015" cy="136958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179</xdr:col>
      <xdr:colOff>219506</xdr:colOff>
      <xdr:row>251</xdr:row>
      <xdr:rowOff>219507</xdr:rowOff>
    </xdr:from>
    <xdr:to>
      <xdr:col>192</xdr:col>
      <xdr:colOff>0</xdr:colOff>
      <xdr:row>259</xdr:row>
      <xdr:rowOff>8467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9DB3921E-EA94-D24C-8EC6-575D01EC2A70}"/>
            </a:ext>
          </a:extLst>
        </xdr:cNvPr>
        <xdr:cNvCxnSpPr/>
      </xdr:nvCxnSpPr>
      <xdr:spPr>
        <a:xfrm>
          <a:off x="42317654" y="59250988"/>
          <a:ext cx="2837902" cy="16704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61952</xdr:colOff>
      <xdr:row>332</xdr:row>
      <xdr:rowOff>154878</xdr:rowOff>
    </xdr:from>
    <xdr:to>
      <xdr:col>35</xdr:col>
      <xdr:colOff>50800</xdr:colOff>
      <xdr:row>336</xdr:row>
      <xdr:rowOff>61952</xdr:rowOff>
    </xdr:to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34C85A34-52FA-2342-9916-531ACFA1F6D3}"/>
            </a:ext>
          </a:extLst>
        </xdr:cNvPr>
        <xdr:cNvSpPr txBox="1"/>
      </xdr:nvSpPr>
      <xdr:spPr>
        <a:xfrm>
          <a:off x="46870523" y="54801164"/>
          <a:ext cx="1948277" cy="7779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 x 12</a:t>
          </a:r>
        </a:p>
      </xdr:txBody>
    </xdr:sp>
    <xdr:clientData/>
  </xdr:twoCellAnchor>
  <xdr:twoCellAnchor>
    <xdr:from>
      <xdr:col>45</xdr:col>
      <xdr:colOff>214358</xdr:colOff>
      <xdr:row>366</xdr:row>
      <xdr:rowOff>117694</xdr:rowOff>
    </xdr:from>
    <xdr:to>
      <xdr:col>54</xdr:col>
      <xdr:colOff>109482</xdr:colOff>
      <xdr:row>370</xdr:row>
      <xdr:rowOff>24768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D934FBDB-FB91-1749-B855-9F179B098316}"/>
            </a:ext>
          </a:extLst>
        </xdr:cNvPr>
        <xdr:cNvSpPr txBox="1"/>
      </xdr:nvSpPr>
      <xdr:spPr>
        <a:xfrm>
          <a:off x="51159501" y="62166265"/>
          <a:ext cx="1854552" cy="7779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8 x 13</a:t>
          </a:r>
        </a:p>
      </xdr:txBody>
    </xdr:sp>
    <xdr:clientData/>
  </xdr:twoCellAnchor>
  <xdr:twoCellAnchor>
    <xdr:from>
      <xdr:col>65</xdr:col>
      <xdr:colOff>24770</xdr:colOff>
      <xdr:row>353</xdr:row>
      <xdr:rowOff>218564</xdr:rowOff>
    </xdr:from>
    <xdr:to>
      <xdr:col>77</xdr:col>
      <xdr:colOff>153939</xdr:colOff>
      <xdr:row>357</xdr:row>
      <xdr:rowOff>115455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389877DC-DB77-FE4E-9F11-9D0FC307B2B1}"/>
            </a:ext>
          </a:extLst>
        </xdr:cNvPr>
        <xdr:cNvSpPr txBox="1"/>
      </xdr:nvSpPr>
      <xdr:spPr>
        <a:xfrm>
          <a:off x="15033861" y="81729473"/>
          <a:ext cx="2900078" cy="82052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12.5 x 22</a:t>
          </a:r>
        </a:p>
      </xdr:txBody>
    </xdr:sp>
    <xdr:clientData/>
  </xdr:twoCellAnchor>
  <xdr:twoCellAnchor>
    <xdr:from>
      <xdr:col>84</xdr:col>
      <xdr:colOff>0</xdr:colOff>
      <xdr:row>376</xdr:row>
      <xdr:rowOff>10160</xdr:rowOff>
    </xdr:from>
    <xdr:to>
      <xdr:col>104</xdr:col>
      <xdr:colOff>0</xdr:colOff>
      <xdr:row>395</xdr:row>
      <xdr:rowOff>223520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432052E6-9060-0447-A85B-9CFC68AF84E6}"/>
            </a:ext>
          </a:extLst>
        </xdr:cNvPr>
        <xdr:cNvCxnSpPr/>
      </xdr:nvCxnSpPr>
      <xdr:spPr>
        <a:xfrm>
          <a:off x="19629120" y="87873840"/>
          <a:ext cx="4673600" cy="46532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50800</xdr:colOff>
      <xdr:row>484</xdr:row>
      <xdr:rowOff>50800</xdr:rowOff>
    </xdr:from>
    <xdr:to>
      <xdr:col>33</xdr:col>
      <xdr:colOff>0</xdr:colOff>
      <xdr:row>493</xdr:row>
      <xdr:rowOff>177800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3E04AE60-E175-0841-97EC-597EAAB79C21}"/>
            </a:ext>
          </a:extLst>
        </xdr:cNvPr>
        <xdr:cNvCxnSpPr/>
      </xdr:nvCxnSpPr>
      <xdr:spPr>
        <a:xfrm flipH="1">
          <a:off x="4394200" y="101320600"/>
          <a:ext cx="3149600" cy="2184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203200</xdr:colOff>
      <xdr:row>438</xdr:row>
      <xdr:rowOff>50800</xdr:rowOff>
    </xdr:from>
    <xdr:to>
      <xdr:col>75</xdr:col>
      <xdr:colOff>223340</xdr:colOff>
      <xdr:row>463</xdr:row>
      <xdr:rowOff>11931</xdr:rowOff>
    </xdr:to>
    <xdr:cxnSp macro="">
      <xdr:nvCxnSpPr>
        <xdr:cNvPr id="245" name="Straight Connector 244">
          <a:extLst>
            <a:ext uri="{FF2B5EF4-FFF2-40B4-BE49-F238E27FC236}">
              <a16:creationId xmlns:a16="http://schemas.microsoft.com/office/drawing/2014/main" id="{F7094A09-EE75-154E-8C30-7B6944CA42C8}"/>
            </a:ext>
          </a:extLst>
        </xdr:cNvPr>
        <xdr:cNvCxnSpPr/>
      </xdr:nvCxnSpPr>
      <xdr:spPr>
        <a:xfrm flipH="1" flipV="1">
          <a:off x="7823200" y="85177086"/>
          <a:ext cx="8728711" cy="54039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50800</xdr:colOff>
      <xdr:row>478</xdr:row>
      <xdr:rowOff>76200</xdr:rowOff>
    </xdr:from>
    <xdr:to>
      <xdr:col>32</xdr:col>
      <xdr:colOff>177800</xdr:colOff>
      <xdr:row>484</xdr:row>
      <xdr:rowOff>0</xdr:rowOff>
    </xdr:to>
    <xdr:cxnSp macro="">
      <xdr:nvCxnSpPr>
        <xdr:cNvPr id="248" name="Straight Connector 247">
          <a:extLst>
            <a:ext uri="{FF2B5EF4-FFF2-40B4-BE49-F238E27FC236}">
              <a16:creationId xmlns:a16="http://schemas.microsoft.com/office/drawing/2014/main" id="{9324479D-2C71-DE4C-98BF-D446E0E7A81C}"/>
            </a:ext>
          </a:extLst>
        </xdr:cNvPr>
        <xdr:cNvCxnSpPr/>
      </xdr:nvCxnSpPr>
      <xdr:spPr>
        <a:xfrm flipH="1" flipV="1">
          <a:off x="5765800" y="99974400"/>
          <a:ext cx="1727200" cy="1295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25400</xdr:colOff>
      <xdr:row>471</xdr:row>
      <xdr:rowOff>203200</xdr:rowOff>
    </xdr:from>
    <xdr:to>
      <xdr:col>33</xdr:col>
      <xdr:colOff>50800</xdr:colOff>
      <xdr:row>477</xdr:row>
      <xdr:rowOff>203200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5ECE0ABC-DBBB-734D-8FE2-8E32931E52E5}"/>
            </a:ext>
          </a:extLst>
        </xdr:cNvPr>
        <xdr:cNvCxnSpPr/>
      </xdr:nvCxnSpPr>
      <xdr:spPr>
        <a:xfrm flipH="1">
          <a:off x="5740400" y="98501200"/>
          <a:ext cx="1854200" cy="1371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203200</xdr:colOff>
      <xdr:row>480</xdr:row>
      <xdr:rowOff>16933</xdr:rowOff>
    </xdr:from>
    <xdr:to>
      <xdr:col>62</xdr:col>
      <xdr:colOff>220134</xdr:colOff>
      <xdr:row>494</xdr:row>
      <xdr:rowOff>0</xdr:rowOff>
    </xdr:to>
    <xdr:cxnSp macro="">
      <xdr:nvCxnSpPr>
        <xdr:cNvPr id="255" name="Straight Connector 254">
          <a:extLst>
            <a:ext uri="{FF2B5EF4-FFF2-40B4-BE49-F238E27FC236}">
              <a16:creationId xmlns:a16="http://schemas.microsoft.com/office/drawing/2014/main" id="{26D70B95-74E0-724E-9316-D5348393356D}"/>
            </a:ext>
          </a:extLst>
        </xdr:cNvPr>
        <xdr:cNvCxnSpPr/>
      </xdr:nvCxnSpPr>
      <xdr:spPr>
        <a:xfrm flipH="1">
          <a:off x="10160000" y="104089200"/>
          <a:ext cx="4758267" cy="3302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33866</xdr:colOff>
      <xdr:row>471</xdr:row>
      <xdr:rowOff>33866</xdr:rowOff>
    </xdr:from>
    <xdr:to>
      <xdr:col>63</xdr:col>
      <xdr:colOff>4231</xdr:colOff>
      <xdr:row>479</xdr:row>
      <xdr:rowOff>228600</xdr:rowOff>
    </xdr:to>
    <xdr:cxnSp macro="">
      <xdr:nvCxnSpPr>
        <xdr:cNvPr id="257" name="Straight Connector 256">
          <a:extLst>
            <a:ext uri="{FF2B5EF4-FFF2-40B4-BE49-F238E27FC236}">
              <a16:creationId xmlns:a16="http://schemas.microsoft.com/office/drawing/2014/main" id="{0B482A85-E53D-2448-8514-6C4E66D67D62}"/>
            </a:ext>
          </a:extLst>
        </xdr:cNvPr>
        <xdr:cNvCxnSpPr/>
      </xdr:nvCxnSpPr>
      <xdr:spPr>
        <a:xfrm flipH="1" flipV="1">
          <a:off x="11650133" y="101972533"/>
          <a:ext cx="3289298" cy="20912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59266</xdr:colOff>
      <xdr:row>450</xdr:row>
      <xdr:rowOff>25400</xdr:rowOff>
    </xdr:from>
    <xdr:to>
      <xdr:col>75</xdr:col>
      <xdr:colOff>203200</xdr:colOff>
      <xdr:row>459</xdr:row>
      <xdr:rowOff>143933</xdr:rowOff>
    </xdr:to>
    <xdr:cxnSp macro="">
      <xdr:nvCxnSpPr>
        <xdr:cNvPr id="259" name="Straight Connector 258">
          <a:extLst>
            <a:ext uri="{FF2B5EF4-FFF2-40B4-BE49-F238E27FC236}">
              <a16:creationId xmlns:a16="http://schemas.microsoft.com/office/drawing/2014/main" id="{5D9FB69F-FECE-0643-B3FC-30EB39046680}"/>
            </a:ext>
          </a:extLst>
        </xdr:cNvPr>
        <xdr:cNvCxnSpPr/>
      </xdr:nvCxnSpPr>
      <xdr:spPr>
        <a:xfrm flipH="1" flipV="1">
          <a:off x="13775266" y="93522800"/>
          <a:ext cx="3572934" cy="217593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25400</xdr:colOff>
      <xdr:row>431</xdr:row>
      <xdr:rowOff>203200</xdr:rowOff>
    </xdr:from>
    <xdr:to>
      <xdr:col>55</xdr:col>
      <xdr:colOff>0</xdr:colOff>
      <xdr:row>444</xdr:row>
      <xdr:rowOff>0</xdr:rowOff>
    </xdr:to>
    <xdr:cxnSp macro="">
      <xdr:nvCxnSpPr>
        <xdr:cNvPr id="263" name="Straight Connector 262">
          <a:extLst>
            <a:ext uri="{FF2B5EF4-FFF2-40B4-BE49-F238E27FC236}">
              <a16:creationId xmlns:a16="http://schemas.microsoft.com/office/drawing/2014/main" id="{593E5D4A-3DCB-F747-8165-D616F417D2EE}"/>
            </a:ext>
          </a:extLst>
        </xdr:cNvPr>
        <xdr:cNvCxnSpPr/>
      </xdr:nvCxnSpPr>
      <xdr:spPr>
        <a:xfrm flipH="1" flipV="1">
          <a:off x="8255000" y="89357200"/>
          <a:ext cx="4318000" cy="2768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8466</xdr:colOff>
      <xdr:row>443</xdr:row>
      <xdr:rowOff>203200</xdr:rowOff>
    </xdr:from>
    <xdr:to>
      <xdr:col>76</xdr:col>
      <xdr:colOff>25400</xdr:colOff>
      <xdr:row>454</xdr:row>
      <xdr:rowOff>50800</xdr:rowOff>
    </xdr:to>
    <xdr:cxnSp macro="">
      <xdr:nvCxnSpPr>
        <xdr:cNvPr id="267" name="Straight Connector 266">
          <a:extLst>
            <a:ext uri="{FF2B5EF4-FFF2-40B4-BE49-F238E27FC236}">
              <a16:creationId xmlns:a16="http://schemas.microsoft.com/office/drawing/2014/main" id="{72AFACDF-488E-7340-AC55-9C9DF8B01F69}"/>
            </a:ext>
          </a:extLst>
        </xdr:cNvPr>
        <xdr:cNvCxnSpPr/>
      </xdr:nvCxnSpPr>
      <xdr:spPr>
        <a:xfrm flipH="1" flipV="1">
          <a:off x="13724466" y="92100400"/>
          <a:ext cx="3674534" cy="2362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204368</xdr:colOff>
      <xdr:row>347</xdr:row>
      <xdr:rowOff>44123</xdr:rowOff>
    </xdr:from>
    <xdr:to>
      <xdr:col>189</xdr:col>
      <xdr:colOff>11759</xdr:colOff>
      <xdr:row>349</xdr:row>
      <xdr:rowOff>60705</xdr:rowOff>
    </xdr:to>
    <xdr:sp macro="" textlink="">
      <xdr:nvSpPr>
        <xdr:cNvPr id="45" name="Rounded Rectangle 44">
          <a:extLst>
            <a:ext uri="{FF2B5EF4-FFF2-40B4-BE49-F238E27FC236}">
              <a16:creationId xmlns:a16="http://schemas.microsoft.com/office/drawing/2014/main" id="{56504E69-9C76-534E-A896-C65FEA5F9A5E}"/>
            </a:ext>
          </a:extLst>
        </xdr:cNvPr>
        <xdr:cNvSpPr/>
      </xdr:nvSpPr>
      <xdr:spPr>
        <a:xfrm>
          <a:off x="29399770" y="81090560"/>
          <a:ext cx="14755437" cy="483708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24959</xdr:colOff>
      <xdr:row>318</xdr:row>
      <xdr:rowOff>13956</xdr:rowOff>
    </xdr:from>
    <xdr:to>
      <xdr:col>188</xdr:col>
      <xdr:colOff>214502</xdr:colOff>
      <xdr:row>369</xdr:row>
      <xdr:rowOff>66577</xdr:rowOff>
    </xdr:to>
    <xdr:sp macro="" textlink="">
      <xdr:nvSpPr>
        <xdr:cNvPr id="46" name="Rounded Rectangle 45">
          <a:extLst>
            <a:ext uri="{FF2B5EF4-FFF2-40B4-BE49-F238E27FC236}">
              <a16:creationId xmlns:a16="http://schemas.microsoft.com/office/drawing/2014/main" id="{3E968FA1-EB5E-694B-9E23-82BE8596F0B9}"/>
            </a:ext>
          </a:extLst>
        </xdr:cNvPr>
        <xdr:cNvSpPr/>
      </xdr:nvSpPr>
      <xdr:spPr>
        <a:xfrm rot="5400000">
          <a:off x="36267486" y="76536265"/>
          <a:ext cx="11440753" cy="41283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126</xdr:col>
      <xdr:colOff>0</xdr:colOff>
      <xdr:row>366</xdr:row>
      <xdr:rowOff>216841</xdr:rowOff>
    </xdr:from>
    <xdr:to>
      <xdr:col>189</xdr:col>
      <xdr:colOff>61148</xdr:colOff>
      <xdr:row>368</xdr:row>
      <xdr:rowOff>220722</xdr:rowOff>
    </xdr:to>
    <xdr:sp macro="" textlink="">
      <xdr:nvSpPr>
        <xdr:cNvPr id="54" name="Rounded Rectangle 53">
          <a:extLst>
            <a:ext uri="{FF2B5EF4-FFF2-40B4-BE49-F238E27FC236}">
              <a16:creationId xmlns:a16="http://schemas.microsoft.com/office/drawing/2014/main" id="{F14F62BC-89DD-2145-A982-BDED2C194C99}"/>
            </a:ext>
          </a:extLst>
        </xdr:cNvPr>
        <xdr:cNvSpPr/>
      </xdr:nvSpPr>
      <xdr:spPr>
        <a:xfrm>
          <a:off x="29428966" y="85700979"/>
          <a:ext cx="14775630" cy="47100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48032</xdr:colOff>
      <xdr:row>327</xdr:row>
      <xdr:rowOff>67736</xdr:rowOff>
    </xdr:from>
    <xdr:to>
      <xdr:col>160</xdr:col>
      <xdr:colOff>222966</xdr:colOff>
      <xdr:row>369</xdr:row>
      <xdr:rowOff>111267</xdr:rowOff>
    </xdr:to>
    <xdr:sp macro="" textlink="">
      <xdr:nvSpPr>
        <xdr:cNvPr id="60" name="Rounded Rectangle 59">
          <a:extLst>
            <a:ext uri="{FF2B5EF4-FFF2-40B4-BE49-F238E27FC236}">
              <a16:creationId xmlns:a16="http://schemas.microsoft.com/office/drawing/2014/main" id="{44C5AB5A-FD44-B245-8CE6-65091CBE5F91}"/>
            </a:ext>
          </a:extLst>
        </xdr:cNvPr>
        <xdr:cNvSpPr/>
      </xdr:nvSpPr>
      <xdr:spPr>
        <a:xfrm rot="5400000">
          <a:off x="32947467" y="82382701"/>
          <a:ext cx="10000331" cy="41200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126</xdr:col>
      <xdr:colOff>30477</xdr:colOff>
      <xdr:row>318</xdr:row>
      <xdr:rowOff>13956</xdr:rowOff>
    </xdr:from>
    <xdr:to>
      <xdr:col>128</xdr:col>
      <xdr:colOff>1803</xdr:colOff>
      <xdr:row>369</xdr:row>
      <xdr:rowOff>71655</xdr:rowOff>
    </xdr:to>
    <xdr:sp macro="" textlink="">
      <xdr:nvSpPr>
        <xdr:cNvPr id="62" name="Rounded Rectangle 61">
          <a:extLst>
            <a:ext uri="{FF2B5EF4-FFF2-40B4-BE49-F238E27FC236}">
              <a16:creationId xmlns:a16="http://schemas.microsoft.com/office/drawing/2014/main" id="{C15DE227-0206-3944-AAE8-C9A9E7803292}"/>
            </a:ext>
          </a:extLst>
        </xdr:cNvPr>
        <xdr:cNvSpPr/>
      </xdr:nvSpPr>
      <xdr:spPr>
        <a:xfrm rot="5400000">
          <a:off x="22651906" y="76536264"/>
          <a:ext cx="11445831" cy="41791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125</xdr:col>
      <xdr:colOff>218965</xdr:colOff>
      <xdr:row>327</xdr:row>
      <xdr:rowOff>49619</xdr:rowOff>
    </xdr:from>
    <xdr:to>
      <xdr:col>189</xdr:col>
      <xdr:colOff>76994</xdr:colOff>
      <xdr:row>329</xdr:row>
      <xdr:rowOff>15395</xdr:rowOff>
    </xdr:to>
    <xdr:sp macro="" textlink="">
      <xdr:nvSpPr>
        <xdr:cNvPr id="63" name="Rounded Rectangle 62">
          <a:extLst>
            <a:ext uri="{FF2B5EF4-FFF2-40B4-BE49-F238E27FC236}">
              <a16:creationId xmlns:a16="http://schemas.microsoft.com/office/drawing/2014/main" id="{31B91D8F-EB56-CF47-8DAA-9D7B6D83101B}"/>
            </a:ext>
          </a:extLst>
        </xdr:cNvPr>
        <xdr:cNvSpPr/>
      </xdr:nvSpPr>
      <xdr:spPr>
        <a:xfrm>
          <a:off x="29414367" y="76424791"/>
          <a:ext cx="14806075" cy="432903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139</xdr:col>
      <xdr:colOff>48311</xdr:colOff>
      <xdr:row>410</xdr:row>
      <xdr:rowOff>106573</xdr:rowOff>
    </xdr:from>
    <xdr:to>
      <xdr:col>184</xdr:col>
      <xdr:colOff>66784</xdr:colOff>
      <xdr:row>412</xdr:row>
      <xdr:rowOff>53337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68073E8-50D1-5D43-AC1D-A28BD6B17CA2}"/>
            </a:ext>
          </a:extLst>
        </xdr:cNvPr>
        <xdr:cNvSpPr/>
      </xdr:nvSpPr>
      <xdr:spPr>
        <a:xfrm>
          <a:off x="32144675" y="94779300"/>
          <a:ext cx="10409382" cy="40858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130</xdr:col>
      <xdr:colOff>60348</xdr:colOff>
      <xdr:row>436</xdr:row>
      <xdr:rowOff>47337</xdr:rowOff>
    </xdr:from>
    <xdr:to>
      <xdr:col>184</xdr:col>
      <xdr:colOff>84</xdr:colOff>
      <xdr:row>437</xdr:row>
      <xdr:rowOff>227318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28AD4E6E-2574-E04A-9AD4-C1362EF0B325}"/>
            </a:ext>
          </a:extLst>
        </xdr:cNvPr>
        <xdr:cNvSpPr/>
      </xdr:nvSpPr>
      <xdr:spPr>
        <a:xfrm>
          <a:off x="30078530" y="100723701"/>
          <a:ext cx="12408827" cy="41089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131</xdr:col>
      <xdr:colOff>2491</xdr:colOff>
      <xdr:row>385</xdr:row>
      <xdr:rowOff>49322</xdr:rowOff>
    </xdr:from>
    <xdr:to>
      <xdr:col>184</xdr:col>
      <xdr:colOff>173136</xdr:colOff>
      <xdr:row>387</xdr:row>
      <xdr:rowOff>3743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7521A1DF-DAC3-6B47-92B5-1DBB86EA5A98}"/>
            </a:ext>
          </a:extLst>
        </xdr:cNvPr>
        <xdr:cNvSpPr/>
      </xdr:nvSpPr>
      <xdr:spPr>
        <a:xfrm>
          <a:off x="30251582" y="88949322"/>
          <a:ext cx="12408827" cy="416239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56033</xdr:colOff>
      <xdr:row>383</xdr:row>
      <xdr:rowOff>183192</xdr:rowOff>
    </xdr:from>
    <xdr:to>
      <xdr:col>158</xdr:col>
      <xdr:colOff>2797</xdr:colOff>
      <xdr:row>438</xdr:row>
      <xdr:rowOff>203598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B98EA23D-B5BC-7243-B01D-825AA85E737B}"/>
            </a:ext>
          </a:extLst>
        </xdr:cNvPr>
        <xdr:cNvSpPr/>
      </xdr:nvSpPr>
      <xdr:spPr>
        <a:xfrm rot="5400000">
          <a:off x="29921939" y="94777286"/>
          <a:ext cx="12720406" cy="40858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225856</xdr:colOff>
      <xdr:row>384</xdr:row>
      <xdr:rowOff>16213</xdr:rowOff>
    </xdr:from>
    <xdr:to>
      <xdr:col>137</xdr:col>
      <xdr:colOff>174929</xdr:colOff>
      <xdr:row>439</xdr:row>
      <xdr:rowOff>45412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6FDA704D-D877-FC48-958F-1EFD745CF9E3}"/>
            </a:ext>
          </a:extLst>
        </xdr:cNvPr>
        <xdr:cNvSpPr/>
      </xdr:nvSpPr>
      <xdr:spPr>
        <a:xfrm rot="5400000">
          <a:off x="25239429" y="94844458"/>
          <a:ext cx="12729199" cy="410891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50476</xdr:colOff>
      <xdr:row>383</xdr:row>
      <xdr:rowOff>164742</xdr:rowOff>
    </xdr:from>
    <xdr:to>
      <xdr:col>183</xdr:col>
      <xdr:colOff>207017</xdr:colOff>
      <xdr:row>438</xdr:row>
      <xdr:rowOff>190962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668BB0DB-7EF1-5749-940E-CF4FA032CB08}"/>
            </a:ext>
          </a:extLst>
        </xdr:cNvPr>
        <xdr:cNvSpPr/>
      </xdr:nvSpPr>
      <xdr:spPr>
        <a:xfrm rot="5400000">
          <a:off x="35906546" y="94772309"/>
          <a:ext cx="12726220" cy="387450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18316</xdr:colOff>
      <xdr:row>252</xdr:row>
      <xdr:rowOff>125815</xdr:rowOff>
    </xdr:from>
    <xdr:to>
      <xdr:col>189</xdr:col>
      <xdr:colOff>113515</xdr:colOff>
      <xdr:row>253</xdr:row>
      <xdr:rowOff>89065</xdr:rowOff>
    </xdr:to>
    <xdr:sp macro="" textlink="">
      <xdr:nvSpPr>
        <xdr:cNvPr id="10" name="Parallelogram 9">
          <a:extLst>
            <a:ext uri="{FF2B5EF4-FFF2-40B4-BE49-F238E27FC236}">
              <a16:creationId xmlns:a16="http://schemas.microsoft.com/office/drawing/2014/main" id="{3837F9D2-19B1-5CA2-4B69-31F12E96400E}"/>
            </a:ext>
          </a:extLst>
        </xdr:cNvPr>
        <xdr:cNvSpPr/>
      </xdr:nvSpPr>
      <xdr:spPr>
        <a:xfrm rot="1860000" flipH="1">
          <a:off x="12210316" y="32129815"/>
          <a:ext cx="11906199" cy="90250"/>
        </a:xfrm>
        <a:prstGeom prst="parallelogram">
          <a:avLst>
            <a:gd name="adj" fmla="val 62666"/>
          </a:avLst>
        </a:prstGeom>
        <a:noFill/>
        <a:ln w="63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0</xdr:colOff>
      <xdr:row>99</xdr:row>
      <xdr:rowOff>14597</xdr:rowOff>
    </xdr:from>
    <xdr:to>
      <xdr:col>198</xdr:col>
      <xdr:colOff>40967</xdr:colOff>
      <xdr:row>103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B4FCC1A8-7212-1946-9503-63FFDA70FAB1}"/>
            </a:ext>
          </a:extLst>
        </xdr:cNvPr>
        <xdr:cNvSpPr/>
      </xdr:nvSpPr>
      <xdr:spPr>
        <a:xfrm>
          <a:off x="8809910" y="12474327"/>
          <a:ext cx="16150516" cy="488826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103631</xdr:colOff>
      <xdr:row>150</xdr:row>
      <xdr:rowOff>129351</xdr:rowOff>
    </xdr:from>
    <xdr:to>
      <xdr:col>198</xdr:col>
      <xdr:colOff>17597</xdr:colOff>
      <xdr:row>154</xdr:row>
      <xdr:rowOff>5387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34C7369C-8B3F-7648-B181-D61C4FB8E4D7}"/>
            </a:ext>
          </a:extLst>
        </xdr:cNvPr>
        <xdr:cNvSpPr/>
      </xdr:nvSpPr>
      <xdr:spPr>
        <a:xfrm>
          <a:off x="9028909" y="19532129"/>
          <a:ext cx="16600355" cy="393443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69</xdr:col>
      <xdr:colOff>101600</xdr:colOff>
      <xdr:row>50</xdr:row>
      <xdr:rowOff>23517</xdr:rowOff>
    </xdr:from>
    <xdr:to>
      <xdr:col>198</xdr:col>
      <xdr:colOff>15566</xdr:colOff>
      <xdr:row>52</xdr:row>
      <xdr:rowOff>120631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CF0313EA-C6DA-2649-AFB1-81B26EA6062E}"/>
            </a:ext>
          </a:extLst>
        </xdr:cNvPr>
        <xdr:cNvSpPr/>
      </xdr:nvSpPr>
      <xdr:spPr>
        <a:xfrm>
          <a:off x="9026878" y="6491110"/>
          <a:ext cx="16600355" cy="35581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3466</xdr:colOff>
      <xdr:row>49</xdr:row>
      <xdr:rowOff>111404</xdr:rowOff>
    </xdr:from>
    <xdr:to>
      <xdr:col>73</xdr:col>
      <xdr:colOff>6501</xdr:colOff>
      <xdr:row>154</xdr:row>
      <xdr:rowOff>6227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F263D452-5F44-354B-9536-DD98E9B3E72A}"/>
            </a:ext>
          </a:extLst>
        </xdr:cNvPr>
        <xdr:cNvSpPr/>
      </xdr:nvSpPr>
      <xdr:spPr>
        <a:xfrm rot="5400000">
          <a:off x="2385906" y="12311683"/>
          <a:ext cx="12761928" cy="370667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195</xdr:col>
      <xdr:colOff>10040</xdr:colOff>
      <xdr:row>49</xdr:row>
      <xdr:rowOff>106231</xdr:rowOff>
    </xdr:from>
    <xdr:to>
      <xdr:col>198</xdr:col>
      <xdr:colOff>13075</xdr:colOff>
      <xdr:row>154</xdr:row>
      <xdr:rowOff>1054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C8DD534F-10DE-E24F-9DBA-BAC6CD126BB7}"/>
            </a:ext>
          </a:extLst>
        </xdr:cNvPr>
        <xdr:cNvSpPr/>
      </xdr:nvSpPr>
      <xdr:spPr>
        <a:xfrm rot="5400000">
          <a:off x="20060873" y="13906670"/>
          <a:ext cx="14442096" cy="418672"/>
        </a:xfrm>
        <a:prstGeom prst="roundRect">
          <a:avLst/>
        </a:prstGeom>
        <a:solidFill>
          <a:srgbClr val="0852C4">
            <a:alpha val="14902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30BC0-96C4-4C43-B896-6D3FE0436282}">
  <sheetPr codeName="Sheet1"/>
  <dimension ref="D4:V70"/>
  <sheetViews>
    <sheetView zoomScale="150" zoomScaleNormal="130" workbookViewId="0">
      <selection activeCell="I5" sqref="I5"/>
    </sheetView>
  </sheetViews>
  <sheetFormatPr baseColWidth="10" defaultRowHeight="16" x14ac:dyDescent="0.2"/>
  <cols>
    <col min="4" max="4" width="28.5" customWidth="1"/>
    <col min="5" max="5" width="10.33203125" customWidth="1"/>
    <col min="6" max="6" width="11.6640625" customWidth="1"/>
    <col min="19" max="19" width="11.6640625" style="217" bestFit="1" customWidth="1"/>
  </cols>
  <sheetData>
    <row r="4" spans="4:12" ht="19" x14ac:dyDescent="0.25">
      <c r="D4" s="99" t="s">
        <v>0</v>
      </c>
      <c r="E4" s="99"/>
      <c r="F4" s="99"/>
      <c r="G4">
        <v>47</v>
      </c>
      <c r="H4">
        <f>G4/2</f>
        <v>23.5</v>
      </c>
      <c r="I4">
        <f>H4+0.75</f>
        <v>24.25</v>
      </c>
    </row>
    <row r="5" spans="4:12" ht="19" x14ac:dyDescent="0.25">
      <c r="D5" s="99" t="s">
        <v>1</v>
      </c>
      <c r="E5" s="99"/>
      <c r="F5" s="99"/>
      <c r="G5">
        <v>59</v>
      </c>
      <c r="H5">
        <f>G5/2</f>
        <v>29.5</v>
      </c>
      <c r="I5">
        <f>H5+0.75</f>
        <v>30.25</v>
      </c>
    </row>
    <row r="6" spans="4:12" ht="19" x14ac:dyDescent="0.25">
      <c r="D6" s="99" t="s">
        <v>2</v>
      </c>
      <c r="E6" s="99"/>
      <c r="F6" s="99"/>
    </row>
    <row r="7" spans="4:12" ht="19" x14ac:dyDescent="0.25">
      <c r="D7" s="99" t="s">
        <v>3</v>
      </c>
      <c r="E7" s="99"/>
      <c r="F7" s="99"/>
      <c r="I7">
        <v>34</v>
      </c>
      <c r="J7">
        <v>34</v>
      </c>
    </row>
    <row r="8" spans="4:12" ht="19" x14ac:dyDescent="0.25">
      <c r="D8" s="99" t="s">
        <v>4</v>
      </c>
      <c r="E8" s="99"/>
      <c r="F8" s="99"/>
      <c r="I8">
        <v>44</v>
      </c>
      <c r="J8">
        <v>32</v>
      </c>
    </row>
    <row r="9" spans="4:12" ht="19" x14ac:dyDescent="0.25">
      <c r="D9" s="99" t="s">
        <v>5</v>
      </c>
      <c r="E9" s="99"/>
      <c r="F9" s="99"/>
      <c r="I9">
        <f>I8*I7</f>
        <v>1496</v>
      </c>
      <c r="J9">
        <f>J8*J7</f>
        <v>1088</v>
      </c>
    </row>
    <row r="11" spans="4:12" x14ac:dyDescent="0.2">
      <c r="I11">
        <f>60*60/9</f>
        <v>400</v>
      </c>
    </row>
    <row r="12" spans="4:12" x14ac:dyDescent="0.2">
      <c r="E12">
        <f>SUM(E13:E57)</f>
        <v>890</v>
      </c>
      <c r="J12">
        <v>87</v>
      </c>
      <c r="K12">
        <f>ACOS(J12/J13)</f>
        <v>0.9876740713758575</v>
      </c>
      <c r="L12">
        <f>K12*180/PI()</f>
        <v>56.589555824339463</v>
      </c>
    </row>
    <row r="13" spans="4:12" x14ac:dyDescent="0.2">
      <c r="D13" t="s">
        <v>16</v>
      </c>
      <c r="E13">
        <v>20</v>
      </c>
      <c r="J13">
        <v>158</v>
      </c>
    </row>
    <row r="14" spans="4:12" x14ac:dyDescent="0.2">
      <c r="D14" t="s">
        <v>17</v>
      </c>
      <c r="J14">
        <v>130</v>
      </c>
      <c r="K14">
        <f>ACOS(J14/J13)</f>
        <v>0.60450275484141502</v>
      </c>
      <c r="L14">
        <f>K14*180/PI()</f>
        <v>34.635456556444574</v>
      </c>
    </row>
    <row r="15" spans="4:12" x14ac:dyDescent="0.2">
      <c r="D15" t="s">
        <v>18</v>
      </c>
    </row>
    <row r="16" spans="4:12" x14ac:dyDescent="0.2">
      <c r="D16" t="s">
        <v>19</v>
      </c>
      <c r="H16">
        <f>SUM(H17:H25)</f>
        <v>18</v>
      </c>
    </row>
    <row r="17" spans="4:15" x14ac:dyDescent="0.2">
      <c r="D17" t="s">
        <v>20</v>
      </c>
      <c r="E17">
        <v>10</v>
      </c>
      <c r="G17" t="s">
        <v>8</v>
      </c>
      <c r="H17">
        <v>6</v>
      </c>
      <c r="J17">
        <f>SQRT(J14^2 + J12^2)</f>
        <v>156.42570121306792</v>
      </c>
    </row>
    <row r="18" spans="4:15" x14ac:dyDescent="0.2">
      <c r="D18" t="s">
        <v>21</v>
      </c>
      <c r="E18">
        <v>10</v>
      </c>
      <c r="G18" t="s">
        <v>9</v>
      </c>
      <c r="H18">
        <v>2</v>
      </c>
    </row>
    <row r="19" spans="4:15" x14ac:dyDescent="0.2">
      <c r="D19" t="s">
        <v>22</v>
      </c>
      <c r="E19">
        <v>5</v>
      </c>
      <c r="G19" t="s">
        <v>10</v>
      </c>
      <c r="H19">
        <v>2</v>
      </c>
      <c r="I19">
        <v>146</v>
      </c>
      <c r="J19">
        <f>I19/12</f>
        <v>12.166666666666666</v>
      </c>
    </row>
    <row r="20" spans="4:15" x14ac:dyDescent="0.2">
      <c r="D20" t="s">
        <v>23</v>
      </c>
      <c r="E20">
        <v>5</v>
      </c>
      <c r="G20" t="s">
        <v>7</v>
      </c>
      <c r="H20">
        <v>1.5</v>
      </c>
    </row>
    <row r="21" spans="4:15" x14ac:dyDescent="0.2">
      <c r="D21" t="s">
        <v>24</v>
      </c>
      <c r="E21">
        <v>10</v>
      </c>
      <c r="G21" t="s">
        <v>11</v>
      </c>
      <c r="H21">
        <v>1.5</v>
      </c>
    </row>
    <row r="22" spans="4:15" x14ac:dyDescent="0.2">
      <c r="D22" t="s">
        <v>25</v>
      </c>
      <c r="E22">
        <v>5</v>
      </c>
      <c r="G22" t="s">
        <v>12</v>
      </c>
      <c r="H22">
        <v>1</v>
      </c>
    </row>
    <row r="23" spans="4:15" x14ac:dyDescent="0.2">
      <c r="D23" t="s">
        <v>26</v>
      </c>
      <c r="E23">
        <v>5</v>
      </c>
      <c r="G23" t="s">
        <v>13</v>
      </c>
      <c r="H23">
        <v>1</v>
      </c>
      <c r="I23">
        <v>51</v>
      </c>
      <c r="J23">
        <f>I23/2</f>
        <v>25.5</v>
      </c>
      <c r="M23">
        <v>49</v>
      </c>
      <c r="N23">
        <f>M23/2</f>
        <v>24.5</v>
      </c>
    </row>
    <row r="24" spans="4:15" x14ac:dyDescent="0.2">
      <c r="D24" t="s">
        <v>27</v>
      </c>
      <c r="E24">
        <v>5</v>
      </c>
      <c r="G24" t="s">
        <v>14</v>
      </c>
      <c r="H24">
        <v>1</v>
      </c>
      <c r="I24">
        <v>50</v>
      </c>
      <c r="J24">
        <f t="shared" ref="J24:J26" si="0">I24/2</f>
        <v>25</v>
      </c>
      <c r="K24">
        <f>J24*J23</f>
        <v>637.5</v>
      </c>
      <c r="M24">
        <v>56</v>
      </c>
      <c r="N24">
        <f t="shared" ref="N24" si="1">M24/2</f>
        <v>28</v>
      </c>
      <c r="O24">
        <f>N24*N23</f>
        <v>686</v>
      </c>
    </row>
    <row r="25" spans="4:15" x14ac:dyDescent="0.2">
      <c r="G25" t="s">
        <v>15</v>
      </c>
      <c r="H25">
        <v>2</v>
      </c>
      <c r="I25">
        <v>17</v>
      </c>
      <c r="J25">
        <f t="shared" si="0"/>
        <v>8.5</v>
      </c>
    </row>
    <row r="26" spans="4:15" x14ac:dyDescent="0.2">
      <c r="D26" t="s">
        <v>28</v>
      </c>
      <c r="E26">
        <v>20</v>
      </c>
      <c r="I26">
        <v>28</v>
      </c>
      <c r="J26">
        <f t="shared" si="0"/>
        <v>14</v>
      </c>
      <c r="K26">
        <f>J26*J25</f>
        <v>119</v>
      </c>
      <c r="M26">
        <v>54</v>
      </c>
      <c r="N26">
        <f>M26/2</f>
        <v>27</v>
      </c>
    </row>
    <row r="27" spans="4:15" x14ac:dyDescent="0.2">
      <c r="D27" t="s">
        <v>29</v>
      </c>
      <c r="E27">
        <v>5</v>
      </c>
      <c r="M27">
        <v>47</v>
      </c>
      <c r="N27">
        <f t="shared" ref="N27" si="2">M27/2</f>
        <v>23.5</v>
      </c>
      <c r="O27">
        <f>N27*N26</f>
        <v>634.5</v>
      </c>
    </row>
    <row r="28" spans="4:15" x14ac:dyDescent="0.2">
      <c r="D28" t="s">
        <v>32</v>
      </c>
      <c r="G28" t="s">
        <v>9</v>
      </c>
      <c r="H28">
        <v>2</v>
      </c>
      <c r="K28">
        <f>K26+K24</f>
        <v>756.5</v>
      </c>
    </row>
    <row r="29" spans="4:15" x14ac:dyDescent="0.2">
      <c r="D29" t="s">
        <v>30</v>
      </c>
      <c r="E29">
        <v>10</v>
      </c>
      <c r="G29" t="s">
        <v>46</v>
      </c>
      <c r="H29">
        <v>1</v>
      </c>
      <c r="M29">
        <v>55</v>
      </c>
      <c r="N29">
        <f>M29/2</f>
        <v>27.5</v>
      </c>
    </row>
    <row r="30" spans="4:15" x14ac:dyDescent="0.2">
      <c r="D30" t="s">
        <v>31</v>
      </c>
      <c r="E30">
        <v>5</v>
      </c>
      <c r="G30" t="s">
        <v>47</v>
      </c>
      <c r="H30">
        <v>2</v>
      </c>
      <c r="I30">
        <v>76</v>
      </c>
      <c r="J30">
        <f t="shared" ref="J30:J31" si="3">I30/2</f>
        <v>38</v>
      </c>
      <c r="M30">
        <v>65</v>
      </c>
      <c r="N30">
        <f t="shared" ref="N30" si="4">M30/2</f>
        <v>32.5</v>
      </c>
      <c r="O30">
        <f>N30*N29</f>
        <v>893.75</v>
      </c>
    </row>
    <row r="31" spans="4:15" x14ac:dyDescent="0.2">
      <c r="D31" t="s">
        <v>33</v>
      </c>
      <c r="E31">
        <v>10</v>
      </c>
      <c r="G31" t="s">
        <v>48</v>
      </c>
      <c r="H31">
        <v>1</v>
      </c>
      <c r="I31">
        <v>50</v>
      </c>
      <c r="J31">
        <f t="shared" si="3"/>
        <v>25</v>
      </c>
      <c r="K31">
        <f>J31*J30</f>
        <v>950</v>
      </c>
    </row>
    <row r="32" spans="4:15" x14ac:dyDescent="0.2">
      <c r="D32" t="s">
        <v>34</v>
      </c>
      <c r="E32">
        <v>50</v>
      </c>
      <c r="G32" t="s">
        <v>49</v>
      </c>
      <c r="H32">
        <v>4</v>
      </c>
    </row>
    <row r="33" spans="4:20" x14ac:dyDescent="0.2">
      <c r="D33" t="s">
        <v>36</v>
      </c>
      <c r="E33">
        <v>5</v>
      </c>
      <c r="I33">
        <v>72</v>
      </c>
      <c r="J33">
        <f t="shared" ref="J33:J34" si="5">I33/2</f>
        <v>36</v>
      </c>
      <c r="S33" s="217">
        <v>13</v>
      </c>
      <c r="T33">
        <f>S33*25/(3*12)</f>
        <v>9.0277777777777786</v>
      </c>
    </row>
    <row r="34" spans="4:20" x14ac:dyDescent="0.2">
      <c r="D34" t="s">
        <v>37</v>
      </c>
      <c r="E34">
        <v>5</v>
      </c>
      <c r="I34">
        <v>64</v>
      </c>
      <c r="J34">
        <f t="shared" si="5"/>
        <v>32</v>
      </c>
      <c r="K34">
        <f>J34*J33</f>
        <v>1152</v>
      </c>
    </row>
    <row r="35" spans="4:20" x14ac:dyDescent="0.2">
      <c r="D35" t="s">
        <v>38</v>
      </c>
    </row>
    <row r="36" spans="4:20" x14ac:dyDescent="0.2">
      <c r="D36" t="s">
        <v>41</v>
      </c>
      <c r="I36">
        <v>85</v>
      </c>
      <c r="J36">
        <f t="shared" ref="J36:J37" si="6">I36/2</f>
        <v>42.5</v>
      </c>
      <c r="O36">
        <v>9</v>
      </c>
    </row>
    <row r="37" spans="4:20" x14ac:dyDescent="0.2">
      <c r="I37">
        <v>50</v>
      </c>
      <c r="J37">
        <f t="shared" si="6"/>
        <v>25</v>
      </c>
      <c r="K37">
        <f>J37*J36</f>
        <v>1062.5</v>
      </c>
      <c r="O37">
        <v>24</v>
      </c>
    </row>
    <row r="38" spans="4:20" x14ac:dyDescent="0.2">
      <c r="I38">
        <v>64</v>
      </c>
      <c r="J38">
        <f t="shared" ref="J38:J39" si="7">I38/2</f>
        <v>32</v>
      </c>
      <c r="O38">
        <f>SQRT(O36*O36+O37*O37)</f>
        <v>25.632011235952593</v>
      </c>
      <c r="P38">
        <f>O38/2</f>
        <v>12.816005617976296</v>
      </c>
    </row>
    <row r="39" spans="4:20" x14ac:dyDescent="0.2">
      <c r="D39" t="s">
        <v>39</v>
      </c>
      <c r="E39">
        <v>25</v>
      </c>
      <c r="I39">
        <v>72</v>
      </c>
      <c r="J39">
        <f t="shared" si="7"/>
        <v>36</v>
      </c>
      <c r="K39">
        <f>J39*J38</f>
        <v>1152</v>
      </c>
    </row>
    <row r="40" spans="4:20" x14ac:dyDescent="0.2">
      <c r="D40" t="s">
        <v>40</v>
      </c>
      <c r="E40">
        <v>5</v>
      </c>
    </row>
    <row r="41" spans="4:20" x14ac:dyDescent="0.2">
      <c r="D41" t="s">
        <v>35</v>
      </c>
      <c r="E41">
        <v>20</v>
      </c>
    </row>
    <row r="42" spans="4:20" x14ac:dyDescent="0.2">
      <c r="D42" t="s">
        <v>44</v>
      </c>
      <c r="E42">
        <v>150</v>
      </c>
      <c r="I42">
        <v>68</v>
      </c>
      <c r="J42">
        <f t="shared" ref="J42:J43" si="8">I42/2</f>
        <v>34</v>
      </c>
    </row>
    <row r="43" spans="4:20" x14ac:dyDescent="0.2">
      <c r="D43" t="s">
        <v>42</v>
      </c>
      <c r="E43">
        <v>5</v>
      </c>
      <c r="I43">
        <v>50</v>
      </c>
      <c r="J43">
        <f t="shared" si="8"/>
        <v>25</v>
      </c>
      <c r="K43">
        <f>J43*J42</f>
        <v>850</v>
      </c>
      <c r="N43">
        <v>53</v>
      </c>
      <c r="O43">
        <v>62</v>
      </c>
      <c r="P43">
        <f>O43*N43/4</f>
        <v>821.5</v>
      </c>
    </row>
    <row r="44" spans="4:20" x14ac:dyDescent="0.2">
      <c r="D44" t="s">
        <v>43</v>
      </c>
      <c r="E44">
        <v>500</v>
      </c>
      <c r="N44">
        <v>27</v>
      </c>
      <c r="O44">
        <v>14</v>
      </c>
      <c r="P44">
        <f t="shared" ref="P44:P50" si="9">O44*N44/4</f>
        <v>94.5</v>
      </c>
    </row>
    <row r="45" spans="4:20" x14ac:dyDescent="0.2">
      <c r="I45">
        <v>76</v>
      </c>
      <c r="J45">
        <f t="shared" ref="J45:J46" si="10">I45/2</f>
        <v>38</v>
      </c>
      <c r="N45">
        <v>11</v>
      </c>
      <c r="O45">
        <v>13</v>
      </c>
      <c r="P45">
        <f t="shared" si="9"/>
        <v>35.75</v>
      </c>
      <c r="Q45">
        <f>P43-P44-P45</f>
        <v>691.25</v>
      </c>
    </row>
    <row r="46" spans="4:20" x14ac:dyDescent="0.2">
      <c r="I46">
        <v>62</v>
      </c>
      <c r="J46">
        <f t="shared" si="10"/>
        <v>31</v>
      </c>
      <c r="K46">
        <f>J46*J45</f>
        <v>1178</v>
      </c>
    </row>
    <row r="47" spans="4:20" x14ac:dyDescent="0.2">
      <c r="N47">
        <v>24</v>
      </c>
      <c r="O47">
        <v>56</v>
      </c>
      <c r="P47">
        <f t="shared" si="9"/>
        <v>336</v>
      </c>
    </row>
    <row r="48" spans="4:20" x14ac:dyDescent="0.2">
      <c r="I48">
        <v>72</v>
      </c>
      <c r="J48">
        <f t="shared" ref="J48:J57" si="11">I48/2</f>
        <v>36</v>
      </c>
      <c r="N48">
        <v>44</v>
      </c>
      <c r="O48">
        <v>20</v>
      </c>
      <c r="P48">
        <f t="shared" si="9"/>
        <v>220</v>
      </c>
      <c r="Q48">
        <f>P48+P47</f>
        <v>556</v>
      </c>
      <c r="R48">
        <f>Q48*1.2</f>
        <v>667.19999999999993</v>
      </c>
    </row>
    <row r="49" spans="4:21" x14ac:dyDescent="0.2">
      <c r="D49" t="s">
        <v>51</v>
      </c>
      <c r="E49" t="s">
        <v>50</v>
      </c>
      <c r="I49">
        <v>62</v>
      </c>
      <c r="J49">
        <f t="shared" si="11"/>
        <v>31</v>
      </c>
      <c r="K49">
        <f>J49*J48</f>
        <v>1116</v>
      </c>
      <c r="L49">
        <f>K49-K51-K53</f>
        <v>948</v>
      </c>
    </row>
    <row r="50" spans="4:21" x14ac:dyDescent="0.2">
      <c r="D50" t="s">
        <v>52</v>
      </c>
      <c r="E50" t="s">
        <v>53</v>
      </c>
      <c r="I50">
        <v>22</v>
      </c>
      <c r="J50">
        <f t="shared" si="11"/>
        <v>11</v>
      </c>
      <c r="N50">
        <v>52</v>
      </c>
      <c r="O50">
        <v>58</v>
      </c>
      <c r="P50">
        <f t="shared" si="9"/>
        <v>754</v>
      </c>
    </row>
    <row r="51" spans="4:21" x14ac:dyDescent="0.2">
      <c r="D51" t="s">
        <v>54</v>
      </c>
      <c r="E51" t="s">
        <v>55</v>
      </c>
      <c r="I51">
        <v>15</v>
      </c>
      <c r="J51">
        <f t="shared" si="11"/>
        <v>7.5</v>
      </c>
      <c r="K51">
        <f>J51*J50</f>
        <v>82.5</v>
      </c>
    </row>
    <row r="52" spans="4:21" x14ac:dyDescent="0.2">
      <c r="I52">
        <v>38</v>
      </c>
      <c r="J52">
        <f t="shared" si="11"/>
        <v>19</v>
      </c>
      <c r="N52">
        <v>55</v>
      </c>
      <c r="O52">
        <v>65</v>
      </c>
      <c r="P52">
        <f>O52*N52/4</f>
        <v>893.75</v>
      </c>
      <c r="Q52">
        <f>N52*12*2.54</f>
        <v>1676.4</v>
      </c>
      <c r="R52">
        <f>O52*12*2.54</f>
        <v>1981.2</v>
      </c>
      <c r="T52" s="217">
        <v>360</v>
      </c>
      <c r="U52" t="s">
        <v>66</v>
      </c>
    </row>
    <row r="53" spans="4:21" x14ac:dyDescent="0.2">
      <c r="I53">
        <v>9</v>
      </c>
      <c r="J53">
        <f t="shared" si="11"/>
        <v>4.5</v>
      </c>
      <c r="K53">
        <f>J53*J52</f>
        <v>85.5</v>
      </c>
      <c r="N53">
        <v>16</v>
      </c>
      <c r="O53">
        <v>20</v>
      </c>
      <c r="P53">
        <f t="shared" ref="P53:P54" si="12">O53*N53/4</f>
        <v>80</v>
      </c>
      <c r="T53" s="216">
        <v>9.2902999999999999E-2</v>
      </c>
      <c r="U53" t="s">
        <v>60</v>
      </c>
    </row>
    <row r="54" spans="4:21" x14ac:dyDescent="0.2">
      <c r="I54">
        <v>15</v>
      </c>
      <c r="J54">
        <f t="shared" si="11"/>
        <v>7.5</v>
      </c>
      <c r="N54">
        <v>11</v>
      </c>
      <c r="O54">
        <v>26</v>
      </c>
      <c r="P54">
        <f t="shared" si="12"/>
        <v>71.5</v>
      </c>
      <c r="Q54">
        <f>P52-P53-P54</f>
        <v>742.25</v>
      </c>
      <c r="S54" s="216">
        <f>Q54*T53</f>
        <v>68.957251749999998</v>
      </c>
      <c r="U54" t="s">
        <v>59</v>
      </c>
    </row>
    <row r="55" spans="4:21" x14ac:dyDescent="0.2">
      <c r="I55">
        <v>50</v>
      </c>
      <c r="J55">
        <f t="shared" si="11"/>
        <v>25</v>
      </c>
      <c r="K55">
        <f>J55*J54</f>
        <v>187.5</v>
      </c>
      <c r="L55">
        <f>K55+K57</f>
        <v>288.25</v>
      </c>
      <c r="S55" s="217">
        <f>S54*T52</f>
        <v>24824.610629999999</v>
      </c>
      <c r="U55" t="s">
        <v>61</v>
      </c>
    </row>
    <row r="56" spans="4:21" x14ac:dyDescent="0.2">
      <c r="I56">
        <v>31</v>
      </c>
      <c r="J56">
        <f t="shared" si="11"/>
        <v>15.5</v>
      </c>
      <c r="S56" s="217">
        <f>S55+T56</f>
        <v>25824.610629999999</v>
      </c>
      <c r="T56">
        <v>1000</v>
      </c>
      <c r="U56" t="s">
        <v>57</v>
      </c>
    </row>
    <row r="57" spans="4:21" x14ac:dyDescent="0.2">
      <c r="I57">
        <v>13</v>
      </c>
      <c r="J57">
        <f t="shared" si="11"/>
        <v>6.5</v>
      </c>
      <c r="K57">
        <f>J57*J56</f>
        <v>100.75</v>
      </c>
      <c r="S57" s="217">
        <f>S56*(1+T57)</f>
        <v>30989.532755999997</v>
      </c>
      <c r="T57" s="215">
        <v>0.2</v>
      </c>
      <c r="U57" t="s">
        <v>56</v>
      </c>
    </row>
    <row r="58" spans="4:21" x14ac:dyDescent="0.2">
      <c r="L58">
        <f>L55+L49</f>
        <v>1236.25</v>
      </c>
      <c r="T58">
        <v>2900</v>
      </c>
      <c r="U58" t="s">
        <v>58</v>
      </c>
    </row>
    <row r="59" spans="4:21" x14ac:dyDescent="0.2">
      <c r="I59">
        <v>72</v>
      </c>
      <c r="J59">
        <f t="shared" ref="J59:J60" si="13">I59/2</f>
        <v>36</v>
      </c>
    </row>
    <row r="60" spans="4:21" x14ac:dyDescent="0.2">
      <c r="I60">
        <v>81</v>
      </c>
      <c r="J60">
        <f t="shared" si="13"/>
        <v>40.5</v>
      </c>
      <c r="K60">
        <f>J60*J59</f>
        <v>1458</v>
      </c>
    </row>
    <row r="61" spans="4:21" x14ac:dyDescent="0.2">
      <c r="S61" s="217">
        <f>S57*9.8</f>
        <v>303697.42100879998</v>
      </c>
      <c r="U61" t="s">
        <v>62</v>
      </c>
    </row>
    <row r="62" spans="4:21" x14ac:dyDescent="0.2">
      <c r="I62">
        <v>80</v>
      </c>
      <c r="J62">
        <f t="shared" ref="J62:J63" si="14">I62/2</f>
        <v>40</v>
      </c>
      <c r="S62" s="217">
        <f>20*T62*1000*1000</f>
        <v>4000000</v>
      </c>
      <c r="T62" s="215">
        <v>0.2</v>
      </c>
      <c r="U62" t="s">
        <v>63</v>
      </c>
    </row>
    <row r="63" spans="4:21" x14ac:dyDescent="0.2">
      <c r="I63">
        <v>81</v>
      </c>
      <c r="J63">
        <f t="shared" si="14"/>
        <v>40.5</v>
      </c>
      <c r="K63">
        <f>J63*J62</f>
        <v>1620</v>
      </c>
      <c r="S63" s="218">
        <f>S61/S62</f>
        <v>7.5924355252199996E-2</v>
      </c>
      <c r="U63" t="s">
        <v>64</v>
      </c>
    </row>
    <row r="64" spans="4:21" x14ac:dyDescent="0.2">
      <c r="S64" s="218">
        <f>S63*10.7639</f>
        <v>0.81724216749915546</v>
      </c>
      <c r="U64" t="s">
        <v>65</v>
      </c>
    </row>
    <row r="65" spans="9:22" x14ac:dyDescent="0.2">
      <c r="I65">
        <v>93</v>
      </c>
      <c r="J65">
        <f t="shared" ref="J65:J66" si="15">I65/2</f>
        <v>46.5</v>
      </c>
    </row>
    <row r="66" spans="9:22" x14ac:dyDescent="0.2">
      <c r="I66">
        <v>79</v>
      </c>
      <c r="J66">
        <f t="shared" si="15"/>
        <v>39.5</v>
      </c>
      <c r="K66">
        <f>J66*J65</f>
        <v>1836.75</v>
      </c>
    </row>
    <row r="67" spans="9:22" x14ac:dyDescent="0.2">
      <c r="V67" s="217"/>
    </row>
    <row r="70" spans="9:22" x14ac:dyDescent="0.2">
      <c r="T70" s="2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DF974-ADF1-C84B-A0DE-B35F6161B048}">
  <sheetPr codeName="Sheet2"/>
  <dimension ref="F4:ED110"/>
  <sheetViews>
    <sheetView zoomScale="50" zoomScaleNormal="68" workbookViewId="0">
      <selection activeCell="CS86" sqref="CS86"/>
    </sheetView>
  </sheetViews>
  <sheetFormatPr baseColWidth="10" defaultColWidth="3" defaultRowHeight="18" customHeight="1" x14ac:dyDescent="0.2"/>
  <sheetData>
    <row r="4" spans="6:86" ht="18" customHeight="1" thickBot="1" x14ac:dyDescent="0.25"/>
    <row r="5" spans="6:86" ht="18" customHeight="1" thickBot="1" x14ac:dyDescent="0.25">
      <c r="F5" s="1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3"/>
    </row>
    <row r="6" spans="6:86" ht="18" customHeight="1" x14ac:dyDescent="0.2">
      <c r="F6" s="4"/>
      <c r="G6" s="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3"/>
      <c r="CH6" s="5"/>
    </row>
    <row r="7" spans="6:86" ht="18" customHeight="1" x14ac:dyDescent="0.2">
      <c r="F7" s="4"/>
      <c r="G7" s="4"/>
      <c r="BO7" s="9"/>
      <c r="BP7" s="10"/>
      <c r="BQ7" s="10"/>
      <c r="BR7" s="10"/>
      <c r="BS7" s="10"/>
      <c r="BT7" s="11"/>
      <c r="CG7" s="5"/>
      <c r="CH7" s="5"/>
    </row>
    <row r="8" spans="6:86" ht="18" customHeight="1" x14ac:dyDescent="0.2">
      <c r="F8" s="4"/>
      <c r="G8" s="4"/>
      <c r="BO8" s="12"/>
      <c r="BT8" s="13"/>
      <c r="CG8" s="5"/>
      <c r="CH8" s="5"/>
    </row>
    <row r="9" spans="6:86" ht="18" customHeight="1" x14ac:dyDescent="0.2">
      <c r="F9" s="4"/>
      <c r="G9" s="4"/>
      <c r="BO9" s="12"/>
      <c r="BT9" s="13"/>
      <c r="CG9" s="5"/>
      <c r="CH9" s="5"/>
    </row>
    <row r="10" spans="6:86" ht="18" customHeight="1" x14ac:dyDescent="0.2">
      <c r="F10" s="4"/>
      <c r="G10" s="4"/>
      <c r="BO10" s="12"/>
      <c r="BT10" s="13"/>
      <c r="CG10" s="5"/>
      <c r="CH10" s="5"/>
    </row>
    <row r="11" spans="6:86" ht="18" customHeight="1" x14ac:dyDescent="0.2">
      <c r="F11" s="4"/>
      <c r="G11" s="4"/>
      <c r="BO11" s="12"/>
      <c r="BT11" s="13"/>
      <c r="CG11" s="5"/>
      <c r="CH11" s="5"/>
    </row>
    <row r="12" spans="6:86" ht="18" customHeight="1" x14ac:dyDescent="0.2">
      <c r="F12" s="4"/>
      <c r="G12" s="4"/>
      <c r="BO12" s="12"/>
      <c r="BT12" s="13"/>
      <c r="CG12" s="5"/>
      <c r="CH12" s="5"/>
    </row>
    <row r="13" spans="6:86" ht="18" customHeight="1" x14ac:dyDescent="0.2">
      <c r="F13" s="4"/>
      <c r="G13" s="4"/>
      <c r="BO13" s="12"/>
      <c r="BT13" s="13"/>
      <c r="CG13" s="5"/>
      <c r="CH13" s="5"/>
    </row>
    <row r="14" spans="6:86" ht="18" customHeight="1" x14ac:dyDescent="0.2">
      <c r="F14" s="4"/>
      <c r="G14" s="4"/>
      <c r="BO14" s="12"/>
      <c r="BT14" s="13"/>
      <c r="CG14" s="5"/>
      <c r="CH14" s="5"/>
    </row>
    <row r="15" spans="6:86" ht="18" customHeight="1" x14ac:dyDescent="0.2">
      <c r="F15" s="4"/>
      <c r="G15" s="4"/>
      <c r="BO15" s="12"/>
      <c r="BT15" s="13"/>
      <c r="CG15" s="5"/>
      <c r="CH15" s="5"/>
    </row>
    <row r="16" spans="6:86" ht="18" customHeight="1" x14ac:dyDescent="0.2">
      <c r="F16" s="4"/>
      <c r="G16" s="4"/>
      <c r="N16" s="9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1"/>
      <c r="AX16" s="9"/>
      <c r="AY16" s="10"/>
      <c r="AZ16" s="10"/>
      <c r="BA16" s="10"/>
      <c r="BB16" s="10"/>
      <c r="BC16" s="11"/>
      <c r="BO16" s="12"/>
      <c r="BT16" s="13"/>
      <c r="CG16" s="5"/>
      <c r="CH16" s="5"/>
    </row>
    <row r="17" spans="6:86" ht="18" customHeight="1" x14ac:dyDescent="0.2">
      <c r="F17" s="4"/>
      <c r="G17" s="4"/>
      <c r="N17" s="12"/>
      <c r="O17" s="37"/>
      <c r="P17" s="38"/>
      <c r="Q17" s="38"/>
      <c r="R17" s="23"/>
      <c r="S17" s="40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79"/>
      <c r="AG17" s="8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1"/>
      <c r="AW17" s="13"/>
      <c r="AX17" s="12"/>
      <c r="BC17" s="13"/>
      <c r="BO17" s="12"/>
      <c r="BT17" s="13"/>
      <c r="CG17" s="5"/>
      <c r="CH17" s="5"/>
    </row>
    <row r="18" spans="6:86" ht="18" customHeight="1" thickBot="1" x14ac:dyDescent="0.25">
      <c r="F18" s="4"/>
      <c r="G18" s="4"/>
      <c r="N18" s="12"/>
      <c r="O18" s="36"/>
      <c r="P18" s="32"/>
      <c r="Q18" s="32"/>
      <c r="R18" s="24"/>
      <c r="S18" s="42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81"/>
      <c r="AG18" s="82"/>
      <c r="AH18" s="96"/>
      <c r="AI18" s="97"/>
      <c r="AU18" s="94"/>
      <c r="AV18" s="95"/>
      <c r="AW18" s="13"/>
      <c r="AX18" s="12"/>
      <c r="BC18" s="13"/>
      <c r="BO18" s="14"/>
      <c r="BP18" s="15"/>
      <c r="BQ18" s="15"/>
      <c r="BR18" s="15"/>
      <c r="BS18" s="15"/>
      <c r="BT18" s="16"/>
      <c r="CG18" s="5"/>
      <c r="CH18" s="5"/>
    </row>
    <row r="19" spans="6:86" ht="18" customHeight="1" x14ac:dyDescent="0.2">
      <c r="F19" s="4"/>
      <c r="G19" s="4"/>
      <c r="N19" s="12"/>
      <c r="O19" s="36"/>
      <c r="P19" s="32"/>
      <c r="Q19" s="32"/>
      <c r="R19" s="25"/>
      <c r="S19" s="42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81"/>
      <c r="AG19" s="82"/>
      <c r="AH19" s="96"/>
      <c r="AI19" s="97"/>
      <c r="AQ19" s="62"/>
      <c r="AR19" s="63"/>
      <c r="AU19" s="94"/>
      <c r="AV19" s="95"/>
      <c r="AW19" s="13"/>
      <c r="AX19" s="12"/>
      <c r="BC19" s="13"/>
      <c r="CG19" s="5"/>
      <c r="CH19" s="29"/>
    </row>
    <row r="20" spans="6:86" ht="18" customHeight="1" x14ac:dyDescent="0.2">
      <c r="F20" s="4"/>
      <c r="G20" s="4"/>
      <c r="N20" s="12"/>
      <c r="O20" s="36"/>
      <c r="P20" s="32"/>
      <c r="Q20" s="32"/>
      <c r="R20" s="33"/>
      <c r="S20" s="42"/>
      <c r="T20" s="43"/>
      <c r="U20" s="43"/>
      <c r="V20" s="74"/>
      <c r="W20" s="85"/>
      <c r="X20" s="85"/>
      <c r="Y20" s="85"/>
      <c r="Z20" s="85"/>
      <c r="AA20" s="75"/>
      <c r="AB20" s="43"/>
      <c r="AC20" s="43"/>
      <c r="AD20" s="43"/>
      <c r="AE20" s="43"/>
      <c r="AF20" s="81"/>
      <c r="AG20" s="82"/>
      <c r="AH20" s="96"/>
      <c r="AI20" s="97"/>
      <c r="AQ20" s="64"/>
      <c r="AR20" s="65"/>
      <c r="AU20" s="94"/>
      <c r="AV20" s="95"/>
      <c r="AW20" s="13"/>
      <c r="AX20" s="12"/>
      <c r="BC20" s="13"/>
      <c r="CG20" s="5"/>
      <c r="CH20" s="30"/>
    </row>
    <row r="21" spans="6:86" ht="18" customHeight="1" x14ac:dyDescent="0.2">
      <c r="F21" s="4"/>
      <c r="G21" s="4"/>
      <c r="N21" s="12"/>
      <c r="O21" s="36"/>
      <c r="P21" s="32"/>
      <c r="Q21" s="32"/>
      <c r="R21" s="33"/>
      <c r="S21" s="42"/>
      <c r="T21" s="43"/>
      <c r="U21" s="43"/>
      <c r="V21" s="86"/>
      <c r="W21" s="87"/>
      <c r="X21" s="87"/>
      <c r="Y21" s="87"/>
      <c r="Z21" s="87"/>
      <c r="AA21" s="88"/>
      <c r="AB21" s="43"/>
      <c r="AC21" s="43"/>
      <c r="AD21" s="43"/>
      <c r="AE21" s="43"/>
      <c r="AF21" s="81"/>
      <c r="AG21" s="82"/>
      <c r="AH21" s="96"/>
      <c r="AI21" s="97"/>
      <c r="AU21" s="94"/>
      <c r="AV21" s="95"/>
      <c r="AW21" s="13"/>
      <c r="AX21" s="12"/>
      <c r="BC21" s="13"/>
      <c r="CG21" s="5"/>
      <c r="CH21" s="30"/>
    </row>
    <row r="22" spans="6:86" ht="18" customHeight="1" x14ac:dyDescent="0.25">
      <c r="F22" s="4"/>
      <c r="G22" s="4"/>
      <c r="N22" s="12"/>
      <c r="O22" s="36"/>
      <c r="P22" s="32"/>
      <c r="Q22" s="32"/>
      <c r="R22" s="33"/>
      <c r="S22" s="42"/>
      <c r="T22" s="43"/>
      <c r="U22" s="43"/>
      <c r="V22" s="86"/>
      <c r="W22" s="87"/>
      <c r="X22" s="87"/>
      <c r="Y22" s="87"/>
      <c r="Z22" s="87"/>
      <c r="AA22" s="88"/>
      <c r="AB22" s="43"/>
      <c r="AC22" s="43"/>
      <c r="AD22" s="43"/>
      <c r="AE22" s="43"/>
      <c r="AF22" s="83"/>
      <c r="AG22" s="84"/>
      <c r="AH22" s="96"/>
      <c r="AI22" s="97"/>
      <c r="AU22" s="68"/>
      <c r="AV22" s="69"/>
      <c r="AW22" s="13"/>
      <c r="AX22" s="12"/>
      <c r="BC22" s="13"/>
      <c r="BG22" s="99" t="s">
        <v>0</v>
      </c>
      <c r="CG22" s="5"/>
      <c r="CH22" s="30"/>
    </row>
    <row r="23" spans="6:86" ht="18" customHeight="1" x14ac:dyDescent="0.25">
      <c r="F23" s="4"/>
      <c r="G23" s="4"/>
      <c r="N23" s="12"/>
      <c r="O23" s="36"/>
      <c r="P23" s="32"/>
      <c r="Q23" s="32"/>
      <c r="R23" s="33"/>
      <c r="S23" s="42"/>
      <c r="T23" s="43"/>
      <c r="U23" s="43"/>
      <c r="V23" s="86"/>
      <c r="W23" s="87"/>
      <c r="X23" s="87"/>
      <c r="Y23" s="87"/>
      <c r="Z23" s="87"/>
      <c r="AA23" s="88"/>
      <c r="AB23" s="43"/>
      <c r="AC23" s="43"/>
      <c r="AD23" s="43"/>
      <c r="AE23" s="43"/>
      <c r="AF23" s="43"/>
      <c r="AG23" s="45"/>
      <c r="AV23" s="13"/>
      <c r="AW23" s="13"/>
      <c r="AX23" s="12"/>
      <c r="BC23" s="13"/>
      <c r="BG23" s="99" t="s">
        <v>1</v>
      </c>
      <c r="CG23" s="5"/>
      <c r="CH23" s="30"/>
    </row>
    <row r="24" spans="6:86" ht="18" customHeight="1" x14ac:dyDescent="0.25">
      <c r="F24" s="4"/>
      <c r="G24" s="4"/>
      <c r="N24" s="12"/>
      <c r="O24" s="36"/>
      <c r="P24" s="32"/>
      <c r="Q24" s="32"/>
      <c r="R24" s="33"/>
      <c r="S24" s="42"/>
      <c r="T24" s="43"/>
      <c r="U24" s="43"/>
      <c r="V24" s="86"/>
      <c r="W24" s="87"/>
      <c r="X24" s="87"/>
      <c r="Y24" s="87"/>
      <c r="Z24" s="87"/>
      <c r="AA24" s="88"/>
      <c r="AB24" s="43"/>
      <c r="AC24" s="43"/>
      <c r="AD24" s="43"/>
      <c r="AE24" s="43"/>
      <c r="AF24" s="43"/>
      <c r="AG24" s="45"/>
      <c r="AH24" s="12"/>
      <c r="AV24" s="13"/>
      <c r="AW24" s="71"/>
      <c r="AX24" s="12"/>
      <c r="BC24" s="13"/>
      <c r="BG24" s="99" t="s">
        <v>2</v>
      </c>
      <c r="CG24" s="5"/>
      <c r="CH24" s="30"/>
    </row>
    <row r="25" spans="6:86" ht="18" customHeight="1" x14ac:dyDescent="0.25">
      <c r="F25" s="4"/>
      <c r="G25" s="4"/>
      <c r="N25" s="12"/>
      <c r="O25" s="36"/>
      <c r="P25" s="32"/>
      <c r="Q25" s="32"/>
      <c r="R25" s="33"/>
      <c r="S25" s="42"/>
      <c r="T25" s="43"/>
      <c r="U25" s="43"/>
      <c r="V25" s="76"/>
      <c r="W25" s="89"/>
      <c r="X25" s="89"/>
      <c r="Y25" s="89"/>
      <c r="Z25" s="89"/>
      <c r="AA25" s="77"/>
      <c r="AB25" s="43"/>
      <c r="AC25" s="43"/>
      <c r="AD25" s="47"/>
      <c r="AE25" s="26"/>
      <c r="AF25" s="27"/>
      <c r="AG25" s="28"/>
      <c r="AH25" s="12"/>
      <c r="AV25" s="13"/>
      <c r="AW25" s="90"/>
      <c r="AX25" s="12"/>
      <c r="BC25" s="13"/>
      <c r="BG25" s="99" t="s">
        <v>3</v>
      </c>
      <c r="CG25" s="5"/>
      <c r="CH25" s="30"/>
    </row>
    <row r="26" spans="6:86" ht="18" customHeight="1" x14ac:dyDescent="0.25">
      <c r="F26" s="4"/>
      <c r="G26" s="4"/>
      <c r="N26" s="12"/>
      <c r="O26" s="79"/>
      <c r="P26" s="91"/>
      <c r="Q26" s="91"/>
      <c r="R26" s="91"/>
      <c r="S26" s="91"/>
      <c r="T26" s="80"/>
      <c r="U26" s="41"/>
      <c r="V26" s="41"/>
      <c r="W26" s="41"/>
      <c r="X26" s="41"/>
      <c r="Y26" s="23"/>
      <c r="Z26" s="10"/>
      <c r="AA26" s="10"/>
      <c r="AB26" s="10"/>
      <c r="AC26" s="10"/>
      <c r="AD26" s="10"/>
      <c r="AE26" s="10"/>
      <c r="AF26" s="10"/>
      <c r="AV26" s="13"/>
      <c r="AW26" s="73"/>
      <c r="AX26" s="12"/>
      <c r="BC26" s="13"/>
      <c r="BG26" s="99" t="s">
        <v>4</v>
      </c>
      <c r="CG26" s="5"/>
      <c r="CH26" s="30"/>
    </row>
    <row r="27" spans="6:86" ht="18" customHeight="1" x14ac:dyDescent="0.25">
      <c r="F27" s="4"/>
      <c r="G27" s="4"/>
      <c r="N27" s="12"/>
      <c r="O27" s="83"/>
      <c r="P27" s="93"/>
      <c r="Q27" s="93"/>
      <c r="R27" s="93"/>
      <c r="S27" s="93"/>
      <c r="T27" s="84"/>
      <c r="U27" s="43"/>
      <c r="V27" s="43"/>
      <c r="W27" s="43"/>
      <c r="X27" s="43"/>
      <c r="Y27" s="24"/>
      <c r="AV27" s="13"/>
      <c r="AX27" s="12"/>
      <c r="BC27" s="13"/>
      <c r="BG27" s="99" t="s">
        <v>5</v>
      </c>
      <c r="CG27" s="5"/>
      <c r="CH27" s="30"/>
    </row>
    <row r="28" spans="6:86" ht="18" customHeight="1" thickBot="1" x14ac:dyDescent="0.25">
      <c r="F28" s="4"/>
      <c r="G28" s="4"/>
      <c r="N28" s="12"/>
      <c r="O28" s="42"/>
      <c r="P28" s="43"/>
      <c r="Q28" s="43"/>
      <c r="R28" s="43"/>
      <c r="S28" s="43"/>
      <c r="T28" s="43"/>
      <c r="U28" s="43"/>
      <c r="V28" s="43"/>
      <c r="W28" s="43"/>
      <c r="X28" s="43"/>
      <c r="Y28" s="25"/>
      <c r="AR28" s="20"/>
      <c r="AS28" s="21"/>
      <c r="AT28" s="21"/>
      <c r="AU28" s="21"/>
      <c r="AV28" s="22"/>
      <c r="AX28" s="12"/>
      <c r="BC28" s="13"/>
      <c r="CG28" s="5"/>
      <c r="CH28" s="31"/>
    </row>
    <row r="29" spans="6:86" ht="18" customHeight="1" x14ac:dyDescent="0.2">
      <c r="F29" s="4"/>
      <c r="G29" s="4"/>
      <c r="N29" s="12"/>
      <c r="O29" s="42"/>
      <c r="P29" s="43"/>
      <c r="Q29" s="43"/>
      <c r="R29" s="43"/>
      <c r="S29" s="43"/>
      <c r="T29" s="43"/>
      <c r="U29" s="43"/>
      <c r="V29" s="43"/>
      <c r="W29" s="43"/>
      <c r="X29" s="43"/>
      <c r="Y29" s="45"/>
      <c r="AE29" s="15"/>
      <c r="AU29" s="56"/>
      <c r="AV29" s="58"/>
      <c r="AW29" s="13"/>
      <c r="AX29" s="12"/>
      <c r="BC29" s="13"/>
      <c r="CG29" s="5"/>
      <c r="CH29" s="5"/>
    </row>
    <row r="30" spans="6:86" ht="18" customHeight="1" x14ac:dyDescent="0.2">
      <c r="F30" s="4"/>
      <c r="G30" s="4"/>
      <c r="N30" s="12"/>
      <c r="O30" s="42"/>
      <c r="P30" s="43"/>
      <c r="Q30" s="43"/>
      <c r="R30" s="43"/>
      <c r="S30" s="43"/>
      <c r="T30" s="43"/>
      <c r="U30" s="43"/>
      <c r="V30" s="43"/>
      <c r="W30" s="43"/>
      <c r="X30" s="43"/>
      <c r="Y30" s="45"/>
      <c r="Z30" s="37"/>
      <c r="AA30" s="26"/>
      <c r="AB30" s="27"/>
      <c r="AC30" s="28"/>
      <c r="AD30" s="52"/>
      <c r="AE30" s="53"/>
      <c r="AF30" s="52"/>
      <c r="AG30" s="53"/>
      <c r="AH30" s="26"/>
      <c r="AI30" s="27"/>
      <c r="AJ30" s="28"/>
      <c r="AK30" s="74"/>
      <c r="AL30" s="75"/>
      <c r="AM30" s="49"/>
      <c r="AN30" s="49"/>
      <c r="AO30" s="49"/>
      <c r="AP30" s="49"/>
      <c r="AQ30" s="49"/>
      <c r="AR30" s="49"/>
      <c r="AS30" s="49"/>
      <c r="AT30" s="49"/>
      <c r="AU30" s="96"/>
      <c r="AV30" s="98"/>
      <c r="AW30" s="13"/>
      <c r="AX30" s="12"/>
      <c r="BC30" s="13"/>
      <c r="CG30" s="5"/>
      <c r="CH30" s="5"/>
    </row>
    <row r="31" spans="6:86" ht="18" customHeight="1" x14ac:dyDescent="0.2">
      <c r="F31" s="4"/>
      <c r="G31" s="4"/>
      <c r="N31" s="12"/>
      <c r="O31" s="42"/>
      <c r="P31" s="43"/>
      <c r="Q31" s="43"/>
      <c r="R31" s="74"/>
      <c r="S31" s="85"/>
      <c r="T31" s="85"/>
      <c r="U31" s="75"/>
      <c r="V31" s="43"/>
      <c r="W31" s="43"/>
      <c r="X31" s="43"/>
      <c r="Y31" s="45"/>
      <c r="Z31" s="36"/>
      <c r="AA31" s="32"/>
      <c r="AB31" s="32"/>
      <c r="AC31" s="33"/>
      <c r="AD31" s="51"/>
      <c r="AE31" s="50"/>
      <c r="AF31" s="51"/>
      <c r="AG31" s="51"/>
      <c r="AH31" s="51"/>
      <c r="AI31" s="51"/>
      <c r="AJ31" s="50"/>
      <c r="AK31" s="76"/>
      <c r="AL31" s="77"/>
      <c r="AM31" s="49"/>
      <c r="AN31" s="49"/>
      <c r="AO31" s="49"/>
      <c r="AP31" s="49"/>
      <c r="AQ31" s="49"/>
      <c r="AR31" s="49"/>
      <c r="AS31" s="49"/>
      <c r="AT31" s="49"/>
      <c r="AU31" s="59"/>
      <c r="AV31" s="61"/>
      <c r="AW31" s="13"/>
      <c r="AX31" s="12"/>
      <c r="BC31" s="13"/>
      <c r="CG31" s="5"/>
      <c r="CH31" s="5"/>
    </row>
    <row r="32" spans="6:86" ht="18" customHeight="1" x14ac:dyDescent="0.2">
      <c r="F32" s="4"/>
      <c r="G32" s="4"/>
      <c r="N32" s="12"/>
      <c r="O32" s="42"/>
      <c r="P32" s="43"/>
      <c r="Q32" s="43"/>
      <c r="R32" s="86"/>
      <c r="S32" s="87"/>
      <c r="T32" s="87"/>
      <c r="U32" s="88"/>
      <c r="V32" s="43"/>
      <c r="W32" s="43"/>
      <c r="X32" s="43"/>
      <c r="Y32" s="45"/>
      <c r="Z32" s="36"/>
      <c r="AA32" s="32"/>
      <c r="AB32" s="32"/>
      <c r="AC32" s="33"/>
      <c r="AD32" s="51"/>
      <c r="AE32" s="50"/>
      <c r="AF32" s="51"/>
      <c r="AG32" s="51"/>
      <c r="AH32" s="51"/>
      <c r="AI32" s="51"/>
      <c r="AJ32" s="50"/>
      <c r="AK32" s="96"/>
      <c r="AL32" s="98"/>
      <c r="AM32" s="49"/>
      <c r="AN32" s="49"/>
      <c r="AO32" s="49"/>
      <c r="AP32" s="49"/>
      <c r="AQ32" s="49"/>
      <c r="AR32" s="49"/>
      <c r="AS32" s="49"/>
      <c r="AT32" s="49"/>
      <c r="AU32" s="37"/>
      <c r="AV32" s="39"/>
      <c r="AW32" s="13"/>
      <c r="AX32" s="12"/>
      <c r="BC32" s="13"/>
      <c r="CG32" s="5"/>
      <c r="CH32" s="5"/>
    </row>
    <row r="33" spans="6:86" ht="18" customHeight="1" x14ac:dyDescent="0.2">
      <c r="F33" s="4"/>
      <c r="G33" s="4"/>
      <c r="N33" s="12"/>
      <c r="O33" s="42"/>
      <c r="P33" s="43"/>
      <c r="Q33" s="43"/>
      <c r="R33" s="86"/>
      <c r="S33" s="87"/>
      <c r="T33" s="87"/>
      <c r="U33" s="88"/>
      <c r="V33" s="43"/>
      <c r="W33" s="43"/>
      <c r="X33" s="43"/>
      <c r="Y33" s="45"/>
      <c r="Z33" s="36"/>
      <c r="AA33" s="32"/>
      <c r="AB33" s="32"/>
      <c r="AC33" s="33"/>
      <c r="AD33" s="51"/>
      <c r="AE33" s="50"/>
      <c r="AF33" s="51"/>
      <c r="AG33" s="51"/>
      <c r="AH33" s="51"/>
      <c r="AI33" s="51"/>
      <c r="AJ33" s="50"/>
      <c r="AK33" s="96"/>
      <c r="AL33" s="98"/>
      <c r="AM33" s="49"/>
      <c r="AN33" s="49"/>
      <c r="AO33" s="49"/>
      <c r="AP33" s="49"/>
      <c r="AQ33" s="49"/>
      <c r="AR33" s="49"/>
      <c r="AS33" s="49"/>
      <c r="AT33" s="49"/>
      <c r="AU33" s="78"/>
      <c r="AV33" s="35"/>
      <c r="AW33" s="13"/>
      <c r="AX33" s="12"/>
      <c r="BC33" s="13"/>
      <c r="CG33" s="5"/>
      <c r="CH33" s="5"/>
    </row>
    <row r="34" spans="6:86" ht="18" customHeight="1" x14ac:dyDescent="0.2">
      <c r="F34" s="4"/>
      <c r="G34" s="4"/>
      <c r="N34" s="12"/>
      <c r="O34" s="42"/>
      <c r="P34" s="43"/>
      <c r="Q34" s="43"/>
      <c r="R34" s="86"/>
      <c r="S34" s="87"/>
      <c r="T34" s="87"/>
      <c r="U34" s="88"/>
      <c r="V34" s="43"/>
      <c r="W34" s="43"/>
      <c r="X34" s="43"/>
      <c r="Y34" s="45"/>
      <c r="Z34" s="36"/>
      <c r="AA34" s="32"/>
      <c r="AB34" s="32"/>
      <c r="AC34" s="33"/>
      <c r="AD34" s="51"/>
      <c r="AE34" s="50"/>
      <c r="AF34" s="51"/>
      <c r="AG34" s="51"/>
      <c r="AH34" s="51"/>
      <c r="AI34" s="51"/>
      <c r="AJ34" s="50"/>
      <c r="AK34" s="96"/>
      <c r="AL34" s="98"/>
      <c r="AM34" s="49"/>
      <c r="AN34" s="49"/>
      <c r="AO34" s="49"/>
      <c r="AP34" s="49"/>
      <c r="AQ34" s="49"/>
      <c r="AR34" s="49"/>
      <c r="AS34" s="49"/>
      <c r="AT34" s="49"/>
      <c r="AU34" s="96"/>
      <c r="AV34" s="98"/>
      <c r="AW34" s="13"/>
      <c r="AX34" s="12"/>
      <c r="BC34" s="13"/>
      <c r="CG34" s="5"/>
      <c r="CH34" s="5"/>
    </row>
    <row r="35" spans="6:86" ht="18" customHeight="1" x14ac:dyDescent="0.2">
      <c r="F35" s="4"/>
      <c r="G35" s="4"/>
      <c r="N35" s="12"/>
      <c r="O35" s="42"/>
      <c r="P35" s="43"/>
      <c r="Q35" s="43"/>
      <c r="R35" s="86"/>
      <c r="S35" s="87"/>
      <c r="T35" s="87"/>
      <c r="U35" s="88"/>
      <c r="V35" s="43"/>
      <c r="W35" s="43"/>
      <c r="X35" s="43"/>
      <c r="Y35" s="45"/>
      <c r="Z35" s="36"/>
      <c r="AA35" s="32"/>
      <c r="AB35" s="32"/>
      <c r="AC35" s="33"/>
      <c r="AD35" s="51"/>
      <c r="AE35" s="51"/>
      <c r="AF35" s="52"/>
      <c r="AG35" s="52"/>
      <c r="AH35" s="52"/>
      <c r="AI35" s="52"/>
      <c r="AJ35" s="53"/>
      <c r="AK35" s="96"/>
      <c r="AL35" s="97"/>
      <c r="AM35" s="57"/>
      <c r="AN35" s="57"/>
      <c r="AO35" s="57"/>
      <c r="AP35" s="57"/>
      <c r="AQ35" s="57"/>
      <c r="AR35" s="57"/>
      <c r="AS35" s="57"/>
      <c r="AT35" s="57"/>
      <c r="AU35" s="97"/>
      <c r="AV35" s="98"/>
      <c r="AW35" s="13"/>
      <c r="AX35" s="12"/>
      <c r="BC35" s="13"/>
      <c r="CG35" s="5"/>
      <c r="CH35" s="5"/>
    </row>
    <row r="36" spans="6:86" ht="18" customHeight="1" x14ac:dyDescent="0.2">
      <c r="F36" s="4"/>
      <c r="G36" s="4"/>
      <c r="N36" s="12"/>
      <c r="O36" s="46"/>
      <c r="P36" s="47"/>
      <c r="Q36" s="47"/>
      <c r="R36" s="76"/>
      <c r="S36" s="89"/>
      <c r="T36" s="89"/>
      <c r="U36" s="77"/>
      <c r="V36" s="47"/>
      <c r="W36" s="47"/>
      <c r="X36" s="47"/>
      <c r="Y36" s="48"/>
      <c r="Z36" s="78"/>
      <c r="AA36" s="34"/>
      <c r="AB36" s="34"/>
      <c r="AC36" s="35"/>
      <c r="AD36" s="54"/>
      <c r="AE36" s="54"/>
      <c r="AF36" s="54"/>
      <c r="AG36" s="54"/>
      <c r="AH36" s="54"/>
      <c r="AI36" s="54"/>
      <c r="AJ36" s="55"/>
      <c r="AK36" s="59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1"/>
      <c r="AW36" s="13"/>
      <c r="AX36" s="12"/>
      <c r="BC36" s="13"/>
      <c r="CG36" s="5"/>
      <c r="CH36" s="5"/>
    </row>
    <row r="37" spans="6:86" ht="18" customHeight="1" x14ac:dyDescent="0.2">
      <c r="F37" s="4"/>
      <c r="G37" s="4"/>
      <c r="N37" s="14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6"/>
      <c r="AX37" s="14"/>
      <c r="AY37" s="15"/>
      <c r="AZ37" s="15"/>
      <c r="BA37" s="15"/>
      <c r="BB37" s="15"/>
      <c r="BC37" s="16"/>
      <c r="CG37" s="5"/>
      <c r="CH37" s="5"/>
    </row>
    <row r="38" spans="6:86" ht="18" customHeight="1" x14ac:dyDescent="0.2">
      <c r="F38" s="4"/>
      <c r="G38" s="4"/>
      <c r="CG38" s="5"/>
      <c r="CH38" s="5"/>
    </row>
    <row r="39" spans="6:86" ht="18" customHeight="1" x14ac:dyDescent="0.2">
      <c r="F39" s="4"/>
      <c r="G39" s="4"/>
      <c r="CG39" s="5"/>
      <c r="CH39" s="5"/>
    </row>
    <row r="40" spans="6:86" ht="18" customHeight="1" x14ac:dyDescent="0.2">
      <c r="F40" s="4"/>
      <c r="G40" s="4"/>
      <c r="CG40" s="5"/>
      <c r="CH40" s="5"/>
    </row>
    <row r="41" spans="6:86" ht="18" customHeight="1" x14ac:dyDescent="0.2">
      <c r="F41" s="4"/>
      <c r="G41" s="4"/>
      <c r="CG41" s="5"/>
      <c r="CH41" s="5"/>
    </row>
    <row r="42" spans="6:86" ht="18" customHeight="1" x14ac:dyDescent="0.2">
      <c r="F42" s="4"/>
      <c r="G42" s="4"/>
      <c r="CG42" s="5"/>
      <c r="CH42" s="5"/>
    </row>
    <row r="43" spans="6:86" ht="18" customHeight="1" thickBot="1" x14ac:dyDescent="0.25">
      <c r="F43" s="4"/>
      <c r="G43" s="6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8"/>
      <c r="CH43" s="5"/>
    </row>
    <row r="44" spans="6:86" ht="18" customHeight="1" thickBot="1" x14ac:dyDescent="0.25">
      <c r="F44" s="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8"/>
    </row>
    <row r="50" spans="6:134" ht="18" customHeight="1" thickBot="1" x14ac:dyDescent="0.25"/>
    <row r="51" spans="6:134" ht="18" customHeight="1" x14ac:dyDescent="0.2">
      <c r="F51" s="1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3"/>
      <c r="BW51" s="1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3"/>
    </row>
    <row r="52" spans="6:134" ht="18" customHeight="1" x14ac:dyDescent="0.2">
      <c r="F52" s="4"/>
      <c r="BM52" s="5"/>
      <c r="BW52" s="4"/>
      <c r="ED52" s="5"/>
    </row>
    <row r="53" spans="6:134" ht="18" customHeight="1" x14ac:dyDescent="0.2">
      <c r="F53" s="4"/>
      <c r="BM53" s="5"/>
      <c r="BW53" s="4"/>
      <c r="ED53" s="5"/>
    </row>
    <row r="54" spans="6:134" ht="18" customHeight="1" x14ac:dyDescent="0.2">
      <c r="F54" s="4"/>
      <c r="BM54" s="5"/>
      <c r="BW54" s="4"/>
      <c r="ED54" s="5"/>
    </row>
    <row r="55" spans="6:134" ht="18" customHeight="1" x14ac:dyDescent="0.2">
      <c r="F55" s="4"/>
      <c r="BM55" s="5"/>
      <c r="BW55" s="4"/>
      <c r="ED55" s="5"/>
    </row>
    <row r="56" spans="6:134" ht="18" customHeight="1" x14ac:dyDescent="0.2">
      <c r="F56" s="4"/>
      <c r="BM56" s="5"/>
      <c r="BW56" s="4"/>
      <c r="ED56" s="5"/>
    </row>
    <row r="57" spans="6:134" ht="18" customHeight="1" x14ac:dyDescent="0.2">
      <c r="F57" s="4"/>
      <c r="BM57" s="5"/>
      <c r="BW57" s="4"/>
      <c r="ED57" s="5"/>
    </row>
    <row r="58" spans="6:134" ht="18" customHeight="1" x14ac:dyDescent="0.2">
      <c r="F58" s="4"/>
      <c r="BM58" s="5"/>
      <c r="BW58" s="4"/>
      <c r="ED58" s="5"/>
    </row>
    <row r="59" spans="6:134" ht="18" customHeight="1" x14ac:dyDescent="0.2">
      <c r="F59" s="4"/>
      <c r="BM59" s="5"/>
      <c r="BW59" s="4"/>
      <c r="ED59" s="5"/>
    </row>
    <row r="60" spans="6:134" ht="18" customHeight="1" x14ac:dyDescent="0.2">
      <c r="F60" s="4"/>
      <c r="BM60" s="5"/>
      <c r="BW60" s="4"/>
      <c r="ED60" s="5"/>
    </row>
    <row r="61" spans="6:134" ht="18" customHeight="1" x14ac:dyDescent="0.2">
      <c r="F61" s="4"/>
      <c r="BM61" s="5"/>
      <c r="BW61" s="4"/>
      <c r="ED61" s="5"/>
    </row>
    <row r="62" spans="6:134" ht="18" customHeight="1" x14ac:dyDescent="0.2">
      <c r="F62" s="4"/>
      <c r="K62" s="40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4"/>
      <c r="BM62" s="5"/>
      <c r="BW62" s="4"/>
      <c r="ED62" s="5"/>
    </row>
    <row r="63" spans="6:134" ht="18" customHeight="1" x14ac:dyDescent="0.2">
      <c r="F63" s="4"/>
      <c r="K63" s="42"/>
      <c r="L63" s="9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1"/>
      <c r="X63" s="38"/>
      <c r="Y63" s="38"/>
      <c r="Z63" s="38"/>
      <c r="AA63" s="38"/>
      <c r="AB63" s="39"/>
      <c r="AC63" s="38"/>
      <c r="AD63" s="38"/>
      <c r="AE63" s="38"/>
      <c r="AF63" s="38"/>
      <c r="AG63" s="38"/>
      <c r="AH63" s="9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1"/>
      <c r="AU63" s="45"/>
      <c r="BM63" s="5"/>
      <c r="BW63" s="4"/>
      <c r="ED63" s="5"/>
    </row>
    <row r="64" spans="6:134" ht="18" customHeight="1" x14ac:dyDescent="0.2">
      <c r="F64" s="4"/>
      <c r="K64" s="42"/>
      <c r="L64" s="12"/>
      <c r="W64" s="13"/>
      <c r="X64" s="32"/>
      <c r="Y64" s="32"/>
      <c r="Z64" s="32"/>
      <c r="AA64" s="32"/>
      <c r="AB64" s="33"/>
      <c r="AC64" s="32"/>
      <c r="AD64" s="32"/>
      <c r="AE64" s="32"/>
      <c r="AF64" s="32"/>
      <c r="AG64" s="32"/>
      <c r="AH64" s="12"/>
      <c r="AT64" s="13"/>
      <c r="AU64" s="45"/>
      <c r="BM64" s="5"/>
      <c r="BW64" s="4"/>
      <c r="CB64" s="40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4"/>
      <c r="ED64" s="5"/>
    </row>
    <row r="65" spans="6:134" ht="18" customHeight="1" x14ac:dyDescent="0.2">
      <c r="F65" s="4"/>
      <c r="K65" s="42"/>
      <c r="L65" s="12"/>
      <c r="W65" s="13"/>
      <c r="X65" s="32"/>
      <c r="Y65" s="32"/>
      <c r="Z65" s="32"/>
      <c r="AA65" s="32"/>
      <c r="AB65" s="33"/>
      <c r="AC65" s="32"/>
      <c r="AD65" s="32"/>
      <c r="AE65" s="32"/>
      <c r="AF65" s="32"/>
      <c r="AG65" s="32"/>
      <c r="AH65" s="12"/>
      <c r="AT65" s="13"/>
      <c r="AU65" s="45"/>
      <c r="BM65" s="5"/>
      <c r="BW65" s="4"/>
      <c r="CB65" s="42"/>
      <c r="CC65" s="9"/>
      <c r="CD65" s="10"/>
      <c r="CE65" s="10"/>
      <c r="CF65" s="10"/>
      <c r="CG65" s="10"/>
      <c r="CH65" s="10"/>
      <c r="CI65" s="10"/>
      <c r="CJ65" s="10"/>
      <c r="CK65" s="10"/>
      <c r="CL65" s="10"/>
      <c r="CM65" s="9"/>
      <c r="CN65" s="11"/>
      <c r="CO65" s="38"/>
      <c r="CP65" s="38"/>
      <c r="CQ65" s="38"/>
      <c r="CR65" s="38"/>
      <c r="CS65" s="39"/>
      <c r="CT65" s="38"/>
      <c r="CU65" s="38"/>
      <c r="CV65" s="38"/>
      <c r="CW65" s="38"/>
      <c r="CX65" s="38"/>
      <c r="CY65" s="9"/>
      <c r="CZ65" s="10"/>
      <c r="DA65" s="10"/>
      <c r="DB65" s="10"/>
      <c r="DC65" s="9"/>
      <c r="DD65" s="10"/>
      <c r="DE65" s="10"/>
      <c r="DF65" s="10"/>
      <c r="DG65" s="10"/>
      <c r="DH65" s="11"/>
      <c r="DI65" s="10"/>
      <c r="DJ65" s="10"/>
      <c r="DK65" s="11"/>
      <c r="DL65" s="45"/>
      <c r="ED65" s="5"/>
    </row>
    <row r="66" spans="6:134" ht="18" customHeight="1" x14ac:dyDescent="0.2">
      <c r="F66" s="4"/>
      <c r="K66" s="42"/>
      <c r="L66" s="12"/>
      <c r="W66" s="13"/>
      <c r="X66" s="32"/>
      <c r="Y66" s="32"/>
      <c r="Z66" s="32"/>
      <c r="AA66" s="32"/>
      <c r="AB66" s="33"/>
      <c r="AC66" s="32"/>
      <c r="AD66" s="32"/>
      <c r="AE66" s="32"/>
      <c r="AF66" s="32"/>
      <c r="AG66" s="32"/>
      <c r="AH66" s="12"/>
      <c r="AT66" s="13"/>
      <c r="AU66" s="45"/>
      <c r="BM66" s="5"/>
      <c r="BW66" s="4"/>
      <c r="CB66" s="42"/>
      <c r="CC66" s="12"/>
      <c r="CM66" s="12"/>
      <c r="CN66" s="13"/>
      <c r="CO66" s="32"/>
      <c r="CP66" s="32"/>
      <c r="CQ66" s="32"/>
      <c r="CR66" s="32"/>
      <c r="CS66" s="33"/>
      <c r="CT66" s="32"/>
      <c r="CU66" s="32"/>
      <c r="CV66" s="32"/>
      <c r="CW66" s="32"/>
      <c r="CX66" s="32"/>
      <c r="CY66" s="12"/>
      <c r="DC66" s="12"/>
      <c r="DH66" s="13"/>
      <c r="DK66" s="13"/>
      <c r="DL66" s="45"/>
      <c r="ED66" s="5"/>
    </row>
    <row r="67" spans="6:134" ht="18" customHeight="1" x14ac:dyDescent="0.2">
      <c r="F67" s="4"/>
      <c r="K67" s="42"/>
      <c r="L67" s="12"/>
      <c r="W67" s="13"/>
      <c r="X67" s="32"/>
      <c r="Y67" s="32"/>
      <c r="Z67" s="32"/>
      <c r="AA67" s="32"/>
      <c r="AB67" s="33"/>
      <c r="AC67" s="32"/>
      <c r="AD67" s="32"/>
      <c r="AE67" s="32"/>
      <c r="AF67" s="32"/>
      <c r="AG67" s="32"/>
      <c r="AH67" s="12"/>
      <c r="AT67" s="13"/>
      <c r="AU67" s="45"/>
      <c r="BM67" s="5"/>
      <c r="BW67" s="4"/>
      <c r="CB67" s="42"/>
      <c r="CC67" s="9"/>
      <c r="CD67" s="10"/>
      <c r="CE67" s="10"/>
      <c r="CF67" s="10"/>
      <c r="CG67" s="10"/>
      <c r="CH67" s="11"/>
      <c r="CM67" s="12"/>
      <c r="CN67" s="13"/>
      <c r="CO67" s="32"/>
      <c r="CP67" s="32"/>
      <c r="CQ67" s="32"/>
      <c r="CR67" s="32"/>
      <c r="CS67" s="33"/>
      <c r="CT67" s="32"/>
      <c r="CU67" s="32"/>
      <c r="CV67" s="32"/>
      <c r="CW67" s="32"/>
      <c r="CX67" s="32"/>
      <c r="CY67" s="12"/>
      <c r="DC67" s="12"/>
      <c r="DH67" s="13"/>
      <c r="DK67" s="13"/>
      <c r="DL67" s="45"/>
      <c r="ED67" s="5"/>
    </row>
    <row r="68" spans="6:134" ht="18" customHeight="1" x14ac:dyDescent="0.2">
      <c r="F68" s="4"/>
      <c r="K68" s="42"/>
      <c r="L68" s="12"/>
      <c r="W68" s="13"/>
      <c r="X68" s="32"/>
      <c r="Y68" s="32"/>
      <c r="Z68" s="32"/>
      <c r="AA68" s="32"/>
      <c r="AB68" s="33"/>
      <c r="AC68" s="32"/>
      <c r="AD68" s="32"/>
      <c r="AE68" s="32"/>
      <c r="AF68" s="32"/>
      <c r="AG68" s="32"/>
      <c r="AH68" s="12"/>
      <c r="AT68" s="13"/>
      <c r="AU68" s="45"/>
      <c r="BM68" s="5"/>
      <c r="BW68" s="4"/>
      <c r="CB68" s="42"/>
      <c r="CC68" s="12"/>
      <c r="CH68" s="13"/>
      <c r="CM68" s="12"/>
      <c r="CN68" s="13"/>
      <c r="CO68" s="32"/>
      <c r="CP68" s="32"/>
      <c r="CQ68" s="32"/>
      <c r="CR68" s="32"/>
      <c r="CS68" s="33"/>
      <c r="CT68" s="32"/>
      <c r="CU68" s="32"/>
      <c r="CV68" s="32"/>
      <c r="CW68" s="32"/>
      <c r="CX68" s="32"/>
      <c r="CY68" s="12"/>
      <c r="DC68" s="12"/>
      <c r="DH68" s="13"/>
      <c r="DK68" s="13"/>
      <c r="DL68" s="45"/>
      <c r="ED68" s="5"/>
    </row>
    <row r="69" spans="6:134" ht="18" customHeight="1" x14ac:dyDescent="0.2">
      <c r="F69" s="4"/>
      <c r="K69" s="42"/>
      <c r="L69" s="12"/>
      <c r="W69" s="13"/>
      <c r="X69" s="32"/>
      <c r="Y69" s="32"/>
      <c r="Z69" s="32"/>
      <c r="AA69" s="32"/>
      <c r="AB69" s="33"/>
      <c r="AC69" s="32"/>
      <c r="AD69" s="32"/>
      <c r="AE69" s="32"/>
      <c r="AF69" s="32"/>
      <c r="AG69" s="32"/>
      <c r="AH69" s="12"/>
      <c r="AT69" s="13"/>
      <c r="AU69" s="45"/>
      <c r="BM69" s="5"/>
      <c r="BW69" s="4"/>
      <c r="CB69" s="42"/>
      <c r="CC69" s="12"/>
      <c r="CH69" s="13"/>
      <c r="CM69" s="12"/>
      <c r="CN69" s="13"/>
      <c r="CO69" s="32"/>
      <c r="CP69" s="32"/>
      <c r="CQ69" s="32"/>
      <c r="CR69" s="32"/>
      <c r="CS69" s="33"/>
      <c r="CT69" s="32"/>
      <c r="CU69" s="32"/>
      <c r="CV69" s="32"/>
      <c r="CW69" s="32"/>
      <c r="CX69" s="32"/>
      <c r="CY69" s="12"/>
      <c r="DC69" s="12"/>
      <c r="DH69" s="13"/>
      <c r="DK69" s="13"/>
      <c r="DL69" s="45"/>
      <c r="ED69" s="5"/>
    </row>
    <row r="70" spans="6:134" ht="18" customHeight="1" x14ac:dyDescent="0.2">
      <c r="F70" s="4"/>
      <c r="K70" s="42"/>
      <c r="L70" s="12"/>
      <c r="W70" s="13"/>
      <c r="X70" s="32"/>
      <c r="Y70" s="32"/>
      <c r="Z70" s="32"/>
      <c r="AA70" s="32"/>
      <c r="AB70" s="33"/>
      <c r="AC70" s="32"/>
      <c r="AD70" s="32"/>
      <c r="AE70" s="32"/>
      <c r="AF70" s="32"/>
      <c r="AG70" s="70"/>
      <c r="AH70" s="12"/>
      <c r="AT70" s="13"/>
      <c r="AU70" s="45"/>
      <c r="BM70" s="5"/>
      <c r="BW70" s="4"/>
      <c r="CB70" s="42"/>
      <c r="CC70" s="12"/>
      <c r="CH70" s="13"/>
      <c r="CM70" s="14"/>
      <c r="CN70" s="16"/>
      <c r="CO70" s="32"/>
      <c r="CP70" s="32"/>
      <c r="CQ70" s="32"/>
      <c r="CR70" s="32"/>
      <c r="CS70" s="33"/>
      <c r="CT70" s="32"/>
      <c r="CU70" s="32"/>
      <c r="CV70" s="32"/>
      <c r="CW70" s="32"/>
      <c r="CX70" s="70"/>
      <c r="CY70" s="12"/>
      <c r="DC70" s="14"/>
      <c r="DD70" s="15"/>
      <c r="DE70" s="15"/>
      <c r="DF70" s="15"/>
      <c r="DG70" s="15"/>
      <c r="DH70" s="16"/>
      <c r="DK70" s="13"/>
      <c r="DL70" s="45"/>
      <c r="ED70" s="5"/>
    </row>
    <row r="71" spans="6:134" ht="18" customHeight="1" x14ac:dyDescent="0.2">
      <c r="F71" s="4"/>
      <c r="K71" s="42"/>
      <c r="L71" s="12"/>
      <c r="W71" s="13"/>
      <c r="X71" s="32"/>
      <c r="Y71" s="32"/>
      <c r="Z71" s="32"/>
      <c r="AA71" s="32"/>
      <c r="AB71" s="33"/>
      <c r="AC71" s="32"/>
      <c r="AD71" s="32"/>
      <c r="AE71" s="32"/>
      <c r="AF71" s="32"/>
      <c r="AG71" s="107"/>
      <c r="AH71" s="12"/>
      <c r="AT71" s="13"/>
      <c r="AU71" s="45"/>
      <c r="BM71" s="5"/>
      <c r="BW71" s="4"/>
      <c r="CB71" s="42"/>
      <c r="CC71" s="12"/>
      <c r="CH71" s="13"/>
      <c r="CN71" s="13"/>
      <c r="CO71" s="32"/>
      <c r="CP71" s="32"/>
      <c r="CQ71" s="32"/>
      <c r="CR71" s="32"/>
      <c r="CS71" s="33"/>
      <c r="CT71" s="32"/>
      <c r="CU71" s="32"/>
      <c r="CV71" s="32"/>
      <c r="CW71" s="32"/>
      <c r="CX71" s="107"/>
      <c r="CY71" s="12"/>
      <c r="DK71" s="13"/>
      <c r="DL71" s="45"/>
      <c r="ED71" s="5"/>
    </row>
    <row r="72" spans="6:134" ht="18" customHeight="1" x14ac:dyDescent="0.2">
      <c r="F72" s="4"/>
      <c r="K72" s="42"/>
      <c r="L72" s="12"/>
      <c r="W72" s="13"/>
      <c r="X72" s="34"/>
      <c r="Y72" s="34"/>
      <c r="Z72" s="26"/>
      <c r="AA72" s="27"/>
      <c r="AB72" s="28"/>
      <c r="AC72" s="34"/>
      <c r="AD72" s="34"/>
      <c r="AE72" s="34"/>
      <c r="AF72" s="34"/>
      <c r="AG72" s="72"/>
      <c r="AH72" s="12"/>
      <c r="AT72" s="13"/>
      <c r="AU72" s="45"/>
      <c r="BM72" s="5"/>
      <c r="BW72" s="4"/>
      <c r="CB72" s="42"/>
      <c r="CC72" s="14"/>
      <c r="CD72" s="15"/>
      <c r="CE72" s="15"/>
      <c r="CF72" s="15"/>
      <c r="CG72" s="15"/>
      <c r="CH72" s="16"/>
      <c r="CN72" s="13"/>
      <c r="CO72" s="34"/>
      <c r="CP72" s="34"/>
      <c r="CQ72" s="26"/>
      <c r="CR72" s="27"/>
      <c r="CS72" s="28"/>
      <c r="CT72" s="34"/>
      <c r="CU72" s="34"/>
      <c r="CV72" s="34"/>
      <c r="CW72" s="34"/>
      <c r="CX72" s="72"/>
      <c r="CY72" s="12"/>
      <c r="DK72" s="13"/>
      <c r="DL72" s="45"/>
      <c r="ED72" s="5"/>
    </row>
    <row r="73" spans="6:134" ht="18" customHeight="1" x14ac:dyDescent="0.2">
      <c r="F73" s="4"/>
      <c r="K73" s="42"/>
      <c r="L73" s="12"/>
      <c r="W73" s="23"/>
      <c r="AH73" s="12"/>
      <c r="AT73" s="13"/>
      <c r="AU73" s="45"/>
      <c r="BM73" s="5"/>
      <c r="BW73" s="4"/>
      <c r="CB73" s="42"/>
      <c r="CC73" s="12"/>
      <c r="CN73" s="23"/>
      <c r="CY73" s="12"/>
      <c r="DK73" s="13"/>
      <c r="DL73" s="45"/>
      <c r="ED73" s="5"/>
    </row>
    <row r="74" spans="6:134" ht="18" customHeight="1" x14ac:dyDescent="0.2">
      <c r="F74" s="4"/>
      <c r="K74" s="42"/>
      <c r="L74" s="12"/>
      <c r="W74" s="24"/>
      <c r="AH74" s="12"/>
      <c r="AT74" s="13"/>
      <c r="AU74" s="45"/>
      <c r="BM74" s="5"/>
      <c r="BW74" s="4"/>
      <c r="CB74" s="42"/>
      <c r="CC74" s="12"/>
      <c r="CN74" s="24"/>
      <c r="CY74" s="23"/>
      <c r="DK74" s="13"/>
      <c r="DL74" s="45"/>
      <c r="ED74" s="5"/>
    </row>
    <row r="75" spans="6:134" ht="18" customHeight="1" x14ac:dyDescent="0.2">
      <c r="F75" s="4"/>
      <c r="K75" s="42"/>
      <c r="L75" s="14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25"/>
      <c r="AH75" s="23"/>
      <c r="AT75" s="13"/>
      <c r="AU75" s="45"/>
      <c r="BM75" s="5"/>
      <c r="BW75" s="4"/>
      <c r="CB75" s="42"/>
      <c r="CC75" s="14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25"/>
      <c r="CY75" s="24"/>
      <c r="DF75" s="9"/>
      <c r="DG75" s="10"/>
      <c r="DH75" s="10"/>
      <c r="DI75" s="10"/>
      <c r="DJ75" s="10"/>
      <c r="DK75" s="11"/>
      <c r="DL75" s="45"/>
      <c r="ED75" s="5"/>
    </row>
    <row r="76" spans="6:134" ht="18" customHeight="1" x14ac:dyDescent="0.2">
      <c r="F76" s="4"/>
      <c r="K76" s="42"/>
      <c r="L76" s="9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23"/>
      <c r="AH76" s="24"/>
      <c r="AT76" s="13"/>
      <c r="AU76" s="108"/>
      <c r="BM76" s="5"/>
      <c r="BW76" s="4"/>
      <c r="CB76" s="42"/>
      <c r="CC76" s="9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10"/>
      <c r="CY76" s="24"/>
      <c r="DF76" s="14"/>
      <c r="DG76" s="15"/>
      <c r="DH76" s="15"/>
      <c r="DI76" s="15"/>
      <c r="DJ76" s="15"/>
      <c r="DK76" s="16"/>
      <c r="DL76" s="108"/>
      <c r="ED76" s="5"/>
    </row>
    <row r="77" spans="6:134" ht="18" customHeight="1" x14ac:dyDescent="0.2">
      <c r="F77" s="4"/>
      <c r="K77" s="42"/>
      <c r="L77" s="12"/>
      <c r="W77" s="24"/>
      <c r="AH77" s="25"/>
      <c r="AI77" s="15"/>
      <c r="AJ77" s="15"/>
      <c r="AK77" s="15"/>
      <c r="AL77" s="40"/>
      <c r="AM77" s="109"/>
      <c r="AN77" s="109"/>
      <c r="AO77" s="109"/>
      <c r="AP77" s="109"/>
      <c r="AQ77" s="109"/>
      <c r="AR77" s="109"/>
      <c r="AS77" s="109"/>
      <c r="AT77" s="109"/>
      <c r="AU77" s="48"/>
      <c r="BM77" s="5"/>
      <c r="BW77" s="4"/>
      <c r="CB77" s="42"/>
      <c r="CC77" s="12"/>
      <c r="CN77" s="111"/>
      <c r="CU77" s="20"/>
      <c r="CV77" s="21"/>
      <c r="CW77" s="21"/>
      <c r="CX77" s="21"/>
      <c r="CY77" s="21"/>
      <c r="CZ77" s="21"/>
      <c r="DA77" s="21"/>
      <c r="DB77" s="22"/>
      <c r="DC77" s="41"/>
      <c r="DD77" s="109"/>
      <c r="DE77" s="109"/>
      <c r="DF77" s="109"/>
      <c r="DG77" s="109"/>
      <c r="DH77" s="109"/>
      <c r="DI77" s="109"/>
      <c r="DJ77" s="109"/>
      <c r="DK77" s="109"/>
      <c r="DL77" s="48"/>
      <c r="ED77" s="23"/>
    </row>
    <row r="78" spans="6:134" ht="18" customHeight="1" x14ac:dyDescent="0.2">
      <c r="F78" s="4"/>
      <c r="K78" s="42"/>
      <c r="L78" s="12"/>
      <c r="W78" s="25"/>
      <c r="AK78" s="23"/>
      <c r="AL78" s="108"/>
      <c r="AM78" s="10"/>
      <c r="AN78" s="10"/>
      <c r="AO78" s="10"/>
      <c r="AP78" s="10"/>
      <c r="AQ78" s="10"/>
      <c r="AR78" s="10"/>
      <c r="AS78" s="10"/>
      <c r="AT78" s="10"/>
      <c r="AU78" s="11"/>
      <c r="AV78" s="11"/>
      <c r="AW78" s="17"/>
      <c r="BM78" s="5"/>
      <c r="BW78" s="4"/>
      <c r="CB78" s="42"/>
      <c r="CC78" s="12"/>
      <c r="CN78" s="112"/>
      <c r="CU78" s="121"/>
      <c r="CV78" s="119"/>
      <c r="CW78" s="119"/>
      <c r="CX78" s="119"/>
      <c r="CY78" s="119"/>
      <c r="CZ78" s="122"/>
      <c r="DC78" s="108"/>
      <c r="DD78" s="10"/>
      <c r="DE78" s="10"/>
      <c r="DF78" s="10"/>
      <c r="DG78" s="10"/>
      <c r="DH78" s="10"/>
      <c r="DI78" s="10"/>
      <c r="DJ78" s="10"/>
      <c r="DK78" s="10"/>
      <c r="DL78" s="11"/>
      <c r="ED78" s="24"/>
    </row>
    <row r="79" spans="6:134" ht="18" customHeight="1" x14ac:dyDescent="0.2">
      <c r="F79" s="4"/>
      <c r="K79" s="42"/>
      <c r="L79" s="12"/>
      <c r="W79" s="13"/>
      <c r="AK79" s="24"/>
      <c r="AL79" s="108"/>
      <c r="AU79" s="13"/>
      <c r="AV79" s="13"/>
      <c r="AW79" s="18"/>
      <c r="BM79" s="5"/>
      <c r="BW79" s="4"/>
      <c r="CB79" s="42"/>
      <c r="CC79" s="12"/>
      <c r="CN79" s="13"/>
      <c r="CU79" s="64"/>
      <c r="CV79" s="120"/>
      <c r="CW79" s="120"/>
      <c r="CX79" s="120"/>
      <c r="CY79" s="120"/>
      <c r="CZ79" s="65"/>
      <c r="DC79" s="108"/>
      <c r="DL79" s="13"/>
      <c r="ED79" s="24"/>
    </row>
    <row r="80" spans="6:134" ht="18" customHeight="1" x14ac:dyDescent="0.2">
      <c r="F80" s="4"/>
      <c r="K80" s="42"/>
      <c r="L80" s="12"/>
      <c r="W80" s="13"/>
      <c r="AK80" s="25"/>
      <c r="AL80" s="108"/>
      <c r="AU80" s="13"/>
      <c r="AV80" s="13"/>
      <c r="AW80" s="18"/>
      <c r="BM80" s="5"/>
      <c r="BW80" s="4"/>
      <c r="CB80" s="42"/>
      <c r="CC80" s="12"/>
      <c r="CN80" s="13"/>
      <c r="DC80" s="108"/>
      <c r="DL80" s="13"/>
      <c r="ED80" s="24"/>
    </row>
    <row r="81" spans="6:134" ht="18" customHeight="1" x14ac:dyDescent="0.2">
      <c r="F81" s="4"/>
      <c r="K81" s="42"/>
      <c r="L81" s="12"/>
      <c r="W81" s="13"/>
      <c r="AL81" s="108"/>
      <c r="AU81" s="13"/>
      <c r="AV81" s="13"/>
      <c r="AW81" s="18"/>
      <c r="BM81" s="5"/>
      <c r="BW81" s="4"/>
      <c r="CB81" s="42"/>
      <c r="CC81" s="12"/>
      <c r="CN81" s="13"/>
      <c r="DC81" s="108"/>
      <c r="DL81" s="13"/>
      <c r="ED81" s="24"/>
    </row>
    <row r="82" spans="6:134" ht="18" customHeight="1" x14ac:dyDescent="0.2">
      <c r="F82" s="4"/>
      <c r="K82" s="42"/>
      <c r="L82" s="12"/>
      <c r="W82" s="13"/>
      <c r="X82" s="66"/>
      <c r="Y82" s="67"/>
      <c r="AJ82" s="101"/>
      <c r="AK82" s="102"/>
      <c r="AL82" s="108"/>
      <c r="AU82" s="13"/>
      <c r="AV82" s="13"/>
      <c r="AW82" s="18"/>
      <c r="BM82" s="5"/>
      <c r="BW82" s="4"/>
      <c r="CB82" s="42"/>
      <c r="CC82" s="12"/>
      <c r="CN82" s="13"/>
      <c r="DC82" s="108"/>
      <c r="DL82" s="13"/>
      <c r="ED82" s="24"/>
    </row>
    <row r="83" spans="6:134" ht="18" customHeight="1" x14ac:dyDescent="0.2">
      <c r="F83" s="4"/>
      <c r="K83" s="42"/>
      <c r="L83" s="12"/>
      <c r="W83" s="13"/>
      <c r="X83" s="94"/>
      <c r="Y83" s="95"/>
      <c r="AJ83" s="103"/>
      <c r="AK83" s="104"/>
      <c r="AL83" s="108"/>
      <c r="AU83" s="13"/>
      <c r="AV83" s="16"/>
      <c r="AW83" s="19"/>
      <c r="BM83" s="5"/>
      <c r="BW83" s="4"/>
      <c r="CB83" s="42"/>
      <c r="CC83" s="12"/>
      <c r="CN83" s="13"/>
      <c r="DC83" s="108"/>
      <c r="DL83" s="13"/>
      <c r="ED83" s="24"/>
    </row>
    <row r="84" spans="6:134" ht="18" customHeight="1" x14ac:dyDescent="0.2">
      <c r="F84" s="4"/>
      <c r="K84" s="42"/>
      <c r="L84" s="12"/>
      <c r="W84" s="13"/>
      <c r="X84" s="94"/>
      <c r="Y84" s="95"/>
      <c r="AJ84" s="103"/>
      <c r="AK84" s="104"/>
      <c r="AL84" s="108"/>
      <c r="AU84" s="13"/>
      <c r="BM84" s="5"/>
      <c r="BW84" s="4"/>
      <c r="CB84" s="42"/>
      <c r="CC84" s="9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1"/>
      <c r="DC84" s="108"/>
      <c r="DL84" s="13"/>
      <c r="ED84" s="24"/>
    </row>
    <row r="85" spans="6:134" ht="18" customHeight="1" x14ac:dyDescent="0.2">
      <c r="F85" s="4"/>
      <c r="K85" s="42"/>
      <c r="L85" s="12"/>
      <c r="W85" s="13"/>
      <c r="X85" s="94"/>
      <c r="Y85" s="95"/>
      <c r="AJ85" s="103"/>
      <c r="AK85" s="104"/>
      <c r="AL85" s="108"/>
      <c r="AU85" s="13"/>
      <c r="BM85" s="23"/>
      <c r="BW85" s="4"/>
      <c r="CB85" s="42"/>
      <c r="CC85" s="12"/>
      <c r="CE85" s="15"/>
      <c r="CF85" s="15"/>
      <c r="CG85" s="15"/>
      <c r="CH85" s="15"/>
      <c r="CI85" s="15"/>
      <c r="CJ85" s="15"/>
      <c r="CK85" s="15"/>
      <c r="CL85" s="15"/>
      <c r="CN85" s="13"/>
      <c r="DC85" s="108"/>
      <c r="DL85" s="13"/>
      <c r="ED85" s="24"/>
    </row>
    <row r="86" spans="6:134" ht="18" customHeight="1" x14ac:dyDescent="0.2">
      <c r="F86" s="4"/>
      <c r="K86" s="42"/>
      <c r="L86" s="12"/>
      <c r="W86" s="13"/>
      <c r="X86" s="94"/>
      <c r="Y86" s="95"/>
      <c r="AJ86" s="103"/>
      <c r="AK86" s="104"/>
      <c r="AL86" s="108"/>
      <c r="AU86" s="13"/>
      <c r="BM86" s="24"/>
      <c r="BW86" s="4"/>
      <c r="CB86" s="42"/>
      <c r="CC86" s="12"/>
      <c r="CD86" s="13"/>
      <c r="CM86" s="12"/>
      <c r="CN86" s="13"/>
      <c r="DC86" s="108"/>
      <c r="DL86" s="13"/>
      <c r="ED86" s="25"/>
    </row>
    <row r="87" spans="6:134" ht="18" customHeight="1" x14ac:dyDescent="0.2">
      <c r="F87" s="4"/>
      <c r="K87" s="42"/>
      <c r="L87" s="12"/>
      <c r="W87" s="13"/>
      <c r="X87" s="68"/>
      <c r="Y87" s="69"/>
      <c r="AJ87" s="105"/>
      <c r="AK87" s="106"/>
      <c r="AL87" s="108"/>
      <c r="AU87" s="13"/>
      <c r="AW87" s="9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1"/>
      <c r="BM87" s="24"/>
      <c r="BW87" s="4"/>
      <c r="CB87" s="42"/>
      <c r="CC87" s="12"/>
      <c r="CD87" s="13"/>
      <c r="CM87" s="12"/>
      <c r="CN87" s="13"/>
      <c r="DC87" s="108"/>
      <c r="DL87" s="13"/>
      <c r="DM87" s="11"/>
      <c r="DN87" s="17"/>
      <c r="ED87" s="5"/>
    </row>
    <row r="88" spans="6:134" ht="18" customHeight="1" x14ac:dyDescent="0.2">
      <c r="F88" s="4"/>
      <c r="K88" s="42"/>
      <c r="L88" s="14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6"/>
      <c r="AL88" s="108"/>
      <c r="AU88" s="13"/>
      <c r="AW88" s="12"/>
      <c r="BH88" s="13"/>
      <c r="BM88" s="24"/>
      <c r="BW88" s="4"/>
      <c r="CB88" s="42"/>
      <c r="CC88" s="12"/>
      <c r="CD88" s="13"/>
      <c r="CM88" s="12"/>
      <c r="CN88" s="13"/>
      <c r="CU88" s="113"/>
      <c r="CV88" s="114"/>
      <c r="CW88" s="114"/>
      <c r="CX88" s="114"/>
      <c r="CY88" s="114"/>
      <c r="CZ88" s="115"/>
      <c r="DC88" s="108"/>
      <c r="DL88" s="13"/>
      <c r="DM88" s="13"/>
      <c r="DN88" s="18"/>
      <c r="ED88" s="5"/>
    </row>
    <row r="89" spans="6:134" ht="18" customHeight="1" x14ac:dyDescent="0.2">
      <c r="F89" s="4"/>
      <c r="K89" s="42"/>
      <c r="L89" s="56"/>
      <c r="M89" s="57"/>
      <c r="N89" s="57"/>
      <c r="O89" s="57"/>
      <c r="P89" s="57"/>
      <c r="Q89" s="57"/>
      <c r="R89" s="57"/>
      <c r="S89" s="57"/>
      <c r="T89" s="57"/>
      <c r="U89" s="57"/>
      <c r="V89" s="85"/>
      <c r="W89" s="75"/>
      <c r="AL89" s="108"/>
      <c r="AU89" s="13"/>
      <c r="AW89" s="12"/>
      <c r="BH89" s="13"/>
      <c r="BM89" s="24"/>
      <c r="BW89" s="4"/>
      <c r="CB89" s="42"/>
      <c r="CC89" s="12"/>
      <c r="CD89" s="13"/>
      <c r="CM89" s="12"/>
      <c r="CN89" s="13"/>
      <c r="CU89" s="116"/>
      <c r="CV89" s="117"/>
      <c r="CW89" s="117"/>
      <c r="CX89" s="117"/>
      <c r="CY89" s="117"/>
      <c r="CZ89" s="118"/>
      <c r="DC89" s="108"/>
      <c r="DL89" s="13"/>
      <c r="DM89" s="13"/>
      <c r="DN89" s="18"/>
      <c r="ED89" s="5"/>
    </row>
    <row r="90" spans="6:134" ht="18" customHeight="1" x14ac:dyDescent="0.2">
      <c r="F90" s="4"/>
      <c r="K90" s="42"/>
      <c r="L90" s="96"/>
      <c r="M90" s="97"/>
      <c r="N90" s="60"/>
      <c r="O90" s="60"/>
      <c r="P90" s="60"/>
      <c r="Q90" s="60"/>
      <c r="R90" s="60"/>
      <c r="S90" s="60"/>
      <c r="T90" s="60"/>
      <c r="U90" s="60"/>
      <c r="V90" s="89"/>
      <c r="W90" s="77"/>
      <c r="AL90" s="108"/>
      <c r="AU90" s="13"/>
      <c r="AW90" s="12"/>
      <c r="BH90" s="13"/>
      <c r="BM90" s="24"/>
      <c r="BW90" s="4"/>
      <c r="CB90" s="42"/>
      <c r="CC90" s="14"/>
      <c r="CD90" s="16"/>
      <c r="CM90" s="14"/>
      <c r="CN90" s="16"/>
      <c r="CU90" s="20"/>
      <c r="CV90" s="21"/>
      <c r="CW90" s="21"/>
      <c r="CX90" s="21"/>
      <c r="CY90" s="21"/>
      <c r="CZ90" s="21"/>
      <c r="DA90" s="21"/>
      <c r="DB90" s="22"/>
      <c r="DC90" s="108"/>
      <c r="DL90" s="13"/>
      <c r="DM90" s="13"/>
      <c r="DN90" s="18"/>
      <c r="ED90" s="5"/>
    </row>
    <row r="91" spans="6:134" ht="18" customHeight="1" x14ac:dyDescent="0.2">
      <c r="F91" s="4"/>
      <c r="K91" s="42"/>
      <c r="L91" s="96"/>
      <c r="M91" s="98"/>
      <c r="W91" s="10"/>
      <c r="AL91" s="108"/>
      <c r="AU91" s="13"/>
      <c r="AW91" s="12"/>
      <c r="BH91" s="13"/>
      <c r="BM91" s="24"/>
      <c r="BW91" s="4"/>
      <c r="CB91" s="42"/>
      <c r="CC91" s="12"/>
      <c r="DC91" s="108"/>
      <c r="DL91" s="13"/>
      <c r="DM91" s="13"/>
      <c r="DN91" s="18"/>
      <c r="ED91" s="5"/>
    </row>
    <row r="92" spans="6:134" ht="18" customHeight="1" x14ac:dyDescent="0.2">
      <c r="F92" s="4"/>
      <c r="K92" s="42"/>
      <c r="L92" s="96"/>
      <c r="M92" s="98"/>
      <c r="AL92" s="108"/>
      <c r="AU92" s="13"/>
      <c r="AW92" s="14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6"/>
      <c r="BM92" s="24"/>
      <c r="BW92" s="4"/>
      <c r="CB92" s="42"/>
      <c r="CC92" s="110"/>
      <c r="DB92" s="110"/>
      <c r="DC92" s="108"/>
      <c r="DL92" s="13"/>
      <c r="DM92" s="16"/>
      <c r="DN92" s="19"/>
      <c r="ED92" s="5"/>
    </row>
    <row r="93" spans="6:134" ht="18" customHeight="1" x14ac:dyDescent="0.2">
      <c r="F93" s="4"/>
      <c r="K93" s="42"/>
      <c r="L93" s="96"/>
      <c r="M93" s="98"/>
      <c r="AC93" s="9"/>
      <c r="AD93" s="10"/>
      <c r="AE93" s="10"/>
      <c r="AF93" s="10"/>
      <c r="AG93" s="11"/>
      <c r="AL93" s="108"/>
      <c r="AU93" s="13"/>
      <c r="BM93" s="24"/>
      <c r="BW93" s="4"/>
      <c r="CB93" s="42"/>
      <c r="CC93" s="111"/>
      <c r="DB93" s="111"/>
      <c r="DC93" s="108"/>
      <c r="DL93" s="13"/>
      <c r="ED93" s="5"/>
    </row>
    <row r="94" spans="6:134" ht="18" customHeight="1" x14ac:dyDescent="0.2">
      <c r="F94" s="4"/>
      <c r="K94" s="42"/>
      <c r="L94" s="96"/>
      <c r="M94" s="98"/>
      <c r="AC94" s="12"/>
      <c r="AG94" s="13"/>
      <c r="AL94" s="108"/>
      <c r="AU94" s="13"/>
      <c r="BM94" s="25"/>
      <c r="BW94" s="4"/>
      <c r="CB94" s="42"/>
      <c r="CC94" s="112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12"/>
      <c r="DC94" s="108"/>
      <c r="DD94" s="12"/>
      <c r="DL94" s="13"/>
      <c r="ED94" s="5"/>
    </row>
    <row r="95" spans="6:134" ht="18" customHeight="1" x14ac:dyDescent="0.2">
      <c r="F95" s="4"/>
      <c r="K95" s="42"/>
      <c r="L95" s="96"/>
      <c r="M95" s="98"/>
      <c r="AC95" s="14"/>
      <c r="AD95" s="15"/>
      <c r="AE95" s="15"/>
      <c r="AF95" s="15"/>
      <c r="AG95" s="16"/>
      <c r="AL95" s="108"/>
      <c r="AU95" s="13"/>
      <c r="BM95" s="5"/>
      <c r="BW95" s="4"/>
      <c r="CB95" s="46"/>
      <c r="CC95" s="47"/>
      <c r="CD95" s="47"/>
      <c r="CE95" s="47"/>
      <c r="CF95" s="47"/>
      <c r="CG95" s="47"/>
      <c r="CH95" s="47"/>
      <c r="CI95" s="47"/>
      <c r="CJ95" s="47"/>
      <c r="CK95" s="47"/>
      <c r="CL95" s="47"/>
      <c r="CM95" s="47"/>
      <c r="CN95" s="47"/>
      <c r="CO95" s="47"/>
      <c r="CP95" s="47"/>
      <c r="CQ95" s="47"/>
      <c r="CR95" s="47"/>
      <c r="CS95" s="47"/>
      <c r="CT95" s="47"/>
      <c r="CU95" s="47"/>
      <c r="CV95" s="47"/>
      <c r="CW95" s="47"/>
      <c r="CX95" s="47"/>
      <c r="CY95" s="47"/>
      <c r="CZ95" s="47"/>
      <c r="DA95" s="47"/>
      <c r="DB95" s="47"/>
      <c r="DC95" s="48"/>
      <c r="DD95" s="15"/>
      <c r="DE95" s="15"/>
      <c r="DF95" s="15"/>
      <c r="DG95" s="15"/>
      <c r="DH95" s="15"/>
      <c r="DI95" s="15"/>
      <c r="DJ95" s="15"/>
      <c r="DK95" s="15"/>
      <c r="DL95" s="16"/>
      <c r="ED95" s="5"/>
    </row>
    <row r="96" spans="6:134" ht="18" customHeight="1" x14ac:dyDescent="0.2">
      <c r="F96" s="4"/>
      <c r="K96" s="42"/>
      <c r="L96" s="96"/>
      <c r="M96" s="98"/>
      <c r="W96" s="15"/>
      <c r="AL96" s="108"/>
      <c r="AU96" s="13"/>
      <c r="BM96" s="5"/>
      <c r="BW96" s="4"/>
      <c r="ED96" s="5"/>
    </row>
    <row r="97" spans="6:134" ht="18" customHeight="1" x14ac:dyDescent="0.2">
      <c r="F97" s="4"/>
      <c r="K97" s="42"/>
      <c r="L97" s="96"/>
      <c r="M97" s="97"/>
      <c r="N97" s="57"/>
      <c r="O97" s="57"/>
      <c r="P97" s="57"/>
      <c r="Q97" s="57"/>
      <c r="R97" s="57"/>
      <c r="S97" s="57"/>
      <c r="T97" s="57"/>
      <c r="U97" s="57"/>
      <c r="V97" s="57"/>
      <c r="W97" s="58"/>
      <c r="AL97" s="108"/>
      <c r="AU97" s="13"/>
      <c r="BM97" s="5"/>
      <c r="BW97" s="4"/>
      <c r="ED97" s="5"/>
    </row>
    <row r="98" spans="6:134" ht="18" customHeight="1" x14ac:dyDescent="0.2">
      <c r="F98" s="4"/>
      <c r="K98" s="42"/>
      <c r="L98" s="59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1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08"/>
      <c r="AM98" s="12"/>
      <c r="AU98" s="13"/>
      <c r="BM98" s="5"/>
      <c r="BW98" s="4"/>
      <c r="ED98" s="5"/>
    </row>
    <row r="99" spans="6:134" ht="18" customHeight="1" x14ac:dyDescent="0.2">
      <c r="F99" s="4"/>
      <c r="K99" s="46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8"/>
      <c r="AM99" s="15"/>
      <c r="AN99" s="15"/>
      <c r="AO99" s="15"/>
      <c r="AP99" s="15"/>
      <c r="AQ99" s="15"/>
      <c r="AR99" s="15"/>
      <c r="AS99" s="15"/>
      <c r="AT99" s="15"/>
      <c r="AU99" s="16"/>
      <c r="BM99" s="5"/>
      <c r="BW99" s="4"/>
      <c r="ED99" s="5"/>
    </row>
    <row r="100" spans="6:134" ht="18" customHeight="1" x14ac:dyDescent="0.2">
      <c r="F100" s="4"/>
      <c r="BM100" s="5"/>
      <c r="BW100" s="4"/>
      <c r="ED100" s="5"/>
    </row>
    <row r="101" spans="6:134" ht="18" customHeight="1" x14ac:dyDescent="0.2">
      <c r="F101" s="4"/>
      <c r="BM101" s="5"/>
      <c r="BW101" s="4"/>
      <c r="ED101" s="5"/>
    </row>
    <row r="102" spans="6:134" ht="18" customHeight="1" x14ac:dyDescent="0.2">
      <c r="F102" s="4"/>
      <c r="BM102" s="5"/>
      <c r="BW102" s="4"/>
      <c r="ED102" s="5"/>
    </row>
    <row r="103" spans="6:134" ht="18" customHeight="1" x14ac:dyDescent="0.2">
      <c r="F103" s="4"/>
      <c r="BM103" s="5"/>
      <c r="BW103" s="4"/>
      <c r="ED103" s="5"/>
    </row>
    <row r="104" spans="6:134" ht="18" customHeight="1" x14ac:dyDescent="0.2">
      <c r="F104" s="4"/>
      <c r="BM104" s="5"/>
      <c r="BW104" s="4"/>
      <c r="ED104" s="5"/>
    </row>
    <row r="105" spans="6:134" ht="18" customHeight="1" x14ac:dyDescent="0.2">
      <c r="F105" s="4"/>
      <c r="BM105" s="5"/>
      <c r="BW105" s="4"/>
      <c r="ED105" s="5"/>
    </row>
    <row r="106" spans="6:134" ht="18" customHeight="1" x14ac:dyDescent="0.2">
      <c r="F106" s="4"/>
      <c r="BM106" s="5"/>
      <c r="BW106" s="4"/>
      <c r="ED106" s="5"/>
    </row>
    <row r="107" spans="6:134" ht="18" customHeight="1" x14ac:dyDescent="0.2">
      <c r="F107" s="4"/>
      <c r="BM107" s="5"/>
      <c r="BW107" s="4"/>
      <c r="ED107" s="5"/>
    </row>
    <row r="108" spans="6:134" ht="18" customHeight="1" x14ac:dyDescent="0.2">
      <c r="F108" s="4"/>
      <c r="BM108" s="5"/>
      <c r="BW108" s="4"/>
      <c r="ED108" s="5"/>
    </row>
    <row r="109" spans="6:134" ht="18" customHeight="1" x14ac:dyDescent="0.2">
      <c r="F109" s="4"/>
      <c r="BM109" s="5"/>
      <c r="BW109" s="4"/>
      <c r="ED109" s="5"/>
    </row>
    <row r="110" spans="6:134" ht="18" customHeight="1" thickBot="1" x14ac:dyDescent="0.25">
      <c r="F110" s="6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8"/>
      <c r="BW110" s="6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8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03557-2EDA-A547-917F-56350CBE76B8}">
  <sheetPr codeName="Sheet3"/>
  <dimension ref="G4:OD675"/>
  <sheetViews>
    <sheetView topLeftCell="V449" zoomScale="37" zoomScaleNormal="50" workbookViewId="0">
      <selection activeCell="BI521" sqref="BI521"/>
    </sheetView>
  </sheetViews>
  <sheetFormatPr baseColWidth="10" defaultColWidth="3" defaultRowHeight="18" customHeight="1" x14ac:dyDescent="0.2"/>
  <cols>
    <col min="150" max="150" width="3" customWidth="1"/>
    <col min="198" max="198" width="3" customWidth="1"/>
    <col min="209" max="209" width="3" customWidth="1"/>
    <col min="235" max="235" width="3" customWidth="1"/>
  </cols>
  <sheetData>
    <row r="4" spans="19:205" ht="18" customHeight="1" x14ac:dyDescent="0.2">
      <c r="S4" s="9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1"/>
      <c r="CQ4" s="9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1"/>
      <c r="DN4" s="9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1"/>
      <c r="GK4" s="9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1"/>
    </row>
    <row r="5" spans="19:205" ht="18" customHeight="1" x14ac:dyDescent="0.2">
      <c r="S5" s="12"/>
      <c r="CP5" s="13"/>
      <c r="CQ5" s="9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1"/>
      <c r="DC5" s="13"/>
      <c r="DN5" s="12"/>
      <c r="GJ5" s="13"/>
      <c r="GK5" s="9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1"/>
      <c r="GW5" s="13"/>
    </row>
    <row r="6" spans="19:205" ht="18" customHeight="1" x14ac:dyDescent="0.2">
      <c r="S6" s="12"/>
      <c r="U6" s="9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1"/>
      <c r="AQ6" s="11"/>
      <c r="AR6" s="9"/>
      <c r="AS6" s="10"/>
      <c r="AT6" s="10"/>
      <c r="AU6" s="10"/>
      <c r="AV6" s="10"/>
      <c r="AW6" s="10"/>
      <c r="AX6" s="10"/>
      <c r="AY6" s="10"/>
      <c r="AZ6" s="10"/>
      <c r="BA6" s="11"/>
      <c r="BB6" s="10"/>
      <c r="BC6" s="9"/>
      <c r="BD6" s="10"/>
      <c r="BE6" s="10"/>
      <c r="BF6" s="10"/>
      <c r="BG6" s="10"/>
      <c r="BH6" s="10"/>
      <c r="BI6" s="10"/>
      <c r="BJ6" s="10"/>
      <c r="BK6" s="10"/>
      <c r="BL6" s="11"/>
      <c r="BM6" s="9"/>
      <c r="BN6" s="9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1"/>
      <c r="CP6" s="13"/>
      <c r="CQ6" s="12"/>
      <c r="DB6" s="13"/>
      <c r="DC6" s="13"/>
      <c r="DN6" s="12"/>
      <c r="DP6" s="9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1"/>
      <c r="EL6" s="11"/>
      <c r="EM6" s="9"/>
      <c r="EN6" s="10"/>
      <c r="EO6" s="10"/>
      <c r="EP6" s="10"/>
      <c r="EQ6" s="10"/>
      <c r="ER6" s="10"/>
      <c r="ES6" s="10"/>
      <c r="ET6" s="10"/>
      <c r="EU6" s="10"/>
      <c r="EV6" s="11"/>
      <c r="EW6" s="10"/>
      <c r="EX6" s="9"/>
      <c r="EY6" s="10"/>
      <c r="EZ6" s="10"/>
      <c r="FA6" s="10"/>
      <c r="FB6" s="10"/>
      <c r="FC6" s="10"/>
      <c r="FD6" s="10"/>
      <c r="FE6" s="10"/>
      <c r="FF6" s="10"/>
      <c r="FG6" s="11"/>
      <c r="FH6" s="9"/>
      <c r="FI6" s="9"/>
      <c r="FJ6" s="10"/>
      <c r="FK6" s="10"/>
      <c r="FL6" s="10"/>
      <c r="FM6" s="10"/>
      <c r="FN6" s="10"/>
      <c r="FO6" s="10"/>
      <c r="FP6" s="10"/>
      <c r="FQ6" s="9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1"/>
      <c r="GC6" s="10"/>
      <c r="GD6" s="10"/>
      <c r="GE6" s="10"/>
      <c r="GF6" s="10"/>
      <c r="GG6" s="10"/>
      <c r="GH6" s="11"/>
      <c r="GJ6" s="13"/>
      <c r="GK6" s="12"/>
      <c r="GV6" s="13"/>
      <c r="GW6" s="13"/>
    </row>
    <row r="7" spans="19:205" ht="18" customHeight="1" x14ac:dyDescent="0.2">
      <c r="S7" s="12"/>
      <c r="U7" s="12"/>
      <c r="AP7" s="13"/>
      <c r="AQ7" s="13"/>
      <c r="AR7" s="12"/>
      <c r="BA7" s="13"/>
      <c r="BC7" s="12"/>
      <c r="BL7" s="13"/>
      <c r="BM7" s="12"/>
      <c r="BN7" s="12"/>
      <c r="CN7" s="13"/>
      <c r="CP7" s="13"/>
      <c r="CQ7" s="12"/>
      <c r="DB7" s="13"/>
      <c r="DC7" s="13"/>
      <c r="DN7" s="12"/>
      <c r="DP7" s="12"/>
      <c r="EK7" s="13"/>
      <c r="EL7" s="13"/>
      <c r="EM7" s="12"/>
      <c r="EV7" s="13"/>
      <c r="EX7" s="12"/>
      <c r="FG7" s="13"/>
      <c r="FH7" s="12"/>
      <c r="FI7" s="12"/>
      <c r="FQ7" s="12"/>
      <c r="GB7" s="13"/>
      <c r="GH7" s="13"/>
      <c r="GJ7" s="13"/>
      <c r="GK7" s="12"/>
      <c r="GV7" s="13"/>
      <c r="GW7" s="13"/>
    </row>
    <row r="8" spans="19:205" ht="18" customHeight="1" x14ac:dyDescent="0.2">
      <c r="S8" s="12"/>
      <c r="U8" s="12"/>
      <c r="AP8" s="13"/>
      <c r="AQ8" s="13"/>
      <c r="AR8" s="12"/>
      <c r="BA8" s="13"/>
      <c r="BC8" s="12"/>
      <c r="BL8" s="13"/>
      <c r="BM8" s="12"/>
      <c r="BN8" s="12"/>
      <c r="CN8" s="13"/>
      <c r="CP8" s="13"/>
      <c r="CQ8" s="12"/>
      <c r="DB8" s="13"/>
      <c r="DC8" s="13"/>
      <c r="DN8" s="12"/>
      <c r="DP8" s="12"/>
      <c r="EK8" s="13"/>
      <c r="EL8" s="13"/>
      <c r="EM8" s="12"/>
      <c r="EV8" s="13"/>
      <c r="EX8" s="12"/>
      <c r="FG8" s="13"/>
      <c r="FH8" s="12"/>
      <c r="FI8" s="12"/>
      <c r="FQ8" s="12"/>
      <c r="GB8" s="13"/>
      <c r="GH8" s="13"/>
      <c r="GJ8" s="13"/>
      <c r="GK8" s="12"/>
      <c r="GV8" s="13"/>
      <c r="GW8" s="13"/>
    </row>
    <row r="9" spans="19:205" ht="18" customHeight="1" x14ac:dyDescent="0.2">
      <c r="S9" s="12"/>
      <c r="U9" s="12"/>
      <c r="AP9" s="13"/>
      <c r="AQ9" s="13"/>
      <c r="AR9" s="12"/>
      <c r="BA9" s="13"/>
      <c r="BC9" s="12"/>
      <c r="BL9" s="13"/>
      <c r="BM9" s="12"/>
      <c r="BN9" s="12"/>
      <c r="CN9" s="13"/>
      <c r="CP9" s="13"/>
      <c r="CQ9" s="12"/>
      <c r="DB9" s="13"/>
      <c r="DC9" s="13"/>
      <c r="DN9" s="12"/>
      <c r="DP9" s="12"/>
      <c r="EK9" s="13"/>
      <c r="EL9" s="13"/>
      <c r="EM9" s="12"/>
      <c r="EV9" s="13"/>
      <c r="EX9" s="12"/>
      <c r="FG9" s="13"/>
      <c r="FH9" s="12"/>
      <c r="FI9" s="12"/>
      <c r="FQ9" s="12"/>
      <c r="GB9" s="13"/>
      <c r="GH9" s="13"/>
      <c r="GJ9" s="13"/>
      <c r="GK9" s="12"/>
      <c r="GV9" s="13"/>
      <c r="GW9" s="13"/>
    </row>
    <row r="10" spans="19:205" ht="18" customHeight="1" x14ac:dyDescent="0.2">
      <c r="S10" s="12"/>
      <c r="U10" s="12"/>
      <c r="AP10" s="13"/>
      <c r="AQ10" s="13"/>
      <c r="AR10" s="12"/>
      <c r="BA10" s="13"/>
      <c r="BC10" s="12"/>
      <c r="BL10" s="13"/>
      <c r="BM10" s="12"/>
      <c r="BN10" s="12"/>
      <c r="CN10" s="13"/>
      <c r="CP10" s="13"/>
      <c r="CQ10" s="12"/>
      <c r="DB10" s="13"/>
      <c r="DC10" s="13"/>
      <c r="DN10" s="12"/>
      <c r="DP10" s="12"/>
      <c r="EK10" s="13"/>
      <c r="EL10" s="13"/>
      <c r="EM10" s="12"/>
      <c r="EV10" s="13"/>
      <c r="EX10" s="12"/>
      <c r="FG10" s="13"/>
      <c r="FH10" s="12"/>
      <c r="FI10" s="12"/>
      <c r="FQ10" s="12"/>
      <c r="GB10" s="13"/>
      <c r="GH10" s="13"/>
      <c r="GJ10" s="13"/>
      <c r="GK10" s="12"/>
      <c r="GV10" s="13"/>
      <c r="GW10" s="13"/>
    </row>
    <row r="11" spans="19:205" ht="18" customHeight="1" x14ac:dyDescent="0.2">
      <c r="S11" s="12"/>
      <c r="U11" s="12"/>
      <c r="AP11" s="13"/>
      <c r="AQ11" s="13"/>
      <c r="AR11" s="12"/>
      <c r="BA11" s="13"/>
      <c r="BC11" s="12"/>
      <c r="BL11" s="13"/>
      <c r="BM11" s="12"/>
      <c r="BN11" s="12"/>
      <c r="CN11" s="13"/>
      <c r="CP11" s="13"/>
      <c r="CQ11" s="12"/>
      <c r="DB11" s="13"/>
      <c r="DC11" s="13"/>
      <c r="DN11" s="12"/>
      <c r="DP11" s="12"/>
      <c r="EK11" s="13"/>
      <c r="EL11" s="13"/>
      <c r="EM11" s="12"/>
      <c r="EV11" s="13"/>
      <c r="EX11" s="12"/>
      <c r="FG11" s="13"/>
      <c r="FH11" s="12"/>
      <c r="FI11" s="12"/>
      <c r="FQ11" s="12"/>
      <c r="GB11" s="13"/>
      <c r="GH11" s="13"/>
      <c r="GJ11" s="13"/>
      <c r="GK11" s="12"/>
      <c r="GV11" s="13"/>
      <c r="GW11" s="13"/>
    </row>
    <row r="12" spans="19:205" ht="18" customHeight="1" x14ac:dyDescent="0.2">
      <c r="S12" s="12"/>
      <c r="U12" s="12"/>
      <c r="AP12" s="13"/>
      <c r="AQ12" s="13"/>
      <c r="AR12" s="12"/>
      <c r="BA12" s="13"/>
      <c r="BC12" s="12"/>
      <c r="BL12" s="13"/>
      <c r="BM12" s="12"/>
      <c r="BN12" s="12"/>
      <c r="CN12" s="13"/>
      <c r="CP12" s="13"/>
      <c r="CQ12" s="12"/>
      <c r="DB12" s="13"/>
      <c r="DC12" s="13"/>
      <c r="DN12" s="12"/>
      <c r="DP12" s="12"/>
      <c r="EK12" s="13"/>
      <c r="EL12" s="13"/>
      <c r="EM12" s="12"/>
      <c r="EV12" s="13"/>
      <c r="EX12" s="12"/>
      <c r="FG12" s="13"/>
      <c r="FH12" s="12"/>
      <c r="FI12" s="12"/>
      <c r="FQ12" s="12"/>
      <c r="GB12" s="13"/>
      <c r="GH12" s="13"/>
      <c r="GJ12" s="13"/>
      <c r="GK12" s="12"/>
      <c r="GV12" s="13"/>
      <c r="GW12" s="13"/>
    </row>
    <row r="13" spans="19:205" ht="18" customHeight="1" x14ac:dyDescent="0.2">
      <c r="S13" s="12"/>
      <c r="U13" s="12"/>
      <c r="AP13" s="13"/>
      <c r="AQ13" s="13"/>
      <c r="AR13" s="12"/>
      <c r="BA13" s="13"/>
      <c r="BC13" s="12"/>
      <c r="BL13" s="13"/>
      <c r="BM13" s="12"/>
      <c r="BN13" s="12"/>
      <c r="CN13" s="13"/>
      <c r="CP13" s="13"/>
      <c r="CQ13" s="12"/>
      <c r="DB13" s="13"/>
      <c r="DC13" s="13"/>
      <c r="DN13" s="12"/>
      <c r="DP13" s="12"/>
      <c r="EK13" s="13"/>
      <c r="EL13" s="13"/>
      <c r="EM13" s="14"/>
      <c r="EN13" s="15"/>
      <c r="EO13" s="15"/>
      <c r="EP13" s="15"/>
      <c r="EQ13" s="15"/>
      <c r="ER13" s="15"/>
      <c r="ES13" s="15"/>
      <c r="ET13" s="15"/>
      <c r="EU13" s="15"/>
      <c r="EV13" s="16"/>
      <c r="EX13" s="14"/>
      <c r="EY13" s="15"/>
      <c r="EZ13" s="15"/>
      <c r="FA13" s="15"/>
      <c r="FB13" s="15"/>
      <c r="FC13" s="15"/>
      <c r="FD13" s="15"/>
      <c r="FE13" s="15"/>
      <c r="FF13" s="15"/>
      <c r="FG13" s="16"/>
      <c r="FH13" s="12"/>
      <c r="FI13" s="12"/>
      <c r="FQ13" s="12"/>
      <c r="GB13" s="13"/>
      <c r="GH13" s="13"/>
      <c r="GJ13" s="13"/>
      <c r="GK13" s="12"/>
      <c r="GV13" s="13"/>
      <c r="GW13" s="13"/>
    </row>
    <row r="14" spans="19:205" ht="18" customHeight="1" x14ac:dyDescent="0.2">
      <c r="S14" s="12"/>
      <c r="U14" s="12"/>
      <c r="AP14" s="13"/>
      <c r="AQ14" s="13"/>
      <c r="AR14" s="12"/>
      <c r="BA14" s="13"/>
      <c r="BC14" s="12"/>
      <c r="BL14" s="13"/>
      <c r="BM14" s="12"/>
      <c r="BN14" s="12"/>
      <c r="CN14" s="13"/>
      <c r="CP14" s="13"/>
      <c r="CQ14" s="12"/>
      <c r="DB14" s="13"/>
      <c r="DC14" s="13"/>
      <c r="DN14" s="12"/>
      <c r="DP14" s="12"/>
      <c r="EK14" s="13"/>
      <c r="EL14" s="13"/>
      <c r="EM14" s="12"/>
      <c r="EV14" s="13"/>
      <c r="EX14" s="12"/>
      <c r="FG14" s="13"/>
      <c r="FH14" s="12"/>
      <c r="FI14" s="12"/>
      <c r="FQ14" s="12"/>
      <c r="GB14" s="13"/>
      <c r="GH14" s="13"/>
      <c r="GJ14" s="13"/>
      <c r="GK14" s="12"/>
      <c r="GV14" s="13"/>
      <c r="GW14" s="13"/>
    </row>
    <row r="15" spans="19:205" ht="18" customHeight="1" x14ac:dyDescent="0.2">
      <c r="S15" s="12"/>
      <c r="U15" s="12"/>
      <c r="AP15" s="13"/>
      <c r="AQ15" s="13"/>
      <c r="AR15" s="12"/>
      <c r="BA15" s="13"/>
      <c r="BC15" s="12"/>
      <c r="BL15" s="13"/>
      <c r="BM15" s="12"/>
      <c r="BN15" s="12"/>
      <c r="CN15" s="13"/>
      <c r="CP15" s="13"/>
      <c r="CQ15" s="12"/>
      <c r="DB15" s="13"/>
      <c r="DC15" s="13"/>
      <c r="DN15" s="12"/>
      <c r="DP15" s="12"/>
      <c r="EK15" s="13"/>
      <c r="EL15" s="13"/>
      <c r="EM15" s="12"/>
      <c r="EV15" s="13"/>
      <c r="EX15" s="12"/>
      <c r="FG15" s="13"/>
      <c r="FH15" s="12"/>
      <c r="FI15" s="12"/>
      <c r="FQ15" s="12"/>
      <c r="GB15" s="13"/>
      <c r="GH15" s="13"/>
      <c r="GJ15" s="13"/>
      <c r="GK15" s="12"/>
      <c r="GV15" s="13"/>
      <c r="GW15" s="13"/>
    </row>
    <row r="16" spans="19:205" ht="18" customHeight="1" x14ac:dyDescent="0.2">
      <c r="S16" s="12"/>
      <c r="U16" s="12"/>
      <c r="AP16" s="13"/>
      <c r="AQ16" s="13"/>
      <c r="AR16" s="12"/>
      <c r="BA16" s="13"/>
      <c r="BC16" s="12"/>
      <c r="BL16" s="13"/>
      <c r="BM16" s="12"/>
      <c r="BN16" s="12"/>
      <c r="CN16" s="13"/>
      <c r="CP16" s="13"/>
      <c r="CQ16" s="12"/>
      <c r="DB16" s="13"/>
      <c r="DC16" s="13"/>
      <c r="DN16" s="12"/>
      <c r="DP16" s="12"/>
      <c r="EK16" s="13"/>
      <c r="EL16" s="13"/>
      <c r="EM16" s="12"/>
      <c r="EV16" s="13"/>
      <c r="EX16" s="12"/>
      <c r="FG16" s="13"/>
      <c r="FH16" s="12"/>
      <c r="FI16" s="12"/>
      <c r="FQ16" s="12"/>
      <c r="GB16" s="13"/>
      <c r="GH16" s="13"/>
      <c r="GJ16" s="13"/>
      <c r="GK16" s="12"/>
      <c r="GV16" s="13"/>
      <c r="GW16" s="13"/>
    </row>
    <row r="17" spans="19:205" ht="18" customHeight="1" x14ac:dyDescent="0.2">
      <c r="S17" s="12"/>
      <c r="U17" s="12"/>
      <c r="AP17" s="13"/>
      <c r="AQ17" s="13"/>
      <c r="AR17" s="12"/>
      <c r="BA17" s="13"/>
      <c r="BC17" s="12"/>
      <c r="BL17" s="13"/>
      <c r="BM17" s="12"/>
      <c r="BN17" s="12"/>
      <c r="CN17" s="13"/>
      <c r="CP17" s="13"/>
      <c r="CQ17" s="12"/>
      <c r="DB17" s="13"/>
      <c r="DC17" s="13"/>
      <c r="DN17" s="12"/>
      <c r="DP17" s="12"/>
      <c r="EK17" s="13"/>
      <c r="EL17" s="13"/>
      <c r="EM17" s="12"/>
      <c r="EV17" s="13"/>
      <c r="EX17" s="12"/>
      <c r="FG17" s="13"/>
      <c r="FH17" s="12"/>
      <c r="FI17" s="12"/>
      <c r="FQ17" s="14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6"/>
      <c r="GH17" s="13"/>
      <c r="GJ17" s="13"/>
      <c r="GK17" s="12"/>
      <c r="GV17" s="13"/>
      <c r="GW17" s="13"/>
    </row>
    <row r="18" spans="19:205" ht="18" customHeight="1" x14ac:dyDescent="0.2">
      <c r="S18" s="12"/>
      <c r="U18" s="12"/>
      <c r="AP18" s="13"/>
      <c r="AQ18" s="13"/>
      <c r="AR18" s="12"/>
      <c r="BA18" s="13"/>
      <c r="BC18" s="12"/>
      <c r="BL18" s="13"/>
      <c r="BM18" s="23"/>
      <c r="BN18" s="12"/>
      <c r="CN18" s="13"/>
      <c r="CP18" s="13"/>
      <c r="CQ18" s="12"/>
      <c r="DB18" s="13"/>
      <c r="DC18" s="13"/>
      <c r="DN18" s="12"/>
      <c r="DP18" s="12"/>
      <c r="EK18" s="13"/>
      <c r="EL18" s="13"/>
      <c r="EM18" s="12"/>
      <c r="EV18" s="13"/>
      <c r="EX18" s="12"/>
      <c r="FG18" s="13"/>
      <c r="FH18" s="23"/>
      <c r="FI18" s="12"/>
      <c r="GH18" s="13"/>
      <c r="GJ18" s="13"/>
      <c r="GK18" s="12"/>
      <c r="GV18" s="13"/>
      <c r="GW18" s="13"/>
    </row>
    <row r="19" spans="19:205" ht="18" customHeight="1" x14ac:dyDescent="0.2">
      <c r="S19" s="12"/>
      <c r="U19" s="12"/>
      <c r="AP19" s="13"/>
      <c r="AQ19" s="13"/>
      <c r="AR19" s="12"/>
      <c r="BA19" s="13"/>
      <c r="BC19" s="12"/>
      <c r="BL19" s="13"/>
      <c r="BM19" s="24"/>
      <c r="BN19" s="12"/>
      <c r="CN19" s="13"/>
      <c r="CP19" s="13"/>
      <c r="CQ19" s="12"/>
      <c r="DB19" s="13"/>
      <c r="DC19" s="13"/>
      <c r="DN19" s="12"/>
      <c r="DP19" s="12"/>
      <c r="EK19" s="13"/>
      <c r="EL19" s="13"/>
      <c r="EM19" s="12"/>
      <c r="EV19" s="13"/>
      <c r="EX19" s="12"/>
      <c r="FG19" s="13"/>
      <c r="FH19" s="24"/>
      <c r="FI19" s="12"/>
      <c r="GH19" s="13"/>
      <c r="GJ19" s="13"/>
      <c r="GK19" s="12"/>
      <c r="GV19" s="13"/>
      <c r="GW19" s="13"/>
    </row>
    <row r="20" spans="19:205" ht="18" customHeight="1" x14ac:dyDescent="0.2">
      <c r="S20" s="12"/>
      <c r="U20" s="12"/>
      <c r="AP20" s="13"/>
      <c r="AQ20" s="13"/>
      <c r="AR20" s="12"/>
      <c r="BA20" s="13"/>
      <c r="BC20" s="12"/>
      <c r="BL20" s="13"/>
      <c r="BM20" s="24"/>
      <c r="BN20" s="12"/>
      <c r="CN20" s="13"/>
      <c r="CP20" s="13"/>
      <c r="CQ20" s="12"/>
      <c r="DB20" s="13"/>
      <c r="DC20" s="13"/>
      <c r="DN20" s="12"/>
      <c r="DP20" s="12"/>
      <c r="EK20" s="13"/>
      <c r="EL20" s="13"/>
      <c r="EM20" s="12"/>
      <c r="EV20" s="13"/>
      <c r="EX20" s="12"/>
      <c r="FG20" s="13"/>
      <c r="FH20" s="24"/>
      <c r="FI20" s="12"/>
      <c r="GH20" s="13"/>
      <c r="GJ20" s="13"/>
      <c r="GK20" s="12"/>
      <c r="GV20" s="13"/>
      <c r="GW20" s="13"/>
    </row>
    <row r="21" spans="19:205" ht="18" customHeight="1" x14ac:dyDescent="0.2">
      <c r="S21" s="12"/>
      <c r="U21" s="12"/>
      <c r="AP21" s="13"/>
      <c r="AQ21" s="13"/>
      <c r="AR21" s="12"/>
      <c r="BA21" s="13"/>
      <c r="BC21" s="12"/>
      <c r="BL21" s="13"/>
      <c r="BM21" s="24"/>
      <c r="BN21" s="12"/>
      <c r="CN21" s="13"/>
      <c r="CP21" s="13"/>
      <c r="CQ21" s="12"/>
      <c r="DB21" s="13"/>
      <c r="DC21" s="13"/>
      <c r="DN21" s="12"/>
      <c r="DP21" s="12"/>
      <c r="EK21" s="13"/>
      <c r="EL21" s="13"/>
      <c r="EM21" s="12"/>
      <c r="EV21" s="13"/>
      <c r="EX21" s="12"/>
      <c r="FG21" s="13"/>
      <c r="FH21" s="24"/>
      <c r="FI21" s="12"/>
      <c r="GH21" s="13"/>
      <c r="GJ21" s="13"/>
      <c r="GK21" s="12"/>
      <c r="GV21" s="13"/>
      <c r="GW21" s="13"/>
    </row>
    <row r="22" spans="19:205" ht="18" customHeight="1" x14ac:dyDescent="0.2">
      <c r="S22" s="12"/>
      <c r="U22" s="12"/>
      <c r="AP22" s="13"/>
      <c r="AQ22" s="13"/>
      <c r="AR22" s="12"/>
      <c r="BA22" s="13"/>
      <c r="BC22" s="12"/>
      <c r="BL22" s="13"/>
      <c r="BM22" s="25"/>
      <c r="BN22" s="12"/>
      <c r="CN22" s="13"/>
      <c r="CP22" s="13"/>
      <c r="CQ22" s="12"/>
      <c r="DB22" s="13"/>
      <c r="DC22" s="13"/>
      <c r="DN22" s="12"/>
      <c r="DP22" s="12"/>
      <c r="EK22" s="13"/>
      <c r="EL22" s="13"/>
      <c r="EM22" s="12"/>
      <c r="EV22" s="13"/>
      <c r="EX22" s="12"/>
      <c r="FG22" s="13"/>
      <c r="FH22" s="25"/>
      <c r="FI22" s="12"/>
      <c r="GH22" s="13"/>
      <c r="GJ22" s="13"/>
      <c r="GK22" s="12"/>
      <c r="GV22" s="13"/>
      <c r="GW22" s="13"/>
    </row>
    <row r="23" spans="19:205" ht="18" customHeight="1" x14ac:dyDescent="0.2">
      <c r="S23" s="12"/>
      <c r="U23" s="12"/>
      <c r="AP23" s="13"/>
      <c r="AQ23" s="13"/>
      <c r="AR23" s="14"/>
      <c r="AS23" s="15"/>
      <c r="AT23" s="15"/>
      <c r="AU23" s="15"/>
      <c r="AV23" s="15"/>
      <c r="AW23" s="15"/>
      <c r="AX23" s="15"/>
      <c r="AY23" s="15"/>
      <c r="AZ23" s="15"/>
      <c r="BA23" s="16"/>
      <c r="BC23" s="14"/>
      <c r="BD23" s="15"/>
      <c r="BE23" s="15"/>
      <c r="BF23" s="15"/>
      <c r="BG23" s="15"/>
      <c r="BH23" s="15"/>
      <c r="BI23" s="15"/>
      <c r="BJ23" s="15"/>
      <c r="BK23" s="15"/>
      <c r="BL23" s="16"/>
      <c r="BM23" s="12"/>
      <c r="BN23" s="12"/>
      <c r="CN23" s="13"/>
      <c r="CP23" s="13"/>
      <c r="CQ23" s="12"/>
      <c r="DB23" s="13"/>
      <c r="DC23" s="13"/>
      <c r="DN23" s="12"/>
      <c r="DP23" s="12"/>
      <c r="EK23" s="13"/>
      <c r="EL23" s="13"/>
      <c r="EM23" s="14"/>
      <c r="EN23" s="15"/>
      <c r="EO23" s="15"/>
      <c r="EP23" s="15"/>
      <c r="EQ23" s="15"/>
      <c r="ER23" s="15"/>
      <c r="ES23" s="15"/>
      <c r="ET23" s="15"/>
      <c r="EU23" s="15"/>
      <c r="EV23" s="16"/>
      <c r="EX23" s="14"/>
      <c r="EY23" s="15"/>
      <c r="EZ23" s="15"/>
      <c r="FA23" s="15"/>
      <c r="FB23" s="15"/>
      <c r="FC23" s="15"/>
      <c r="FD23" s="15"/>
      <c r="FE23" s="15"/>
      <c r="FF23" s="15"/>
      <c r="FG23" s="16"/>
      <c r="FH23" s="12"/>
      <c r="FI23" s="12"/>
      <c r="GH23" s="13"/>
      <c r="GJ23" s="13"/>
      <c r="GK23" s="12"/>
      <c r="GV23" s="13"/>
      <c r="GW23" s="13"/>
    </row>
    <row r="24" spans="19:205" ht="18" customHeight="1" x14ac:dyDescent="0.2">
      <c r="S24" s="12"/>
      <c r="U24" s="12"/>
      <c r="AP24" s="13"/>
      <c r="AQ24" s="12"/>
      <c r="AR24" s="15"/>
      <c r="AS24" s="15"/>
      <c r="AT24" s="15"/>
      <c r="AU24" s="15"/>
      <c r="AV24" s="26"/>
      <c r="AW24" s="27"/>
      <c r="AX24" s="27"/>
      <c r="AY24" s="27"/>
      <c r="AZ24" s="28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21"/>
      <c r="BN24" s="12"/>
      <c r="CN24" s="13"/>
      <c r="CP24" s="13"/>
      <c r="CQ24" s="12"/>
      <c r="DB24" s="13"/>
      <c r="DC24" s="13"/>
      <c r="DN24" s="12"/>
      <c r="DP24" s="12"/>
      <c r="EK24" s="13"/>
      <c r="EL24" s="12"/>
      <c r="EM24" s="15"/>
      <c r="EN24" s="15"/>
      <c r="EO24" s="15"/>
      <c r="EP24" s="15"/>
      <c r="EQ24" s="26"/>
      <c r="ER24" s="27"/>
      <c r="ES24" s="27"/>
      <c r="ET24" s="27"/>
      <c r="EU24" s="28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21"/>
      <c r="FI24" s="12"/>
      <c r="GH24" s="13"/>
      <c r="GJ24" s="13"/>
      <c r="GK24" s="12"/>
      <c r="GV24" s="13"/>
      <c r="GW24" s="13"/>
    </row>
    <row r="25" spans="19:205" ht="18" customHeight="1" x14ac:dyDescent="0.2">
      <c r="S25" s="12"/>
      <c r="U25" s="12"/>
      <c r="AP25" s="13"/>
      <c r="AQ25" s="13"/>
      <c r="BM25" s="12"/>
      <c r="BN25" s="12"/>
      <c r="CN25" s="13"/>
      <c r="CP25" s="13"/>
      <c r="CQ25" s="12"/>
      <c r="DB25" s="13"/>
      <c r="DC25" s="13"/>
      <c r="DN25" s="12"/>
      <c r="DP25" s="12"/>
      <c r="EK25" s="13"/>
      <c r="EL25" s="13"/>
      <c r="FH25" s="12"/>
      <c r="FI25" s="12"/>
      <c r="GH25" s="13"/>
      <c r="GJ25" s="13"/>
      <c r="GK25" s="12"/>
      <c r="GV25" s="13"/>
      <c r="GW25" s="13"/>
    </row>
    <row r="26" spans="19:205" ht="18" customHeight="1" x14ac:dyDescent="0.2">
      <c r="S26" s="12"/>
      <c r="U26" s="12"/>
      <c r="AP26" s="13"/>
      <c r="AQ26" s="23"/>
      <c r="BM26" s="23"/>
      <c r="BN26" s="12"/>
      <c r="CN26" s="13"/>
      <c r="CP26" s="13"/>
      <c r="CQ26" s="12"/>
      <c r="DB26" s="13"/>
      <c r="DC26" s="13"/>
      <c r="DN26" s="12"/>
      <c r="DP26" s="12"/>
      <c r="EK26" s="13"/>
      <c r="EL26" s="23"/>
      <c r="FH26" s="23"/>
      <c r="FI26" s="12"/>
      <c r="GH26" s="13"/>
      <c r="GJ26" s="13"/>
      <c r="GK26" s="12"/>
      <c r="GV26" s="13"/>
      <c r="GW26" s="13"/>
    </row>
    <row r="27" spans="19:205" ht="18" customHeight="1" x14ac:dyDescent="0.2">
      <c r="S27" s="12"/>
      <c r="U27" s="12"/>
      <c r="AP27" s="13"/>
      <c r="AQ27" s="24"/>
      <c r="BM27" s="24"/>
      <c r="BN27" s="12"/>
      <c r="CN27" s="13"/>
      <c r="CP27" s="13"/>
      <c r="CQ27" s="12"/>
      <c r="DB27" s="13"/>
      <c r="DC27" s="13"/>
      <c r="DN27" s="12"/>
      <c r="DP27" s="12"/>
      <c r="EK27" s="13"/>
      <c r="EL27" s="24"/>
      <c r="FH27" s="24"/>
      <c r="FI27" s="12"/>
      <c r="GH27" s="13"/>
      <c r="GJ27" s="13"/>
      <c r="GK27" s="12"/>
      <c r="GV27" s="13"/>
      <c r="GW27" s="13"/>
    </row>
    <row r="28" spans="19:205" ht="18" customHeight="1" x14ac:dyDescent="0.2">
      <c r="S28" s="12"/>
      <c r="U28" s="12"/>
      <c r="AP28" s="13"/>
      <c r="AQ28" s="24"/>
      <c r="BM28" s="24"/>
      <c r="BN28" s="12"/>
      <c r="CN28" s="13"/>
      <c r="CP28" s="13"/>
      <c r="CQ28" s="12"/>
      <c r="DB28" s="13"/>
      <c r="DC28" s="13"/>
      <c r="DN28" s="12"/>
      <c r="DP28" s="9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1"/>
      <c r="EK28" s="13"/>
      <c r="EL28" s="24"/>
      <c r="FH28" s="24"/>
      <c r="FI28" s="12"/>
      <c r="FW28" s="9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1"/>
      <c r="GJ28" s="13"/>
      <c r="GK28" s="12"/>
      <c r="GV28" s="13"/>
      <c r="GW28" s="13"/>
    </row>
    <row r="29" spans="19:205" ht="18" customHeight="1" x14ac:dyDescent="0.2">
      <c r="S29" s="12"/>
      <c r="U29" s="12"/>
      <c r="AP29" s="13"/>
      <c r="AQ29" s="24"/>
      <c r="BM29" s="24"/>
      <c r="BN29" s="12"/>
      <c r="CN29" s="13"/>
      <c r="CP29" s="13"/>
      <c r="CQ29" s="12"/>
      <c r="DB29" s="13"/>
      <c r="DC29" s="13"/>
      <c r="DN29" s="12"/>
      <c r="DP29" s="12"/>
      <c r="EA29" s="13"/>
      <c r="EK29" s="13"/>
      <c r="EL29" s="24"/>
      <c r="FH29" s="24"/>
      <c r="FI29" s="12"/>
      <c r="FW29" s="12"/>
      <c r="GH29" s="13"/>
      <c r="GJ29" s="13"/>
      <c r="GK29" s="12"/>
      <c r="GV29" s="13"/>
      <c r="GW29" s="13"/>
    </row>
    <row r="30" spans="19:205" ht="18" customHeight="1" x14ac:dyDescent="0.2">
      <c r="S30" s="12"/>
      <c r="U30" s="12"/>
      <c r="AP30" s="13"/>
      <c r="AQ30" s="25"/>
      <c r="BM30" s="25"/>
      <c r="BN30" s="12"/>
      <c r="CN30" s="13"/>
      <c r="CP30" s="13"/>
      <c r="CQ30" s="12"/>
      <c r="DB30" s="13"/>
      <c r="DC30" s="13"/>
      <c r="DN30" s="12"/>
      <c r="DP30" s="12"/>
      <c r="EA30" s="13"/>
      <c r="EK30" s="13"/>
      <c r="EL30" s="25"/>
      <c r="FH30" s="25"/>
      <c r="FI30" s="12"/>
      <c r="FW30" s="12"/>
      <c r="GH30" s="13"/>
      <c r="GJ30" s="13"/>
      <c r="GK30" s="12"/>
      <c r="GV30" s="13"/>
      <c r="GW30" s="13"/>
    </row>
    <row r="31" spans="19:205" ht="18" customHeight="1" x14ac:dyDescent="0.2">
      <c r="S31" s="12"/>
      <c r="U31" s="14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6"/>
      <c r="AQ31" s="13"/>
      <c r="BM31" s="12"/>
      <c r="BN31" s="14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6"/>
      <c r="CP31" s="13"/>
      <c r="CQ31" s="12"/>
      <c r="DB31" s="13"/>
      <c r="DC31" s="13"/>
      <c r="DN31" s="12"/>
      <c r="DP31" s="14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6"/>
      <c r="EB31" s="15"/>
      <c r="EC31" s="15"/>
      <c r="ED31" s="15"/>
      <c r="EE31" s="15"/>
      <c r="EF31" s="15"/>
      <c r="EG31" s="15"/>
      <c r="EH31" s="15"/>
      <c r="EI31" s="15"/>
      <c r="EJ31" s="15"/>
      <c r="EK31" s="16"/>
      <c r="EL31" s="13"/>
      <c r="FH31" s="12"/>
      <c r="FI31" s="14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4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6"/>
      <c r="GJ31" s="13"/>
      <c r="GK31" s="12"/>
      <c r="GV31" s="13"/>
      <c r="GW31" s="13"/>
    </row>
    <row r="32" spans="19:205" ht="18" customHeight="1" x14ac:dyDescent="0.2">
      <c r="S32" s="12"/>
      <c r="U32" s="12"/>
      <c r="AQ32" s="13"/>
      <c r="BM32" s="14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6"/>
      <c r="CP32" s="13"/>
      <c r="CQ32" s="12"/>
      <c r="DB32" s="13"/>
      <c r="DC32" s="13"/>
      <c r="DN32" s="12"/>
      <c r="DP32" s="12"/>
      <c r="EL32" s="13"/>
      <c r="FH32" s="14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6"/>
      <c r="GJ32" s="13"/>
      <c r="GK32" s="12"/>
      <c r="GV32" s="13"/>
      <c r="GW32" s="13"/>
    </row>
    <row r="33" spans="19:205" ht="18" customHeight="1" x14ac:dyDescent="0.2">
      <c r="S33" s="12"/>
      <c r="U33" s="9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1"/>
      <c r="AQ33" s="13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1"/>
      <c r="CP33" s="13"/>
      <c r="CQ33" s="12"/>
      <c r="DB33" s="13"/>
      <c r="DC33" s="13"/>
      <c r="DN33" s="12"/>
      <c r="DP33" s="9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1"/>
      <c r="EL33" s="13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1"/>
      <c r="GJ33" s="13"/>
      <c r="GK33" s="12"/>
      <c r="GV33" s="13"/>
      <c r="GW33" s="13"/>
    </row>
    <row r="34" spans="19:205" ht="18" customHeight="1" x14ac:dyDescent="0.2">
      <c r="S34" s="12"/>
      <c r="U34" s="12"/>
      <c r="AP34" s="13"/>
      <c r="AQ34" s="23"/>
      <c r="CN34" s="13"/>
      <c r="CP34" s="13"/>
      <c r="CQ34" s="12"/>
      <c r="DB34" s="13"/>
      <c r="DC34" s="13"/>
      <c r="DN34" s="12"/>
      <c r="DP34" s="12"/>
      <c r="EK34" s="13"/>
      <c r="EL34" s="23"/>
      <c r="GH34" s="13"/>
      <c r="GJ34" s="13"/>
      <c r="GK34" s="12"/>
      <c r="GV34" s="13"/>
      <c r="GW34" s="13"/>
    </row>
    <row r="35" spans="19:205" ht="18" customHeight="1" x14ac:dyDescent="0.2">
      <c r="S35" s="12"/>
      <c r="U35" s="12"/>
      <c r="AP35" s="13"/>
      <c r="AQ35" s="24"/>
      <c r="CN35" s="13"/>
      <c r="CP35" s="13"/>
      <c r="CQ35" s="12"/>
      <c r="DB35" s="13"/>
      <c r="DC35" s="13"/>
      <c r="DN35" s="12"/>
      <c r="DP35" s="12"/>
      <c r="EK35" s="13"/>
      <c r="EL35" s="24"/>
      <c r="GH35" s="13"/>
      <c r="GJ35" s="13"/>
      <c r="GK35" s="12"/>
      <c r="GV35" s="13"/>
      <c r="GW35" s="13"/>
    </row>
    <row r="36" spans="19:205" ht="18" customHeight="1" x14ac:dyDescent="0.2">
      <c r="S36" s="12"/>
      <c r="U36" s="12"/>
      <c r="AP36" s="13"/>
      <c r="AQ36" s="24"/>
      <c r="CN36" s="13"/>
      <c r="CP36" s="13"/>
      <c r="CQ36" s="12"/>
      <c r="DB36" s="13"/>
      <c r="DC36" s="13"/>
      <c r="DN36" s="12"/>
      <c r="DP36" s="12"/>
      <c r="EK36" s="13"/>
      <c r="EL36" s="24"/>
      <c r="GH36" s="13"/>
      <c r="GJ36" s="13"/>
      <c r="GK36" s="12"/>
      <c r="GV36" s="13"/>
      <c r="GW36" s="13"/>
    </row>
    <row r="37" spans="19:205" ht="18" customHeight="1" x14ac:dyDescent="0.2">
      <c r="S37" s="12"/>
      <c r="U37" s="12"/>
      <c r="AP37" s="13"/>
      <c r="AQ37" s="24"/>
      <c r="CN37" s="13"/>
      <c r="CP37" s="13"/>
      <c r="CQ37" s="12"/>
      <c r="DB37" s="13"/>
      <c r="DC37" s="13"/>
      <c r="DN37" s="12"/>
      <c r="DP37" s="12"/>
      <c r="EK37" s="13"/>
      <c r="EL37" s="24"/>
      <c r="GH37" s="13"/>
      <c r="GJ37" s="13"/>
      <c r="GK37" s="12"/>
      <c r="GV37" s="13"/>
      <c r="GW37" s="13"/>
    </row>
    <row r="38" spans="19:205" ht="18" customHeight="1" x14ac:dyDescent="0.2">
      <c r="S38" s="12"/>
      <c r="U38" s="12"/>
      <c r="AP38" s="13"/>
      <c r="AQ38" s="25"/>
      <c r="CN38" s="13"/>
      <c r="CP38" s="13"/>
      <c r="CQ38" s="12"/>
      <c r="DB38" s="13"/>
      <c r="DC38" s="13"/>
      <c r="DN38" s="12"/>
      <c r="DP38" s="12"/>
      <c r="EK38" s="13"/>
      <c r="EL38" s="25"/>
      <c r="GH38" s="13"/>
      <c r="GJ38" s="13"/>
      <c r="GK38" s="12"/>
      <c r="GV38" s="13"/>
      <c r="GW38" s="13"/>
    </row>
    <row r="39" spans="19:205" ht="18" customHeight="1" x14ac:dyDescent="0.2">
      <c r="S39" s="12"/>
      <c r="U39" s="12"/>
      <c r="AP39" s="13"/>
      <c r="AQ39" s="13"/>
      <c r="CN39" s="13"/>
      <c r="CP39" s="13"/>
      <c r="CQ39" s="12"/>
      <c r="DB39" s="13"/>
      <c r="DC39" s="13"/>
      <c r="DN39" s="12"/>
      <c r="DP39" s="12"/>
      <c r="EK39" s="13"/>
      <c r="EL39" s="13"/>
      <c r="GH39" s="13"/>
      <c r="GJ39" s="13"/>
      <c r="GK39" s="12"/>
      <c r="GV39" s="13"/>
      <c r="GW39" s="13"/>
    </row>
    <row r="40" spans="19:205" ht="18" customHeight="1" x14ac:dyDescent="0.2">
      <c r="S40" s="12"/>
      <c r="U40" s="12"/>
      <c r="AP40" s="13"/>
      <c r="AQ40" s="13"/>
      <c r="CN40" s="13"/>
      <c r="CP40" s="13"/>
      <c r="CQ40" s="12"/>
      <c r="DB40" s="13"/>
      <c r="DC40" s="13"/>
      <c r="DN40" s="12"/>
      <c r="DP40" s="12"/>
      <c r="EK40" s="13"/>
      <c r="EL40" s="13"/>
      <c r="GH40" s="13"/>
      <c r="GJ40" s="13"/>
      <c r="GK40" s="12"/>
      <c r="GV40" s="13"/>
      <c r="GW40" s="13"/>
    </row>
    <row r="41" spans="19:205" ht="18" customHeight="1" x14ac:dyDescent="0.2">
      <c r="S41" s="12"/>
      <c r="U41" s="12"/>
      <c r="AP41" s="13"/>
      <c r="AQ41" s="13"/>
      <c r="CN41" s="13"/>
      <c r="CP41" s="13"/>
      <c r="CQ41" s="12"/>
      <c r="DB41" s="13"/>
      <c r="DC41" s="13"/>
      <c r="DN41" s="12"/>
      <c r="DP41" s="12"/>
      <c r="EK41" s="13"/>
      <c r="EL41" s="13"/>
      <c r="GH41" s="13"/>
      <c r="GJ41" s="13"/>
      <c r="GK41" s="12"/>
      <c r="GV41" s="13"/>
      <c r="GW41" s="13"/>
    </row>
    <row r="42" spans="19:205" ht="18" customHeight="1" x14ac:dyDescent="0.2">
      <c r="S42" s="12"/>
      <c r="U42" s="12"/>
      <c r="AP42" s="13"/>
      <c r="AQ42" s="13"/>
      <c r="CN42" s="13"/>
      <c r="CP42" s="13"/>
      <c r="CQ42" s="12"/>
      <c r="DB42" s="13"/>
      <c r="DC42" s="13"/>
      <c r="DN42" s="12"/>
      <c r="DP42" s="12"/>
      <c r="EK42" s="13"/>
      <c r="EL42" s="13"/>
      <c r="GH42" s="13"/>
      <c r="GJ42" s="13"/>
      <c r="GK42" s="12"/>
      <c r="GV42" s="13"/>
      <c r="GW42" s="13"/>
    </row>
    <row r="43" spans="19:205" ht="18" customHeight="1" x14ac:dyDescent="0.2">
      <c r="S43" s="12"/>
      <c r="U43" s="12"/>
      <c r="AP43" s="13"/>
      <c r="AQ43" s="13"/>
      <c r="CN43" s="13"/>
      <c r="CP43" s="13"/>
      <c r="CQ43" s="12"/>
      <c r="DB43" s="13"/>
      <c r="DC43" s="13"/>
      <c r="DN43" s="12"/>
      <c r="DP43" s="12"/>
      <c r="EK43" s="13"/>
      <c r="EL43" s="13"/>
      <c r="GH43" s="13"/>
      <c r="GJ43" s="13"/>
      <c r="GK43" s="12"/>
      <c r="GV43" s="13"/>
      <c r="GW43" s="13"/>
    </row>
    <row r="44" spans="19:205" ht="18" customHeight="1" x14ac:dyDescent="0.2">
      <c r="S44" s="12"/>
      <c r="U44" s="12"/>
      <c r="AP44" s="13"/>
      <c r="AQ44" s="13"/>
      <c r="CN44" s="13"/>
      <c r="CP44" s="13"/>
      <c r="CQ44" s="12"/>
      <c r="DB44" s="13"/>
      <c r="DC44" s="13"/>
      <c r="DN44" s="12"/>
      <c r="DP44" s="14"/>
      <c r="DQ44" s="15"/>
      <c r="DR44" s="15"/>
      <c r="DS44" s="15"/>
      <c r="DT44" s="15"/>
      <c r="DU44" s="15"/>
      <c r="DV44" s="15"/>
      <c r="DW44" s="15"/>
      <c r="DX44" s="15"/>
      <c r="DY44" s="15"/>
      <c r="DZ44" s="15"/>
      <c r="EA44" s="15"/>
      <c r="EB44" s="15"/>
      <c r="EC44" s="15"/>
      <c r="ED44" s="15"/>
      <c r="EE44" s="15"/>
      <c r="EF44" s="15"/>
      <c r="EG44" s="15"/>
      <c r="EH44" s="15"/>
      <c r="EI44" s="15"/>
      <c r="EJ44" s="15"/>
      <c r="EK44" s="16"/>
      <c r="EL44" s="13"/>
      <c r="GH44" s="13"/>
      <c r="GJ44" s="13"/>
      <c r="GK44" s="12"/>
      <c r="GV44" s="13"/>
      <c r="GW44" s="13"/>
    </row>
    <row r="45" spans="19:205" ht="18" customHeight="1" x14ac:dyDescent="0.2">
      <c r="S45" s="12"/>
      <c r="U45" s="12"/>
      <c r="AP45" s="13"/>
      <c r="AQ45" s="13"/>
      <c r="CN45" s="13"/>
      <c r="CP45" s="13"/>
      <c r="CQ45" s="12"/>
      <c r="DB45" s="13"/>
      <c r="DC45" s="13"/>
      <c r="DN45" s="12"/>
      <c r="DR45" s="15"/>
      <c r="DS45" s="15"/>
      <c r="EB45" s="15"/>
      <c r="EC45" s="15"/>
      <c r="ED45" s="15"/>
      <c r="EE45" s="15"/>
      <c r="EF45" s="15"/>
      <c r="EG45" s="15"/>
      <c r="EH45" s="15"/>
      <c r="EI45" s="15"/>
      <c r="EJ45" s="15"/>
      <c r="EK45" s="15"/>
      <c r="EL45" s="16"/>
      <c r="GH45" s="13"/>
      <c r="GJ45" s="13"/>
      <c r="GK45" s="12"/>
      <c r="GV45" s="13"/>
      <c r="GW45" s="13"/>
    </row>
    <row r="46" spans="19:205" ht="18" customHeight="1" x14ac:dyDescent="0.2">
      <c r="S46" s="12"/>
      <c r="U46" s="14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6"/>
      <c r="AQ46" s="13"/>
      <c r="CN46" s="13"/>
      <c r="CP46" s="13"/>
      <c r="CQ46" s="12"/>
      <c r="DB46" s="13"/>
      <c r="DC46" s="13"/>
      <c r="DN46" s="12"/>
      <c r="DP46" s="9"/>
      <c r="DQ46" s="10"/>
      <c r="DT46" s="9"/>
      <c r="DU46" s="10"/>
      <c r="DV46" s="10"/>
      <c r="DW46" s="10"/>
      <c r="DX46" s="10"/>
      <c r="DY46" s="10"/>
      <c r="DZ46" s="10"/>
      <c r="EA46" s="10"/>
      <c r="GH46" s="13"/>
      <c r="GJ46" s="13"/>
      <c r="GK46" s="12"/>
      <c r="GV46" s="13"/>
      <c r="GW46" s="13"/>
    </row>
    <row r="47" spans="19:205" ht="18" customHeight="1" x14ac:dyDescent="0.2">
      <c r="S47" s="12"/>
      <c r="U47" s="12"/>
      <c r="AQ47" s="13"/>
      <c r="CN47" s="13"/>
      <c r="CP47" s="13"/>
      <c r="CQ47" s="12"/>
      <c r="DB47" s="13"/>
      <c r="DC47" s="13"/>
      <c r="DN47" s="12"/>
      <c r="DP47" s="12"/>
      <c r="DT47" s="12"/>
      <c r="GH47" s="13"/>
      <c r="GJ47" s="13"/>
      <c r="GK47" s="12"/>
      <c r="GV47" s="13"/>
      <c r="GW47" s="13"/>
    </row>
    <row r="48" spans="19:205" ht="18" customHeight="1" x14ac:dyDescent="0.2">
      <c r="S48" s="12"/>
      <c r="U48" s="9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1"/>
      <c r="AQ48" s="13"/>
      <c r="CN48" s="13"/>
      <c r="CP48" s="13"/>
      <c r="CQ48" s="12"/>
      <c r="DB48" s="13"/>
      <c r="DC48" s="13"/>
      <c r="DN48" s="12"/>
      <c r="DP48" s="12"/>
      <c r="DT48" s="12"/>
      <c r="GH48" s="13"/>
      <c r="GJ48" s="13"/>
      <c r="GK48" s="12"/>
      <c r="GV48" s="13"/>
      <c r="GW48" s="13"/>
    </row>
    <row r="49" spans="19:209" ht="18" customHeight="1" x14ac:dyDescent="0.2">
      <c r="S49" s="12"/>
      <c r="U49" s="12"/>
      <c r="AP49" s="13"/>
      <c r="AQ49" s="13"/>
      <c r="CN49" s="13"/>
      <c r="CP49" s="13"/>
      <c r="CQ49" s="12"/>
      <c r="DB49" s="13"/>
      <c r="DC49" s="13"/>
      <c r="DN49" s="12"/>
      <c r="DP49" s="12"/>
      <c r="DT49" s="12"/>
      <c r="GH49" s="13"/>
      <c r="GJ49" s="13"/>
      <c r="GK49" s="12"/>
      <c r="GV49" s="13"/>
      <c r="GW49" s="13"/>
    </row>
    <row r="50" spans="19:209" ht="18" customHeight="1" x14ac:dyDescent="0.2">
      <c r="S50" s="12"/>
      <c r="U50" s="12"/>
      <c r="AP50" s="13"/>
      <c r="AQ50" s="13"/>
      <c r="CN50" s="13"/>
      <c r="CP50" s="13"/>
      <c r="CQ50" s="12"/>
      <c r="DB50" s="13"/>
      <c r="DC50" s="13"/>
      <c r="DN50" s="12"/>
      <c r="DP50" s="12"/>
      <c r="DT50" s="12"/>
      <c r="GH50" s="13"/>
      <c r="GJ50" s="13"/>
      <c r="GK50" s="12"/>
      <c r="GV50" s="13"/>
      <c r="GW50" s="13"/>
    </row>
    <row r="51" spans="19:209" ht="18" customHeight="1" x14ac:dyDescent="0.2">
      <c r="S51" s="12"/>
      <c r="U51" s="12"/>
      <c r="AP51" s="13"/>
      <c r="AQ51" s="13"/>
      <c r="CN51" s="13"/>
      <c r="CP51" s="13"/>
      <c r="CQ51" s="12"/>
      <c r="DB51" s="13"/>
      <c r="DC51" s="13"/>
      <c r="DN51" s="12"/>
      <c r="DP51" s="12"/>
      <c r="DT51" s="12"/>
      <c r="GH51" s="13"/>
      <c r="GJ51" s="13"/>
      <c r="GK51" s="12"/>
      <c r="GV51" s="13"/>
      <c r="GW51" s="13"/>
    </row>
    <row r="52" spans="19:209" ht="18" customHeight="1" x14ac:dyDescent="0.2">
      <c r="S52" s="12"/>
      <c r="U52" s="12"/>
      <c r="Y52" s="9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1"/>
      <c r="AP52" s="13"/>
      <c r="AQ52" s="13"/>
      <c r="BL52" s="15"/>
      <c r="CN52" s="13"/>
      <c r="CP52" s="13"/>
      <c r="CQ52" s="12"/>
      <c r="DB52" s="13"/>
      <c r="DC52" s="13"/>
      <c r="DN52" s="12"/>
      <c r="DP52" s="12"/>
      <c r="DT52" s="12"/>
      <c r="EB52" s="15"/>
      <c r="EC52" s="15"/>
      <c r="ED52" s="15"/>
      <c r="EE52" s="15"/>
      <c r="EM52" s="15"/>
      <c r="GH52" s="13"/>
      <c r="GJ52" s="13"/>
      <c r="GK52" s="12"/>
      <c r="GV52" s="13"/>
      <c r="GW52" s="13"/>
    </row>
    <row r="53" spans="19:209" ht="18" customHeight="1" x14ac:dyDescent="0.2">
      <c r="S53" s="12"/>
      <c r="U53" s="12"/>
      <c r="Y53" s="12"/>
      <c r="AL53" s="13"/>
      <c r="AP53" s="13"/>
      <c r="AQ53" s="13"/>
      <c r="BE53" s="9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70"/>
      <c r="CI53" s="92"/>
      <c r="CJ53" s="92"/>
      <c r="CK53" s="92"/>
      <c r="CL53" s="92"/>
      <c r="CM53" s="71"/>
      <c r="CN53" s="10"/>
      <c r="CP53" s="13"/>
      <c r="CQ53" s="12"/>
      <c r="DB53" s="13"/>
      <c r="DC53" s="13"/>
      <c r="DN53" s="12"/>
      <c r="DP53" s="12"/>
      <c r="DT53" s="12"/>
      <c r="EA53" s="13"/>
      <c r="EE53" s="13"/>
      <c r="EF53" s="9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70"/>
      <c r="GC53" s="92"/>
      <c r="GD53" s="92"/>
      <c r="GE53" s="92"/>
      <c r="GF53" s="92"/>
      <c r="GG53" s="71"/>
      <c r="GH53" s="10"/>
      <c r="GJ53" s="13"/>
      <c r="GK53" s="12"/>
      <c r="GV53" s="13"/>
      <c r="GW53" s="13"/>
    </row>
    <row r="54" spans="19:209" ht="18" customHeight="1" x14ac:dyDescent="0.2">
      <c r="S54" s="12"/>
      <c r="U54" s="12"/>
      <c r="Y54" s="12"/>
      <c r="AL54" s="13"/>
      <c r="AP54" s="13"/>
      <c r="AQ54" s="13"/>
      <c r="BE54" s="12"/>
      <c r="CH54" s="72"/>
      <c r="CI54" s="100"/>
      <c r="CJ54" s="100"/>
      <c r="CK54" s="100"/>
      <c r="CL54" s="100"/>
      <c r="CM54" s="73"/>
      <c r="CN54" s="15"/>
      <c r="CP54" s="13"/>
      <c r="CQ54" s="12"/>
      <c r="DB54" s="13"/>
      <c r="DC54" s="16"/>
      <c r="DN54" s="12"/>
      <c r="DP54" s="12"/>
      <c r="DT54" s="12"/>
      <c r="EA54" s="13"/>
      <c r="EE54" s="13"/>
      <c r="EF54" s="12"/>
      <c r="GB54" s="72"/>
      <c r="GC54" s="100"/>
      <c r="GD54" s="100"/>
      <c r="GE54" s="100"/>
      <c r="GF54" s="100"/>
      <c r="GG54" s="73"/>
      <c r="GH54" s="15"/>
      <c r="GJ54" s="13"/>
      <c r="GK54" s="12"/>
      <c r="GV54" s="13"/>
      <c r="GW54" s="16"/>
    </row>
    <row r="55" spans="19:209" ht="18" customHeight="1" x14ac:dyDescent="0.2">
      <c r="S55" s="12"/>
      <c r="U55" s="12"/>
      <c r="Y55" s="12"/>
      <c r="AL55" s="13"/>
      <c r="AP55" s="13"/>
      <c r="AQ55" s="13"/>
      <c r="BE55" s="12"/>
      <c r="BG55" s="9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DC55" s="11"/>
      <c r="DD55" s="17"/>
      <c r="DE55" s="17"/>
      <c r="DN55" s="12"/>
      <c r="DP55" s="12"/>
      <c r="DT55" s="12"/>
      <c r="EA55" s="13"/>
      <c r="EE55" s="13"/>
      <c r="EF55" s="12"/>
      <c r="EH55" s="9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W55" s="10"/>
      <c r="GX55" s="9"/>
      <c r="GY55" s="11"/>
      <c r="GZ55" s="9"/>
      <c r="HA55" s="11"/>
    </row>
    <row r="56" spans="19:209" ht="18" customHeight="1" x14ac:dyDescent="0.2">
      <c r="S56" s="12"/>
      <c r="U56" s="12"/>
      <c r="Y56" s="12"/>
      <c r="AL56" s="13"/>
      <c r="AP56" s="13"/>
      <c r="AQ56" s="13"/>
      <c r="BE56" s="12"/>
      <c r="BG56" s="12"/>
      <c r="DC56" s="13"/>
      <c r="DD56" s="18"/>
      <c r="DE56" s="18"/>
      <c r="DN56" s="12"/>
      <c r="DP56" s="12"/>
      <c r="DT56" s="12"/>
      <c r="EA56" s="13"/>
      <c r="EE56" s="13"/>
      <c r="EF56" s="12"/>
      <c r="EH56" s="12"/>
      <c r="GX56" s="12"/>
      <c r="GY56" s="13"/>
      <c r="GZ56" s="12"/>
      <c r="HA56" s="13"/>
    </row>
    <row r="57" spans="19:209" ht="18" customHeight="1" x14ac:dyDescent="0.2">
      <c r="S57" s="12"/>
      <c r="U57" s="12"/>
      <c r="Y57" s="12"/>
      <c r="AL57" s="13"/>
      <c r="AP57" s="13"/>
      <c r="AQ57" s="13"/>
      <c r="BE57" s="12"/>
      <c r="BG57" s="12"/>
      <c r="DC57" s="13"/>
      <c r="DD57" s="18"/>
      <c r="DE57" s="18"/>
      <c r="DN57" s="12"/>
      <c r="DP57" s="12"/>
      <c r="DT57" s="12"/>
      <c r="EA57" s="13"/>
      <c r="EE57" s="13"/>
      <c r="EF57" s="12"/>
      <c r="EH57" s="12"/>
      <c r="GX57" s="12"/>
      <c r="GY57" s="13"/>
      <c r="GZ57" s="12"/>
      <c r="HA57" s="13"/>
    </row>
    <row r="58" spans="19:209" ht="18" customHeight="1" x14ac:dyDescent="0.2">
      <c r="S58" s="12"/>
      <c r="U58" s="12"/>
      <c r="Y58" s="12"/>
      <c r="AL58" s="13"/>
      <c r="AP58" s="13"/>
      <c r="AQ58" s="13"/>
      <c r="BE58" s="12"/>
      <c r="BG58" s="12"/>
      <c r="DC58" s="13"/>
      <c r="DD58" s="18"/>
      <c r="DE58" s="18"/>
      <c r="DN58" s="12"/>
      <c r="DP58" s="12"/>
      <c r="DT58" s="12"/>
      <c r="EA58" s="13"/>
      <c r="EE58" s="13"/>
      <c r="EF58" s="12"/>
      <c r="EH58" s="12"/>
      <c r="GX58" s="12"/>
      <c r="GY58" s="13"/>
      <c r="GZ58" s="12"/>
      <c r="HA58" s="13"/>
    </row>
    <row r="59" spans="19:209" ht="18" customHeight="1" x14ac:dyDescent="0.2">
      <c r="S59" s="12"/>
      <c r="U59" s="12"/>
      <c r="Y59" s="12"/>
      <c r="AL59" s="13"/>
      <c r="AP59" s="13"/>
      <c r="AQ59" s="13"/>
      <c r="BE59" s="12"/>
      <c r="BG59" s="12"/>
      <c r="DC59" s="13"/>
      <c r="DD59" s="18"/>
      <c r="DE59" s="18"/>
      <c r="DN59" s="12"/>
      <c r="DP59" s="12"/>
      <c r="DT59" s="12"/>
      <c r="EA59" s="13"/>
      <c r="EE59" s="13"/>
      <c r="EF59" s="12"/>
      <c r="EH59" s="12"/>
      <c r="GX59" s="12"/>
      <c r="GY59" s="13"/>
      <c r="GZ59" s="12"/>
      <c r="HA59" s="13"/>
    </row>
    <row r="60" spans="19:209" ht="18" customHeight="1" x14ac:dyDescent="0.2">
      <c r="S60" s="12"/>
      <c r="U60" s="12"/>
      <c r="Y60" s="12"/>
      <c r="AL60" s="13"/>
      <c r="AP60" s="13"/>
      <c r="AQ60" s="13"/>
      <c r="BE60" s="12"/>
      <c r="BG60" s="12"/>
      <c r="DC60" s="13"/>
      <c r="DD60" s="18"/>
      <c r="DE60" s="18"/>
      <c r="DN60" s="12"/>
      <c r="DP60" s="12"/>
      <c r="DT60" s="12"/>
      <c r="EA60" s="13"/>
      <c r="EE60" s="13"/>
      <c r="EF60" s="12"/>
      <c r="EH60" s="12"/>
      <c r="GX60" s="12"/>
      <c r="GY60" s="13"/>
      <c r="GZ60" s="12"/>
      <c r="HA60" s="13"/>
    </row>
    <row r="61" spans="19:209" ht="18" customHeight="1" x14ac:dyDescent="0.2">
      <c r="S61" s="12"/>
      <c r="U61" s="14"/>
      <c r="V61" s="15"/>
      <c r="W61" s="15"/>
      <c r="X61" s="15"/>
      <c r="Y61" s="12"/>
      <c r="AL61" s="13"/>
      <c r="AM61" s="15"/>
      <c r="AN61" s="15"/>
      <c r="AO61" s="15"/>
      <c r="AP61" s="16"/>
      <c r="AQ61" s="16"/>
      <c r="BE61" s="12"/>
      <c r="BG61" s="12"/>
      <c r="DC61" s="13"/>
      <c r="DD61" s="18"/>
      <c r="DE61" s="18"/>
      <c r="DN61" s="12"/>
      <c r="DO61" s="13"/>
      <c r="DT61" s="12"/>
      <c r="EA61" s="13"/>
      <c r="EF61" s="12"/>
      <c r="EH61" s="12"/>
      <c r="GX61" s="12"/>
      <c r="GY61" s="13"/>
      <c r="GZ61" s="12"/>
      <c r="HA61" s="13"/>
    </row>
    <row r="62" spans="19:209" ht="18" customHeight="1" x14ac:dyDescent="0.2">
      <c r="S62" s="12"/>
      <c r="U62" s="12"/>
      <c r="BE62" s="12"/>
      <c r="BG62" s="12"/>
      <c r="DC62" s="16"/>
      <c r="DD62" s="19"/>
      <c r="DE62" s="19"/>
      <c r="DN62" s="12"/>
      <c r="DO62" s="13"/>
      <c r="DT62" s="12"/>
      <c r="EA62" s="13"/>
      <c r="EF62" s="12"/>
      <c r="EH62" s="12"/>
      <c r="GW62" s="15"/>
      <c r="GX62" s="14"/>
      <c r="GY62" s="16"/>
      <c r="GZ62" s="14"/>
      <c r="HA62" s="16"/>
    </row>
    <row r="63" spans="19:209" ht="18" customHeight="1" x14ac:dyDescent="0.2">
      <c r="S63" s="12"/>
      <c r="U63" s="12"/>
      <c r="BE63" s="12"/>
      <c r="BG63" s="12"/>
      <c r="DB63" s="13"/>
      <c r="DC63" s="13"/>
      <c r="DN63" s="12"/>
      <c r="DO63" s="13"/>
      <c r="DT63" s="12"/>
      <c r="EA63" s="13"/>
      <c r="EF63" s="12"/>
      <c r="EH63" s="12"/>
      <c r="GV63" s="13"/>
      <c r="GW63" s="13"/>
    </row>
    <row r="64" spans="19:209" ht="18" customHeight="1" x14ac:dyDescent="0.2">
      <c r="S64" s="12"/>
      <c r="U64" s="12"/>
      <c r="BE64" s="12"/>
      <c r="BG64" s="12"/>
      <c r="DB64" s="13"/>
      <c r="DC64" s="13"/>
      <c r="DN64" s="12"/>
      <c r="DO64" s="13"/>
      <c r="DT64" s="12"/>
      <c r="EA64" s="13"/>
      <c r="EF64" s="12"/>
      <c r="EH64" s="12"/>
      <c r="GV64" s="13"/>
      <c r="GW64" s="13"/>
    </row>
    <row r="65" spans="7:205" ht="18" customHeight="1" x14ac:dyDescent="0.2">
      <c r="S65" s="12"/>
      <c r="U65" s="12"/>
      <c r="BE65" s="12"/>
      <c r="BG65" s="12"/>
      <c r="DB65" s="13"/>
      <c r="DC65" s="13"/>
      <c r="DN65" s="12"/>
      <c r="DP65" s="12"/>
      <c r="DT65" s="14"/>
      <c r="DU65" s="15"/>
      <c r="DV65" s="15"/>
      <c r="DW65" s="15"/>
      <c r="DX65" s="15"/>
      <c r="DY65" s="15"/>
      <c r="DZ65" s="15"/>
      <c r="EA65" s="16"/>
      <c r="EF65" s="12"/>
      <c r="EH65" s="12"/>
      <c r="GV65" s="13"/>
      <c r="GW65" s="13"/>
    </row>
    <row r="66" spans="7:205" ht="18" customHeight="1" x14ac:dyDescent="0.2">
      <c r="S66" s="12"/>
      <c r="U66" s="12"/>
      <c r="BE66" s="12"/>
      <c r="BG66" s="12"/>
      <c r="DB66" s="13"/>
      <c r="DC66" s="13"/>
      <c r="DN66" s="12"/>
      <c r="DP66" s="12"/>
      <c r="EF66" s="12"/>
      <c r="EH66" s="12"/>
      <c r="GV66" s="13"/>
      <c r="GW66" s="13"/>
    </row>
    <row r="67" spans="7:205" ht="18" customHeight="1" x14ac:dyDescent="0.2">
      <c r="S67" s="12"/>
      <c r="U67" s="12"/>
      <c r="BE67" s="12"/>
      <c r="BG67" s="12"/>
      <c r="DB67" s="13"/>
      <c r="DC67" s="13"/>
      <c r="DN67" s="12"/>
      <c r="DP67" s="12"/>
      <c r="EF67" s="12"/>
      <c r="EH67" s="12"/>
      <c r="GV67" s="13"/>
      <c r="GW67" s="13"/>
    </row>
    <row r="68" spans="7:205" ht="18" customHeight="1" x14ac:dyDescent="0.2">
      <c r="S68" s="12"/>
      <c r="U68" s="12"/>
      <c r="BE68" s="12"/>
      <c r="BG68" s="12"/>
      <c r="DB68" s="13"/>
      <c r="DC68" s="13"/>
      <c r="DN68" s="12"/>
      <c r="DP68" s="12"/>
      <c r="EF68" s="12"/>
      <c r="EH68" s="12"/>
      <c r="GV68" s="13"/>
      <c r="GW68" s="13"/>
    </row>
    <row r="69" spans="7:205" ht="18" customHeight="1" x14ac:dyDescent="0.2">
      <c r="S69" s="12"/>
      <c r="U69" s="14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2"/>
      <c r="BF69" s="13"/>
      <c r="BG69" s="12"/>
      <c r="DB69" s="13"/>
      <c r="DC69" s="13"/>
      <c r="DN69" s="12"/>
      <c r="DP69" s="14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2"/>
      <c r="EG69" s="13"/>
      <c r="EH69" s="12"/>
      <c r="GV69" s="13"/>
      <c r="GW69" s="13"/>
    </row>
    <row r="70" spans="7:205" ht="18" customHeight="1" x14ac:dyDescent="0.2">
      <c r="S70" s="12"/>
      <c r="BG70" s="14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6"/>
      <c r="DC70" s="13"/>
      <c r="DN70" s="12"/>
      <c r="EH70" s="14"/>
      <c r="EI70" s="15"/>
      <c r="EJ70" s="15"/>
      <c r="EK70" s="15"/>
      <c r="EL70" s="15"/>
      <c r="EM70" s="15"/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6"/>
      <c r="GW70" s="13"/>
    </row>
    <row r="71" spans="7:205" ht="18" customHeight="1" x14ac:dyDescent="0.2">
      <c r="S71" s="14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4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6"/>
      <c r="DN71" s="14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5"/>
      <c r="EA71" s="15"/>
      <c r="EB71" s="15"/>
      <c r="EC71" s="15"/>
      <c r="ED71" s="15"/>
      <c r="EE71" s="15"/>
      <c r="EF71" s="15"/>
      <c r="EG71" s="15"/>
      <c r="EH71" s="14"/>
      <c r="EI71" s="15"/>
      <c r="EJ71" s="15"/>
      <c r="EK71" s="15"/>
      <c r="EL71" s="15"/>
      <c r="EM71" s="15"/>
      <c r="EN71" s="15"/>
      <c r="EO71" s="15"/>
      <c r="EP71" s="15"/>
      <c r="EQ71" s="15"/>
      <c r="ER71" s="15"/>
      <c r="ES71" s="15"/>
      <c r="ET71" s="15"/>
      <c r="EU71" s="15"/>
      <c r="EV71" s="15"/>
      <c r="EW71" s="15"/>
      <c r="EX71" s="15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5"/>
      <c r="FL71" s="15"/>
      <c r="FM71" s="15"/>
      <c r="FN71" s="15"/>
      <c r="FO71" s="15"/>
      <c r="FP71" s="15"/>
      <c r="FQ71" s="15"/>
      <c r="FR71" s="15"/>
      <c r="FS71" s="15"/>
      <c r="FT71" s="15"/>
      <c r="FU71" s="15"/>
      <c r="FV71" s="15"/>
      <c r="FW71" s="15"/>
      <c r="FX71" s="15"/>
      <c r="FY71" s="15"/>
      <c r="FZ71" s="15"/>
      <c r="GA71" s="15"/>
      <c r="GB71" s="15"/>
      <c r="GC71" s="15"/>
      <c r="GD71" s="15"/>
      <c r="GE71" s="15"/>
      <c r="GF71" s="15"/>
      <c r="GG71" s="15"/>
      <c r="GH71" s="15"/>
      <c r="GI71" s="15"/>
      <c r="GJ71" s="15"/>
      <c r="GK71" s="15"/>
      <c r="GL71" s="15"/>
      <c r="GM71" s="15"/>
      <c r="GN71" s="15"/>
      <c r="GO71" s="15"/>
      <c r="GP71" s="15"/>
      <c r="GQ71" s="15"/>
      <c r="GR71" s="15"/>
      <c r="GS71" s="15"/>
      <c r="GT71" s="15"/>
      <c r="GU71" s="15"/>
      <c r="GV71" s="15"/>
      <c r="GW71" s="16"/>
    </row>
    <row r="76" spans="7:205" ht="18" customHeight="1" thickBot="1" x14ac:dyDescent="0.25"/>
    <row r="77" spans="7:205" ht="18" customHeight="1" x14ac:dyDescent="0.2">
      <c r="G77" s="1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</row>
    <row r="78" spans="7:205" ht="18" customHeight="1" x14ac:dyDescent="0.2">
      <c r="G78" s="4"/>
    </row>
    <row r="79" spans="7:205" ht="18" customHeight="1" x14ac:dyDescent="0.2">
      <c r="G79" s="4"/>
    </row>
    <row r="80" spans="7:205" ht="18" customHeight="1" x14ac:dyDescent="0.2">
      <c r="G80" s="4"/>
    </row>
    <row r="81" spans="7:7" ht="18" customHeight="1" x14ac:dyDescent="0.2">
      <c r="G81" s="4"/>
    </row>
    <row r="82" spans="7:7" ht="18" customHeight="1" x14ac:dyDescent="0.2">
      <c r="G82" s="4"/>
    </row>
    <row r="83" spans="7:7" ht="18" customHeight="1" x14ac:dyDescent="0.2">
      <c r="G83" s="4"/>
    </row>
    <row r="84" spans="7:7" ht="18" customHeight="1" x14ac:dyDescent="0.2">
      <c r="G84" s="4"/>
    </row>
    <row r="85" spans="7:7" ht="18" customHeight="1" x14ac:dyDescent="0.2">
      <c r="G85" s="4"/>
    </row>
    <row r="86" spans="7:7" ht="18" customHeight="1" x14ac:dyDescent="0.2">
      <c r="G86" s="4"/>
    </row>
    <row r="87" spans="7:7" ht="18" customHeight="1" x14ac:dyDescent="0.2">
      <c r="G87" s="4"/>
    </row>
    <row r="88" spans="7:7" ht="18" customHeight="1" x14ac:dyDescent="0.2">
      <c r="G88" s="4"/>
    </row>
    <row r="89" spans="7:7" ht="18" customHeight="1" x14ac:dyDescent="0.2">
      <c r="G89" s="4"/>
    </row>
    <row r="90" spans="7:7" ht="18" customHeight="1" x14ac:dyDescent="0.2">
      <c r="G90" s="4"/>
    </row>
    <row r="91" spans="7:7" ht="18" customHeight="1" x14ac:dyDescent="0.2">
      <c r="G91" s="4"/>
    </row>
    <row r="92" spans="7:7" ht="18" customHeight="1" x14ac:dyDescent="0.2">
      <c r="G92" s="4"/>
    </row>
    <row r="93" spans="7:7" ht="18" customHeight="1" x14ac:dyDescent="0.2">
      <c r="G93" s="4"/>
    </row>
    <row r="94" spans="7:7" ht="18" customHeight="1" x14ac:dyDescent="0.2">
      <c r="G94" s="4"/>
    </row>
    <row r="95" spans="7:7" ht="18" customHeight="1" x14ac:dyDescent="0.2">
      <c r="G95" s="4"/>
    </row>
    <row r="96" spans="7:7" ht="18" customHeight="1" x14ac:dyDescent="0.2">
      <c r="G96" s="4"/>
    </row>
    <row r="97" spans="7:324" ht="18" customHeight="1" x14ac:dyDescent="0.2">
      <c r="G97" s="4"/>
    </row>
    <row r="98" spans="7:324" ht="18" customHeight="1" x14ac:dyDescent="0.2">
      <c r="G98" s="4"/>
    </row>
    <row r="99" spans="7:324" ht="18" customHeight="1" x14ac:dyDescent="0.2">
      <c r="G99" s="4"/>
    </row>
    <row r="100" spans="7:324" ht="18" customHeight="1" x14ac:dyDescent="0.2">
      <c r="G100" s="4"/>
    </row>
    <row r="101" spans="7:324" ht="18" customHeight="1" x14ac:dyDescent="0.2">
      <c r="G101" s="4"/>
    </row>
    <row r="102" spans="7:324" ht="18" customHeight="1" x14ac:dyDescent="0.2">
      <c r="G102" s="4"/>
    </row>
    <row r="103" spans="7:324" ht="18" customHeight="1" x14ac:dyDescent="0.2">
      <c r="G103" s="4"/>
    </row>
    <row r="104" spans="7:324" ht="18" customHeight="1" x14ac:dyDescent="0.2">
      <c r="G104" s="4"/>
    </row>
    <row r="105" spans="7:324" ht="18" customHeight="1" x14ac:dyDescent="0.2">
      <c r="G105" s="4"/>
    </row>
    <row r="106" spans="7:324" ht="18" customHeight="1" x14ac:dyDescent="0.2">
      <c r="G106" s="4"/>
    </row>
    <row r="107" spans="7:324" ht="18" customHeight="1" x14ac:dyDescent="0.2">
      <c r="G107" s="4"/>
    </row>
    <row r="108" spans="7:324" ht="18" customHeight="1" x14ac:dyDescent="0.2">
      <c r="G108" s="4"/>
    </row>
    <row r="109" spans="7:324" ht="18" customHeight="1" x14ac:dyDescent="0.2">
      <c r="G109" s="4"/>
    </row>
    <row r="110" spans="7:324" ht="18" customHeight="1" x14ac:dyDescent="0.2">
      <c r="G110" s="4"/>
      <c r="S110" s="40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0"/>
      <c r="AK110" s="41"/>
      <c r="AL110" s="41"/>
      <c r="AM110" s="41"/>
      <c r="AN110" s="44"/>
      <c r="AO110" s="41"/>
      <c r="AP110" s="41"/>
      <c r="AQ110" s="41"/>
      <c r="AR110" s="41"/>
      <c r="AS110" s="41"/>
      <c r="AT110" s="41"/>
      <c r="AU110" s="41"/>
      <c r="AV110" s="41"/>
      <c r="AW110" s="40"/>
      <c r="AX110" s="41"/>
      <c r="AY110" s="41"/>
      <c r="AZ110" s="44"/>
      <c r="BA110" s="41"/>
      <c r="BB110" s="41"/>
      <c r="BC110" s="41"/>
      <c r="BD110" s="41"/>
      <c r="BE110" s="41"/>
      <c r="BF110" s="41"/>
      <c r="BG110" s="41"/>
      <c r="BH110" s="40"/>
      <c r="BI110" s="41"/>
      <c r="BJ110" s="41"/>
      <c r="BK110" s="44"/>
      <c r="BL110" s="41"/>
      <c r="BM110" s="41"/>
      <c r="BN110" s="41"/>
      <c r="BO110" s="41"/>
      <c r="BP110" s="44"/>
      <c r="BQ110" s="20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11"/>
      <c r="CW110" s="40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4"/>
      <c r="FH110" s="40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4"/>
      <c r="IQ110" s="40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4"/>
    </row>
    <row r="111" spans="7:324" ht="18" customHeight="1" x14ac:dyDescent="0.2">
      <c r="G111" s="4"/>
      <c r="S111" s="42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123"/>
      <c r="AK111" s="109"/>
      <c r="AL111" s="109"/>
      <c r="AM111" s="109"/>
      <c r="AN111" s="124"/>
      <c r="AO111" s="43"/>
      <c r="AP111" s="43"/>
      <c r="AQ111" s="43"/>
      <c r="AR111" s="43"/>
      <c r="AS111" s="43"/>
      <c r="AT111" s="43"/>
      <c r="AU111" s="43"/>
      <c r="AV111" s="43"/>
      <c r="AW111" s="123"/>
      <c r="AX111" s="109"/>
      <c r="AY111" s="109"/>
      <c r="AZ111" s="124"/>
      <c r="BA111" s="43"/>
      <c r="BB111" s="43"/>
      <c r="BC111" s="43"/>
      <c r="BD111" s="43"/>
      <c r="BE111" s="43"/>
      <c r="BF111" s="43"/>
      <c r="BG111" s="43"/>
      <c r="BH111" s="123"/>
      <c r="BI111" s="109"/>
      <c r="BJ111" s="109"/>
      <c r="BK111" s="124"/>
      <c r="BL111" s="43"/>
      <c r="BM111" s="43"/>
      <c r="BN111" s="43"/>
      <c r="BO111" s="43"/>
      <c r="BP111" s="45"/>
      <c r="CC111" s="13"/>
      <c r="CD111" s="13"/>
      <c r="CW111" s="42"/>
      <c r="CX111" s="43"/>
      <c r="CY111" s="43"/>
      <c r="CZ111" s="43"/>
      <c r="DA111" s="43"/>
      <c r="DB111" s="43"/>
      <c r="DC111" s="43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5"/>
      <c r="FH111" s="42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  <c r="HC111" s="43"/>
      <c r="HD111" s="43"/>
      <c r="HE111" s="43"/>
      <c r="HF111" s="43"/>
      <c r="HG111" s="43"/>
      <c r="HH111" s="43"/>
      <c r="HI111" s="43"/>
      <c r="HJ111" s="43"/>
      <c r="HK111" s="43"/>
      <c r="HL111" s="43"/>
      <c r="HM111" s="43"/>
      <c r="HN111" s="43"/>
      <c r="HO111" s="43"/>
      <c r="HP111" s="43"/>
      <c r="HQ111" s="43"/>
      <c r="HR111" s="43"/>
      <c r="HS111" s="43"/>
      <c r="HT111" s="43"/>
      <c r="HU111" s="43"/>
      <c r="HV111" s="43"/>
      <c r="HW111" s="43"/>
      <c r="HX111" s="43"/>
      <c r="HY111" s="43"/>
      <c r="HZ111" s="43"/>
      <c r="IA111" s="45"/>
      <c r="IQ111" s="42"/>
      <c r="IR111" s="43"/>
      <c r="IS111" s="43"/>
      <c r="IT111" s="43"/>
      <c r="IU111" s="43"/>
      <c r="IV111" s="43"/>
      <c r="IW111" s="43"/>
      <c r="IX111" s="43"/>
      <c r="IY111" s="43"/>
      <c r="IZ111" s="43"/>
      <c r="JA111" s="43"/>
      <c r="JB111" s="43"/>
      <c r="JC111" s="43"/>
      <c r="JD111" s="43"/>
      <c r="JE111" s="43"/>
      <c r="JF111" s="43"/>
      <c r="JG111" s="43"/>
      <c r="JH111" s="43"/>
      <c r="JI111" s="43"/>
      <c r="JJ111" s="43"/>
      <c r="JK111" s="43"/>
      <c r="JL111" s="43"/>
      <c r="JM111" s="43"/>
      <c r="JN111" s="43"/>
      <c r="JO111" s="43"/>
      <c r="JP111" s="43"/>
      <c r="JQ111" s="43"/>
      <c r="JR111" s="43"/>
      <c r="JS111" s="43"/>
      <c r="JT111" s="43"/>
      <c r="JU111" s="43"/>
      <c r="JV111" s="43"/>
      <c r="JW111" s="43"/>
      <c r="JX111" s="43"/>
      <c r="JY111" s="43"/>
      <c r="JZ111" s="43"/>
      <c r="KA111" s="43"/>
      <c r="KB111" s="43"/>
      <c r="KC111" s="43"/>
      <c r="KD111" s="43"/>
      <c r="KE111" s="43"/>
      <c r="KF111" s="43"/>
      <c r="KG111" s="43"/>
      <c r="KH111" s="43"/>
      <c r="KI111" s="43"/>
      <c r="KJ111" s="43"/>
      <c r="KK111" s="43"/>
      <c r="KL111" s="43"/>
      <c r="KM111" s="43"/>
      <c r="KN111" s="43"/>
      <c r="KO111" s="43"/>
      <c r="KP111" s="43"/>
      <c r="KQ111" s="43"/>
      <c r="KR111" s="43"/>
      <c r="KS111" s="43"/>
      <c r="KT111" s="43"/>
      <c r="KU111" s="43"/>
      <c r="KV111" s="43"/>
      <c r="KW111" s="43"/>
      <c r="KX111" s="43"/>
      <c r="KY111" s="43"/>
      <c r="KZ111" s="43"/>
      <c r="LA111" s="43"/>
      <c r="LB111" s="43"/>
      <c r="LC111" s="43"/>
      <c r="LD111" s="43"/>
      <c r="LE111" s="43"/>
      <c r="LF111" s="43"/>
      <c r="LG111" s="43"/>
      <c r="LH111" s="43"/>
      <c r="LI111" s="43"/>
      <c r="LJ111" s="43"/>
      <c r="LK111" s="43"/>
      <c r="LL111" s="45"/>
    </row>
    <row r="112" spans="7:324" ht="18" customHeight="1" x14ac:dyDescent="0.2">
      <c r="G112" s="4"/>
      <c r="S112" s="42"/>
      <c r="T112" s="43"/>
      <c r="U112" s="9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O112" s="10"/>
      <c r="AP112" s="10"/>
      <c r="AQ112" s="10"/>
      <c r="AR112" s="11"/>
      <c r="AS112" s="11"/>
      <c r="AT112" s="9"/>
      <c r="AU112" s="10"/>
      <c r="AV112" s="10"/>
      <c r="BA112" s="10"/>
      <c r="BB112" s="10"/>
      <c r="BC112" s="11"/>
      <c r="BD112" s="10"/>
      <c r="BE112" s="9"/>
      <c r="BF112" s="10"/>
      <c r="BG112" s="10"/>
      <c r="BL112" s="10"/>
      <c r="BM112" s="10"/>
      <c r="BN112" s="11"/>
      <c r="BO112" s="43"/>
      <c r="BP112" s="45"/>
      <c r="CC112" s="13"/>
      <c r="CD112" s="13"/>
      <c r="CW112" s="42"/>
      <c r="CX112" s="43"/>
      <c r="CY112" s="9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7"/>
      <c r="DX112" s="9"/>
      <c r="DY112" s="10"/>
      <c r="DZ112" s="10"/>
      <c r="EA112" s="10"/>
      <c r="EB112" s="10"/>
      <c r="EC112" s="10"/>
      <c r="ED112" s="10"/>
      <c r="EE112" s="10"/>
      <c r="EF112" s="10"/>
      <c r="EG112" s="11"/>
      <c r="EH112" s="10"/>
      <c r="EI112" s="9"/>
      <c r="EJ112" s="10"/>
      <c r="EK112" s="10"/>
      <c r="EL112" s="10"/>
      <c r="EM112" s="10"/>
      <c r="EN112" s="10"/>
      <c r="EO112" s="10"/>
      <c r="EP112" s="10"/>
      <c r="EQ112" s="10"/>
      <c r="ER112" s="11"/>
      <c r="ES112" s="43"/>
      <c r="ET112" s="45"/>
      <c r="FH112" s="42"/>
      <c r="FI112" s="43"/>
      <c r="FJ112" s="9"/>
      <c r="FK112" s="10"/>
      <c r="FL112" s="10"/>
      <c r="FM112" s="10"/>
      <c r="FN112" s="10"/>
      <c r="FO112" s="10"/>
      <c r="FP112" s="10"/>
      <c r="FQ112" s="10"/>
      <c r="FR112" s="10"/>
      <c r="FS112" s="10"/>
      <c r="FT112" s="10"/>
      <c r="FU112" s="10"/>
      <c r="FV112" s="10"/>
      <c r="FW112" s="10"/>
      <c r="FX112" s="10"/>
      <c r="FY112" s="10"/>
      <c r="FZ112" s="10"/>
      <c r="GA112" s="10"/>
      <c r="GB112" s="10"/>
      <c r="GC112" s="10"/>
      <c r="GD112" s="10"/>
      <c r="GE112" s="10"/>
      <c r="GF112" s="10"/>
      <c r="GG112" s="10"/>
      <c r="GH112" s="17"/>
      <c r="GI112" s="9"/>
      <c r="GJ112" s="10"/>
      <c r="GK112" s="10"/>
      <c r="GL112" s="10"/>
      <c r="GM112" s="10"/>
      <c r="GN112" s="10"/>
      <c r="GO112" s="10"/>
      <c r="GP112" s="10"/>
      <c r="GQ112" s="10"/>
      <c r="GR112" s="11"/>
      <c r="GS112" s="10"/>
      <c r="GT112" s="9"/>
      <c r="GU112" s="10"/>
      <c r="GV112" s="10"/>
      <c r="GW112" s="10"/>
      <c r="GX112" s="10"/>
      <c r="GY112" s="10"/>
      <c r="GZ112" s="10"/>
      <c r="HA112" s="10"/>
      <c r="HB112" s="10"/>
      <c r="HC112" s="11"/>
      <c r="HD112" s="9"/>
      <c r="HE112" s="9"/>
      <c r="HF112" s="10"/>
      <c r="HG112" s="10"/>
      <c r="HH112" s="10"/>
      <c r="HI112" s="10"/>
      <c r="HJ112" s="10"/>
      <c r="HK112" s="10"/>
      <c r="HL112" s="10"/>
      <c r="HM112" s="10"/>
      <c r="HN112" s="10"/>
      <c r="HO112" s="10"/>
      <c r="HP112" s="10"/>
      <c r="HQ112" s="10"/>
      <c r="HR112" s="10"/>
      <c r="HS112" s="10"/>
      <c r="HT112" s="10"/>
      <c r="HU112" s="10"/>
      <c r="HV112" s="10"/>
      <c r="HW112" s="10"/>
      <c r="HX112" s="10"/>
      <c r="HY112" s="11"/>
      <c r="HZ112" s="43"/>
      <c r="IA112" s="45"/>
      <c r="IQ112" s="42"/>
      <c r="IR112" s="43"/>
      <c r="IS112" s="9"/>
      <c r="IT112" s="10"/>
      <c r="IU112" s="10"/>
      <c r="IV112" s="10"/>
      <c r="IW112" s="10"/>
      <c r="IX112" s="10"/>
      <c r="IY112" s="10"/>
      <c r="IZ112" s="10"/>
      <c r="JA112" s="10"/>
      <c r="JB112" s="10"/>
      <c r="JC112" s="10"/>
      <c r="JD112" s="10"/>
      <c r="JE112" s="10"/>
      <c r="JF112" s="10"/>
      <c r="JG112" s="10"/>
      <c r="JH112" s="10"/>
      <c r="JI112" s="10"/>
      <c r="JJ112" s="10"/>
      <c r="JK112" s="10"/>
      <c r="JL112" s="10"/>
      <c r="JM112" s="10"/>
      <c r="JN112" s="10"/>
      <c r="JO112" s="10"/>
      <c r="JP112" s="11"/>
      <c r="JQ112" s="10"/>
      <c r="JR112" s="9"/>
      <c r="JS112" s="10"/>
      <c r="JT112" s="10"/>
      <c r="JU112" s="10"/>
      <c r="JV112" s="10"/>
      <c r="JW112" s="10"/>
      <c r="JX112" s="10"/>
      <c r="JY112" s="10"/>
      <c r="JZ112" s="10"/>
      <c r="KA112" s="10"/>
      <c r="KB112" s="10"/>
      <c r="KC112" s="10"/>
      <c r="KD112" s="10"/>
      <c r="KE112" s="10"/>
      <c r="KF112" s="10"/>
      <c r="KG112" s="10"/>
      <c r="KH112" s="10"/>
      <c r="KI112" s="11"/>
      <c r="KJ112" s="10"/>
      <c r="KK112" s="9"/>
      <c r="KL112" s="10"/>
      <c r="KM112" s="10"/>
      <c r="KN112" s="10"/>
      <c r="KO112" s="10"/>
      <c r="KP112" s="10"/>
      <c r="KQ112" s="10"/>
      <c r="KR112" s="10"/>
      <c r="KS112" s="10"/>
      <c r="KT112" s="10"/>
      <c r="KU112" s="10"/>
      <c r="KV112" s="10"/>
      <c r="KW112" s="10"/>
      <c r="KX112" s="10"/>
      <c r="KY112" s="10"/>
      <c r="KZ112" s="10"/>
      <c r="LA112" s="10"/>
      <c r="LB112" s="10"/>
      <c r="LC112" s="10"/>
      <c r="LD112" s="10"/>
      <c r="LE112" s="10"/>
      <c r="LF112" s="10"/>
      <c r="LG112" s="10"/>
      <c r="LH112" s="10"/>
      <c r="LI112" s="10"/>
      <c r="LJ112" s="11"/>
      <c r="LK112" s="43"/>
      <c r="LL112" s="45"/>
    </row>
    <row r="113" spans="7:324" ht="18" customHeight="1" x14ac:dyDescent="0.2">
      <c r="G113" s="4"/>
      <c r="S113" s="42"/>
      <c r="T113" s="43"/>
      <c r="U113" s="12"/>
      <c r="AR113" s="13"/>
      <c r="AS113" s="13"/>
      <c r="AT113" s="12"/>
      <c r="BC113" s="13"/>
      <c r="BE113" s="12"/>
      <c r="BN113" s="13"/>
      <c r="BO113" s="43"/>
      <c r="BP113" s="45"/>
      <c r="CC113" s="13"/>
      <c r="CD113" s="13"/>
      <c r="CW113" s="42"/>
      <c r="CX113" s="43"/>
      <c r="CY113" s="12"/>
      <c r="DW113" s="18"/>
      <c r="DX113" s="12"/>
      <c r="EG113" s="13"/>
      <c r="EI113" s="12"/>
      <c r="ER113" s="13"/>
      <c r="ES113" s="43"/>
      <c r="ET113" s="45"/>
      <c r="FH113" s="42"/>
      <c r="FI113" s="43"/>
      <c r="FJ113" s="12"/>
      <c r="GH113" s="18"/>
      <c r="GI113" s="12"/>
      <c r="GR113" s="13"/>
      <c r="GT113" s="12"/>
      <c r="HC113" s="13"/>
      <c r="HD113" s="12"/>
      <c r="HE113" s="12"/>
      <c r="HY113" s="13"/>
      <c r="HZ113" s="43"/>
      <c r="IA113" s="45"/>
      <c r="IQ113" s="42"/>
      <c r="IR113" s="43"/>
      <c r="IS113" s="12"/>
      <c r="JP113" s="13"/>
      <c r="JQ113" s="127"/>
      <c r="JR113" s="12"/>
      <c r="KI113" s="13"/>
      <c r="KK113" s="12"/>
      <c r="LJ113" s="13"/>
      <c r="LK113" s="43"/>
      <c r="LL113" s="45"/>
    </row>
    <row r="114" spans="7:324" ht="18" customHeight="1" x14ac:dyDescent="0.2">
      <c r="G114" s="4"/>
      <c r="S114" s="42"/>
      <c r="T114" s="43"/>
      <c r="U114" s="12"/>
      <c r="AR114" s="13"/>
      <c r="AS114" s="13"/>
      <c r="AT114" s="12"/>
      <c r="BC114" s="13"/>
      <c r="BE114" s="12"/>
      <c r="BN114" s="13"/>
      <c r="BO114" s="43"/>
      <c r="BP114" s="45"/>
      <c r="CC114" s="13"/>
      <c r="CD114" s="13"/>
      <c r="CW114" s="42"/>
      <c r="CX114" s="43"/>
      <c r="CY114" s="12"/>
      <c r="DW114" s="18"/>
      <c r="DX114" s="12"/>
      <c r="EG114" s="13"/>
      <c r="EI114" s="12"/>
      <c r="ER114" s="13"/>
      <c r="ES114" s="43"/>
      <c r="ET114" s="45"/>
      <c r="FH114" s="42"/>
      <c r="FI114" s="43"/>
      <c r="FJ114" s="12"/>
      <c r="GH114" s="18"/>
      <c r="GI114" s="12"/>
      <c r="GR114" s="13"/>
      <c r="GT114" s="12"/>
      <c r="HC114" s="13"/>
      <c r="HD114" s="12"/>
      <c r="HE114" s="12"/>
      <c r="HY114" s="13"/>
      <c r="HZ114" s="43"/>
      <c r="IA114" s="45"/>
      <c r="IQ114" s="42"/>
      <c r="IR114" s="43"/>
      <c r="IS114" s="12"/>
      <c r="JP114" s="13"/>
      <c r="JQ114" s="127"/>
      <c r="JR114" s="12"/>
      <c r="KI114" s="13"/>
      <c r="KK114" s="12"/>
      <c r="LJ114" s="13"/>
      <c r="LK114" s="43"/>
      <c r="LL114" s="45"/>
    </row>
    <row r="115" spans="7:324" ht="18" customHeight="1" x14ac:dyDescent="0.2">
      <c r="G115" s="4"/>
      <c r="S115" s="42"/>
      <c r="T115" s="43"/>
      <c r="U115" s="12"/>
      <c r="AR115" s="13"/>
      <c r="AS115" s="13"/>
      <c r="AT115" s="12"/>
      <c r="BC115" s="13"/>
      <c r="BE115" s="12"/>
      <c r="BN115" s="13"/>
      <c r="BO115" s="43"/>
      <c r="BP115" s="45"/>
      <c r="CC115" s="13"/>
      <c r="CD115" s="13"/>
      <c r="CW115" s="42"/>
      <c r="CX115" s="43"/>
      <c r="CY115" s="12"/>
      <c r="DW115" s="18"/>
      <c r="DX115" s="12"/>
      <c r="EG115" s="13"/>
      <c r="EI115" s="12"/>
      <c r="ER115" s="13"/>
      <c r="ES115" s="43"/>
      <c r="ET115" s="45"/>
      <c r="FH115" s="42"/>
      <c r="FI115" s="43"/>
      <c r="FJ115" s="12"/>
      <c r="GH115" s="18"/>
      <c r="GI115" s="12"/>
      <c r="GR115" s="13"/>
      <c r="GT115" s="12"/>
      <c r="HC115" s="13"/>
      <c r="HD115" s="12"/>
      <c r="HE115" s="12"/>
      <c r="HY115" s="13"/>
      <c r="HZ115" s="43"/>
      <c r="IA115" s="45"/>
      <c r="IQ115" s="42"/>
      <c r="IR115" s="43"/>
      <c r="IS115" s="12"/>
      <c r="JP115" s="13"/>
      <c r="JQ115" s="127"/>
      <c r="JR115" s="12"/>
      <c r="KI115" s="13"/>
      <c r="KK115" s="12"/>
      <c r="LJ115" s="13"/>
      <c r="LK115" s="43"/>
      <c r="LL115" s="45"/>
    </row>
    <row r="116" spans="7:324" ht="18" customHeight="1" x14ac:dyDescent="0.2">
      <c r="G116" s="4"/>
      <c r="S116" s="42"/>
      <c r="T116" s="43"/>
      <c r="U116" s="12"/>
      <c r="AR116" s="13"/>
      <c r="AS116" s="13"/>
      <c r="AT116" s="12"/>
      <c r="BC116" s="13"/>
      <c r="BE116" s="12"/>
      <c r="BN116" s="13"/>
      <c r="BO116" s="43"/>
      <c r="BP116" s="45"/>
      <c r="CC116" s="13"/>
      <c r="CD116" s="13"/>
      <c r="CW116" s="42"/>
      <c r="CX116" s="43"/>
      <c r="CY116" s="12"/>
      <c r="DW116" s="18"/>
      <c r="DX116" s="12"/>
      <c r="EG116" s="13"/>
      <c r="EI116" s="12"/>
      <c r="ER116" s="13"/>
      <c r="ES116" s="43"/>
      <c r="ET116" s="45"/>
      <c r="FH116" s="42"/>
      <c r="FI116" s="43"/>
      <c r="FJ116" s="12"/>
      <c r="GH116" s="18"/>
      <c r="GI116" s="12"/>
      <c r="GR116" s="13"/>
      <c r="GT116" s="12"/>
      <c r="HC116" s="13"/>
      <c r="HD116" s="12"/>
      <c r="HE116" s="12"/>
      <c r="HY116" s="13"/>
      <c r="HZ116" s="43"/>
      <c r="IA116" s="45"/>
      <c r="IQ116" s="42"/>
      <c r="IR116" s="43"/>
      <c r="IS116" s="12"/>
      <c r="JP116" s="13"/>
      <c r="JQ116" s="127"/>
      <c r="JR116" s="12"/>
      <c r="KI116" s="13"/>
      <c r="KK116" s="12"/>
      <c r="LJ116" s="13"/>
      <c r="LK116" s="43"/>
      <c r="LL116" s="45"/>
    </row>
    <row r="117" spans="7:324" ht="18" customHeight="1" x14ac:dyDescent="0.2">
      <c r="G117" s="4"/>
      <c r="S117" s="42"/>
      <c r="T117" s="43"/>
      <c r="U117" s="12"/>
      <c r="AR117" s="13"/>
      <c r="AS117" s="13"/>
      <c r="AT117" s="12"/>
      <c r="BC117" s="13"/>
      <c r="BE117" s="12"/>
      <c r="BN117" s="13"/>
      <c r="BO117" s="43"/>
      <c r="BP117" s="45"/>
      <c r="CC117" s="13"/>
      <c r="CD117" s="13"/>
      <c r="CW117" s="42"/>
      <c r="CX117" s="43"/>
      <c r="CY117" s="12"/>
      <c r="DW117" s="18"/>
      <c r="DX117" s="12"/>
      <c r="EG117" s="13"/>
      <c r="EI117" s="12"/>
      <c r="ER117" s="13"/>
      <c r="ES117" s="43"/>
      <c r="ET117" s="45"/>
      <c r="FH117" s="42"/>
      <c r="FI117" s="43"/>
      <c r="FJ117" s="12"/>
      <c r="GH117" s="18"/>
      <c r="GI117" s="12"/>
      <c r="GR117" s="13"/>
      <c r="GT117" s="12"/>
      <c r="HC117" s="13"/>
      <c r="HD117" s="12"/>
      <c r="HE117" s="12"/>
      <c r="HY117" s="13"/>
      <c r="HZ117" s="43"/>
      <c r="IA117" s="45"/>
      <c r="IQ117" s="42"/>
      <c r="IR117" s="43"/>
      <c r="IS117" s="12"/>
      <c r="JP117" s="13"/>
      <c r="JQ117" s="127"/>
      <c r="JR117" s="12"/>
      <c r="KI117" s="13"/>
      <c r="KK117" s="12"/>
      <c r="LJ117" s="13"/>
      <c r="LK117" s="43"/>
      <c r="LL117" s="45"/>
    </row>
    <row r="118" spans="7:324" ht="18" customHeight="1" x14ac:dyDescent="0.2">
      <c r="G118" s="4"/>
      <c r="S118" s="42"/>
      <c r="T118" s="43"/>
      <c r="U118" s="12"/>
      <c r="AR118" s="13"/>
      <c r="AS118" s="13"/>
      <c r="AT118" s="12"/>
      <c r="BC118" s="13"/>
      <c r="BE118" s="12"/>
      <c r="BN118" s="13"/>
      <c r="BO118" s="43"/>
      <c r="BP118" s="45"/>
      <c r="CC118" s="13"/>
      <c r="CD118" s="13"/>
      <c r="CW118" s="42"/>
      <c r="CX118" s="43"/>
      <c r="CY118" s="12"/>
      <c r="DW118" s="18"/>
      <c r="DX118" s="12"/>
      <c r="EG118" s="13"/>
      <c r="EI118" s="12"/>
      <c r="ER118" s="13"/>
      <c r="ES118" s="43"/>
      <c r="ET118" s="45"/>
      <c r="FH118" s="42"/>
      <c r="FI118" s="43"/>
      <c r="FJ118" s="9"/>
      <c r="FK118" s="10"/>
      <c r="FL118" s="10"/>
      <c r="FM118" s="10"/>
      <c r="FN118" s="10"/>
      <c r="FO118" s="10"/>
      <c r="FP118" s="10"/>
      <c r="FQ118" s="10"/>
      <c r="FR118" s="10"/>
      <c r="FS118" s="10"/>
      <c r="FT118" s="10"/>
      <c r="FU118" s="11"/>
      <c r="GH118" s="18"/>
      <c r="GI118" s="12"/>
      <c r="GR118" s="13"/>
      <c r="GT118" s="12"/>
      <c r="HC118" s="13"/>
      <c r="HD118" s="12"/>
      <c r="HE118" s="12"/>
      <c r="HY118" s="13"/>
      <c r="HZ118" s="43"/>
      <c r="IA118" s="45"/>
      <c r="IQ118" s="42"/>
      <c r="IR118" s="43"/>
      <c r="IS118" s="12"/>
      <c r="JP118" s="13"/>
      <c r="JR118" s="12"/>
      <c r="KI118" s="13"/>
      <c r="KK118" s="12"/>
      <c r="LJ118" s="13"/>
      <c r="LK118" s="43"/>
      <c r="LL118" s="45"/>
    </row>
    <row r="119" spans="7:324" ht="18" customHeight="1" x14ac:dyDescent="0.2">
      <c r="G119" s="4"/>
      <c r="S119" s="42"/>
      <c r="T119" s="43"/>
      <c r="U119" s="12"/>
      <c r="AR119" s="13"/>
      <c r="AS119" s="13"/>
      <c r="AT119" s="14"/>
      <c r="AU119" s="15"/>
      <c r="AV119" s="15"/>
      <c r="AW119" s="15"/>
      <c r="AX119" s="15"/>
      <c r="AY119" s="15"/>
      <c r="AZ119" s="15"/>
      <c r="BA119" s="15"/>
      <c r="BB119" s="15"/>
      <c r="BC119" s="16"/>
      <c r="BE119" s="14"/>
      <c r="BF119" s="15"/>
      <c r="BG119" s="15"/>
      <c r="BH119" s="15"/>
      <c r="BI119" s="15"/>
      <c r="BJ119" s="15"/>
      <c r="BK119" s="15"/>
      <c r="BL119" s="15"/>
      <c r="BM119" s="15"/>
      <c r="BN119" s="16"/>
      <c r="BO119" s="43"/>
      <c r="BP119" s="45"/>
      <c r="CC119" s="13"/>
      <c r="CD119" s="13"/>
      <c r="CW119" s="42"/>
      <c r="CX119" s="43"/>
      <c r="CY119" s="12"/>
      <c r="DW119" s="18"/>
      <c r="DX119" s="14"/>
      <c r="DY119" s="15"/>
      <c r="DZ119" s="15"/>
      <c r="EA119" s="15"/>
      <c r="EB119" s="15"/>
      <c r="EC119" s="15"/>
      <c r="ED119" s="15"/>
      <c r="EE119" s="15"/>
      <c r="EF119" s="15"/>
      <c r="EG119" s="16"/>
      <c r="EI119" s="14"/>
      <c r="EJ119" s="15"/>
      <c r="EK119" s="15"/>
      <c r="EL119" s="15"/>
      <c r="EM119" s="15"/>
      <c r="EN119" s="15"/>
      <c r="EO119" s="15"/>
      <c r="EP119" s="15"/>
      <c r="EQ119" s="15"/>
      <c r="ER119" s="16"/>
      <c r="ES119" s="43"/>
      <c r="ET119" s="45"/>
      <c r="FH119" s="42"/>
      <c r="FI119" s="43"/>
      <c r="FJ119" s="12"/>
      <c r="FU119" s="13"/>
      <c r="GH119" s="18"/>
      <c r="GI119" s="14"/>
      <c r="GJ119" s="15"/>
      <c r="GK119" s="15"/>
      <c r="GL119" s="15"/>
      <c r="GM119" s="15"/>
      <c r="GN119" s="15"/>
      <c r="GO119" s="15"/>
      <c r="GP119" s="15"/>
      <c r="GQ119" s="15"/>
      <c r="GR119" s="16"/>
      <c r="GT119" s="14"/>
      <c r="GU119" s="15"/>
      <c r="GV119" s="15"/>
      <c r="GW119" s="15"/>
      <c r="GX119" s="15"/>
      <c r="GY119" s="15"/>
      <c r="GZ119" s="15"/>
      <c r="HA119" s="15"/>
      <c r="HB119" s="15"/>
      <c r="HC119" s="16"/>
      <c r="HD119" s="12"/>
      <c r="HE119" s="12"/>
      <c r="HY119" s="13"/>
      <c r="HZ119" s="43"/>
      <c r="IA119" s="45"/>
      <c r="IQ119" s="42"/>
      <c r="IR119" s="43"/>
      <c r="IS119" s="12"/>
      <c r="JP119" s="13"/>
      <c r="JR119" s="12"/>
      <c r="KI119" s="13"/>
      <c r="KK119" s="12"/>
      <c r="LJ119" s="13"/>
      <c r="LK119" s="43"/>
      <c r="LL119" s="45"/>
    </row>
    <row r="120" spans="7:324" ht="18" customHeight="1" x14ac:dyDescent="0.2">
      <c r="G120" s="4"/>
      <c r="S120" s="42"/>
      <c r="T120" s="43"/>
      <c r="U120" s="12"/>
      <c r="AR120" s="13"/>
      <c r="AS120" s="13"/>
      <c r="AT120" s="12"/>
      <c r="AY120" s="9"/>
      <c r="AZ120" s="10"/>
      <c r="BA120" s="10"/>
      <c r="BB120" s="10"/>
      <c r="BC120" s="11"/>
      <c r="BE120" s="9"/>
      <c r="BF120" s="10"/>
      <c r="BG120" s="10"/>
      <c r="BH120" s="10"/>
      <c r="BI120" s="11"/>
      <c r="BN120" s="13"/>
      <c r="BO120" s="43"/>
      <c r="BP120" s="45"/>
      <c r="CC120" s="13"/>
      <c r="CD120" s="13"/>
      <c r="CW120" s="42"/>
      <c r="CX120" s="43"/>
      <c r="CY120" s="12"/>
      <c r="DW120" s="18"/>
      <c r="EC120" s="9"/>
      <c r="ED120" s="10"/>
      <c r="EE120" s="10"/>
      <c r="EF120" s="10"/>
      <c r="EG120" s="11"/>
      <c r="EI120" s="9"/>
      <c r="EJ120" s="10"/>
      <c r="EK120" s="10"/>
      <c r="EL120" s="10"/>
      <c r="EM120" s="11"/>
      <c r="ER120" s="13"/>
      <c r="ES120" s="43"/>
      <c r="ET120" s="45"/>
      <c r="FH120" s="42"/>
      <c r="FI120" s="43"/>
      <c r="FJ120" s="12"/>
      <c r="FU120" s="13"/>
      <c r="GH120" s="18"/>
      <c r="GN120" s="9"/>
      <c r="GO120" s="10"/>
      <c r="GP120" s="10"/>
      <c r="GQ120" s="10"/>
      <c r="GR120" s="11"/>
      <c r="GT120" s="9"/>
      <c r="GU120" s="10"/>
      <c r="GV120" s="10"/>
      <c r="GW120" s="10"/>
      <c r="GX120" s="11"/>
      <c r="HC120" s="13"/>
      <c r="HD120" s="12"/>
      <c r="HE120" s="12"/>
      <c r="HY120" s="13"/>
      <c r="HZ120" s="43"/>
      <c r="IA120" s="45"/>
      <c r="IQ120" s="42"/>
      <c r="IR120" s="43"/>
      <c r="IS120" s="12"/>
      <c r="JP120" s="13"/>
      <c r="JR120" s="12"/>
      <c r="KI120" s="13"/>
      <c r="KK120" s="12"/>
      <c r="LJ120" s="13"/>
      <c r="LK120" s="43"/>
      <c r="LL120" s="45"/>
    </row>
    <row r="121" spans="7:324" ht="18" customHeight="1" x14ac:dyDescent="0.2">
      <c r="G121" s="4"/>
      <c r="S121" s="42"/>
      <c r="T121" s="43"/>
      <c r="U121" s="12"/>
      <c r="AR121" s="13"/>
      <c r="AS121" s="13"/>
      <c r="AT121" s="12"/>
      <c r="AY121" s="12"/>
      <c r="BC121" s="13"/>
      <c r="BE121" s="12"/>
      <c r="BI121" s="13"/>
      <c r="BN121" s="13"/>
      <c r="BO121" s="43"/>
      <c r="BP121" s="45"/>
      <c r="CC121" s="13"/>
      <c r="CD121" s="13"/>
      <c r="CW121" s="42"/>
      <c r="CX121" s="43"/>
      <c r="CY121" s="12"/>
      <c r="DW121" s="18"/>
      <c r="EC121" s="12"/>
      <c r="EG121" s="13"/>
      <c r="EI121" s="12"/>
      <c r="EM121" s="13"/>
      <c r="ER121" s="13"/>
      <c r="ES121" s="43"/>
      <c r="ET121" s="45"/>
      <c r="FH121" s="42"/>
      <c r="FI121" s="43"/>
      <c r="FJ121" s="12"/>
      <c r="FU121" s="13"/>
      <c r="GH121" s="18"/>
      <c r="GN121" s="12"/>
      <c r="GR121" s="13"/>
      <c r="GT121" s="12"/>
      <c r="GX121" s="13"/>
      <c r="HC121" s="13"/>
      <c r="HD121" s="12"/>
      <c r="HE121" s="12"/>
      <c r="HY121" s="13"/>
      <c r="HZ121" s="43"/>
      <c r="IA121" s="45"/>
      <c r="IQ121" s="42"/>
      <c r="IR121" s="43"/>
      <c r="IS121" s="12"/>
      <c r="JP121" s="13"/>
      <c r="JR121" s="12"/>
      <c r="KI121" s="13"/>
      <c r="KK121" s="12"/>
      <c r="LJ121" s="13"/>
      <c r="LK121" s="43"/>
      <c r="LL121" s="45"/>
    </row>
    <row r="122" spans="7:324" ht="18" customHeight="1" x14ac:dyDescent="0.2">
      <c r="G122" s="4"/>
      <c r="S122" s="42"/>
      <c r="T122" s="43"/>
      <c r="U122" s="12"/>
      <c r="AR122" s="13"/>
      <c r="AS122" s="13"/>
      <c r="AT122" s="12"/>
      <c r="AY122" s="12"/>
      <c r="BC122" s="13"/>
      <c r="BE122" s="12"/>
      <c r="BI122" s="13"/>
      <c r="BN122" s="13"/>
      <c r="BO122" s="43"/>
      <c r="BP122" s="45"/>
      <c r="CC122" s="13"/>
      <c r="CD122" s="13"/>
      <c r="CW122" s="42"/>
      <c r="CX122" s="43"/>
      <c r="CY122" s="12"/>
      <c r="DW122" s="18"/>
      <c r="EC122" s="12"/>
      <c r="EG122" s="13"/>
      <c r="EI122" s="12"/>
      <c r="EM122" s="13"/>
      <c r="ER122" s="13"/>
      <c r="ES122" s="43"/>
      <c r="ET122" s="45"/>
      <c r="FH122" s="42"/>
      <c r="FI122" s="43"/>
      <c r="FJ122" s="12"/>
      <c r="FU122" s="13"/>
      <c r="GH122" s="18"/>
      <c r="GN122" s="12"/>
      <c r="GR122" s="13"/>
      <c r="GT122" s="12"/>
      <c r="GX122" s="13"/>
      <c r="HC122" s="13"/>
      <c r="HD122" s="12"/>
      <c r="HE122" s="12"/>
      <c r="HY122" s="13"/>
      <c r="HZ122" s="43"/>
      <c r="IA122" s="45"/>
      <c r="IQ122" s="42"/>
      <c r="IR122" s="43"/>
      <c r="IS122" s="12"/>
      <c r="JP122" s="13"/>
      <c r="JR122" s="12"/>
      <c r="KI122" s="13"/>
      <c r="KK122" s="12"/>
      <c r="LJ122" s="13"/>
      <c r="LK122" s="43"/>
      <c r="LL122" s="45"/>
    </row>
    <row r="123" spans="7:324" ht="18" customHeight="1" x14ac:dyDescent="0.2">
      <c r="G123" s="4"/>
      <c r="S123" s="42"/>
      <c r="T123" s="43"/>
      <c r="U123" s="12"/>
      <c r="AR123" s="13"/>
      <c r="AS123" s="13"/>
      <c r="AT123" s="12"/>
      <c r="AY123" s="12"/>
      <c r="BC123" s="13"/>
      <c r="BE123" s="12"/>
      <c r="BI123" s="13"/>
      <c r="BN123" s="13"/>
      <c r="BO123" s="43"/>
      <c r="BP123" s="45"/>
      <c r="CC123" s="13"/>
      <c r="CD123" s="13"/>
      <c r="CW123" s="42"/>
      <c r="CX123" s="43"/>
      <c r="CY123" s="12"/>
      <c r="DW123" s="18"/>
      <c r="EC123" s="12"/>
      <c r="EG123" s="13"/>
      <c r="EI123" s="12"/>
      <c r="EM123" s="13"/>
      <c r="ER123" s="13"/>
      <c r="ES123" s="43"/>
      <c r="ET123" s="45"/>
      <c r="FH123" s="42"/>
      <c r="FI123" s="43"/>
      <c r="FJ123" s="12"/>
      <c r="FU123" s="13"/>
      <c r="GH123" s="18"/>
      <c r="GN123" s="12"/>
      <c r="GR123" s="13"/>
      <c r="GT123" s="12"/>
      <c r="GX123" s="13"/>
      <c r="HC123" s="13"/>
      <c r="HD123" s="12"/>
      <c r="HE123" s="12"/>
      <c r="HY123" s="13"/>
      <c r="HZ123" s="43"/>
      <c r="IA123" s="45"/>
      <c r="IQ123" s="42"/>
      <c r="IR123" s="43"/>
      <c r="IS123" s="12"/>
      <c r="JP123" s="13"/>
      <c r="JR123" s="12"/>
      <c r="KI123" s="13"/>
      <c r="KK123" s="12"/>
      <c r="LJ123" s="13"/>
      <c r="LK123" s="43"/>
      <c r="LL123" s="45"/>
    </row>
    <row r="124" spans="7:324" ht="18" customHeight="1" x14ac:dyDescent="0.2">
      <c r="G124" s="4"/>
      <c r="S124" s="42"/>
      <c r="T124" s="43"/>
      <c r="U124" s="12"/>
      <c r="AR124" s="13"/>
      <c r="AS124" s="23"/>
      <c r="AT124" s="12"/>
      <c r="AY124" s="14"/>
      <c r="AZ124" s="15"/>
      <c r="BA124" s="15"/>
      <c r="BB124" s="15"/>
      <c r="BC124" s="16"/>
      <c r="BE124" s="14"/>
      <c r="BF124" s="15"/>
      <c r="BG124" s="15"/>
      <c r="BH124" s="15"/>
      <c r="BI124" s="16"/>
      <c r="BN124" s="13"/>
      <c r="BO124" s="43"/>
      <c r="BP124" s="45"/>
      <c r="CC124" s="13"/>
      <c r="CD124" s="13"/>
      <c r="CW124" s="42"/>
      <c r="CX124" s="43"/>
      <c r="CY124" s="12"/>
      <c r="DW124" s="23"/>
      <c r="EC124" s="14"/>
      <c r="ED124" s="15"/>
      <c r="EE124" s="15"/>
      <c r="EF124" s="15"/>
      <c r="EG124" s="16"/>
      <c r="EI124" s="14"/>
      <c r="EJ124" s="15"/>
      <c r="EK124" s="15"/>
      <c r="EL124" s="15"/>
      <c r="EM124" s="16"/>
      <c r="ER124" s="13"/>
      <c r="ES124" s="43"/>
      <c r="ET124" s="45"/>
      <c r="FH124" s="42"/>
      <c r="FI124" s="43"/>
      <c r="FJ124" s="12"/>
      <c r="FU124" s="13"/>
      <c r="GH124" s="23"/>
      <c r="GN124" s="14"/>
      <c r="GO124" s="15"/>
      <c r="GP124" s="15"/>
      <c r="GQ124" s="15"/>
      <c r="GR124" s="16"/>
      <c r="GT124" s="14"/>
      <c r="GU124" s="15"/>
      <c r="GV124" s="15"/>
      <c r="GW124" s="15"/>
      <c r="GX124" s="16"/>
      <c r="HC124" s="13"/>
      <c r="HD124" s="12"/>
      <c r="HE124" s="12"/>
      <c r="HY124" s="13"/>
      <c r="HZ124" s="43"/>
      <c r="IA124" s="45"/>
      <c r="IQ124" s="42"/>
      <c r="IR124" s="43"/>
      <c r="IS124" s="12"/>
      <c r="JP124" s="13"/>
      <c r="JR124" s="12"/>
      <c r="KI124" s="13"/>
      <c r="KK124" s="12"/>
      <c r="LJ124" s="13"/>
      <c r="LK124" s="43"/>
      <c r="LL124" s="45"/>
    </row>
    <row r="125" spans="7:324" ht="18" customHeight="1" x14ac:dyDescent="0.2">
      <c r="G125" s="4"/>
      <c r="S125" s="42"/>
      <c r="T125" s="43"/>
      <c r="U125" s="12"/>
      <c r="AR125" s="13"/>
      <c r="AS125" s="24"/>
      <c r="AT125" s="12"/>
      <c r="AY125" s="12"/>
      <c r="BC125" s="13"/>
      <c r="BE125" s="12"/>
      <c r="BI125" s="13"/>
      <c r="BN125" s="13"/>
      <c r="BO125" s="43"/>
      <c r="BP125" s="45"/>
      <c r="CC125" s="13"/>
      <c r="CD125" s="13"/>
      <c r="CW125" s="42"/>
      <c r="CX125" s="43"/>
      <c r="CY125" s="12"/>
      <c r="DW125" s="24"/>
      <c r="EC125" s="12"/>
      <c r="EG125" s="13"/>
      <c r="EI125" s="12"/>
      <c r="EM125" s="13"/>
      <c r="ER125" s="13"/>
      <c r="ES125" s="43"/>
      <c r="ET125" s="45"/>
      <c r="FH125" s="42"/>
      <c r="FI125" s="43"/>
      <c r="FJ125" s="12"/>
      <c r="FU125" s="13"/>
      <c r="GH125" s="24"/>
      <c r="GN125" s="12"/>
      <c r="GR125" s="13"/>
      <c r="GT125" s="12"/>
      <c r="GX125" s="13"/>
      <c r="HC125" s="13"/>
      <c r="HD125" s="12"/>
      <c r="HE125" s="12"/>
      <c r="HY125" s="13"/>
      <c r="HZ125" s="43"/>
      <c r="IA125" s="45"/>
      <c r="IQ125" s="42"/>
      <c r="IR125" s="43"/>
      <c r="IS125" s="12"/>
      <c r="JP125" s="13"/>
      <c r="JR125" s="12"/>
      <c r="KI125" s="13"/>
      <c r="KK125" s="12"/>
      <c r="LJ125" s="13"/>
      <c r="LK125" s="43"/>
      <c r="LL125" s="45"/>
    </row>
    <row r="126" spans="7:324" ht="18" customHeight="1" x14ac:dyDescent="0.2">
      <c r="G126" s="4"/>
      <c r="S126" s="42"/>
      <c r="T126" s="43"/>
      <c r="U126" s="12"/>
      <c r="AR126" s="13"/>
      <c r="AS126" s="24"/>
      <c r="AT126" s="12"/>
      <c r="AY126" s="12"/>
      <c r="BC126" s="13"/>
      <c r="BE126" s="12"/>
      <c r="BI126" s="13"/>
      <c r="BN126" s="13"/>
      <c r="BO126" s="43"/>
      <c r="BP126" s="45"/>
      <c r="CC126" s="13"/>
      <c r="CD126" s="13"/>
      <c r="CW126" s="42"/>
      <c r="CX126" s="43"/>
      <c r="CY126" s="12"/>
      <c r="DW126" s="24"/>
      <c r="EC126" s="12"/>
      <c r="EG126" s="13"/>
      <c r="EI126" s="12"/>
      <c r="EM126" s="13"/>
      <c r="ER126" s="13"/>
      <c r="ES126" s="43"/>
      <c r="ET126" s="45"/>
      <c r="FH126" s="42"/>
      <c r="FI126" s="43"/>
      <c r="FJ126" s="12"/>
      <c r="FU126" s="13"/>
      <c r="GH126" s="24"/>
      <c r="GN126" s="12"/>
      <c r="GR126" s="13"/>
      <c r="GT126" s="12"/>
      <c r="GX126" s="13"/>
      <c r="HC126" s="13"/>
      <c r="HD126" s="12"/>
      <c r="HE126" s="12"/>
      <c r="HY126" s="13"/>
      <c r="HZ126" s="43"/>
      <c r="IA126" s="45"/>
      <c r="IQ126" s="42"/>
      <c r="IR126" s="43"/>
      <c r="IS126" s="12"/>
      <c r="JP126" s="13"/>
      <c r="JR126" s="12"/>
      <c r="KI126" s="13"/>
      <c r="KK126" s="12"/>
      <c r="LJ126" s="13"/>
      <c r="LK126" s="43"/>
      <c r="LL126" s="45"/>
    </row>
    <row r="127" spans="7:324" ht="18" customHeight="1" x14ac:dyDescent="0.2">
      <c r="G127" s="4"/>
      <c r="S127" s="42"/>
      <c r="T127" s="43"/>
      <c r="U127" s="12"/>
      <c r="AR127" s="13"/>
      <c r="AS127" s="24"/>
      <c r="AT127" s="12"/>
      <c r="AY127" s="12"/>
      <c r="BC127" s="13"/>
      <c r="BE127" s="12"/>
      <c r="BI127" s="13"/>
      <c r="BN127" s="13"/>
      <c r="BO127" s="43"/>
      <c r="BP127" s="45"/>
      <c r="CC127" s="13"/>
      <c r="CD127" s="13"/>
      <c r="CW127" s="42"/>
      <c r="CX127" s="43"/>
      <c r="CY127" s="12"/>
      <c r="DW127" s="24"/>
      <c r="EC127" s="12"/>
      <c r="EG127" s="13"/>
      <c r="EI127" s="12"/>
      <c r="EM127" s="13"/>
      <c r="ER127" s="13"/>
      <c r="ES127" s="43"/>
      <c r="ET127" s="45"/>
      <c r="FH127" s="42"/>
      <c r="FI127" s="43"/>
      <c r="FJ127" s="12"/>
      <c r="FU127" s="13"/>
      <c r="GH127" s="24"/>
      <c r="GN127" s="12"/>
      <c r="GR127" s="13"/>
      <c r="GT127" s="12"/>
      <c r="GX127" s="13"/>
      <c r="HC127" s="13"/>
      <c r="HD127" s="12"/>
      <c r="HE127" s="12"/>
      <c r="HY127" s="13"/>
      <c r="HZ127" s="43"/>
      <c r="IA127" s="45"/>
      <c r="IQ127" s="42"/>
      <c r="IR127" s="43"/>
      <c r="IS127" s="12"/>
      <c r="JP127" s="13"/>
      <c r="JR127" s="12"/>
      <c r="KI127" s="13"/>
      <c r="KK127" s="12"/>
      <c r="LJ127" s="13"/>
      <c r="LK127" s="43"/>
      <c r="LL127" s="45"/>
    </row>
    <row r="128" spans="7:324" ht="18" customHeight="1" x14ac:dyDescent="0.2">
      <c r="G128" s="4"/>
      <c r="S128" s="42"/>
      <c r="T128" s="43"/>
      <c r="U128" s="12"/>
      <c r="AR128" s="13"/>
      <c r="AS128" s="25"/>
      <c r="AT128" s="12"/>
      <c r="AY128" s="12"/>
      <c r="BC128" s="13"/>
      <c r="BE128" s="12"/>
      <c r="BI128" s="13"/>
      <c r="BN128" s="13"/>
      <c r="BO128" s="43"/>
      <c r="BP128" s="45"/>
      <c r="CC128" s="13"/>
      <c r="CD128" s="13"/>
      <c r="CW128" s="42"/>
      <c r="CX128" s="43"/>
      <c r="CY128" s="12"/>
      <c r="DW128" s="25"/>
      <c r="EC128" s="12"/>
      <c r="EG128" s="13"/>
      <c r="EI128" s="12"/>
      <c r="EM128" s="13"/>
      <c r="ER128" s="13"/>
      <c r="ES128" s="43"/>
      <c r="ET128" s="45"/>
      <c r="FH128" s="42"/>
      <c r="FI128" s="43"/>
      <c r="FJ128" s="12"/>
      <c r="FU128" s="13"/>
      <c r="GH128" s="25"/>
      <c r="GN128" s="12"/>
      <c r="GR128" s="13"/>
      <c r="GT128" s="12"/>
      <c r="GX128" s="13"/>
      <c r="HC128" s="13"/>
      <c r="HD128" s="12"/>
      <c r="HE128" s="12"/>
      <c r="HY128" s="13"/>
      <c r="HZ128" s="43"/>
      <c r="IA128" s="45"/>
      <c r="IQ128" s="42"/>
      <c r="IR128" s="43"/>
      <c r="IS128" s="12"/>
      <c r="JP128" s="13"/>
      <c r="JR128" s="12"/>
      <c r="KI128" s="13"/>
      <c r="KK128" s="12"/>
      <c r="LJ128" s="13"/>
      <c r="LK128" s="43"/>
      <c r="LL128" s="45"/>
    </row>
    <row r="129" spans="7:324" ht="18" customHeight="1" x14ac:dyDescent="0.2">
      <c r="G129" s="4"/>
      <c r="S129" s="42"/>
      <c r="T129" s="43"/>
      <c r="U129" s="12"/>
      <c r="AR129" s="13"/>
      <c r="AS129" s="13"/>
      <c r="AT129" s="14"/>
      <c r="AU129" s="15"/>
      <c r="AV129" s="15"/>
      <c r="AW129" s="15"/>
      <c r="AX129" s="15"/>
      <c r="AY129" s="14"/>
      <c r="AZ129" s="15"/>
      <c r="BA129" s="15"/>
      <c r="BB129" s="15"/>
      <c r="BC129" s="16"/>
      <c r="BE129" s="14"/>
      <c r="BF129" s="15"/>
      <c r="BG129" s="15"/>
      <c r="BH129" s="15"/>
      <c r="BI129" s="16"/>
      <c r="BJ129" s="15"/>
      <c r="BK129" s="15"/>
      <c r="BL129" s="15"/>
      <c r="BM129" s="15"/>
      <c r="BN129" s="16"/>
      <c r="BO129" s="43"/>
      <c r="BP129" s="45"/>
      <c r="CC129" s="13"/>
      <c r="CD129" s="13"/>
      <c r="CW129" s="42"/>
      <c r="CX129" s="43"/>
      <c r="CY129" s="12"/>
      <c r="DW129" s="18"/>
      <c r="DX129" s="15"/>
      <c r="DY129" s="15"/>
      <c r="DZ129" s="15"/>
      <c r="EA129" s="15"/>
      <c r="EB129" s="15"/>
      <c r="EC129" s="14"/>
      <c r="ED129" s="15"/>
      <c r="EE129" s="15"/>
      <c r="EF129" s="15"/>
      <c r="EG129" s="16"/>
      <c r="EI129" s="14"/>
      <c r="EJ129" s="15"/>
      <c r="EK129" s="15"/>
      <c r="EL129" s="15"/>
      <c r="EM129" s="16"/>
      <c r="EN129" s="15"/>
      <c r="EO129" s="15"/>
      <c r="EP129" s="15"/>
      <c r="EQ129" s="15"/>
      <c r="ER129" s="16"/>
      <c r="ES129" s="43"/>
      <c r="ET129" s="45"/>
      <c r="FH129" s="42"/>
      <c r="FI129" s="43"/>
      <c r="FJ129" s="14"/>
      <c r="FK129" s="15"/>
      <c r="FL129" s="15"/>
      <c r="FM129" s="15"/>
      <c r="FN129" s="15"/>
      <c r="FO129" s="15"/>
      <c r="FP129" s="15"/>
      <c r="FQ129" s="15"/>
      <c r="FR129" s="15"/>
      <c r="FS129" s="15"/>
      <c r="FT129" s="15"/>
      <c r="FU129" s="16"/>
      <c r="GH129" s="18"/>
      <c r="GI129" s="15"/>
      <c r="GJ129" s="15"/>
      <c r="GK129" s="15"/>
      <c r="GL129" s="15"/>
      <c r="GM129" s="15"/>
      <c r="GN129" s="14"/>
      <c r="GO129" s="15"/>
      <c r="GP129" s="15"/>
      <c r="GQ129" s="15"/>
      <c r="GR129" s="16"/>
      <c r="GT129" s="14"/>
      <c r="GU129" s="15"/>
      <c r="GV129" s="15"/>
      <c r="GW129" s="15"/>
      <c r="GX129" s="16"/>
      <c r="GY129" s="15"/>
      <c r="GZ129" s="15"/>
      <c r="HA129" s="15"/>
      <c r="HB129" s="15"/>
      <c r="HC129" s="16"/>
      <c r="HD129" s="12"/>
      <c r="HE129" s="14"/>
      <c r="HF129" s="15"/>
      <c r="HG129" s="15"/>
      <c r="HH129" s="15"/>
      <c r="HI129" s="15"/>
      <c r="HJ129" s="15"/>
      <c r="HK129" s="15"/>
      <c r="HL129" s="15"/>
      <c r="HM129" s="15"/>
      <c r="HN129" s="15"/>
      <c r="HO129" s="15"/>
      <c r="HP129" s="15"/>
      <c r="HQ129" s="15"/>
      <c r="HR129" s="15"/>
      <c r="HS129" s="15"/>
      <c r="HT129" s="15"/>
      <c r="HU129" s="15"/>
      <c r="HV129" s="15"/>
      <c r="HW129" s="15"/>
      <c r="HX129" s="15"/>
      <c r="HY129" s="16"/>
      <c r="HZ129" s="43"/>
      <c r="IA129" s="45"/>
      <c r="IQ129" s="42"/>
      <c r="IR129" s="43"/>
      <c r="IS129" s="12"/>
      <c r="JP129" s="13"/>
      <c r="JR129" s="12"/>
      <c r="KI129" s="13"/>
      <c r="KK129" s="12"/>
      <c r="LJ129" s="13"/>
      <c r="LK129" s="43"/>
      <c r="LL129" s="45"/>
    </row>
    <row r="130" spans="7:324" ht="18" customHeight="1" x14ac:dyDescent="0.2">
      <c r="G130" s="4"/>
      <c r="S130" s="40"/>
      <c r="T130" s="125"/>
      <c r="AR130" s="13"/>
      <c r="AS130" s="12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26"/>
      <c r="BJ130" s="27"/>
      <c r="BK130" s="27"/>
      <c r="BL130" s="27"/>
      <c r="BM130" s="28"/>
      <c r="BN130" s="22"/>
      <c r="BO130" s="43"/>
      <c r="BP130" s="45"/>
      <c r="CC130" s="13"/>
      <c r="CD130" s="13"/>
      <c r="CW130" s="42"/>
      <c r="CX130" s="43"/>
      <c r="CY130" s="12"/>
      <c r="DW130" s="18"/>
      <c r="DX130" s="15"/>
      <c r="DY130" s="15"/>
      <c r="DZ130" s="15"/>
      <c r="EA130" s="15"/>
      <c r="EB130" s="15"/>
      <c r="EC130" s="15"/>
      <c r="ED130" s="15"/>
      <c r="EE130" s="15"/>
      <c r="EF130" s="15"/>
      <c r="EG130" s="15"/>
      <c r="EH130" s="15"/>
      <c r="EI130" s="15"/>
      <c r="EJ130" s="15"/>
      <c r="EK130" s="15"/>
      <c r="EL130" s="15"/>
      <c r="EM130" s="26"/>
      <c r="EN130" s="27"/>
      <c r="EO130" s="27"/>
      <c r="EP130" s="27"/>
      <c r="EQ130" s="28"/>
      <c r="ER130" s="22"/>
      <c r="ES130" s="43"/>
      <c r="ET130" s="45"/>
      <c r="FH130" s="42"/>
      <c r="FI130" s="43"/>
      <c r="FJ130" s="12"/>
      <c r="GH130" s="18"/>
      <c r="GI130" s="15"/>
      <c r="GJ130" s="15"/>
      <c r="GK130" s="15"/>
      <c r="GL130" s="15"/>
      <c r="GM130" s="15"/>
      <c r="GN130" s="15"/>
      <c r="GO130" s="15"/>
      <c r="GP130" s="15"/>
      <c r="GQ130" s="15"/>
      <c r="GR130" s="15"/>
      <c r="GS130" s="15"/>
      <c r="GT130" s="15"/>
      <c r="GU130" s="15"/>
      <c r="GV130" s="15"/>
      <c r="GW130" s="15"/>
      <c r="GX130" s="26"/>
      <c r="GY130" s="27"/>
      <c r="GZ130" s="27"/>
      <c r="HA130" s="27"/>
      <c r="HB130" s="28"/>
      <c r="HC130" s="22"/>
      <c r="HD130" s="18"/>
      <c r="HE130" s="15"/>
      <c r="HF130" s="15"/>
      <c r="HG130" s="15"/>
      <c r="HH130" s="15"/>
      <c r="HI130" s="15"/>
      <c r="HJ130" s="15"/>
      <c r="HK130" s="15"/>
      <c r="HL130" s="15"/>
      <c r="HM130" s="15"/>
      <c r="HN130" s="15"/>
      <c r="HO130" s="15"/>
      <c r="HP130" s="15"/>
      <c r="HQ130" s="15"/>
      <c r="HR130" s="15"/>
      <c r="HS130" s="15"/>
      <c r="HT130" s="72"/>
      <c r="HU130" s="100"/>
      <c r="HV130" s="100"/>
      <c r="HW130" s="100"/>
      <c r="HX130" s="73"/>
      <c r="HY130" s="16"/>
      <c r="HZ130" s="43"/>
      <c r="IA130" s="45"/>
      <c r="IQ130" s="42"/>
      <c r="IR130" s="43"/>
      <c r="IS130" s="12"/>
      <c r="JP130" s="13"/>
      <c r="JR130" s="12"/>
      <c r="KI130" s="13"/>
      <c r="KK130" s="12"/>
      <c r="LJ130" s="13"/>
      <c r="LK130" s="43"/>
      <c r="LL130" s="45"/>
    </row>
    <row r="131" spans="7:324" ht="18" customHeight="1" x14ac:dyDescent="0.2">
      <c r="G131" s="4"/>
      <c r="S131" s="42"/>
      <c r="T131" s="108"/>
      <c r="AR131" s="13"/>
      <c r="AT131" s="9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1"/>
      <c r="BO131" s="43"/>
      <c r="BP131" s="45"/>
      <c r="CC131" s="13"/>
      <c r="CD131" s="13"/>
      <c r="CW131" s="42"/>
      <c r="CX131" s="43"/>
      <c r="CY131" s="12"/>
      <c r="DW131" s="18"/>
      <c r="DX131" s="10"/>
      <c r="DY131" s="10"/>
      <c r="DZ131" s="10"/>
      <c r="EA131" s="10"/>
      <c r="EB131" s="10"/>
      <c r="EC131" s="10"/>
      <c r="ED131" s="10"/>
      <c r="EE131" s="10"/>
      <c r="EF131" s="10"/>
      <c r="EG131" s="10"/>
      <c r="EH131" s="10"/>
      <c r="EI131" s="10"/>
      <c r="EJ131" s="10"/>
      <c r="EK131" s="10"/>
      <c r="EL131" s="10"/>
      <c r="EM131" s="10"/>
      <c r="EN131" s="10"/>
      <c r="EO131" s="10"/>
      <c r="EP131" s="10"/>
      <c r="EQ131" s="10"/>
      <c r="ER131" s="11"/>
      <c r="ES131" s="43"/>
      <c r="ET131" s="45"/>
      <c r="FH131" s="42"/>
      <c r="FI131" s="43"/>
      <c r="FJ131" s="12"/>
      <c r="GH131" s="18"/>
      <c r="GI131" s="10"/>
      <c r="GJ131" s="10"/>
      <c r="GK131" s="10"/>
      <c r="GL131" s="10"/>
      <c r="GM131" s="10"/>
      <c r="GN131" s="10"/>
      <c r="GO131" s="10"/>
      <c r="GP131" s="10"/>
      <c r="GQ131" s="10"/>
      <c r="GR131" s="10"/>
      <c r="GS131" s="10"/>
      <c r="GT131" s="10"/>
      <c r="GU131" s="10"/>
      <c r="GV131" s="10"/>
      <c r="GW131" s="10"/>
      <c r="GX131" s="10"/>
      <c r="GY131" s="10"/>
      <c r="GZ131" s="10"/>
      <c r="HA131" s="10"/>
      <c r="HB131" s="10"/>
      <c r="HC131" s="10"/>
      <c r="HD131" s="10"/>
      <c r="HE131" s="10"/>
      <c r="HF131" s="10"/>
      <c r="HG131" s="10"/>
      <c r="HH131" s="10"/>
      <c r="HI131" s="10"/>
      <c r="HJ131" s="10"/>
      <c r="HK131" s="10"/>
      <c r="HL131" s="10"/>
      <c r="HM131" s="10"/>
      <c r="HN131" s="10"/>
      <c r="HO131" s="10"/>
      <c r="HP131" s="10"/>
      <c r="HQ131" s="10"/>
      <c r="HR131" s="10"/>
      <c r="HS131" s="10"/>
      <c r="HT131" s="10"/>
      <c r="HU131" s="10"/>
      <c r="HV131" s="10"/>
      <c r="HW131" s="10"/>
      <c r="HX131" s="10"/>
      <c r="HY131" s="11"/>
      <c r="HZ131" s="43"/>
      <c r="IA131" s="45"/>
      <c r="IQ131" s="42"/>
      <c r="IR131" s="43"/>
      <c r="IS131" s="12"/>
      <c r="JP131" s="13"/>
      <c r="JR131" s="12"/>
      <c r="KI131" s="13"/>
      <c r="KK131" s="12"/>
      <c r="LJ131" s="13"/>
      <c r="LK131" s="43"/>
      <c r="LL131" s="45"/>
    </row>
    <row r="132" spans="7:324" ht="18" customHeight="1" x14ac:dyDescent="0.2">
      <c r="G132" s="4"/>
      <c r="S132" s="42"/>
      <c r="T132" s="108"/>
      <c r="AR132" s="13"/>
      <c r="AT132" s="12"/>
      <c r="BO132" s="125"/>
      <c r="BP132" s="44"/>
      <c r="CC132" s="13"/>
      <c r="CD132" s="13"/>
      <c r="CW132" s="42"/>
      <c r="CX132" s="43"/>
      <c r="CY132" s="12"/>
      <c r="DW132" s="23"/>
      <c r="ER132" s="13"/>
      <c r="ES132" s="43"/>
      <c r="ET132" s="45"/>
      <c r="FH132" s="42"/>
      <c r="FI132" s="43"/>
      <c r="FJ132" s="12"/>
      <c r="GH132" s="23"/>
      <c r="HY132" s="13"/>
      <c r="HZ132" s="43"/>
      <c r="IA132" s="45"/>
      <c r="IQ132" s="42"/>
      <c r="IR132" s="43"/>
      <c r="IS132" s="12"/>
      <c r="JP132" s="13"/>
      <c r="JR132" s="14"/>
      <c r="JS132" s="15"/>
      <c r="JT132" s="15"/>
      <c r="JU132" s="15"/>
      <c r="JV132" s="15"/>
      <c r="JW132" s="15"/>
      <c r="JX132" s="15"/>
      <c r="JY132" s="15"/>
      <c r="JZ132" s="15"/>
      <c r="KA132" s="15"/>
      <c r="KB132" s="15"/>
      <c r="KC132" s="15"/>
      <c r="KD132" s="15"/>
      <c r="KE132" s="15"/>
      <c r="KF132" s="15"/>
      <c r="KG132" s="15"/>
      <c r="KH132" s="15"/>
      <c r="KI132" s="16"/>
      <c r="KK132" s="14"/>
      <c r="KL132" s="15"/>
      <c r="KM132" s="15"/>
      <c r="KN132" s="15"/>
      <c r="KO132" s="15"/>
      <c r="KP132" s="15"/>
      <c r="KQ132" s="15"/>
      <c r="KR132" s="15"/>
      <c r="KS132" s="15"/>
      <c r="KT132" s="15"/>
      <c r="KU132" s="15"/>
      <c r="KV132" s="15"/>
      <c r="KW132" s="15"/>
      <c r="KX132" s="15"/>
      <c r="KY132" s="15"/>
      <c r="KZ132" s="15"/>
      <c r="LA132" s="15"/>
      <c r="LB132" s="15"/>
      <c r="LC132" s="15"/>
      <c r="LD132" s="15"/>
      <c r="LE132" s="15"/>
      <c r="LF132" s="15"/>
      <c r="LG132" s="15"/>
      <c r="LH132" s="15"/>
      <c r="LI132" s="15"/>
      <c r="LJ132" s="16"/>
      <c r="LK132" s="43"/>
      <c r="LL132" s="45"/>
    </row>
    <row r="133" spans="7:324" ht="18" customHeight="1" x14ac:dyDescent="0.2">
      <c r="G133" s="4"/>
      <c r="S133" s="42"/>
      <c r="T133" s="108"/>
      <c r="AR133" s="13"/>
      <c r="AS133" s="23"/>
      <c r="AT133" s="12"/>
      <c r="BO133" s="108"/>
      <c r="BP133" s="45"/>
      <c r="CC133" s="13"/>
      <c r="CD133" s="13"/>
      <c r="CW133" s="42"/>
      <c r="CX133" s="43"/>
      <c r="CY133" s="12"/>
      <c r="DW133" s="24"/>
      <c r="ER133" s="13"/>
      <c r="ES133" s="43"/>
      <c r="ET133" s="45"/>
      <c r="FH133" s="42"/>
      <c r="FI133" s="43"/>
      <c r="FJ133" s="12"/>
      <c r="GH133" s="24"/>
      <c r="HY133" s="13"/>
      <c r="HZ133" s="43"/>
      <c r="IA133" s="45"/>
      <c r="IQ133" s="42"/>
      <c r="IR133" s="43"/>
      <c r="IS133" s="12"/>
      <c r="JP133" s="13"/>
      <c r="JR133" s="14"/>
      <c r="JS133" s="100"/>
      <c r="JT133" s="100"/>
      <c r="JU133" s="100"/>
      <c r="JV133" s="100"/>
      <c r="JW133" s="100"/>
      <c r="JX133" s="15"/>
      <c r="JY133" s="15"/>
      <c r="JZ133" s="15"/>
      <c r="KA133" s="15"/>
      <c r="KB133" s="15"/>
      <c r="KC133" s="15"/>
      <c r="KD133" s="15"/>
      <c r="KE133" s="15"/>
      <c r="KF133" s="15"/>
      <c r="KG133" s="15"/>
      <c r="KH133" s="15"/>
      <c r="KI133" s="15"/>
      <c r="KJ133" s="15"/>
      <c r="KK133" s="14"/>
      <c r="KL133" s="15"/>
      <c r="KM133" s="15"/>
      <c r="KN133" s="15"/>
      <c r="KO133" s="15"/>
      <c r="KP133" s="15"/>
      <c r="KQ133" s="15"/>
      <c r="KR133" s="15"/>
      <c r="KS133" s="15"/>
      <c r="KT133" s="15"/>
      <c r="KU133" s="15"/>
      <c r="KV133" s="15"/>
      <c r="KW133" s="15"/>
      <c r="KX133" s="15"/>
      <c r="KY133" s="15"/>
      <c r="KZ133" s="15"/>
      <c r="LA133" s="15"/>
      <c r="LB133" s="15"/>
      <c r="LC133" s="15"/>
      <c r="LD133" s="15"/>
      <c r="LE133" s="100"/>
      <c r="LF133" s="100"/>
      <c r="LG133" s="100"/>
      <c r="LH133" s="100"/>
      <c r="LI133" s="100"/>
      <c r="LJ133" s="16"/>
      <c r="LK133" s="43"/>
      <c r="LL133" s="45"/>
    </row>
    <row r="134" spans="7:324" ht="18" customHeight="1" x14ac:dyDescent="0.2">
      <c r="G134" s="4"/>
      <c r="S134" s="42"/>
      <c r="T134" s="108"/>
      <c r="AR134" s="13"/>
      <c r="AS134" s="24"/>
      <c r="AT134" s="12"/>
      <c r="BO134" s="108"/>
      <c r="BP134" s="45"/>
      <c r="CC134" s="13"/>
      <c r="CD134" s="13"/>
      <c r="CW134" s="42"/>
      <c r="CX134" s="43"/>
      <c r="CY134" s="12"/>
      <c r="DW134" s="24"/>
      <c r="ER134" s="13"/>
      <c r="ES134" s="125"/>
      <c r="ET134" s="125"/>
      <c r="FH134" s="42"/>
      <c r="FI134" s="43"/>
      <c r="FJ134" s="12"/>
      <c r="GH134" s="24"/>
      <c r="HY134" s="13"/>
      <c r="HZ134" s="43"/>
      <c r="IA134" s="45"/>
      <c r="IQ134" s="42"/>
      <c r="IR134" s="43"/>
      <c r="IS134" s="12"/>
      <c r="JP134" s="13"/>
      <c r="JR134" s="9"/>
      <c r="JS134" s="10"/>
      <c r="JT134" s="10"/>
      <c r="JU134" s="10"/>
      <c r="JV134" s="10"/>
      <c r="JW134" s="10"/>
      <c r="JX134" s="10"/>
      <c r="JY134" s="10"/>
      <c r="JZ134" s="10"/>
      <c r="KA134" s="10"/>
      <c r="KB134" s="10"/>
      <c r="KC134" s="10"/>
      <c r="KD134" s="10"/>
      <c r="KE134" s="10"/>
      <c r="KF134" s="10"/>
      <c r="KG134" s="10"/>
      <c r="KH134" s="10"/>
      <c r="KI134" s="10"/>
      <c r="KJ134" s="10"/>
      <c r="KK134" s="10"/>
      <c r="KL134" s="10"/>
      <c r="KM134" s="10"/>
      <c r="KN134" s="10"/>
      <c r="KO134" s="10"/>
      <c r="KP134" s="10"/>
      <c r="KQ134" s="10"/>
      <c r="KR134" s="10"/>
      <c r="KS134" s="10"/>
      <c r="KT134" s="10"/>
      <c r="KU134" s="10"/>
      <c r="KV134" s="10"/>
      <c r="KW134" s="10"/>
      <c r="KX134" s="10"/>
      <c r="KY134" s="10"/>
      <c r="KZ134" s="10"/>
      <c r="LA134" s="10"/>
      <c r="LB134" s="10"/>
      <c r="LC134" s="10"/>
      <c r="LD134" s="10"/>
      <c r="LE134" s="10"/>
      <c r="LF134" s="10"/>
      <c r="LG134" s="10"/>
      <c r="LH134" s="10"/>
      <c r="LI134" s="10"/>
      <c r="LJ134" s="11"/>
      <c r="LK134" s="43"/>
      <c r="LL134" s="45"/>
    </row>
    <row r="135" spans="7:324" ht="18" customHeight="1" x14ac:dyDescent="0.2">
      <c r="G135" s="4"/>
      <c r="S135" s="46"/>
      <c r="T135" s="126"/>
      <c r="AR135" s="13"/>
      <c r="AS135" s="24"/>
      <c r="AT135" s="12"/>
      <c r="BO135" s="108"/>
      <c r="BP135" s="45"/>
      <c r="CC135" s="13"/>
      <c r="CD135" s="13"/>
      <c r="CW135" s="42"/>
      <c r="CX135" s="43"/>
      <c r="CY135" s="12"/>
      <c r="DW135" s="24"/>
      <c r="ER135" s="13"/>
      <c r="ES135" s="108"/>
      <c r="ET135" s="108"/>
      <c r="FH135" s="42"/>
      <c r="FI135" s="43"/>
      <c r="FJ135" s="12"/>
      <c r="GH135" s="24"/>
      <c r="HY135" s="13"/>
      <c r="HZ135" s="43"/>
      <c r="IA135" s="45"/>
      <c r="IQ135" s="42"/>
      <c r="IR135" s="43"/>
      <c r="IS135" s="12"/>
      <c r="JP135" s="13"/>
      <c r="JQ135" s="127"/>
      <c r="JR135" s="12"/>
      <c r="LJ135" s="13"/>
      <c r="LK135" s="43"/>
      <c r="LL135" s="45"/>
    </row>
    <row r="136" spans="7:324" ht="18" customHeight="1" x14ac:dyDescent="0.2">
      <c r="G136" s="4"/>
      <c r="S136" s="42"/>
      <c r="T136" s="43"/>
      <c r="U136" s="12"/>
      <c r="AR136" s="13"/>
      <c r="AS136" s="24"/>
      <c r="AT136" s="12"/>
      <c r="BO136" s="126"/>
      <c r="BP136" s="48"/>
      <c r="CC136" s="13"/>
      <c r="CD136" s="13"/>
      <c r="CW136" s="42"/>
      <c r="CX136" s="43"/>
      <c r="CY136" s="12"/>
      <c r="DW136" s="25"/>
      <c r="ER136" s="13"/>
      <c r="ES136" s="108"/>
      <c r="ET136" s="108"/>
      <c r="FH136" s="42"/>
      <c r="FI136" s="43"/>
      <c r="FJ136" s="12"/>
      <c r="GH136" s="25"/>
      <c r="HY136" s="13"/>
      <c r="HZ136" s="43"/>
      <c r="IA136" s="45"/>
      <c r="IQ136" s="42"/>
      <c r="IR136" s="43"/>
      <c r="IS136" s="12"/>
      <c r="JP136" s="13"/>
      <c r="JQ136" s="127"/>
      <c r="JR136" s="12"/>
      <c r="LJ136" s="13"/>
      <c r="LK136" s="43"/>
      <c r="LL136" s="45"/>
    </row>
    <row r="137" spans="7:324" ht="18" customHeight="1" x14ac:dyDescent="0.2">
      <c r="G137" s="4"/>
      <c r="S137" s="42"/>
      <c r="T137" s="43"/>
      <c r="U137" s="12"/>
      <c r="AR137" s="13"/>
      <c r="AS137" s="24"/>
      <c r="AT137" s="12"/>
      <c r="BN137" s="13"/>
      <c r="BO137" s="43"/>
      <c r="BP137" s="45"/>
      <c r="CC137" s="13"/>
      <c r="CD137" s="13"/>
      <c r="CW137" s="42"/>
      <c r="CX137" s="43"/>
      <c r="CY137" s="14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18"/>
      <c r="ER137" s="13"/>
      <c r="ES137" s="108"/>
      <c r="ET137" s="108"/>
      <c r="FH137" s="42"/>
      <c r="FI137" s="43"/>
      <c r="FJ137" s="14"/>
      <c r="FK137" s="15"/>
      <c r="FL137" s="15"/>
      <c r="FM137" s="15"/>
      <c r="FN137" s="15"/>
      <c r="FO137" s="15"/>
      <c r="FP137" s="15"/>
      <c r="FQ137" s="15"/>
      <c r="FR137" s="15"/>
      <c r="FS137" s="15"/>
      <c r="FT137" s="15"/>
      <c r="FU137" s="15"/>
      <c r="FV137" s="15"/>
      <c r="FW137" s="15"/>
      <c r="FX137" s="15"/>
      <c r="FY137" s="15"/>
      <c r="FZ137" s="15"/>
      <c r="GA137" s="15"/>
      <c r="GB137" s="15"/>
      <c r="GC137" s="15"/>
      <c r="GD137" s="15"/>
      <c r="GE137" s="15"/>
      <c r="GF137" s="15"/>
      <c r="GG137" s="15"/>
      <c r="GH137" s="18"/>
      <c r="HY137" s="13"/>
      <c r="HZ137" s="43"/>
      <c r="IA137" s="45"/>
      <c r="IQ137" s="42"/>
      <c r="IR137" s="43"/>
      <c r="IS137" s="12"/>
      <c r="JP137" s="13"/>
      <c r="JQ137" s="127"/>
      <c r="JR137" s="12"/>
      <c r="LJ137" s="13"/>
      <c r="LK137" s="43"/>
      <c r="LL137" s="45"/>
    </row>
    <row r="138" spans="7:324" ht="18" customHeight="1" x14ac:dyDescent="0.2">
      <c r="G138" s="4"/>
      <c r="S138" s="42"/>
      <c r="T138" s="43"/>
      <c r="U138" s="12"/>
      <c r="AR138" s="13"/>
      <c r="AS138" s="25"/>
      <c r="BN138" s="13"/>
      <c r="BO138" s="43" t="s">
        <v>6</v>
      </c>
      <c r="BP138" s="45"/>
      <c r="CC138" s="13"/>
      <c r="CD138" s="13"/>
      <c r="CW138" s="42"/>
      <c r="CX138" s="43"/>
      <c r="DW138" s="18"/>
      <c r="ER138" s="13"/>
      <c r="ES138" s="108"/>
      <c r="ET138" s="108"/>
      <c r="FH138" s="42"/>
      <c r="FI138" s="43"/>
      <c r="FJ138" s="12"/>
      <c r="FU138" s="21"/>
      <c r="FW138" s="21"/>
      <c r="GG138" s="21"/>
      <c r="GH138" s="18"/>
      <c r="HY138" s="13"/>
      <c r="HZ138" s="43"/>
      <c r="IA138" s="45"/>
      <c r="IQ138" s="42"/>
      <c r="IR138" s="43"/>
      <c r="IS138" s="12"/>
      <c r="JP138" s="13"/>
      <c r="JQ138" s="127"/>
      <c r="JR138" s="12"/>
      <c r="LJ138" s="13"/>
      <c r="LK138" s="43"/>
      <c r="LL138" s="45"/>
    </row>
    <row r="139" spans="7:324" ht="18" customHeight="1" x14ac:dyDescent="0.2">
      <c r="G139" s="4"/>
      <c r="S139" s="42"/>
      <c r="T139" s="43"/>
      <c r="U139" s="14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6"/>
      <c r="AS139" s="13"/>
      <c r="BN139" s="13"/>
      <c r="BO139" s="43"/>
      <c r="BP139" s="45"/>
      <c r="CC139" s="13"/>
      <c r="CD139" s="13"/>
      <c r="CW139" s="42"/>
      <c r="CX139" s="43"/>
      <c r="CY139" s="9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8"/>
      <c r="ER139" s="13"/>
      <c r="ES139" s="126"/>
      <c r="ET139" s="126"/>
      <c r="FH139" s="42"/>
      <c r="FI139" s="43"/>
      <c r="FJ139" s="9"/>
      <c r="FK139" s="10"/>
      <c r="FL139" s="10"/>
      <c r="FM139" s="11"/>
      <c r="FN139" s="10"/>
      <c r="FO139" s="10"/>
      <c r="FP139" s="10"/>
      <c r="FQ139" s="10"/>
      <c r="FR139" s="9"/>
      <c r="FS139" s="10"/>
      <c r="FT139" s="10"/>
      <c r="FU139" s="11"/>
      <c r="FV139" s="10"/>
      <c r="FW139" s="10"/>
      <c r="FX139" s="10"/>
      <c r="FY139" s="10"/>
      <c r="FZ139" s="9"/>
      <c r="GA139" s="10"/>
      <c r="GB139" s="10"/>
      <c r="GC139" s="11"/>
      <c r="GD139" s="10"/>
      <c r="GE139" s="10"/>
      <c r="GF139" s="10"/>
      <c r="GG139" s="10"/>
      <c r="GH139" s="18"/>
      <c r="HY139" s="13"/>
      <c r="HZ139" s="43"/>
      <c r="IA139" s="45"/>
      <c r="IQ139" s="42"/>
      <c r="IR139" s="43"/>
      <c r="IS139" s="12"/>
      <c r="JP139" s="13"/>
      <c r="JQ139" s="127"/>
      <c r="JR139" s="12"/>
      <c r="LJ139" s="13"/>
      <c r="LK139" s="43"/>
      <c r="LL139" s="45"/>
    </row>
    <row r="140" spans="7:324" ht="18" customHeight="1" x14ac:dyDescent="0.2">
      <c r="G140" s="4"/>
      <c r="S140" s="42"/>
      <c r="T140" s="43"/>
      <c r="U140" s="12"/>
      <c r="AF140" s="21"/>
      <c r="AH140" s="21"/>
      <c r="AR140" s="21"/>
      <c r="AS140" s="13"/>
      <c r="BN140" s="13"/>
      <c r="BO140" s="43"/>
      <c r="BP140" s="45"/>
      <c r="CC140" s="13"/>
      <c r="CD140" s="13"/>
      <c r="CW140" s="42"/>
      <c r="CX140" s="43"/>
      <c r="CY140" s="12"/>
      <c r="DW140" s="23"/>
      <c r="ER140" s="13"/>
      <c r="ES140" s="43"/>
      <c r="ET140" s="45"/>
      <c r="FH140" s="42"/>
      <c r="FI140" s="43"/>
      <c r="FJ140" s="12"/>
      <c r="FM140" s="13"/>
      <c r="FR140" s="12"/>
      <c r="FU140" s="13"/>
      <c r="FZ140" s="12"/>
      <c r="GC140" s="13"/>
      <c r="GH140" s="18"/>
      <c r="HY140" s="13"/>
      <c r="HZ140" s="43"/>
      <c r="IA140" s="45"/>
      <c r="IQ140" s="42"/>
      <c r="IR140" s="43"/>
      <c r="IS140" s="14"/>
      <c r="IT140" s="15"/>
      <c r="IU140" s="15"/>
      <c r="IV140" s="15"/>
      <c r="IW140" s="15"/>
      <c r="IX140" s="15"/>
      <c r="IY140" s="15"/>
      <c r="IZ140" s="15"/>
      <c r="JA140" s="15"/>
      <c r="JB140" s="15"/>
      <c r="JC140" s="15"/>
      <c r="JD140" s="15"/>
      <c r="JE140" s="15"/>
      <c r="JF140" s="15"/>
      <c r="JG140" s="15"/>
      <c r="JH140" s="15"/>
      <c r="JI140" s="15"/>
      <c r="JJ140" s="15"/>
      <c r="JK140" s="15"/>
      <c r="JL140" s="15"/>
      <c r="JM140" s="15"/>
      <c r="JN140" s="15"/>
      <c r="JO140" s="15"/>
      <c r="JP140" s="16"/>
      <c r="JR140" s="12"/>
      <c r="LJ140" s="13"/>
      <c r="LK140" s="43"/>
      <c r="LL140" s="45"/>
    </row>
    <row r="141" spans="7:324" ht="18" customHeight="1" x14ac:dyDescent="0.2">
      <c r="G141" s="4"/>
      <c r="S141" s="42"/>
      <c r="T141" s="43"/>
      <c r="U141" s="9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1"/>
      <c r="AS141" s="13"/>
      <c r="BN141" s="13"/>
      <c r="BO141" s="43"/>
      <c r="BP141" s="45"/>
      <c r="CC141" s="13"/>
      <c r="CD141" s="13"/>
      <c r="CW141" s="42"/>
      <c r="CX141" s="43"/>
      <c r="CY141" s="12"/>
      <c r="DW141" s="24"/>
      <c r="ER141" s="13"/>
      <c r="ES141" s="43"/>
      <c r="ET141" s="45"/>
      <c r="FH141" s="42"/>
      <c r="FI141" s="43"/>
      <c r="FJ141" s="12"/>
      <c r="FM141" s="13"/>
      <c r="FR141" s="12"/>
      <c r="FU141" s="13"/>
      <c r="FZ141" s="12"/>
      <c r="GC141" s="13"/>
      <c r="GH141" s="18"/>
      <c r="HY141" s="13"/>
      <c r="HZ141" s="43"/>
      <c r="IA141" s="45"/>
      <c r="IQ141" s="42"/>
      <c r="IR141" s="43"/>
      <c r="IS141" s="12"/>
      <c r="JQ141" s="12"/>
      <c r="JR141" s="12"/>
      <c r="LJ141" s="13"/>
      <c r="LK141" s="43"/>
      <c r="LL141" s="45"/>
    </row>
    <row r="142" spans="7:324" ht="18" customHeight="1" x14ac:dyDescent="0.2">
      <c r="G142" s="4"/>
      <c r="S142" s="42"/>
      <c r="T142" s="43"/>
      <c r="U142" s="12"/>
      <c r="AR142" s="13"/>
      <c r="AS142" s="13"/>
      <c r="BN142" s="13"/>
      <c r="BO142" s="43"/>
      <c r="BP142" s="45"/>
      <c r="CC142" s="13"/>
      <c r="CD142" s="13"/>
      <c r="CW142" s="42"/>
      <c r="CX142" s="43"/>
      <c r="CY142" s="12"/>
      <c r="DW142" s="24"/>
      <c r="ER142" s="13"/>
      <c r="ES142" s="43"/>
      <c r="ET142" s="45"/>
      <c r="FH142" s="42"/>
      <c r="FI142" s="43"/>
      <c r="FJ142" s="14"/>
      <c r="FK142" s="15"/>
      <c r="FL142" s="15"/>
      <c r="FM142" s="16"/>
      <c r="FR142" s="14"/>
      <c r="FS142" s="15"/>
      <c r="FT142" s="15"/>
      <c r="FU142" s="16"/>
      <c r="FZ142" s="14"/>
      <c r="GA142" s="15"/>
      <c r="GB142" s="15"/>
      <c r="GC142" s="16"/>
      <c r="GH142" s="19"/>
      <c r="HY142" s="13"/>
      <c r="HZ142" s="43"/>
      <c r="IA142" s="45"/>
      <c r="IQ142" s="42"/>
      <c r="IR142" s="43"/>
      <c r="IS142" s="9"/>
      <c r="IT142" s="10"/>
      <c r="IU142" s="10"/>
      <c r="IV142" s="10"/>
      <c r="IW142" s="10"/>
      <c r="IX142" s="10"/>
      <c r="IY142" s="10"/>
      <c r="IZ142" s="10"/>
      <c r="JA142" s="10"/>
      <c r="JB142" s="10"/>
      <c r="JC142" s="10"/>
      <c r="JD142" s="10"/>
      <c r="JE142" s="10"/>
      <c r="JF142" s="10"/>
      <c r="JG142" s="10"/>
      <c r="JH142" s="10"/>
      <c r="JI142" s="10"/>
      <c r="JJ142" s="10"/>
      <c r="JK142" s="10"/>
      <c r="JL142" s="10"/>
      <c r="JM142" s="10"/>
      <c r="JN142" s="10"/>
      <c r="JO142" s="10"/>
      <c r="JP142" s="11"/>
      <c r="JQ142" s="12"/>
      <c r="JR142" s="12"/>
      <c r="LJ142" s="13"/>
      <c r="LK142" s="43"/>
      <c r="LL142" s="45"/>
    </row>
    <row r="143" spans="7:324" ht="18" customHeight="1" x14ac:dyDescent="0.2">
      <c r="G143" s="4"/>
      <c r="S143" s="42"/>
      <c r="T143" s="43"/>
      <c r="U143" s="12"/>
      <c r="AR143" s="13"/>
      <c r="AS143" s="13"/>
      <c r="BN143" s="13"/>
      <c r="BO143" s="43"/>
      <c r="BP143" s="45"/>
      <c r="CC143" s="13"/>
      <c r="CD143" s="13"/>
      <c r="CW143" s="42"/>
      <c r="CX143" s="43"/>
      <c r="CY143" s="12"/>
      <c r="DW143" s="24"/>
      <c r="ER143" s="13"/>
      <c r="ES143" s="43"/>
      <c r="ET143" s="45"/>
      <c r="FH143" s="42"/>
      <c r="FI143" s="43"/>
      <c r="FJ143" s="9"/>
      <c r="FK143" s="10"/>
      <c r="FL143" s="10"/>
      <c r="FM143" s="11"/>
      <c r="FN143" s="9"/>
      <c r="FO143" s="10"/>
      <c r="FP143" s="10"/>
      <c r="FQ143" s="10"/>
      <c r="FR143" s="10"/>
      <c r="FS143" s="10"/>
      <c r="FT143" s="10"/>
      <c r="FU143" s="10"/>
      <c r="FV143" s="10"/>
      <c r="FW143" s="10"/>
      <c r="FX143" s="10"/>
      <c r="FY143" s="10"/>
      <c r="FZ143" s="10"/>
      <c r="GA143" s="10"/>
      <c r="GB143" s="10"/>
      <c r="GC143" s="10"/>
      <c r="GD143" s="9"/>
      <c r="GE143" s="10"/>
      <c r="GF143" s="10"/>
      <c r="GG143" s="11"/>
      <c r="GH143" s="18"/>
      <c r="HY143" s="13"/>
      <c r="HZ143" s="43"/>
      <c r="IA143" s="45"/>
      <c r="IQ143" s="42"/>
      <c r="IR143" s="43"/>
      <c r="IS143" s="12"/>
      <c r="JP143" s="13"/>
      <c r="JQ143" s="12"/>
      <c r="JR143" s="12"/>
      <c r="LJ143" s="13"/>
      <c r="LK143" s="43"/>
      <c r="LL143" s="45"/>
    </row>
    <row r="144" spans="7:324" ht="18" customHeight="1" x14ac:dyDescent="0.2">
      <c r="G144" s="4"/>
      <c r="S144" s="42"/>
      <c r="T144" s="43"/>
      <c r="U144" s="12"/>
      <c r="AR144" s="13"/>
      <c r="AS144" s="13"/>
      <c r="BN144" s="13"/>
      <c r="BO144" s="43"/>
      <c r="BP144" s="45"/>
      <c r="CC144" s="13"/>
      <c r="CD144" s="13"/>
      <c r="CW144" s="42"/>
      <c r="CX144" s="43"/>
      <c r="CY144" s="12"/>
      <c r="DW144" s="25"/>
      <c r="ER144" s="13"/>
      <c r="ES144" s="43"/>
      <c r="ET144" s="45"/>
      <c r="FH144" s="42"/>
      <c r="FI144" s="43"/>
      <c r="FJ144" s="12"/>
      <c r="FM144" s="13"/>
      <c r="FN144" s="12"/>
      <c r="GD144" s="12"/>
      <c r="GG144" s="13"/>
      <c r="GH144" s="18"/>
      <c r="HY144" s="13"/>
      <c r="HZ144" s="43"/>
      <c r="IA144" s="45"/>
      <c r="IQ144" s="42"/>
      <c r="IR144" s="43"/>
      <c r="IS144" s="12"/>
      <c r="JP144" s="13"/>
      <c r="JQ144" s="12"/>
      <c r="JR144" s="12"/>
      <c r="LJ144" s="13"/>
      <c r="LK144" s="43"/>
      <c r="LL144" s="45"/>
    </row>
    <row r="145" spans="7:324" ht="18" customHeight="1" x14ac:dyDescent="0.2">
      <c r="G145" s="4"/>
      <c r="S145" s="42"/>
      <c r="T145" s="43"/>
      <c r="U145" s="12"/>
      <c r="Y145" s="9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1"/>
      <c r="AR145" s="13"/>
      <c r="AS145" s="13"/>
      <c r="BN145" s="13"/>
      <c r="BO145" s="43"/>
      <c r="BP145" s="45"/>
      <c r="CC145" s="13"/>
      <c r="CD145" s="13"/>
      <c r="CW145" s="42"/>
      <c r="CX145" s="43"/>
      <c r="CY145" s="12"/>
      <c r="DW145" s="18"/>
      <c r="DX145" s="12"/>
      <c r="ER145" s="13"/>
      <c r="ES145" s="43"/>
      <c r="ET145" s="45"/>
      <c r="FH145" s="42"/>
      <c r="FI145" s="43"/>
      <c r="FJ145" s="12"/>
      <c r="FM145" s="13"/>
      <c r="FN145" s="12"/>
      <c r="GD145" s="12"/>
      <c r="GG145" s="13"/>
      <c r="GH145" s="18"/>
      <c r="HY145" s="13"/>
      <c r="HZ145" s="43"/>
      <c r="IA145" s="45"/>
      <c r="IQ145" s="42"/>
      <c r="IR145" s="43"/>
      <c r="IS145" s="12"/>
      <c r="JP145" s="13"/>
      <c r="JQ145" s="12"/>
      <c r="JR145" s="12"/>
      <c r="LJ145" s="13"/>
      <c r="LK145" s="43"/>
      <c r="LL145" s="45"/>
    </row>
    <row r="146" spans="7:324" ht="18" customHeight="1" x14ac:dyDescent="0.2">
      <c r="G146" s="4"/>
      <c r="S146" s="40"/>
      <c r="T146" s="125"/>
      <c r="Y146" s="12"/>
      <c r="AN146" s="13"/>
      <c r="AR146" s="13"/>
      <c r="AS146" s="13"/>
      <c r="BN146" s="13"/>
      <c r="BO146" s="43"/>
      <c r="BP146" s="45"/>
      <c r="CC146" s="13"/>
      <c r="CD146" s="13"/>
      <c r="CW146" s="42"/>
      <c r="CX146" s="43"/>
      <c r="CY146" s="12"/>
      <c r="DW146" s="18"/>
      <c r="DX146" s="12"/>
      <c r="ER146" s="13"/>
      <c r="ES146" s="43"/>
      <c r="ET146" s="45"/>
      <c r="FH146" s="42"/>
      <c r="FI146" s="43"/>
      <c r="FJ146" s="14"/>
      <c r="FK146" s="15"/>
      <c r="FL146" s="15"/>
      <c r="FM146" s="16"/>
      <c r="FN146" s="12"/>
      <c r="GD146" s="14"/>
      <c r="GE146" s="15"/>
      <c r="GF146" s="15"/>
      <c r="GG146" s="16"/>
      <c r="GH146" s="19"/>
      <c r="HY146" s="13"/>
      <c r="HZ146" s="43"/>
      <c r="IA146" s="45"/>
      <c r="IQ146" s="42"/>
      <c r="IR146" s="43"/>
      <c r="IS146" s="12"/>
      <c r="IW146" s="9"/>
      <c r="IX146" s="10"/>
      <c r="IY146" s="10"/>
      <c r="IZ146" s="10"/>
      <c r="JA146" s="10"/>
      <c r="JB146" s="10"/>
      <c r="JC146" s="10"/>
      <c r="JD146" s="10"/>
      <c r="JE146" s="10"/>
      <c r="JF146" s="10"/>
      <c r="JG146" s="10"/>
      <c r="JH146" s="10"/>
      <c r="JI146" s="10"/>
      <c r="JJ146" s="10"/>
      <c r="JK146" s="10"/>
      <c r="JL146" s="10"/>
      <c r="JM146" s="10"/>
      <c r="JN146" s="10"/>
      <c r="JO146" s="10"/>
      <c r="JP146" s="11"/>
      <c r="JQ146" s="12"/>
      <c r="JR146" s="12"/>
      <c r="LJ146" s="13"/>
      <c r="LK146" s="43"/>
      <c r="LL146" s="45"/>
    </row>
    <row r="147" spans="7:324" ht="18" customHeight="1" x14ac:dyDescent="0.2">
      <c r="G147" s="4"/>
      <c r="S147" s="42"/>
      <c r="T147" s="108"/>
      <c r="Y147" s="12"/>
      <c r="AN147" s="13"/>
      <c r="AR147" s="13"/>
      <c r="AS147" s="13"/>
      <c r="BN147" s="13"/>
      <c r="BO147" s="43"/>
      <c r="BP147" s="45"/>
      <c r="CC147" s="13"/>
      <c r="CD147" s="13"/>
      <c r="CW147" s="42"/>
      <c r="CX147" s="43"/>
      <c r="CY147" s="12"/>
      <c r="DW147" s="18"/>
      <c r="DX147" s="12"/>
      <c r="ER147" s="13"/>
      <c r="ES147" s="43"/>
      <c r="ET147" s="45"/>
      <c r="FH147" s="42"/>
      <c r="FI147" s="43"/>
      <c r="FJ147" s="9"/>
      <c r="FK147" s="10"/>
      <c r="FL147" s="10"/>
      <c r="FM147" s="11"/>
      <c r="FN147" s="12"/>
      <c r="HY147" s="13"/>
      <c r="HZ147" s="43"/>
      <c r="IA147" s="45"/>
      <c r="IQ147" s="42"/>
      <c r="IR147" s="43"/>
      <c r="IS147" s="12"/>
      <c r="IW147" s="12"/>
      <c r="JP147" s="13"/>
      <c r="JQ147" s="12"/>
      <c r="JR147" s="12"/>
      <c r="LJ147" s="13"/>
      <c r="LK147" s="43"/>
      <c r="LL147" s="45"/>
    </row>
    <row r="148" spans="7:324" ht="18" customHeight="1" x14ac:dyDescent="0.2">
      <c r="G148" s="4"/>
      <c r="S148" s="42"/>
      <c r="T148" s="108"/>
      <c r="Y148" s="12"/>
      <c r="AN148" s="13"/>
      <c r="AR148" s="13"/>
      <c r="AS148" s="13"/>
      <c r="BN148" s="13"/>
      <c r="BO148" s="43"/>
      <c r="BP148" s="45"/>
      <c r="CC148" s="13"/>
      <c r="CD148" s="13"/>
      <c r="CW148" s="42"/>
      <c r="CX148" s="43"/>
      <c r="CY148" s="12"/>
      <c r="DW148" s="18"/>
      <c r="DX148" s="12"/>
      <c r="ER148" s="13"/>
      <c r="ES148" s="43"/>
      <c r="ET148" s="45"/>
      <c r="FH148" s="42"/>
      <c r="FI148" s="43"/>
      <c r="FJ148" s="12"/>
      <c r="FM148" s="13"/>
      <c r="FN148" s="12"/>
      <c r="HY148" s="13"/>
      <c r="HZ148" s="43"/>
      <c r="IA148" s="45"/>
      <c r="IQ148" s="42"/>
      <c r="IR148" s="43"/>
      <c r="IS148" s="12"/>
      <c r="IW148" s="12"/>
      <c r="JP148" s="13"/>
      <c r="JQ148" s="12"/>
      <c r="JR148" s="12"/>
      <c r="LJ148" s="13"/>
      <c r="LK148" s="43"/>
      <c r="LL148" s="45"/>
    </row>
    <row r="149" spans="7:324" ht="18" customHeight="1" x14ac:dyDescent="0.2">
      <c r="G149" s="4"/>
      <c r="S149" s="42"/>
      <c r="T149" s="108"/>
      <c r="Y149" s="12"/>
      <c r="AN149" s="13"/>
      <c r="AR149" s="13"/>
      <c r="AS149" s="13"/>
      <c r="BN149" s="13"/>
      <c r="BO149" s="43"/>
      <c r="BP149" s="45"/>
      <c r="CC149" s="13"/>
      <c r="CD149" s="13"/>
      <c r="CW149" s="42"/>
      <c r="CX149" s="43"/>
      <c r="CY149" s="12"/>
      <c r="DW149" s="18"/>
      <c r="DX149" s="12"/>
      <c r="ER149" s="13"/>
      <c r="ES149" s="43"/>
      <c r="ET149" s="45"/>
      <c r="FH149" s="42"/>
      <c r="FI149" s="43"/>
      <c r="FJ149" s="12"/>
      <c r="FM149" s="13"/>
      <c r="FN149" s="12"/>
      <c r="HY149" s="13"/>
      <c r="HZ149" s="43"/>
      <c r="IA149" s="45"/>
      <c r="IQ149" s="42"/>
      <c r="IR149" s="43"/>
      <c r="IS149" s="12"/>
      <c r="IW149" s="12"/>
      <c r="JP149" s="13"/>
      <c r="JQ149" s="12"/>
      <c r="JR149" s="12"/>
      <c r="LJ149" s="13"/>
      <c r="LK149" s="43"/>
      <c r="LL149" s="45"/>
    </row>
    <row r="150" spans="7:324" ht="18" customHeight="1" x14ac:dyDescent="0.2">
      <c r="G150" s="4"/>
      <c r="S150" s="42"/>
      <c r="T150" s="108"/>
      <c r="Y150" s="12"/>
      <c r="AN150" s="13"/>
      <c r="AR150" s="13"/>
      <c r="AS150" s="16"/>
      <c r="BN150" s="13"/>
      <c r="BO150" s="43"/>
      <c r="BP150" s="45"/>
      <c r="CC150" s="13"/>
      <c r="CD150" s="13"/>
      <c r="CW150" s="42"/>
      <c r="CX150" s="43"/>
      <c r="CY150" s="12"/>
      <c r="DW150" s="18"/>
      <c r="DX150" s="12"/>
      <c r="ER150" s="13"/>
      <c r="ES150" s="43"/>
      <c r="ET150" s="45"/>
      <c r="FH150" s="42"/>
      <c r="FI150" s="43"/>
      <c r="FJ150" s="14"/>
      <c r="FK150" s="15"/>
      <c r="FL150" s="15"/>
      <c r="FM150" s="16"/>
      <c r="FN150" s="12"/>
      <c r="HY150" s="13"/>
      <c r="HZ150" s="43"/>
      <c r="IA150" s="45"/>
      <c r="IQ150" s="42"/>
      <c r="IR150" s="43"/>
      <c r="IS150" s="12"/>
      <c r="IW150" s="12"/>
      <c r="JP150" s="13"/>
      <c r="JQ150" s="12"/>
      <c r="JR150" s="12"/>
      <c r="LJ150" s="13"/>
      <c r="LK150" s="43"/>
      <c r="LL150" s="45"/>
    </row>
    <row r="151" spans="7:324" ht="18" customHeight="1" x14ac:dyDescent="0.2">
      <c r="G151" s="4"/>
      <c r="S151" s="46"/>
      <c r="T151" s="126"/>
      <c r="Y151" s="12"/>
      <c r="AO151" s="10"/>
      <c r="AP151" s="10"/>
      <c r="AQ151" s="10"/>
      <c r="AR151" s="10"/>
      <c r="BN151" s="13"/>
      <c r="BO151" s="43"/>
      <c r="BP151" s="45"/>
      <c r="CC151" s="13"/>
      <c r="CD151" s="13"/>
      <c r="CW151" s="42"/>
      <c r="CX151" s="43"/>
      <c r="CY151" s="12"/>
      <c r="DW151" s="18"/>
      <c r="DX151" s="12"/>
      <c r="ER151" s="13"/>
      <c r="ES151" s="43"/>
      <c r="ET151" s="45"/>
      <c r="FH151" s="42"/>
      <c r="FI151" s="43"/>
      <c r="FJ151" s="9"/>
      <c r="FK151" s="10"/>
      <c r="FL151" s="10"/>
      <c r="FM151" s="11"/>
      <c r="FN151" s="12"/>
      <c r="HY151" s="13"/>
      <c r="HZ151" s="43"/>
      <c r="IA151" s="45"/>
      <c r="IQ151" s="42"/>
      <c r="IR151" s="43"/>
      <c r="IS151" s="12"/>
      <c r="IW151" s="12"/>
      <c r="JP151" s="13"/>
      <c r="JQ151" s="12"/>
      <c r="JR151" s="12"/>
      <c r="LJ151" s="13"/>
      <c r="LK151" s="43"/>
      <c r="LL151" s="45"/>
    </row>
    <row r="152" spans="7:324" ht="18" customHeight="1" x14ac:dyDescent="0.2">
      <c r="G152" s="4"/>
      <c r="S152" s="42"/>
      <c r="T152" s="43"/>
      <c r="U152" s="12"/>
      <c r="Y152" s="12"/>
      <c r="BN152" s="13"/>
      <c r="BO152" s="43"/>
      <c r="BP152" s="45"/>
      <c r="CC152" s="13"/>
      <c r="CD152" s="13"/>
      <c r="CW152" s="42"/>
      <c r="CX152" s="43"/>
      <c r="CY152" s="12"/>
      <c r="DW152" s="18"/>
      <c r="DX152" s="12"/>
      <c r="ER152" s="13"/>
      <c r="ES152" s="43"/>
      <c r="ET152" s="45"/>
      <c r="FH152" s="42"/>
      <c r="FI152" s="43"/>
      <c r="FJ152" s="12"/>
      <c r="FM152" s="13"/>
      <c r="FN152" s="12"/>
      <c r="HY152" s="13"/>
      <c r="HZ152" s="43"/>
      <c r="IA152" s="45"/>
      <c r="IQ152" s="42"/>
      <c r="IR152" s="43"/>
      <c r="IS152" s="12"/>
      <c r="IW152" s="12"/>
      <c r="JP152" s="13"/>
      <c r="JQ152" s="12"/>
      <c r="JR152" s="12"/>
      <c r="LJ152" s="13"/>
      <c r="LK152" s="43"/>
      <c r="LL152" s="45"/>
    </row>
    <row r="153" spans="7:324" ht="18" customHeight="1" x14ac:dyDescent="0.2">
      <c r="G153" s="4"/>
      <c r="S153" s="42"/>
      <c r="T153" s="43"/>
      <c r="U153" s="12"/>
      <c r="Y153" s="12"/>
      <c r="BN153" s="13"/>
      <c r="BO153" s="43"/>
      <c r="BP153" s="45"/>
      <c r="CC153" s="13"/>
      <c r="CD153" s="13"/>
      <c r="CW153" s="42"/>
      <c r="CX153" s="43"/>
      <c r="CY153" s="12"/>
      <c r="DW153" s="18"/>
      <c r="DX153" s="12"/>
      <c r="ER153" s="13"/>
      <c r="ES153" s="43"/>
      <c r="ET153" s="45"/>
      <c r="FH153" s="42"/>
      <c r="FI153" s="43"/>
      <c r="FJ153" s="12"/>
      <c r="FM153" s="13"/>
      <c r="FN153" s="12"/>
      <c r="HY153" s="13"/>
      <c r="HZ153" s="43"/>
      <c r="IA153" s="45"/>
      <c r="IQ153" s="42"/>
      <c r="IR153" s="43"/>
      <c r="IS153" s="12"/>
      <c r="IW153" s="14"/>
      <c r="IX153" s="15"/>
      <c r="IY153" s="15"/>
      <c r="IZ153" s="15"/>
      <c r="JA153" s="15"/>
      <c r="JB153" s="15"/>
      <c r="JC153" s="15"/>
      <c r="JD153" s="15"/>
      <c r="JE153" s="15"/>
      <c r="JF153" s="15"/>
      <c r="JG153" s="15"/>
      <c r="JH153" s="15"/>
      <c r="JI153" s="15"/>
      <c r="JJ153" s="15"/>
      <c r="JK153" s="15"/>
      <c r="JL153" s="15"/>
      <c r="JM153" s="15"/>
      <c r="JN153" s="15"/>
      <c r="JO153" s="15"/>
      <c r="JP153" s="16"/>
      <c r="JQ153" s="12"/>
      <c r="JR153" s="12"/>
      <c r="LJ153" s="13"/>
      <c r="LK153" s="43"/>
      <c r="LL153" s="45"/>
    </row>
    <row r="154" spans="7:324" ht="18" customHeight="1" x14ac:dyDescent="0.2">
      <c r="G154" s="4"/>
      <c r="S154" s="42"/>
      <c r="T154" s="43"/>
      <c r="U154" s="12"/>
      <c r="Y154" s="12"/>
      <c r="BN154" s="13"/>
      <c r="BO154" s="43"/>
      <c r="BP154" s="45"/>
      <c r="CC154" s="13"/>
      <c r="CD154" s="13"/>
      <c r="CW154" s="42"/>
      <c r="CX154" s="43"/>
      <c r="CY154" s="12"/>
      <c r="DW154" s="18"/>
      <c r="DX154" s="12"/>
      <c r="ER154" s="13"/>
      <c r="ES154" s="43"/>
      <c r="ET154" s="45"/>
      <c r="FH154" s="42"/>
      <c r="FI154" s="43"/>
      <c r="FJ154" s="14"/>
      <c r="FK154" s="15"/>
      <c r="FL154" s="15"/>
      <c r="FM154" s="16"/>
      <c r="FN154" s="14"/>
      <c r="FO154" s="15"/>
      <c r="FP154" s="15"/>
      <c r="FQ154" s="15"/>
      <c r="FR154" s="15"/>
      <c r="FS154" s="15"/>
      <c r="FT154" s="15"/>
      <c r="FU154" s="15"/>
      <c r="FV154" s="15"/>
      <c r="FW154" s="15"/>
      <c r="FX154" s="15"/>
      <c r="FY154" s="15"/>
      <c r="FZ154" s="15"/>
      <c r="GA154" s="15"/>
      <c r="GB154" s="15"/>
      <c r="GC154" s="15"/>
      <c r="GD154" s="15"/>
      <c r="GE154" s="15"/>
      <c r="GF154" s="15"/>
      <c r="GG154" s="15"/>
      <c r="GH154" s="15"/>
      <c r="GI154" s="15"/>
      <c r="GJ154" s="15"/>
      <c r="GK154" s="15"/>
      <c r="GL154" s="15"/>
      <c r="GS154" s="15"/>
      <c r="GT154" s="15"/>
      <c r="GU154" s="15"/>
      <c r="GV154" s="15"/>
      <c r="GW154" s="15"/>
      <c r="GX154" s="15"/>
      <c r="GY154" s="15"/>
      <c r="GZ154" s="15"/>
      <c r="HA154" s="15"/>
      <c r="HB154" s="15"/>
      <c r="HC154" s="15"/>
      <c r="HH154" s="15"/>
      <c r="HO154" s="15"/>
      <c r="HP154" s="15"/>
      <c r="HQ154" s="15"/>
      <c r="HR154" s="15"/>
      <c r="HS154" s="15"/>
      <c r="HT154" s="15"/>
      <c r="HU154" s="15"/>
      <c r="HV154" s="15"/>
      <c r="HW154" s="15"/>
      <c r="HX154" s="15"/>
      <c r="HY154" s="16"/>
      <c r="HZ154" s="43"/>
      <c r="IA154" s="45"/>
      <c r="IQ154" s="42"/>
      <c r="IR154" s="43"/>
      <c r="IS154" s="12"/>
      <c r="JP154" s="13"/>
      <c r="JR154" s="12"/>
      <c r="LJ154" s="13"/>
      <c r="LK154" s="43"/>
      <c r="LL154" s="45"/>
    </row>
    <row r="155" spans="7:324" ht="18" customHeight="1" x14ac:dyDescent="0.2">
      <c r="G155" s="4"/>
      <c r="S155" s="42"/>
      <c r="T155" s="43"/>
      <c r="U155" s="12"/>
      <c r="Y155" s="12"/>
      <c r="BN155" s="13"/>
      <c r="BO155" s="43"/>
      <c r="BP155" s="45"/>
      <c r="CC155" s="13"/>
      <c r="CD155" s="13"/>
      <c r="CW155" s="42"/>
      <c r="CX155" s="43"/>
      <c r="CY155" s="12"/>
      <c r="DW155" s="18"/>
      <c r="DX155" s="12"/>
      <c r="ER155" s="13"/>
      <c r="ES155" s="43"/>
      <c r="ET155" s="45"/>
      <c r="FH155" s="42"/>
      <c r="FI155" s="43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3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3"/>
      <c r="HQ155" s="43"/>
      <c r="HR155" s="43"/>
      <c r="HS155" s="70"/>
      <c r="HT155" s="92"/>
      <c r="HU155" s="92"/>
      <c r="HV155" s="92"/>
      <c r="HW155" s="92"/>
      <c r="HX155" s="71"/>
      <c r="HY155" s="43"/>
      <c r="HZ155" s="43"/>
      <c r="IA155" s="45"/>
      <c r="IQ155" s="42"/>
      <c r="IR155" s="43"/>
      <c r="IS155" s="12"/>
      <c r="JP155" s="13"/>
      <c r="JR155" s="12"/>
      <c r="LJ155" s="13"/>
      <c r="LK155" s="43"/>
      <c r="LL155" s="45"/>
    </row>
    <row r="156" spans="7:324" ht="18" customHeight="1" x14ac:dyDescent="0.2">
      <c r="G156" s="4"/>
      <c r="S156" s="42"/>
      <c r="T156" s="43"/>
      <c r="U156" s="12"/>
      <c r="Y156" s="12"/>
      <c r="BN156" s="13"/>
      <c r="BO156" s="43"/>
      <c r="BP156" s="45"/>
      <c r="CC156" s="13"/>
      <c r="CD156" s="13"/>
      <c r="CW156" s="42"/>
      <c r="CX156" s="43"/>
      <c r="CY156" s="12"/>
      <c r="DW156" s="18"/>
      <c r="DX156" s="12"/>
      <c r="ER156" s="13"/>
      <c r="ES156" s="43"/>
      <c r="ET156" s="45"/>
      <c r="FH156" s="42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M156" s="43"/>
      <c r="GN156" s="43"/>
      <c r="GO156" s="43"/>
      <c r="GP156" s="43"/>
      <c r="GQ156" s="43"/>
      <c r="GR156" s="43"/>
      <c r="GS156" s="43"/>
      <c r="GT156" s="43"/>
      <c r="GU156" s="43"/>
      <c r="GV156" s="43"/>
      <c r="GW156" s="43"/>
      <c r="GX156" s="43"/>
      <c r="GY156" s="43"/>
      <c r="GZ156" s="43"/>
      <c r="HA156" s="43"/>
      <c r="HB156" s="43"/>
      <c r="HC156" s="43"/>
      <c r="HD156" s="43"/>
      <c r="HE156" s="43"/>
      <c r="HF156" s="43"/>
      <c r="HG156" s="43"/>
      <c r="HH156" s="43"/>
      <c r="HI156" s="43"/>
      <c r="HJ156" s="43"/>
      <c r="HK156" s="43"/>
      <c r="HL156" s="43"/>
      <c r="HM156" s="43"/>
      <c r="HN156" s="43"/>
      <c r="HO156" s="43"/>
      <c r="HP156" s="43"/>
      <c r="HQ156" s="43"/>
      <c r="HR156" s="43"/>
      <c r="HS156" s="107"/>
      <c r="HT156" s="127"/>
      <c r="HU156" s="127"/>
      <c r="HV156" s="127"/>
      <c r="HW156" s="127"/>
      <c r="HX156" s="90"/>
      <c r="HY156" s="43"/>
      <c r="HZ156" s="43"/>
      <c r="IA156" s="45"/>
      <c r="IQ156" s="42"/>
      <c r="IR156" s="43"/>
      <c r="IS156" s="12"/>
      <c r="JP156" s="13"/>
      <c r="JR156" s="12"/>
      <c r="LJ156" s="13"/>
      <c r="LK156" s="43"/>
      <c r="LL156" s="45"/>
    </row>
    <row r="157" spans="7:324" ht="18" customHeight="1" x14ac:dyDescent="0.2">
      <c r="G157" s="4"/>
      <c r="S157" s="42"/>
      <c r="T157" s="43"/>
      <c r="U157" s="12"/>
      <c r="Y157" s="12"/>
      <c r="BN157" s="13"/>
      <c r="BO157" s="43"/>
      <c r="BP157" s="45"/>
      <c r="CC157" s="13"/>
      <c r="CD157" s="13"/>
      <c r="CW157" s="42"/>
      <c r="CX157" s="43"/>
      <c r="CY157" s="12"/>
      <c r="DW157" s="18"/>
      <c r="DX157" s="12"/>
      <c r="ER157" s="13"/>
      <c r="ES157" s="43"/>
      <c r="ET157" s="45"/>
      <c r="FH157" s="9"/>
      <c r="FI157" s="9"/>
      <c r="FJ157" s="10"/>
      <c r="FK157" s="10"/>
      <c r="FL157" s="10"/>
      <c r="FM157" s="10"/>
      <c r="FN157" s="10"/>
      <c r="FO157" s="10"/>
      <c r="FP157" s="10"/>
      <c r="FQ157" s="10"/>
      <c r="FR157" s="10"/>
      <c r="FS157" s="10"/>
      <c r="FT157" s="10"/>
      <c r="FU157" s="10"/>
      <c r="FV157" s="10"/>
      <c r="FW157" s="10"/>
      <c r="FX157" s="10"/>
      <c r="FY157" s="10"/>
      <c r="FZ157" s="10"/>
      <c r="GA157" s="10"/>
      <c r="GB157" s="10"/>
      <c r="GC157" s="10"/>
      <c r="GD157" s="10"/>
      <c r="GE157" s="10"/>
      <c r="GF157" s="10"/>
      <c r="GG157" s="10"/>
      <c r="GH157" s="10"/>
      <c r="GI157" s="10"/>
      <c r="GJ157" s="10"/>
      <c r="GK157" s="10"/>
      <c r="GL157" s="10"/>
      <c r="GM157" s="10"/>
      <c r="GN157" s="10"/>
      <c r="GO157" s="10"/>
      <c r="GP157" s="10"/>
      <c r="GQ157" s="10"/>
      <c r="GR157" s="10"/>
      <c r="GS157" s="10"/>
      <c r="GT157" s="10"/>
      <c r="GU157" s="10"/>
      <c r="GV157" s="10"/>
      <c r="GW157" s="10"/>
      <c r="GX157" s="10"/>
      <c r="GY157" s="10"/>
      <c r="GZ157" s="10"/>
      <c r="HA157" s="10"/>
      <c r="HB157" s="10"/>
      <c r="HC157" s="10"/>
      <c r="HD157" s="10"/>
      <c r="HE157" s="10"/>
      <c r="HF157" s="10"/>
      <c r="HG157" s="10"/>
      <c r="HH157" s="10"/>
      <c r="HI157" s="10"/>
      <c r="HJ157" s="10"/>
      <c r="HK157" s="10"/>
      <c r="HL157" s="10"/>
      <c r="HM157" s="10"/>
      <c r="HN157" s="10"/>
      <c r="HO157" s="10"/>
      <c r="HP157" s="10"/>
      <c r="HQ157" s="10"/>
      <c r="HR157" s="10"/>
      <c r="HS157" s="10"/>
      <c r="HT157" s="10"/>
      <c r="HU157" s="10"/>
      <c r="HV157" s="10"/>
      <c r="HW157" s="10"/>
      <c r="HX157" s="10"/>
      <c r="HY157" s="10"/>
      <c r="HZ157" s="11"/>
      <c r="IA157" s="11"/>
      <c r="IQ157" s="42"/>
      <c r="IR157" s="43"/>
      <c r="IS157" s="14"/>
      <c r="IT157" s="15"/>
      <c r="IU157" s="15"/>
      <c r="IV157" s="15"/>
      <c r="IW157" s="15"/>
      <c r="IX157" s="15"/>
      <c r="IY157" s="15"/>
      <c r="IZ157" s="15"/>
      <c r="JA157" s="15"/>
      <c r="JB157" s="15"/>
      <c r="JC157" s="15"/>
      <c r="JD157" s="15"/>
      <c r="JE157" s="15"/>
      <c r="JF157" s="15"/>
      <c r="JG157" s="15"/>
      <c r="JH157" s="15"/>
      <c r="JI157" s="15"/>
      <c r="JJ157" s="15"/>
      <c r="JK157" s="15"/>
      <c r="JL157" s="15"/>
      <c r="JM157" s="15"/>
      <c r="JN157" s="15"/>
      <c r="JO157" s="15"/>
      <c r="JP157" s="16"/>
      <c r="JQ157" s="15"/>
      <c r="JR157" s="14"/>
      <c r="JS157" s="15"/>
      <c r="JT157" s="15"/>
      <c r="JU157" s="15"/>
      <c r="JV157" s="15"/>
      <c r="JW157" s="15"/>
      <c r="JX157" s="15"/>
      <c r="JY157" s="15"/>
      <c r="JZ157" s="15"/>
      <c r="KA157" s="15"/>
      <c r="KB157" s="15"/>
      <c r="KC157" s="15"/>
      <c r="KD157" s="15"/>
      <c r="KE157" s="15"/>
      <c r="KF157" s="15"/>
      <c r="KG157" s="15"/>
      <c r="KH157" s="15"/>
      <c r="KI157" s="15"/>
      <c r="KJ157" s="15"/>
      <c r="KK157" s="15"/>
      <c r="KL157" s="15"/>
      <c r="KM157" s="15"/>
      <c r="KN157" s="15"/>
      <c r="KO157" s="15"/>
      <c r="KP157" s="15"/>
      <c r="KQ157" s="15"/>
      <c r="KR157" s="15"/>
      <c r="KS157" s="15"/>
      <c r="KT157" s="15"/>
      <c r="KU157" s="15"/>
      <c r="KV157" s="15"/>
      <c r="KW157" s="15"/>
      <c r="KX157" s="15"/>
      <c r="KY157" s="15"/>
      <c r="KZ157" s="15"/>
      <c r="LA157" s="15"/>
      <c r="LB157" s="15"/>
      <c r="LC157" s="15"/>
      <c r="LD157" s="15"/>
      <c r="LE157" s="15"/>
      <c r="LF157" s="15"/>
      <c r="LG157" s="15"/>
      <c r="LH157" s="15"/>
      <c r="LI157" s="15"/>
      <c r="LJ157" s="16"/>
      <c r="LK157" s="43"/>
      <c r="LL157" s="45"/>
    </row>
    <row r="158" spans="7:324" ht="18" customHeight="1" x14ac:dyDescent="0.2">
      <c r="G158" s="4"/>
      <c r="S158" s="42"/>
      <c r="T158" s="43"/>
      <c r="U158" s="14"/>
      <c r="V158" s="15"/>
      <c r="W158" s="15"/>
      <c r="X158" s="15"/>
      <c r="Y158" s="14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6"/>
      <c r="BO158" s="43"/>
      <c r="BP158" s="45"/>
      <c r="CC158" s="13"/>
      <c r="CD158" s="13"/>
      <c r="CW158" s="42"/>
      <c r="CX158" s="43"/>
      <c r="CY158" s="14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5"/>
      <c r="DQ158" s="15"/>
      <c r="DR158" s="15"/>
      <c r="DS158" s="15"/>
      <c r="DT158" s="15"/>
      <c r="DU158" s="15"/>
      <c r="DV158" s="15"/>
      <c r="DW158" s="18"/>
      <c r="DX158" s="12"/>
      <c r="ER158" s="13"/>
      <c r="ES158" s="43"/>
      <c r="ET158" s="45"/>
      <c r="FH158" s="12"/>
      <c r="FI158" s="12"/>
      <c r="HZ158" s="13"/>
      <c r="IA158" s="13"/>
      <c r="IQ158" s="42"/>
      <c r="IR158" s="43"/>
      <c r="IS158" s="43"/>
      <c r="IT158" s="43"/>
      <c r="IU158" s="43"/>
      <c r="IV158" s="43"/>
      <c r="IW158" s="43"/>
      <c r="IX158" s="43"/>
      <c r="IY158" s="43"/>
      <c r="IZ158" s="43"/>
      <c r="JA158" s="43"/>
      <c r="JB158" s="43"/>
      <c r="JC158" s="43"/>
      <c r="JD158" s="43"/>
      <c r="JE158" s="43"/>
      <c r="JF158" s="43"/>
      <c r="JG158" s="43"/>
      <c r="JH158" s="43"/>
      <c r="JI158" s="43"/>
      <c r="JJ158" s="43"/>
      <c r="JK158" s="43"/>
      <c r="JL158" s="43"/>
      <c r="JM158" s="43"/>
      <c r="JN158" s="43"/>
      <c r="JO158" s="43"/>
      <c r="JP158" s="43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3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3"/>
      <c r="LB158" s="43"/>
      <c r="LC158" s="43"/>
      <c r="LD158" s="70"/>
      <c r="LE158" s="92"/>
      <c r="LF158" s="92"/>
      <c r="LG158" s="92"/>
      <c r="LH158" s="92"/>
      <c r="LI158" s="71"/>
      <c r="LJ158" s="43"/>
      <c r="LK158" s="43"/>
      <c r="LL158" s="45"/>
    </row>
    <row r="159" spans="7:324" ht="18" customHeight="1" x14ac:dyDescent="0.2">
      <c r="G159" s="4"/>
      <c r="S159" s="42"/>
      <c r="T159" s="43"/>
      <c r="AL159" s="26"/>
      <c r="AM159" s="27"/>
      <c r="AN159" s="27"/>
      <c r="AO159" s="27"/>
      <c r="AP159" s="27"/>
      <c r="AQ159" s="28"/>
      <c r="AS159" s="40"/>
      <c r="AT159" s="43"/>
      <c r="AU159" s="43"/>
      <c r="AV159" s="43"/>
      <c r="AW159" s="43"/>
      <c r="AX159" s="123"/>
      <c r="AY159" s="109"/>
      <c r="AZ159" s="109"/>
      <c r="BA159" s="109"/>
      <c r="BB159" s="109"/>
      <c r="BC159" s="124"/>
      <c r="BD159" s="43"/>
      <c r="BE159" s="43"/>
      <c r="BF159" s="43"/>
      <c r="BG159" s="43"/>
      <c r="BH159" s="70"/>
      <c r="BI159" s="92"/>
      <c r="BJ159" s="92"/>
      <c r="BK159" s="92"/>
      <c r="BL159" s="92"/>
      <c r="BM159" s="71"/>
      <c r="BN159" s="43"/>
      <c r="BO159" s="43"/>
      <c r="BP159" s="45"/>
      <c r="CC159" s="13"/>
      <c r="CD159" s="13"/>
      <c r="CW159" s="42"/>
      <c r="CX159" s="43"/>
      <c r="CY159" s="12"/>
      <c r="DJ159" s="21"/>
      <c r="DL159" s="21"/>
      <c r="DV159" s="21"/>
      <c r="DW159" s="18"/>
      <c r="DX159" s="12"/>
      <c r="ER159" s="13"/>
      <c r="ES159" s="43"/>
      <c r="ET159" s="45"/>
      <c r="FH159" s="12"/>
      <c r="FI159" s="12"/>
      <c r="HZ159" s="13"/>
      <c r="IA159" s="13"/>
      <c r="IQ159" s="46"/>
      <c r="IR159" s="47"/>
      <c r="IS159" s="47"/>
      <c r="IT159" s="47"/>
      <c r="IU159" s="47"/>
      <c r="IV159" s="47"/>
      <c r="IW159" s="47"/>
      <c r="IX159" s="47"/>
      <c r="IY159" s="47"/>
      <c r="IZ159" s="47"/>
      <c r="JA159" s="47"/>
      <c r="JB159" s="47"/>
      <c r="JC159" s="47"/>
      <c r="JD159" s="47"/>
      <c r="JE159" s="47"/>
      <c r="JF159" s="47"/>
      <c r="JG159" s="47"/>
      <c r="JH159" s="47"/>
      <c r="JI159" s="47"/>
      <c r="JJ159" s="47"/>
      <c r="JK159" s="47"/>
      <c r="JL159" s="47"/>
      <c r="JM159" s="47"/>
      <c r="JN159" s="47"/>
      <c r="JO159" s="47"/>
      <c r="JP159" s="47"/>
      <c r="JQ159" s="47"/>
      <c r="JR159" s="47"/>
      <c r="JS159" s="47"/>
      <c r="JT159" s="47"/>
      <c r="JU159" s="47"/>
      <c r="JV159" s="47"/>
      <c r="JW159" s="47"/>
      <c r="JX159" s="47"/>
      <c r="JY159" s="47"/>
      <c r="JZ159" s="47"/>
      <c r="KA159" s="47"/>
      <c r="KB159" s="47"/>
      <c r="KC159" s="47"/>
      <c r="KD159" s="47"/>
      <c r="KE159" s="47"/>
      <c r="KF159" s="47"/>
      <c r="KG159" s="47"/>
      <c r="KH159" s="47"/>
      <c r="KI159" s="47"/>
      <c r="KJ159" s="47"/>
      <c r="KK159" s="47"/>
      <c r="KL159" s="47"/>
      <c r="KM159" s="47"/>
      <c r="KN159" s="47"/>
      <c r="KO159" s="47"/>
      <c r="KP159" s="47"/>
      <c r="KQ159" s="47"/>
      <c r="KR159" s="47"/>
      <c r="KS159" s="47"/>
      <c r="KT159" s="47"/>
      <c r="KU159" s="47"/>
      <c r="KV159" s="47"/>
      <c r="KW159" s="47"/>
      <c r="KX159" s="47"/>
      <c r="KY159" s="47"/>
      <c r="KZ159" s="47"/>
      <c r="LA159" s="47"/>
      <c r="LB159" s="47"/>
      <c r="LC159" s="47"/>
      <c r="LD159" s="72"/>
      <c r="LE159" s="100"/>
      <c r="LF159" s="100"/>
      <c r="LG159" s="100"/>
      <c r="LH159" s="100"/>
      <c r="LI159" s="73"/>
      <c r="LJ159" s="47"/>
      <c r="LK159" s="47"/>
      <c r="LL159" s="48"/>
    </row>
    <row r="160" spans="7:324" ht="18" customHeight="1" x14ac:dyDescent="0.2">
      <c r="G160" s="4"/>
      <c r="S160" s="42"/>
      <c r="T160" s="45"/>
      <c r="U160" s="9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1"/>
      <c r="AS160" s="42"/>
      <c r="AT160" s="43"/>
      <c r="AU160" s="47"/>
      <c r="AV160" s="47"/>
      <c r="AW160" s="47"/>
      <c r="AX160" s="46"/>
      <c r="AY160" s="47"/>
      <c r="AZ160" s="47"/>
      <c r="BA160" s="47"/>
      <c r="BB160" s="47"/>
      <c r="BC160" s="48"/>
      <c r="BD160" s="47"/>
      <c r="BE160" s="47"/>
      <c r="BF160" s="47"/>
      <c r="BG160" s="47"/>
      <c r="BH160" s="72"/>
      <c r="BI160" s="100"/>
      <c r="BJ160" s="100"/>
      <c r="BK160" s="100"/>
      <c r="BL160" s="100"/>
      <c r="BM160" s="73"/>
      <c r="BN160" s="47"/>
      <c r="BO160" s="47"/>
      <c r="BP160" s="48"/>
      <c r="CC160" s="13"/>
      <c r="CD160" s="13"/>
      <c r="CW160" s="42"/>
      <c r="CX160" s="43"/>
      <c r="CY160" s="9"/>
      <c r="CZ160" s="10"/>
      <c r="DA160" s="10"/>
      <c r="DB160" s="11"/>
      <c r="DC160" s="10"/>
      <c r="DD160" s="10"/>
      <c r="DE160" s="10"/>
      <c r="DF160" s="10"/>
      <c r="DG160" s="9"/>
      <c r="DH160" s="10"/>
      <c r="DI160" s="10"/>
      <c r="DJ160" s="11"/>
      <c r="DK160" s="10"/>
      <c r="DL160" s="10"/>
      <c r="DM160" s="10"/>
      <c r="DN160" s="10"/>
      <c r="DO160" s="9"/>
      <c r="DP160" s="10"/>
      <c r="DQ160" s="10"/>
      <c r="DR160" s="11"/>
      <c r="DS160" s="10"/>
      <c r="DT160" s="10"/>
      <c r="DU160" s="10"/>
      <c r="DV160" s="10"/>
      <c r="DW160" s="18"/>
      <c r="DX160" s="12"/>
      <c r="ER160" s="13"/>
      <c r="ES160" s="43"/>
      <c r="ET160" s="45"/>
      <c r="FH160" s="12"/>
      <c r="FI160" s="12"/>
      <c r="HZ160" s="13"/>
      <c r="IA160" s="13"/>
    </row>
    <row r="161" spans="7:235" ht="18" customHeight="1" x14ac:dyDescent="0.25">
      <c r="G161" s="4"/>
      <c r="S161" s="42"/>
      <c r="T161" s="43"/>
      <c r="U161" s="12"/>
      <c r="AR161" s="13"/>
      <c r="AS161" s="43"/>
      <c r="AT161" s="45"/>
      <c r="CC161" s="13"/>
      <c r="CD161" s="13"/>
      <c r="CW161" s="42"/>
      <c r="CX161" s="43"/>
      <c r="CY161" s="12"/>
      <c r="DB161" s="13"/>
      <c r="DC161" s="128"/>
      <c r="DD161" s="99"/>
      <c r="DG161" s="12"/>
      <c r="DH161" s="129"/>
      <c r="DJ161" s="13"/>
      <c r="DL161" s="128"/>
      <c r="DN161" s="13"/>
      <c r="DR161" s="13"/>
      <c r="DT161" s="128"/>
      <c r="DW161" s="18"/>
      <c r="DX161" s="12"/>
      <c r="ER161" s="13"/>
      <c r="ES161" s="43"/>
      <c r="ET161" s="45"/>
      <c r="FH161" s="12"/>
      <c r="FI161" s="12"/>
      <c r="HZ161" s="13"/>
      <c r="IA161" s="13"/>
    </row>
    <row r="162" spans="7:235" ht="18" customHeight="1" x14ac:dyDescent="0.2">
      <c r="G162" s="4"/>
      <c r="S162" s="42"/>
      <c r="T162" s="43"/>
      <c r="U162" s="12"/>
      <c r="AR162" s="13"/>
      <c r="AS162" s="43"/>
      <c r="AT162" s="45"/>
      <c r="CC162" s="13"/>
      <c r="CD162" s="16"/>
      <c r="CW162" s="42"/>
      <c r="CX162" s="43"/>
      <c r="CY162" s="12"/>
      <c r="DB162" s="13"/>
      <c r="DG162" s="12"/>
      <c r="DJ162" s="13"/>
      <c r="DN162" s="13"/>
      <c r="DR162" s="13"/>
      <c r="DW162" s="18"/>
      <c r="DX162" s="12"/>
      <c r="ER162" s="13"/>
      <c r="ES162" s="43"/>
      <c r="ET162" s="45"/>
      <c r="FH162" s="12"/>
      <c r="FI162" s="12"/>
      <c r="HZ162" s="13"/>
      <c r="IA162" s="13"/>
    </row>
    <row r="163" spans="7:235" ht="18" customHeight="1" x14ac:dyDescent="0.2">
      <c r="G163" s="4"/>
      <c r="S163" s="42"/>
      <c r="T163" s="43"/>
      <c r="U163" s="12"/>
      <c r="AR163" s="13"/>
      <c r="AS163" s="43"/>
      <c r="AT163" s="45"/>
      <c r="CD163" s="10"/>
      <c r="CE163" s="9"/>
      <c r="CF163" s="11"/>
      <c r="CG163" s="9"/>
      <c r="CH163" s="11"/>
      <c r="CW163" s="42"/>
      <c r="CX163" s="43"/>
      <c r="CY163" s="14"/>
      <c r="CZ163" s="15"/>
      <c r="DA163" s="15"/>
      <c r="DB163" s="16"/>
      <c r="DG163" s="14"/>
      <c r="DH163" s="15"/>
      <c r="DI163" s="15"/>
      <c r="DJ163" s="16"/>
      <c r="DO163" s="14"/>
      <c r="DP163" s="15"/>
      <c r="DQ163" s="15"/>
      <c r="DR163" s="16"/>
      <c r="DW163" s="19"/>
      <c r="DX163" s="12"/>
      <c r="ER163" s="13"/>
      <c r="ES163" s="43"/>
      <c r="ET163" s="45"/>
      <c r="FH163" s="12"/>
      <c r="FI163" s="12"/>
      <c r="HZ163" s="13"/>
      <c r="IA163" s="13"/>
    </row>
    <row r="164" spans="7:235" ht="18" customHeight="1" x14ac:dyDescent="0.2">
      <c r="G164" s="4"/>
      <c r="S164" s="42"/>
      <c r="T164" s="43"/>
      <c r="U164" s="12"/>
      <c r="AR164" s="13"/>
      <c r="AS164" s="43"/>
      <c r="AT164" s="45"/>
      <c r="CE164" s="12"/>
      <c r="CF164" s="13"/>
      <c r="CG164" s="12"/>
      <c r="CH164" s="13"/>
      <c r="CW164" s="42"/>
      <c r="CX164" s="43"/>
      <c r="CY164" s="9"/>
      <c r="CZ164" s="10"/>
      <c r="DA164" s="10"/>
      <c r="DB164" s="11"/>
      <c r="DC164" s="9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  <c r="DV164" s="10"/>
      <c r="DW164" s="10"/>
      <c r="ER164" s="13"/>
      <c r="ES164" s="43"/>
      <c r="ET164" s="45"/>
      <c r="FH164" s="12"/>
      <c r="FI164" s="12"/>
      <c r="HZ164" s="13"/>
      <c r="IA164" s="13"/>
    </row>
    <row r="165" spans="7:235" ht="18" customHeight="1" x14ac:dyDescent="0.2">
      <c r="G165" s="4"/>
      <c r="S165" s="42"/>
      <c r="T165" s="43"/>
      <c r="U165" s="12"/>
      <c r="AR165" s="13"/>
      <c r="AS165" s="43"/>
      <c r="AT165" s="45"/>
      <c r="CE165" s="12"/>
      <c r="CF165" s="13"/>
      <c r="CG165" s="12"/>
      <c r="CH165" s="13"/>
      <c r="CW165" s="42"/>
      <c r="CX165" s="43"/>
      <c r="CY165" s="12"/>
      <c r="DB165" s="13"/>
      <c r="DC165" s="12"/>
      <c r="DD165" s="129"/>
      <c r="DH165" s="129"/>
      <c r="DL165" s="129"/>
      <c r="DP165" s="129"/>
      <c r="ER165" s="13"/>
      <c r="ES165" s="43"/>
      <c r="ET165" s="45"/>
      <c r="FH165" s="12"/>
      <c r="FI165" s="12"/>
      <c r="HZ165" s="13"/>
      <c r="IA165" s="13"/>
    </row>
    <row r="166" spans="7:235" ht="18" customHeight="1" x14ac:dyDescent="0.2">
      <c r="G166" s="4"/>
      <c r="S166" s="42"/>
      <c r="T166" s="43"/>
      <c r="U166" s="12"/>
      <c r="AR166" s="13"/>
      <c r="AS166" s="43"/>
      <c r="AT166" s="45"/>
      <c r="CE166" s="12"/>
      <c r="CF166" s="13"/>
      <c r="CG166" s="12"/>
      <c r="CH166" s="13"/>
      <c r="CW166" s="42"/>
      <c r="CX166" s="43"/>
      <c r="CY166" s="12"/>
      <c r="CZ166" s="128"/>
      <c r="DB166" s="13"/>
      <c r="DC166" s="12"/>
      <c r="DD166" s="129"/>
      <c r="DH166" s="129"/>
      <c r="DL166" s="129"/>
      <c r="DP166" s="129"/>
      <c r="ER166" s="13"/>
      <c r="ES166" s="43"/>
      <c r="ET166" s="45"/>
      <c r="FH166" s="12"/>
      <c r="FI166" s="12"/>
      <c r="HZ166" s="13"/>
      <c r="IA166" s="13"/>
    </row>
    <row r="167" spans="7:235" ht="18" customHeight="1" x14ac:dyDescent="0.2">
      <c r="G167" s="4"/>
      <c r="S167" s="42"/>
      <c r="T167" s="43"/>
      <c r="U167" s="12"/>
      <c r="AR167" s="13"/>
      <c r="AS167" s="43"/>
      <c r="AT167" s="45"/>
      <c r="CE167" s="12"/>
      <c r="CF167" s="13"/>
      <c r="CG167" s="12"/>
      <c r="CH167" s="13"/>
      <c r="CW167" s="42"/>
      <c r="CX167" s="43"/>
      <c r="CY167" s="14"/>
      <c r="CZ167" s="15"/>
      <c r="DA167" s="15"/>
      <c r="DB167" s="16"/>
      <c r="DC167" s="12"/>
      <c r="ER167" s="13"/>
      <c r="ES167" s="43"/>
      <c r="ET167" s="45"/>
      <c r="FH167" s="12"/>
      <c r="FI167" s="12"/>
      <c r="HZ167" s="13"/>
      <c r="IA167" s="13"/>
    </row>
    <row r="168" spans="7:235" ht="18" customHeight="1" x14ac:dyDescent="0.2">
      <c r="G168" s="4"/>
      <c r="S168" s="42"/>
      <c r="T168" s="43"/>
      <c r="U168" s="12"/>
      <c r="AR168" s="13"/>
      <c r="AS168" s="43"/>
      <c r="AT168" s="45"/>
      <c r="CE168" s="12"/>
      <c r="CF168" s="13"/>
      <c r="CG168" s="12"/>
      <c r="CH168" s="13"/>
      <c r="CW168" s="42"/>
      <c r="CX168" s="43"/>
      <c r="CY168" s="9"/>
      <c r="CZ168" s="10"/>
      <c r="DA168" s="10"/>
      <c r="DB168" s="11"/>
      <c r="DC168" s="12"/>
      <c r="ER168" s="13"/>
      <c r="ES168" s="43"/>
      <c r="ET168" s="45"/>
      <c r="FH168" s="12"/>
      <c r="FI168" s="12"/>
      <c r="HZ168" s="13"/>
      <c r="IA168" s="13"/>
    </row>
    <row r="169" spans="7:235" ht="18" customHeight="1" x14ac:dyDescent="0.2">
      <c r="G169" s="4"/>
      <c r="S169" s="42"/>
      <c r="T169" s="43"/>
      <c r="U169" s="12"/>
      <c r="AR169" s="13"/>
      <c r="AS169" s="43"/>
      <c r="AT169" s="45"/>
      <c r="CE169" s="12"/>
      <c r="CF169" s="13"/>
      <c r="CG169" s="12"/>
      <c r="CH169" s="13"/>
      <c r="CW169" s="42"/>
      <c r="CX169" s="43"/>
      <c r="CY169" s="12"/>
      <c r="DB169" s="13"/>
      <c r="DC169" s="12"/>
      <c r="ER169" s="13"/>
      <c r="ES169" s="43"/>
      <c r="ET169" s="45"/>
      <c r="FH169" s="12"/>
      <c r="FI169" s="12"/>
      <c r="HZ169" s="13"/>
      <c r="IA169" s="13"/>
    </row>
    <row r="170" spans="7:235" ht="18" customHeight="1" x14ac:dyDescent="0.2">
      <c r="G170" s="4"/>
      <c r="S170" s="42"/>
      <c r="T170" s="43"/>
      <c r="U170" s="12"/>
      <c r="AR170" s="13"/>
      <c r="AS170" s="43"/>
      <c r="AT170" s="45"/>
      <c r="CD170" s="15"/>
      <c r="CE170" s="14"/>
      <c r="CF170" s="16"/>
      <c r="CG170" s="14"/>
      <c r="CH170" s="16"/>
      <c r="CW170" s="42"/>
      <c r="CX170" s="43"/>
      <c r="CY170" s="12"/>
      <c r="CZ170" s="128"/>
      <c r="DB170" s="13"/>
      <c r="DC170" s="12"/>
      <c r="ER170" s="13"/>
      <c r="ES170" s="43"/>
      <c r="ET170" s="45"/>
      <c r="FH170" s="12"/>
      <c r="FI170" s="12"/>
      <c r="HZ170" s="13"/>
      <c r="IA170" s="13"/>
    </row>
    <row r="171" spans="7:235" ht="18" customHeight="1" x14ac:dyDescent="0.2">
      <c r="G171" s="4"/>
      <c r="S171" s="42"/>
      <c r="T171" s="43"/>
      <c r="U171" s="12"/>
      <c r="AR171" s="13"/>
      <c r="AS171" s="43"/>
      <c r="AT171" s="45"/>
      <c r="CC171" s="13"/>
      <c r="CD171" s="13"/>
      <c r="CW171" s="42"/>
      <c r="CX171" s="43"/>
      <c r="CY171" s="14"/>
      <c r="CZ171" s="15"/>
      <c r="DA171" s="15"/>
      <c r="DB171" s="16"/>
      <c r="DC171" s="12"/>
      <c r="ER171" s="13"/>
      <c r="ES171" s="43"/>
      <c r="ET171" s="45"/>
      <c r="FH171" s="12"/>
      <c r="FI171" s="12"/>
      <c r="HZ171" s="13"/>
      <c r="IA171" s="13"/>
    </row>
    <row r="172" spans="7:235" ht="18" customHeight="1" x14ac:dyDescent="0.2">
      <c r="G172" s="4"/>
      <c r="S172" s="42"/>
      <c r="T172" s="43"/>
      <c r="U172" s="12"/>
      <c r="AR172" s="13"/>
      <c r="AS172" s="43"/>
      <c r="AT172" s="45"/>
      <c r="CC172" s="13"/>
      <c r="CD172" s="13"/>
      <c r="CW172" s="42"/>
      <c r="CX172" s="43"/>
      <c r="CY172" s="9"/>
      <c r="CZ172" s="10"/>
      <c r="DA172" s="10"/>
      <c r="DB172" s="11"/>
      <c r="DC172" s="10"/>
      <c r="DD172" s="10"/>
      <c r="DE172" s="10"/>
      <c r="DF172" s="10"/>
      <c r="DG172" s="9"/>
      <c r="DH172" s="10"/>
      <c r="DI172" s="10"/>
      <c r="DJ172" s="10"/>
      <c r="DK172" s="9"/>
      <c r="DL172" s="10"/>
      <c r="DM172" s="10"/>
      <c r="DN172" s="11"/>
      <c r="ER172" s="13"/>
      <c r="ES172" s="43"/>
      <c r="ET172" s="45"/>
      <c r="FH172" s="12"/>
      <c r="FI172" s="14"/>
      <c r="FJ172" s="15"/>
      <c r="FK172" s="15"/>
      <c r="FL172" s="15"/>
      <c r="FM172" s="15"/>
      <c r="FN172" s="15"/>
      <c r="FO172" s="15"/>
      <c r="FP172" s="15"/>
      <c r="FQ172" s="15"/>
      <c r="FR172" s="15"/>
      <c r="FS172" s="15"/>
      <c r="FT172" s="15"/>
      <c r="FU172" s="15"/>
      <c r="FV172" s="15"/>
      <c r="FW172" s="15"/>
      <c r="FX172" s="15"/>
      <c r="FY172" s="15"/>
      <c r="FZ172" s="15"/>
      <c r="GA172" s="15"/>
      <c r="GB172" s="15"/>
      <c r="GC172" s="15"/>
      <c r="GD172" s="15"/>
      <c r="GE172" s="15"/>
      <c r="GF172" s="15"/>
      <c r="GG172" s="15"/>
      <c r="GH172" s="15"/>
      <c r="GI172" s="15"/>
      <c r="GJ172" s="15"/>
      <c r="GK172" s="15"/>
      <c r="GL172" s="15"/>
      <c r="GM172" s="15"/>
      <c r="GN172" s="15"/>
      <c r="GO172" s="15"/>
      <c r="GP172" s="15"/>
      <c r="GQ172" s="15"/>
      <c r="GR172" s="15"/>
      <c r="GS172" s="15"/>
      <c r="GT172" s="15"/>
      <c r="GU172" s="15"/>
      <c r="GV172" s="15"/>
      <c r="GW172" s="15"/>
      <c r="GX172" s="15"/>
      <c r="GY172" s="15"/>
      <c r="GZ172" s="15"/>
      <c r="HA172" s="15"/>
      <c r="HB172" s="15"/>
      <c r="HC172" s="15"/>
      <c r="HD172" s="15"/>
      <c r="HE172" s="15"/>
      <c r="HF172" s="15"/>
      <c r="HG172" s="15"/>
      <c r="HH172" s="15"/>
      <c r="HI172" s="15"/>
      <c r="HJ172" s="15"/>
      <c r="HK172" s="15"/>
      <c r="HL172" s="15"/>
      <c r="HM172" s="15"/>
      <c r="HN172" s="15"/>
      <c r="HO172" s="15"/>
      <c r="HP172" s="15"/>
      <c r="HQ172" s="15"/>
      <c r="HR172" s="15"/>
      <c r="HS172" s="15"/>
      <c r="HT172" s="15"/>
      <c r="HU172" s="15"/>
      <c r="HV172" s="15"/>
      <c r="HW172" s="15"/>
      <c r="HX172" s="15"/>
      <c r="HY172" s="15"/>
      <c r="HZ172" s="16"/>
      <c r="IA172" s="13"/>
    </row>
    <row r="173" spans="7:235" ht="18" customHeight="1" x14ac:dyDescent="0.25">
      <c r="G173" s="4"/>
      <c r="S173" s="42"/>
      <c r="T173" s="43"/>
      <c r="U173" s="12"/>
      <c r="AR173" s="13"/>
      <c r="AS173" s="43"/>
      <c r="AT173" s="45"/>
      <c r="CC173" s="13"/>
      <c r="CD173" s="13"/>
      <c r="CW173" s="42"/>
      <c r="CX173" s="43"/>
      <c r="CY173" s="12"/>
      <c r="DB173" s="13"/>
      <c r="DC173" s="128"/>
      <c r="DD173" s="99"/>
      <c r="DG173" s="12"/>
      <c r="DH173" s="129"/>
      <c r="DK173" s="12"/>
      <c r="DL173" s="129"/>
      <c r="DN173" s="13"/>
      <c r="ER173" s="13"/>
      <c r="ES173" s="43"/>
      <c r="ET173" s="45"/>
      <c r="FH173" s="14"/>
      <c r="FI173" s="15"/>
      <c r="FJ173" s="15"/>
      <c r="FK173" s="15"/>
      <c r="FL173" s="15"/>
      <c r="FM173" s="15"/>
      <c r="FN173" s="15"/>
      <c r="FO173" s="15"/>
      <c r="FP173" s="15"/>
      <c r="FQ173" s="15"/>
      <c r="FR173" s="15"/>
      <c r="FS173" s="15"/>
      <c r="FT173" s="15"/>
      <c r="FU173" s="15"/>
      <c r="FV173" s="15"/>
      <c r="FW173" s="15"/>
      <c r="FX173" s="15"/>
      <c r="FY173" s="15"/>
      <c r="FZ173" s="15"/>
      <c r="GA173" s="15"/>
      <c r="GB173" s="15"/>
      <c r="GC173" s="15"/>
      <c r="GD173" s="15"/>
      <c r="GE173" s="15"/>
      <c r="GF173" s="15"/>
      <c r="GG173" s="15"/>
      <c r="GH173" s="15"/>
      <c r="GI173" s="15"/>
      <c r="GJ173" s="15"/>
      <c r="GK173" s="15"/>
      <c r="GL173" s="15"/>
      <c r="GM173" s="15"/>
      <c r="GN173" s="15"/>
      <c r="GO173" s="15"/>
      <c r="GP173" s="15"/>
      <c r="GQ173" s="15"/>
      <c r="GR173" s="15"/>
      <c r="GS173" s="15"/>
      <c r="GT173" s="15"/>
      <c r="GU173" s="15"/>
      <c r="GV173" s="15"/>
      <c r="GW173" s="15"/>
      <c r="GX173" s="15"/>
      <c r="GY173" s="15"/>
      <c r="GZ173" s="15"/>
      <c r="HA173" s="15"/>
      <c r="HB173" s="15"/>
      <c r="HC173" s="15"/>
      <c r="HD173" s="15"/>
      <c r="HE173" s="15"/>
      <c r="HF173" s="15"/>
      <c r="HG173" s="15"/>
      <c r="HH173" s="15"/>
      <c r="HI173" s="15"/>
      <c r="HJ173" s="15"/>
      <c r="HK173" s="15"/>
      <c r="HL173" s="15"/>
      <c r="HM173" s="15"/>
      <c r="HN173" s="15"/>
      <c r="HO173" s="15"/>
      <c r="HP173" s="15"/>
      <c r="HQ173" s="15"/>
      <c r="HR173" s="15"/>
      <c r="HS173" s="15"/>
      <c r="HT173" s="15"/>
      <c r="HU173" s="15"/>
      <c r="HV173" s="15"/>
      <c r="HW173" s="15"/>
      <c r="HX173" s="15"/>
      <c r="HY173" s="15"/>
      <c r="HZ173" s="15"/>
      <c r="IA173" s="16"/>
    </row>
    <row r="174" spans="7:235" ht="18" customHeight="1" x14ac:dyDescent="0.2">
      <c r="G174" s="4"/>
      <c r="S174" s="42"/>
      <c r="T174" s="43"/>
      <c r="U174" s="12"/>
      <c r="AR174" s="13"/>
      <c r="AS174" s="43"/>
      <c r="AT174" s="45"/>
      <c r="CC174" s="13"/>
      <c r="CD174" s="13"/>
      <c r="CW174" s="42"/>
      <c r="CX174" s="43"/>
      <c r="CY174" s="12"/>
      <c r="DB174" s="13"/>
      <c r="DG174" s="12"/>
      <c r="DK174" s="12"/>
      <c r="DN174" s="13"/>
      <c r="ER174" s="13"/>
      <c r="ES174" s="43"/>
      <c r="ET174" s="45"/>
    </row>
    <row r="175" spans="7:235" ht="18" customHeight="1" x14ac:dyDescent="0.2">
      <c r="G175" s="4"/>
      <c r="S175" s="42"/>
      <c r="T175" s="43"/>
      <c r="U175" s="12"/>
      <c r="AR175" s="13"/>
      <c r="AS175" s="42"/>
      <c r="AT175" s="45"/>
      <c r="CC175" s="13"/>
      <c r="CD175" s="13"/>
      <c r="CW175" s="42"/>
      <c r="CX175" s="43"/>
      <c r="CY175" s="14"/>
      <c r="CZ175" s="15"/>
      <c r="DA175" s="15"/>
      <c r="DB175" s="16"/>
      <c r="DG175" s="14"/>
      <c r="DH175" s="15"/>
      <c r="DI175" s="15"/>
      <c r="DK175" s="14"/>
      <c r="DL175" s="15"/>
      <c r="DM175" s="15"/>
      <c r="DN175" s="16"/>
      <c r="DO175" s="15"/>
      <c r="DP175" s="15"/>
      <c r="DQ175" s="15"/>
      <c r="DR175" s="15"/>
      <c r="DS175" s="15"/>
      <c r="DT175" s="15"/>
      <c r="DU175" s="15"/>
      <c r="DV175" s="15"/>
      <c r="DW175" s="15"/>
      <c r="DX175" s="15"/>
      <c r="DY175" s="15"/>
      <c r="DZ175" s="15"/>
      <c r="EA175" s="15"/>
      <c r="EH175" s="15"/>
      <c r="EI175" s="15"/>
      <c r="EJ175" s="15"/>
      <c r="EK175" s="15"/>
      <c r="EL175" s="15"/>
      <c r="EM175" s="15"/>
      <c r="EN175" s="15"/>
      <c r="EO175" s="15"/>
      <c r="EP175" s="15"/>
      <c r="EQ175" s="15"/>
      <c r="ER175" s="16"/>
      <c r="ES175" s="43"/>
      <c r="ET175" s="45"/>
    </row>
    <row r="176" spans="7:235" ht="18" customHeight="1" x14ac:dyDescent="0.2">
      <c r="G176" s="4"/>
      <c r="S176" s="42"/>
      <c r="T176" s="43"/>
      <c r="U176" s="41"/>
      <c r="V176" s="41"/>
      <c r="W176" s="41"/>
      <c r="X176" s="41"/>
      <c r="Y176" s="123"/>
      <c r="Z176" s="109"/>
      <c r="AA176" s="109"/>
      <c r="AB176" s="109"/>
      <c r="AC176" s="124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3"/>
      <c r="AT176" s="4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6"/>
      <c r="CD176" s="13"/>
      <c r="CW176" s="42"/>
      <c r="CX176" s="43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3"/>
      <c r="EJ176" s="43"/>
      <c r="EK176" s="43"/>
      <c r="EL176" s="70"/>
      <c r="EM176" s="92"/>
      <c r="EN176" s="92"/>
      <c r="EO176" s="92"/>
      <c r="EP176" s="92"/>
      <c r="EQ176" s="71"/>
      <c r="ER176" s="43"/>
      <c r="ES176" s="43"/>
      <c r="ET176" s="45"/>
    </row>
    <row r="177" spans="7:154" ht="18" customHeight="1" x14ac:dyDescent="0.2">
      <c r="G177" s="4"/>
      <c r="S177" s="46"/>
      <c r="T177" s="47"/>
      <c r="U177" s="47"/>
      <c r="V177" s="47"/>
      <c r="W177" s="47"/>
      <c r="X177" s="47"/>
      <c r="Y177" s="46"/>
      <c r="Z177" s="47"/>
      <c r="AA177" s="47"/>
      <c r="AB177" s="47"/>
      <c r="AC177" s="48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8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  <c r="CA177" s="15"/>
      <c r="CB177" s="15"/>
      <c r="CC177" s="15"/>
      <c r="CD177" s="16"/>
      <c r="CW177" s="42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107"/>
      <c r="EM177" s="127"/>
      <c r="EN177" s="127"/>
      <c r="EO177" s="127"/>
      <c r="EP177" s="127"/>
      <c r="EQ177" s="90"/>
      <c r="ER177" s="43"/>
      <c r="ES177" s="43"/>
      <c r="ET177" s="45"/>
    </row>
    <row r="178" spans="7:154" ht="18" customHeight="1" x14ac:dyDescent="0.2">
      <c r="G178" s="4"/>
      <c r="CW178" s="9"/>
      <c r="CX178" s="9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0"/>
      <c r="DP178" s="10"/>
      <c r="DQ178" s="10"/>
      <c r="DR178" s="10"/>
      <c r="DS178" s="10"/>
      <c r="DT178" s="10"/>
      <c r="DU178" s="10"/>
      <c r="DV178" s="10"/>
      <c r="DW178" s="10"/>
      <c r="DX178" s="10"/>
      <c r="DY178" s="10"/>
      <c r="DZ178" s="10"/>
      <c r="EA178" s="10"/>
      <c r="EB178" s="10"/>
      <c r="EC178" s="10"/>
      <c r="ED178" s="10"/>
      <c r="EE178" s="10"/>
      <c r="EF178" s="10"/>
      <c r="EG178" s="10"/>
      <c r="EH178" s="10"/>
      <c r="EI178" s="10"/>
      <c r="EJ178" s="10"/>
      <c r="EK178" s="10"/>
      <c r="EL178" s="10"/>
      <c r="EM178" s="10"/>
      <c r="EN178" s="10"/>
      <c r="EO178" s="10"/>
      <c r="EP178" s="10"/>
      <c r="EQ178" s="10"/>
      <c r="ER178" s="10"/>
      <c r="ES178" s="11"/>
      <c r="ET178" s="11"/>
    </row>
    <row r="179" spans="7:154" ht="18" customHeight="1" x14ac:dyDescent="0.2">
      <c r="G179" s="4"/>
      <c r="CW179" s="12"/>
      <c r="CX179" s="12"/>
      <c r="ES179" s="13"/>
      <c r="ET179" s="13"/>
    </row>
    <row r="180" spans="7:154" ht="18" customHeight="1" x14ac:dyDescent="0.2">
      <c r="G180" s="4"/>
      <c r="CW180" s="12"/>
      <c r="CX180" s="12"/>
      <c r="ES180" s="13"/>
      <c r="ET180" s="13"/>
    </row>
    <row r="181" spans="7:154" ht="18" customHeight="1" x14ac:dyDescent="0.2">
      <c r="G181" s="4"/>
      <c r="CW181" s="12"/>
      <c r="CX181" s="12"/>
      <c r="ES181" s="13"/>
      <c r="ET181" s="16"/>
    </row>
    <row r="182" spans="7:154" ht="18" customHeight="1" x14ac:dyDescent="0.2">
      <c r="G182" s="4"/>
      <c r="CW182" s="12"/>
      <c r="CX182" s="12"/>
      <c r="ET182" s="10"/>
      <c r="EU182" s="9"/>
      <c r="EV182" s="11"/>
      <c r="EW182" s="9"/>
      <c r="EX182" s="11"/>
    </row>
    <row r="183" spans="7:154" ht="18" customHeight="1" x14ac:dyDescent="0.2">
      <c r="G183" s="4"/>
      <c r="CW183" s="12"/>
      <c r="CX183" s="12"/>
      <c r="EU183" s="12"/>
      <c r="EV183" s="13"/>
      <c r="EW183" s="12"/>
      <c r="EX183" s="13"/>
    </row>
    <row r="184" spans="7:154" ht="18" customHeight="1" x14ac:dyDescent="0.2">
      <c r="G184" s="4"/>
      <c r="CW184" s="12"/>
      <c r="CX184" s="12"/>
      <c r="EU184" s="12"/>
      <c r="EV184" s="13"/>
      <c r="EW184" s="12"/>
      <c r="EX184" s="13"/>
    </row>
    <row r="185" spans="7:154" ht="18" customHeight="1" x14ac:dyDescent="0.2">
      <c r="G185" s="4"/>
      <c r="CW185" s="12"/>
      <c r="CX185" s="12"/>
      <c r="EU185" s="12"/>
      <c r="EV185" s="13"/>
      <c r="EW185" s="12"/>
      <c r="EX185" s="13"/>
    </row>
    <row r="186" spans="7:154" ht="18" customHeight="1" x14ac:dyDescent="0.2">
      <c r="G186" s="4"/>
      <c r="CW186" s="12"/>
      <c r="CX186" s="12"/>
      <c r="EU186" s="12"/>
      <c r="EV186" s="13"/>
      <c r="EW186" s="12"/>
      <c r="EX186" s="13"/>
    </row>
    <row r="187" spans="7:154" ht="18" customHeight="1" x14ac:dyDescent="0.2">
      <c r="G187" s="4"/>
      <c r="CW187" s="12"/>
      <c r="CX187" s="12"/>
      <c r="EU187" s="12"/>
      <c r="EV187" s="13"/>
      <c r="EW187" s="12"/>
      <c r="EX187" s="13"/>
    </row>
    <row r="188" spans="7:154" ht="18" customHeight="1" x14ac:dyDescent="0.2">
      <c r="G188" s="4"/>
      <c r="CW188" s="12"/>
      <c r="CX188" s="12"/>
      <c r="EU188" s="12"/>
      <c r="EV188" s="13"/>
      <c r="EW188" s="12"/>
      <c r="EX188" s="13"/>
    </row>
    <row r="189" spans="7:154" ht="18" customHeight="1" x14ac:dyDescent="0.2">
      <c r="G189" s="4"/>
      <c r="CW189" s="12"/>
      <c r="CX189" s="12"/>
      <c r="ET189" s="15"/>
      <c r="EU189" s="14"/>
      <c r="EV189" s="16"/>
      <c r="EW189" s="14"/>
      <c r="EX189" s="16"/>
    </row>
    <row r="190" spans="7:154" ht="18" customHeight="1" x14ac:dyDescent="0.2">
      <c r="G190" s="4"/>
      <c r="CW190" s="12"/>
      <c r="CX190" s="12"/>
      <c r="ES190" s="13"/>
      <c r="ET190" s="13"/>
    </row>
    <row r="191" spans="7:154" ht="18" customHeight="1" x14ac:dyDescent="0.2">
      <c r="G191" s="4"/>
      <c r="CW191" s="12"/>
      <c r="CX191" s="12"/>
      <c r="ES191" s="13"/>
      <c r="ET191" s="13"/>
    </row>
    <row r="192" spans="7:154" ht="18" customHeight="1" x14ac:dyDescent="0.2">
      <c r="G192" s="4"/>
      <c r="CW192" s="12"/>
      <c r="CX192" s="12"/>
      <c r="ES192" s="13"/>
      <c r="ET192" s="13"/>
    </row>
    <row r="193" spans="7:150" ht="18" customHeight="1" x14ac:dyDescent="0.2">
      <c r="G193" s="4"/>
      <c r="CW193" s="12"/>
      <c r="CX193" s="14"/>
      <c r="CY193" s="15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  <c r="DL193" s="15"/>
      <c r="DM193" s="15"/>
      <c r="DN193" s="15"/>
      <c r="DO193" s="15"/>
      <c r="DP193" s="15"/>
      <c r="DQ193" s="15"/>
      <c r="DR193" s="15"/>
      <c r="DS193" s="15"/>
      <c r="DT193" s="15"/>
      <c r="DU193" s="15"/>
      <c r="DV193" s="15"/>
      <c r="DW193" s="15"/>
      <c r="DX193" s="15"/>
      <c r="DY193" s="15"/>
      <c r="DZ193" s="15"/>
      <c r="EA193" s="15"/>
      <c r="EB193" s="15"/>
      <c r="EC193" s="15"/>
      <c r="ED193" s="15"/>
      <c r="EE193" s="15"/>
      <c r="EF193" s="15"/>
      <c r="EG193" s="15"/>
      <c r="EH193" s="15"/>
      <c r="EI193" s="15"/>
      <c r="EJ193" s="15"/>
      <c r="EK193" s="15"/>
      <c r="EL193" s="15"/>
      <c r="EM193" s="15"/>
      <c r="EN193" s="15"/>
      <c r="EO193" s="15"/>
      <c r="EP193" s="15"/>
      <c r="EQ193" s="15"/>
      <c r="ER193" s="15"/>
      <c r="ES193" s="16"/>
      <c r="ET193" s="13"/>
    </row>
    <row r="194" spans="7:150" ht="18" customHeight="1" x14ac:dyDescent="0.2">
      <c r="G194" s="4"/>
      <c r="CW194" s="14"/>
      <c r="CX194" s="15"/>
      <c r="CY194" s="15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  <c r="DL194" s="15"/>
      <c r="DM194" s="15"/>
      <c r="DN194" s="15"/>
      <c r="DO194" s="15"/>
      <c r="DP194" s="15"/>
      <c r="DQ194" s="15"/>
      <c r="DR194" s="15"/>
      <c r="DS194" s="15"/>
      <c r="DT194" s="15"/>
      <c r="DU194" s="15"/>
      <c r="DV194" s="15"/>
      <c r="DW194" s="15"/>
      <c r="DX194" s="15"/>
      <c r="DY194" s="15"/>
      <c r="DZ194" s="15"/>
      <c r="EA194" s="15"/>
      <c r="EB194" s="15"/>
      <c r="EC194" s="15"/>
      <c r="ED194" s="15"/>
      <c r="EE194" s="15"/>
      <c r="EF194" s="15"/>
      <c r="EG194" s="15"/>
      <c r="EH194" s="15"/>
      <c r="EI194" s="15"/>
      <c r="EJ194" s="15"/>
      <c r="EK194" s="15"/>
      <c r="EL194" s="15"/>
      <c r="EM194" s="15"/>
      <c r="EN194" s="15"/>
      <c r="EO194" s="15"/>
      <c r="EP194" s="15"/>
      <c r="EQ194" s="15"/>
      <c r="ER194" s="15"/>
      <c r="ES194" s="15"/>
      <c r="ET194" s="16"/>
    </row>
    <row r="195" spans="7:150" ht="18" customHeight="1" x14ac:dyDescent="0.2">
      <c r="G195" s="4"/>
    </row>
    <row r="196" spans="7:150" ht="18" customHeight="1" thickBot="1" x14ac:dyDescent="0.25">
      <c r="G196" s="6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</row>
    <row r="212" spans="17:247" ht="18" customHeight="1" x14ac:dyDescent="0.2">
      <c r="GP212" s="40"/>
      <c r="GQ212" s="41"/>
      <c r="GR212" s="41"/>
      <c r="GS212" s="41"/>
      <c r="GT212" s="41"/>
      <c r="GU212" s="41"/>
      <c r="GV212" s="41"/>
      <c r="GW212" s="41"/>
      <c r="GX212" s="41"/>
      <c r="GY212" s="41"/>
      <c r="GZ212" s="41"/>
      <c r="HA212" s="41"/>
      <c r="HB212" s="41"/>
      <c r="HC212" s="41"/>
      <c r="HD212" s="41"/>
      <c r="HE212" s="41"/>
      <c r="HF212" s="41"/>
      <c r="HG212" s="40"/>
      <c r="HH212" s="41"/>
      <c r="HI212" s="41"/>
      <c r="HJ212" s="41"/>
      <c r="HK212" s="44"/>
      <c r="HL212" s="41"/>
      <c r="HM212" s="41"/>
      <c r="HN212" s="41"/>
      <c r="HO212" s="41"/>
      <c r="HP212" s="41"/>
      <c r="HQ212" s="41"/>
      <c r="HR212" s="41"/>
      <c r="HS212" s="41"/>
      <c r="HT212" s="40"/>
      <c r="HU212" s="41"/>
      <c r="HV212" s="41"/>
      <c r="HW212" s="44"/>
      <c r="HX212" s="41"/>
      <c r="HY212" s="41"/>
      <c r="HZ212" s="41"/>
      <c r="IA212" s="41"/>
      <c r="IB212" s="41"/>
      <c r="IC212" s="41"/>
      <c r="ID212" s="41"/>
      <c r="IE212" s="40"/>
      <c r="IF212" s="41"/>
      <c r="IG212" s="41"/>
      <c r="IH212" s="44"/>
      <c r="II212" s="41"/>
      <c r="IJ212" s="41"/>
      <c r="IK212" s="41"/>
      <c r="IL212" s="41"/>
      <c r="IM212" s="44"/>
    </row>
    <row r="213" spans="17:247" ht="18" customHeight="1" x14ac:dyDescent="0.2">
      <c r="Q213" s="9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1"/>
      <c r="CV213" s="40"/>
      <c r="CW213" s="41"/>
      <c r="CX213" s="41"/>
      <c r="CY213" s="41"/>
      <c r="CZ213" s="41"/>
      <c r="DA213" s="41"/>
      <c r="DB213" s="41"/>
      <c r="DC213" s="41"/>
      <c r="DD213" s="41"/>
      <c r="DE213" s="41"/>
      <c r="DF213" s="41"/>
      <c r="DG213" s="41"/>
      <c r="DH213" s="41"/>
      <c r="DI213" s="41"/>
      <c r="DJ213" s="41"/>
      <c r="DK213" s="41"/>
      <c r="DL213" s="41"/>
      <c r="DM213" s="41"/>
      <c r="DN213" s="41"/>
      <c r="DO213" s="41"/>
      <c r="DP213" s="41"/>
      <c r="DQ213" s="41"/>
      <c r="DR213" s="41"/>
      <c r="DS213" s="41"/>
      <c r="DT213" s="41"/>
      <c r="DU213" s="41"/>
      <c r="DV213" s="41"/>
      <c r="DW213" s="41"/>
      <c r="DX213" s="41"/>
      <c r="DY213" s="41"/>
      <c r="DZ213" s="41"/>
      <c r="EA213" s="41"/>
      <c r="EB213" s="41"/>
      <c r="EC213" s="41"/>
      <c r="ED213" s="41"/>
      <c r="EE213" s="41"/>
      <c r="EF213" s="41"/>
      <c r="EG213" s="41"/>
      <c r="EH213" s="41"/>
      <c r="EI213" s="41"/>
      <c r="EJ213" s="41"/>
      <c r="EK213" s="41"/>
      <c r="EL213" s="41"/>
      <c r="EM213" s="41"/>
      <c r="EN213" s="41"/>
      <c r="EO213" s="41"/>
      <c r="EP213" s="41"/>
      <c r="EQ213" s="41"/>
      <c r="ER213" s="41"/>
      <c r="ES213" s="44"/>
      <c r="GP213" s="42"/>
      <c r="GQ213" s="43"/>
      <c r="GR213" s="43"/>
      <c r="GS213" s="43"/>
      <c r="GT213" s="43"/>
      <c r="GU213" s="43"/>
      <c r="GV213" s="43"/>
      <c r="GW213" s="43"/>
      <c r="GX213" s="43"/>
      <c r="GY213" s="43"/>
      <c r="GZ213" s="43"/>
      <c r="HA213" s="43"/>
      <c r="HB213" s="43"/>
      <c r="HC213" s="43"/>
      <c r="HD213" s="43"/>
      <c r="HE213" s="43"/>
      <c r="HF213" s="43"/>
      <c r="HG213" s="40"/>
      <c r="HH213" s="41"/>
      <c r="HI213" s="41"/>
      <c r="HJ213" s="41"/>
      <c r="HK213" s="44"/>
      <c r="HL213" s="43"/>
      <c r="HM213" s="43"/>
      <c r="HN213" s="43"/>
      <c r="HO213" s="43"/>
      <c r="HP213" s="43"/>
      <c r="HQ213" s="43"/>
      <c r="HR213" s="43"/>
      <c r="HS213" s="43"/>
      <c r="HT213" s="123"/>
      <c r="HU213" s="109"/>
      <c r="HV213" s="109"/>
      <c r="HW213" s="124"/>
      <c r="HX213" s="43"/>
      <c r="HY213" s="43"/>
      <c r="HZ213" s="43"/>
      <c r="IA213" s="43"/>
      <c r="IB213" s="43"/>
      <c r="IC213" s="43"/>
      <c r="ID213" s="43"/>
      <c r="IE213" s="123"/>
      <c r="IF213" s="109"/>
      <c r="IG213" s="109"/>
      <c r="IH213" s="124"/>
      <c r="II213" s="43"/>
      <c r="IJ213" s="43"/>
      <c r="IK213" s="43"/>
      <c r="IL213" s="43"/>
      <c r="IM213" s="45"/>
    </row>
    <row r="214" spans="17:247" ht="18" customHeight="1" x14ac:dyDescent="0.2">
      <c r="Q214" s="12"/>
      <c r="BO214" s="13"/>
      <c r="CV214" s="42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43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5"/>
      <c r="GP214" s="42"/>
      <c r="GQ214" s="43"/>
      <c r="GR214" s="9"/>
      <c r="GS214" s="10"/>
      <c r="GT214" s="10"/>
      <c r="GU214" s="10"/>
      <c r="GV214" s="10"/>
      <c r="GW214" s="10"/>
      <c r="GX214" s="10"/>
      <c r="GY214" s="10"/>
      <c r="GZ214" s="10"/>
      <c r="HA214" s="10"/>
      <c r="HB214" s="10"/>
      <c r="HC214" s="10"/>
      <c r="HD214" s="10"/>
      <c r="HE214" s="10"/>
      <c r="HF214" s="10"/>
      <c r="HG214" s="10"/>
      <c r="HH214" s="10"/>
      <c r="HI214" s="10"/>
      <c r="HJ214" s="10"/>
      <c r="HK214" s="10"/>
      <c r="HL214" s="10"/>
      <c r="HM214" s="10"/>
      <c r="HN214" s="10"/>
      <c r="HO214" s="10"/>
      <c r="HP214" s="17"/>
      <c r="HQ214" s="10"/>
      <c r="HR214" s="10"/>
      <c r="HS214" s="10"/>
      <c r="HT214" s="10"/>
      <c r="HU214" s="10"/>
      <c r="HV214" s="10"/>
      <c r="HW214" s="10"/>
      <c r="HX214" s="10"/>
      <c r="HY214" s="10"/>
      <c r="HZ214" s="11"/>
      <c r="IA214" s="10"/>
      <c r="IB214" s="9"/>
      <c r="IC214" s="10"/>
      <c r="ID214" s="10"/>
      <c r="IE214" s="10"/>
      <c r="IF214" s="10"/>
      <c r="IG214" s="10"/>
      <c r="IH214" s="10"/>
      <c r="II214" s="10"/>
      <c r="IJ214" s="10"/>
      <c r="IK214" s="11"/>
      <c r="IL214" s="43"/>
      <c r="IM214" s="45"/>
    </row>
    <row r="215" spans="17:247" ht="18" customHeight="1" x14ac:dyDescent="0.2">
      <c r="Q215" s="12"/>
      <c r="S215" s="9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7"/>
      <c r="AT215" s="9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1"/>
      <c r="BO215" s="13"/>
      <c r="CV215" s="42"/>
      <c r="CW215" s="43"/>
      <c r="CX215" s="9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  <c r="DV215" s="17"/>
      <c r="DW215" s="10"/>
      <c r="DX215" s="10"/>
      <c r="DY215" s="10"/>
      <c r="DZ215" s="10"/>
      <c r="EA215" s="10"/>
      <c r="EB215" s="10"/>
      <c r="EC215" s="10"/>
      <c r="ED215" s="10"/>
      <c r="EE215" s="10"/>
      <c r="EF215" s="11"/>
      <c r="EG215" s="17"/>
      <c r="EH215" s="9"/>
      <c r="EI215" s="10"/>
      <c r="EJ215" s="10"/>
      <c r="EK215" s="10"/>
      <c r="EL215" s="10"/>
      <c r="EM215" s="10"/>
      <c r="EN215" s="10"/>
      <c r="EO215" s="10"/>
      <c r="EP215" s="10"/>
      <c r="EQ215" s="11"/>
      <c r="ER215" s="43"/>
      <c r="ES215" s="45"/>
      <c r="GP215" s="42"/>
      <c r="GQ215" s="43"/>
      <c r="GR215" s="12"/>
      <c r="HP215" s="18"/>
      <c r="HZ215" s="13"/>
      <c r="IB215" s="12"/>
      <c r="IK215" s="13"/>
      <c r="IL215" s="43"/>
      <c r="IM215" s="45"/>
    </row>
    <row r="216" spans="17:247" ht="18" customHeight="1" x14ac:dyDescent="0.2">
      <c r="Q216" s="12"/>
      <c r="S216" s="12"/>
      <c r="AS216" s="18"/>
      <c r="AT216" s="12"/>
      <c r="BM216" s="13"/>
      <c r="BO216" s="13"/>
      <c r="CV216" s="42"/>
      <c r="CW216" s="43"/>
      <c r="CX216" s="12"/>
      <c r="DS216" s="9"/>
      <c r="DT216" s="10"/>
      <c r="DU216" s="11"/>
      <c r="DV216" s="18"/>
      <c r="EF216" s="13"/>
      <c r="EG216" s="18"/>
      <c r="EH216" s="12"/>
      <c r="EQ216" s="13"/>
      <c r="ER216" s="43"/>
      <c r="ES216" s="45"/>
      <c r="GP216" s="42"/>
      <c r="GQ216" s="43"/>
      <c r="GR216" s="12"/>
      <c r="HP216" s="18"/>
      <c r="HZ216" s="13"/>
      <c r="IB216" s="12"/>
      <c r="IK216" s="13"/>
      <c r="IL216" s="43"/>
      <c r="IM216" s="45"/>
    </row>
    <row r="217" spans="17:247" ht="18" customHeight="1" x14ac:dyDescent="0.2">
      <c r="Q217" s="12"/>
      <c r="S217" s="12"/>
      <c r="AS217" s="18"/>
      <c r="AT217" s="12"/>
      <c r="BM217" s="13"/>
      <c r="BO217" s="13"/>
      <c r="CV217" s="42"/>
      <c r="CW217" s="43"/>
      <c r="CX217" s="12"/>
      <c r="DS217" s="12"/>
      <c r="DU217" s="13"/>
      <c r="DV217" s="18"/>
      <c r="EF217" s="13"/>
      <c r="EG217" s="18"/>
      <c r="EH217" s="12"/>
      <c r="EQ217" s="13"/>
      <c r="ER217" s="43"/>
      <c r="ES217" s="45"/>
      <c r="GP217" s="42"/>
      <c r="GQ217" s="43"/>
      <c r="GR217" s="12"/>
      <c r="HP217" s="18"/>
      <c r="HZ217" s="13"/>
      <c r="IB217" s="12"/>
      <c r="IK217" s="13"/>
      <c r="IL217" s="43"/>
      <c r="IM217" s="45"/>
    </row>
    <row r="218" spans="17:247" ht="18" customHeight="1" x14ac:dyDescent="0.2">
      <c r="Q218" s="12"/>
      <c r="S218" s="12"/>
      <c r="AS218" s="18"/>
      <c r="AT218" s="12"/>
      <c r="BM218" s="13"/>
      <c r="BO218" s="13"/>
      <c r="CV218" s="42"/>
      <c r="CW218" s="43"/>
      <c r="CX218" s="9"/>
      <c r="CY218" s="11"/>
      <c r="DS218" s="12"/>
      <c r="DU218" s="13"/>
      <c r="DV218" s="18"/>
      <c r="EF218" s="13"/>
      <c r="EG218" s="18"/>
      <c r="EH218" s="12"/>
      <c r="EQ218" s="13"/>
      <c r="ER218" s="43"/>
      <c r="ES218" s="45"/>
      <c r="GP218" s="42"/>
      <c r="GQ218" s="43"/>
      <c r="GR218" s="12"/>
      <c r="HP218" s="18"/>
      <c r="HZ218" s="13"/>
      <c r="IB218" s="12"/>
      <c r="IK218" s="13"/>
      <c r="IL218" s="43"/>
      <c r="IM218" s="45"/>
    </row>
    <row r="219" spans="17:247" ht="18" customHeight="1" x14ac:dyDescent="0.2">
      <c r="Q219" s="12"/>
      <c r="S219" s="12"/>
      <c r="AS219" s="18"/>
      <c r="AT219" s="12"/>
      <c r="BM219" s="13"/>
      <c r="BO219" s="13"/>
      <c r="CV219" s="42"/>
      <c r="CW219" s="43"/>
      <c r="CX219" s="12"/>
      <c r="CY219" s="13"/>
      <c r="DS219" s="12"/>
      <c r="DU219" s="13"/>
      <c r="DV219" s="18"/>
      <c r="EF219" s="13"/>
      <c r="EG219" s="18"/>
      <c r="EH219" s="12"/>
      <c r="EQ219" s="13"/>
      <c r="ER219" s="43"/>
      <c r="ES219" s="45"/>
      <c r="GP219" s="42"/>
      <c r="GQ219" s="43"/>
      <c r="GR219" s="12"/>
      <c r="HP219" s="18"/>
      <c r="HZ219" s="13"/>
      <c r="IB219" s="12"/>
      <c r="IK219" s="13"/>
      <c r="IL219" s="43"/>
      <c r="IM219" s="45"/>
    </row>
    <row r="220" spans="17:247" ht="18" customHeight="1" x14ac:dyDescent="0.2">
      <c r="Q220" s="12"/>
      <c r="S220" s="12"/>
      <c r="AS220" s="18"/>
      <c r="AT220" s="12"/>
      <c r="BM220" s="13"/>
      <c r="BO220" s="13"/>
      <c r="CV220" s="42"/>
      <c r="CW220" s="43"/>
      <c r="CX220" s="14"/>
      <c r="CY220" s="16"/>
      <c r="DS220" s="12"/>
      <c r="DU220" s="13"/>
      <c r="DV220" s="18"/>
      <c r="EF220" s="13"/>
      <c r="EG220" s="18"/>
      <c r="EH220" s="12"/>
      <c r="EQ220" s="13"/>
      <c r="ER220" s="43"/>
      <c r="ES220" s="45"/>
      <c r="GP220" s="42"/>
      <c r="GQ220" s="43"/>
      <c r="GR220" s="12"/>
      <c r="HP220" s="18"/>
      <c r="HZ220" s="13"/>
      <c r="IB220" s="12"/>
      <c r="IK220" s="13"/>
      <c r="IL220" s="43"/>
      <c r="IM220" s="45"/>
    </row>
    <row r="221" spans="17:247" ht="18" customHeight="1" x14ac:dyDescent="0.2">
      <c r="Q221" s="12"/>
      <c r="S221" s="12"/>
      <c r="AS221" s="18"/>
      <c r="AT221" s="12"/>
      <c r="BM221" s="13"/>
      <c r="BO221" s="13"/>
      <c r="CV221" s="42"/>
      <c r="CW221" s="43"/>
      <c r="CX221" s="9"/>
      <c r="CY221" s="10"/>
      <c r="CZ221" s="10"/>
      <c r="DA221" s="10"/>
      <c r="DB221" s="10"/>
      <c r="DC221" s="10"/>
      <c r="DD221" s="10"/>
      <c r="DE221" s="10"/>
      <c r="DF221" s="10"/>
      <c r="DG221" s="10"/>
      <c r="DH221" s="10"/>
      <c r="DI221" s="11"/>
      <c r="DS221" s="12"/>
      <c r="DU221" s="13"/>
      <c r="DV221" s="18"/>
      <c r="EF221" s="13"/>
      <c r="EG221" s="18"/>
      <c r="EH221" s="12"/>
      <c r="EQ221" s="13"/>
      <c r="ER221" s="43"/>
      <c r="ES221" s="45"/>
      <c r="GP221" s="42"/>
      <c r="GQ221" s="43"/>
      <c r="GR221" s="12"/>
      <c r="HP221" s="18"/>
      <c r="HQ221" s="15"/>
      <c r="HR221" s="15"/>
      <c r="HS221" s="15"/>
      <c r="HT221" s="15"/>
      <c r="HU221" s="15"/>
      <c r="HV221" s="15"/>
      <c r="HW221" s="15"/>
      <c r="HX221" s="15"/>
      <c r="HY221" s="15"/>
      <c r="HZ221" s="16"/>
      <c r="IB221" s="14"/>
      <c r="IC221" s="15"/>
      <c r="ID221" s="15"/>
      <c r="IE221" s="15"/>
      <c r="IF221" s="15"/>
      <c r="IG221" s="15"/>
      <c r="IH221" s="15"/>
      <c r="II221" s="15"/>
      <c r="IJ221" s="15"/>
      <c r="IK221" s="16"/>
      <c r="IL221" s="43"/>
      <c r="IM221" s="45"/>
    </row>
    <row r="222" spans="17:247" ht="18" customHeight="1" x14ac:dyDescent="0.2">
      <c r="Q222" s="12"/>
      <c r="S222" s="12"/>
      <c r="AS222" s="18"/>
      <c r="AT222" s="12"/>
      <c r="BM222" s="13"/>
      <c r="BO222" s="13"/>
      <c r="CV222" s="42"/>
      <c r="CW222" s="43"/>
      <c r="CX222" s="12"/>
      <c r="DI222" s="13"/>
      <c r="DS222" s="12"/>
      <c r="DU222" s="13"/>
      <c r="DV222" s="18"/>
      <c r="DW222" s="15"/>
      <c r="DX222" s="15"/>
      <c r="DY222" s="15"/>
      <c r="DZ222" s="15"/>
      <c r="EA222" s="15"/>
      <c r="EB222" s="15"/>
      <c r="EC222" s="15"/>
      <c r="ED222" s="15"/>
      <c r="EE222" s="15"/>
      <c r="EF222" s="16"/>
      <c r="EG222" s="18"/>
      <c r="EH222" s="14"/>
      <c r="EI222" s="15"/>
      <c r="EJ222" s="15"/>
      <c r="EK222" s="15"/>
      <c r="EL222" s="15"/>
      <c r="EM222" s="15"/>
      <c r="EN222" s="15"/>
      <c r="EO222" s="15"/>
      <c r="EP222" s="15"/>
      <c r="EQ222" s="16"/>
      <c r="ER222" s="43"/>
      <c r="ES222" s="45"/>
      <c r="GP222" s="42"/>
      <c r="GQ222" s="43"/>
      <c r="GR222" s="12"/>
      <c r="HP222" s="18"/>
      <c r="HV222" s="9"/>
      <c r="HW222" s="10"/>
      <c r="HX222" s="10"/>
      <c r="HY222" s="10"/>
      <c r="HZ222" s="11"/>
      <c r="IB222" s="9"/>
      <c r="IC222" s="10"/>
      <c r="ID222" s="10"/>
      <c r="IE222" s="10"/>
      <c r="IF222" s="11"/>
      <c r="IK222" s="13"/>
      <c r="IL222" s="43"/>
      <c r="IM222" s="45"/>
    </row>
    <row r="223" spans="17:247" ht="18" customHeight="1" x14ac:dyDescent="0.2">
      <c r="Q223" s="12"/>
      <c r="S223" s="12"/>
      <c r="AS223" s="18"/>
      <c r="AT223" s="12"/>
      <c r="BM223" s="13"/>
      <c r="BO223" s="13"/>
      <c r="CV223" s="42"/>
      <c r="CW223" s="43"/>
      <c r="CX223" s="12"/>
      <c r="DI223" s="13"/>
      <c r="DS223" s="12"/>
      <c r="DU223" s="13"/>
      <c r="DV223" s="18"/>
      <c r="EB223" s="9"/>
      <c r="EC223" s="10"/>
      <c r="ED223" s="10"/>
      <c r="EE223" s="10"/>
      <c r="EF223" s="11"/>
      <c r="EG223" s="18"/>
      <c r="EH223" s="9"/>
      <c r="EI223" s="10"/>
      <c r="EJ223" s="10"/>
      <c r="EK223" s="10"/>
      <c r="EL223" s="11"/>
      <c r="EQ223" s="13"/>
      <c r="ER223" s="43"/>
      <c r="ES223" s="45"/>
      <c r="GP223" s="42"/>
      <c r="GQ223" s="43"/>
      <c r="GR223" s="12"/>
      <c r="HP223" s="18"/>
      <c r="HV223" s="12"/>
      <c r="HZ223" s="13"/>
      <c r="IB223" s="12"/>
      <c r="IF223" s="13"/>
      <c r="IK223" s="13"/>
      <c r="IL223" s="43"/>
      <c r="IM223" s="45"/>
    </row>
    <row r="224" spans="17:247" ht="18" customHeight="1" x14ac:dyDescent="0.2">
      <c r="Q224" s="12"/>
      <c r="S224" s="12"/>
      <c r="AS224" s="18"/>
      <c r="AT224" s="12"/>
      <c r="BM224" s="13"/>
      <c r="BO224" s="13"/>
      <c r="CV224" s="42"/>
      <c r="CW224" s="43"/>
      <c r="CX224" s="12"/>
      <c r="DI224" s="13"/>
      <c r="DS224" s="12"/>
      <c r="DU224" s="13"/>
      <c r="DV224" s="18"/>
      <c r="EB224" s="12"/>
      <c r="EF224" s="13"/>
      <c r="EG224" s="18"/>
      <c r="EH224" s="12"/>
      <c r="EL224" s="13"/>
      <c r="EQ224" s="13"/>
      <c r="ER224" s="43"/>
      <c r="ES224" s="45"/>
      <c r="GP224" s="42"/>
      <c r="GQ224" s="43"/>
      <c r="GR224" s="12"/>
      <c r="HP224" s="18"/>
      <c r="HV224" s="12"/>
      <c r="HZ224" s="13"/>
      <c r="IB224" s="12"/>
      <c r="IF224" s="13"/>
      <c r="IK224" s="13"/>
      <c r="IL224" s="43"/>
      <c r="IM224" s="45"/>
    </row>
    <row r="225" spans="17:247" ht="18" customHeight="1" x14ac:dyDescent="0.2">
      <c r="Q225" s="12"/>
      <c r="S225" s="12"/>
      <c r="AS225" s="18"/>
      <c r="AT225" s="12"/>
      <c r="BM225" s="13"/>
      <c r="BO225" s="13"/>
      <c r="CV225" s="42"/>
      <c r="CW225" s="43"/>
      <c r="CX225" s="12"/>
      <c r="DI225" s="13"/>
      <c r="DS225" s="14"/>
      <c r="DT225" s="15"/>
      <c r="DU225" s="16"/>
      <c r="DV225" s="18"/>
      <c r="EB225" s="12"/>
      <c r="EF225" s="13"/>
      <c r="EG225" s="18"/>
      <c r="EH225" s="12"/>
      <c r="EL225" s="13"/>
      <c r="EQ225" s="13"/>
      <c r="ER225" s="43"/>
      <c r="ES225" s="45"/>
      <c r="GP225" s="42"/>
      <c r="GQ225" s="43"/>
      <c r="GR225" s="12"/>
      <c r="HP225" s="18"/>
      <c r="HV225" s="12"/>
      <c r="HZ225" s="13"/>
      <c r="IB225" s="12"/>
      <c r="IF225" s="13"/>
      <c r="IK225" s="13"/>
      <c r="IL225" s="43"/>
      <c r="IM225" s="45"/>
    </row>
    <row r="226" spans="17:247" ht="18" customHeight="1" x14ac:dyDescent="0.2">
      <c r="Q226" s="12"/>
      <c r="S226" s="12"/>
      <c r="AS226" s="18"/>
      <c r="AT226" s="12"/>
      <c r="BM226" s="13"/>
      <c r="BO226" s="13"/>
      <c r="CV226" s="42"/>
      <c r="CW226" s="43"/>
      <c r="CX226" s="12"/>
      <c r="DI226" s="13"/>
      <c r="DV226" s="18"/>
      <c r="EB226" s="12"/>
      <c r="EF226" s="13"/>
      <c r="EG226" s="18"/>
      <c r="EH226" s="12"/>
      <c r="EL226" s="13"/>
      <c r="EQ226" s="13"/>
      <c r="ER226" s="43"/>
      <c r="ES226" s="45"/>
      <c r="GP226" s="42"/>
      <c r="GQ226" s="43"/>
      <c r="GR226" s="12"/>
      <c r="HP226" s="18"/>
      <c r="HV226" s="14"/>
      <c r="HW226" s="15"/>
      <c r="HX226" s="15"/>
      <c r="HY226" s="15"/>
      <c r="HZ226" s="16"/>
      <c r="IB226" s="14"/>
      <c r="IC226" s="15"/>
      <c r="ID226" s="15"/>
      <c r="IE226" s="15"/>
      <c r="IF226" s="16"/>
      <c r="IK226" s="13"/>
      <c r="IL226" s="43"/>
      <c r="IM226" s="45"/>
    </row>
    <row r="227" spans="17:247" ht="18" customHeight="1" x14ac:dyDescent="0.2">
      <c r="Q227" s="12"/>
      <c r="S227" s="12"/>
      <c r="AS227" s="18"/>
      <c r="AT227" s="12"/>
      <c r="BM227" s="13"/>
      <c r="BO227" s="13"/>
      <c r="CV227" s="42"/>
      <c r="CW227" s="43"/>
      <c r="CX227" s="12"/>
      <c r="DI227" s="13"/>
      <c r="DV227" s="24"/>
      <c r="EB227" s="14"/>
      <c r="EC227" s="15"/>
      <c r="ED227" s="15"/>
      <c r="EE227" s="15"/>
      <c r="EF227" s="16"/>
      <c r="EG227" s="18"/>
      <c r="EH227" s="14"/>
      <c r="EI227" s="15"/>
      <c r="EJ227" s="15"/>
      <c r="EK227" s="15"/>
      <c r="EL227" s="16"/>
      <c r="EQ227" s="13"/>
      <c r="ER227" s="43"/>
      <c r="ES227" s="45"/>
      <c r="GP227" s="42"/>
      <c r="GQ227" s="43"/>
      <c r="GR227" s="12"/>
      <c r="HP227" s="18"/>
      <c r="HV227" s="12"/>
      <c r="HZ227" s="13"/>
      <c r="IB227" s="12"/>
      <c r="IF227" s="13"/>
      <c r="IK227" s="13"/>
      <c r="IL227" s="43"/>
      <c r="IM227" s="45"/>
    </row>
    <row r="228" spans="17:247" ht="18" customHeight="1" x14ac:dyDescent="0.2">
      <c r="Q228" s="12"/>
      <c r="S228" s="12"/>
      <c r="AS228" s="18"/>
      <c r="AT228" s="12"/>
      <c r="BM228" s="13"/>
      <c r="BO228" s="13"/>
      <c r="CV228" s="42"/>
      <c r="CW228" s="43"/>
      <c r="CX228" s="12"/>
      <c r="DI228" s="13"/>
      <c r="DV228" s="24"/>
      <c r="EB228" s="12"/>
      <c r="EF228" s="13"/>
      <c r="EG228" s="18"/>
      <c r="EH228" s="12"/>
      <c r="EL228" s="13"/>
      <c r="EQ228" s="13"/>
      <c r="ER228" s="43"/>
      <c r="ES228" s="45"/>
      <c r="GP228" s="42"/>
      <c r="GQ228" s="43"/>
      <c r="GR228" s="12"/>
      <c r="HP228" s="18"/>
      <c r="HV228" s="12"/>
      <c r="HZ228" s="13"/>
      <c r="IB228" s="12"/>
      <c r="IF228" s="13"/>
      <c r="IK228" s="13"/>
      <c r="IL228" s="43"/>
      <c r="IM228" s="45"/>
    </row>
    <row r="229" spans="17:247" ht="18" customHeight="1" x14ac:dyDescent="0.2">
      <c r="Q229" s="12"/>
      <c r="S229" s="12"/>
      <c r="AS229" s="18"/>
      <c r="AT229" s="12"/>
      <c r="BM229" s="13"/>
      <c r="BO229" s="13"/>
      <c r="CV229" s="42"/>
      <c r="CW229" s="43"/>
      <c r="CX229" s="12"/>
      <c r="DI229" s="13"/>
      <c r="DV229" s="24"/>
      <c r="EB229" s="12"/>
      <c r="EC229" s="32"/>
      <c r="ED229" s="32"/>
      <c r="EF229" s="13"/>
      <c r="EG229" s="18"/>
      <c r="EH229" s="12"/>
      <c r="EJ229" s="32"/>
      <c r="EK229" s="32"/>
      <c r="EL229" s="13"/>
      <c r="EQ229" s="13"/>
      <c r="ER229" s="43"/>
      <c r="ES229" s="45"/>
      <c r="GP229" s="42"/>
      <c r="GQ229" s="43"/>
      <c r="GR229" s="12"/>
      <c r="HP229" s="18"/>
      <c r="HV229" s="12"/>
      <c r="HZ229" s="13"/>
      <c r="IB229" s="12"/>
      <c r="IF229" s="13"/>
      <c r="IK229" s="13"/>
      <c r="IL229" s="43"/>
      <c r="IM229" s="45"/>
    </row>
    <row r="230" spans="17:247" ht="18" customHeight="1" x14ac:dyDescent="0.2">
      <c r="Q230" s="12"/>
      <c r="S230" s="12"/>
      <c r="AS230" s="18"/>
      <c r="AT230" s="12"/>
      <c r="BM230" s="13"/>
      <c r="BO230" s="13"/>
      <c r="CV230" s="42"/>
      <c r="CW230" s="43"/>
      <c r="CX230" s="12"/>
      <c r="DI230" s="13"/>
      <c r="DV230" s="24"/>
      <c r="EB230" s="12"/>
      <c r="EC230" s="32"/>
      <c r="ED230" s="32"/>
      <c r="EF230" s="13"/>
      <c r="EG230" s="18"/>
      <c r="EH230" s="12"/>
      <c r="EJ230" s="32"/>
      <c r="EK230" s="32"/>
      <c r="EL230" s="13"/>
      <c r="EQ230" s="13"/>
      <c r="ER230" s="43"/>
      <c r="ES230" s="45"/>
      <c r="GP230" s="42"/>
      <c r="GQ230" s="43"/>
      <c r="GR230" s="12"/>
      <c r="HP230" s="18"/>
      <c r="HV230" s="12"/>
      <c r="HZ230" s="13"/>
      <c r="IB230" s="12"/>
      <c r="IF230" s="13"/>
      <c r="IK230" s="13"/>
      <c r="IL230" s="43"/>
      <c r="IM230" s="45"/>
    </row>
    <row r="231" spans="17:247" ht="18" customHeight="1" x14ac:dyDescent="0.2">
      <c r="Q231" s="12"/>
      <c r="S231" s="12"/>
      <c r="AS231" s="18"/>
      <c r="AT231" s="12"/>
      <c r="BM231" s="13"/>
      <c r="BO231" s="13"/>
      <c r="CV231" s="42"/>
      <c r="CW231" s="43"/>
      <c r="CX231" s="12"/>
      <c r="DI231" s="13"/>
      <c r="DV231" s="24"/>
      <c r="EB231" s="12"/>
      <c r="EC231" s="32"/>
      <c r="ED231" s="32"/>
      <c r="EF231" s="13"/>
      <c r="EG231" s="18"/>
      <c r="EH231" s="12"/>
      <c r="EJ231" s="32"/>
      <c r="EK231" s="32"/>
      <c r="EL231" s="13"/>
      <c r="EQ231" s="13"/>
      <c r="ER231" s="43"/>
      <c r="ES231" s="45"/>
      <c r="GP231" s="42"/>
      <c r="GQ231" s="43"/>
      <c r="GR231" s="12"/>
      <c r="HP231" s="18"/>
      <c r="HQ231" s="15"/>
      <c r="HR231" s="15"/>
      <c r="HS231" s="15"/>
      <c r="HT231" s="15"/>
      <c r="HU231" s="15"/>
      <c r="HV231" s="14"/>
      <c r="HW231" s="15"/>
      <c r="HX231" s="15"/>
      <c r="HY231" s="15"/>
      <c r="HZ231" s="16"/>
      <c r="IB231" s="14"/>
      <c r="IC231" s="15"/>
      <c r="ID231" s="15"/>
      <c r="IE231" s="15"/>
      <c r="IF231" s="16"/>
      <c r="IG231" s="15"/>
      <c r="IH231" s="15"/>
      <c r="II231" s="15"/>
      <c r="IJ231" s="15"/>
      <c r="IK231" s="16"/>
      <c r="IL231" s="43"/>
      <c r="IM231" s="45"/>
    </row>
    <row r="232" spans="17:247" ht="18" customHeight="1" x14ac:dyDescent="0.2">
      <c r="Q232" s="12"/>
      <c r="S232" s="12"/>
      <c r="AS232" s="18"/>
      <c r="AT232" s="12"/>
      <c r="BM232" s="13"/>
      <c r="BO232" s="13"/>
      <c r="CV232" s="42"/>
      <c r="CW232" s="43"/>
      <c r="CX232" s="14"/>
      <c r="CY232" s="15"/>
      <c r="CZ232" s="15"/>
      <c r="DA232" s="15"/>
      <c r="DB232" s="15"/>
      <c r="DC232" s="15"/>
      <c r="DD232" s="15"/>
      <c r="DE232" s="15"/>
      <c r="DF232" s="15"/>
      <c r="DG232" s="15"/>
      <c r="DH232" s="15"/>
      <c r="DI232" s="16"/>
      <c r="DV232" s="18"/>
      <c r="DW232" s="15"/>
      <c r="DX232" s="15"/>
      <c r="DY232" s="15"/>
      <c r="DZ232" s="15"/>
      <c r="EA232" s="15"/>
      <c r="EB232" s="14"/>
      <c r="EC232" s="15"/>
      <c r="ED232" s="15"/>
      <c r="EE232" s="15"/>
      <c r="EF232" s="16"/>
      <c r="EG232" s="19"/>
      <c r="EH232" s="14"/>
      <c r="EI232" s="15"/>
      <c r="EJ232" s="15"/>
      <c r="EK232" s="15"/>
      <c r="EL232" s="16"/>
      <c r="EM232" s="15"/>
      <c r="EN232" s="15"/>
      <c r="EO232" s="15"/>
      <c r="EP232" s="15"/>
      <c r="EQ232" s="16"/>
      <c r="ER232" s="43"/>
      <c r="ES232" s="45"/>
      <c r="GP232" s="40"/>
      <c r="GQ232" s="40"/>
      <c r="GR232" s="12"/>
      <c r="HG232" s="9"/>
      <c r="HH232" s="10"/>
      <c r="HI232" s="10"/>
      <c r="HJ232" s="10"/>
      <c r="HK232" s="10"/>
      <c r="HL232" s="10"/>
      <c r="HM232" s="10"/>
      <c r="HN232" s="10"/>
      <c r="HO232" s="11"/>
      <c r="HP232" s="18"/>
      <c r="HQ232" s="15"/>
      <c r="HR232" s="15"/>
      <c r="HS232" s="15"/>
      <c r="HT232" s="15"/>
      <c r="HU232" s="15"/>
      <c r="HV232" s="15"/>
      <c r="HW232" s="15"/>
      <c r="HX232" s="15"/>
      <c r="HY232" s="15"/>
      <c r="HZ232" s="15"/>
      <c r="IA232" s="15"/>
      <c r="IB232" s="15"/>
      <c r="IC232" s="15"/>
      <c r="ID232" s="15"/>
      <c r="IE232" s="15"/>
      <c r="IF232" s="15"/>
      <c r="IG232" s="15"/>
      <c r="IH232" s="15"/>
      <c r="II232" s="15"/>
      <c r="IJ232" s="15"/>
      <c r="IK232" s="22"/>
      <c r="IL232" s="43"/>
      <c r="IM232" s="45"/>
    </row>
    <row r="233" spans="17:247" ht="18" customHeight="1" x14ac:dyDescent="0.2">
      <c r="Q233" s="12"/>
      <c r="S233" s="12"/>
      <c r="AS233" s="18"/>
      <c r="AT233" s="12"/>
      <c r="BM233" s="13"/>
      <c r="BO233" s="13"/>
      <c r="CV233" s="42"/>
      <c r="CW233" s="43"/>
      <c r="CX233" s="9"/>
      <c r="CY233" s="11"/>
      <c r="DV233" s="18"/>
      <c r="DW233" s="15"/>
      <c r="DX233" s="15"/>
      <c r="DY233" s="15"/>
      <c r="DZ233" s="15"/>
      <c r="EA233" s="15"/>
      <c r="EB233" s="15"/>
      <c r="EC233" s="15"/>
      <c r="ED233" s="15"/>
      <c r="EE233" s="15"/>
      <c r="EF233" s="15"/>
      <c r="EG233" s="15"/>
      <c r="EH233" s="15"/>
      <c r="EI233" s="15"/>
      <c r="EJ233" s="15"/>
      <c r="EK233" s="15"/>
      <c r="EL233" s="100"/>
      <c r="EM233" s="100"/>
      <c r="EN233" s="100"/>
      <c r="EO233" s="100"/>
      <c r="EP233" s="100"/>
      <c r="EQ233" s="22"/>
      <c r="ER233" s="43"/>
      <c r="ES233" s="45"/>
      <c r="GP233" s="42"/>
      <c r="GQ233" s="42"/>
      <c r="GR233" s="12"/>
      <c r="HG233" s="12"/>
      <c r="HH233" s="9"/>
      <c r="HI233" s="10"/>
      <c r="HJ233" s="10"/>
      <c r="HK233" s="10"/>
      <c r="HL233" s="10"/>
      <c r="HM233" s="10"/>
      <c r="HN233" s="10"/>
      <c r="HO233" s="11"/>
      <c r="HP233" s="18"/>
      <c r="HQ233" s="10"/>
      <c r="HR233" s="10"/>
      <c r="HS233" s="10"/>
      <c r="HT233" s="10"/>
      <c r="HU233" s="10"/>
      <c r="HV233" s="10"/>
      <c r="HW233" s="10"/>
      <c r="HX233" s="10"/>
      <c r="HY233" s="10"/>
      <c r="HZ233" s="10"/>
      <c r="IA233" s="10"/>
      <c r="IB233" s="10"/>
      <c r="IC233" s="10"/>
      <c r="ID233" s="10"/>
      <c r="IE233" s="10"/>
      <c r="IF233" s="10"/>
      <c r="IG233" s="10"/>
      <c r="IH233" s="10"/>
      <c r="II233" s="10"/>
      <c r="IJ233" s="10"/>
      <c r="IK233" s="11"/>
      <c r="IL233" s="43"/>
      <c r="IM233" s="45"/>
    </row>
    <row r="234" spans="17:247" ht="18" customHeight="1" x14ac:dyDescent="0.2">
      <c r="Q234" s="12"/>
      <c r="S234" s="12"/>
      <c r="AS234" s="18"/>
      <c r="AT234" s="12"/>
      <c r="BM234" s="13"/>
      <c r="BO234" s="13"/>
      <c r="CV234" s="42"/>
      <c r="CW234" s="43"/>
      <c r="CX234" s="12"/>
      <c r="CY234" s="13"/>
      <c r="DV234" s="18"/>
      <c r="DW234" s="10"/>
      <c r="DX234" s="10"/>
      <c r="DY234" s="10"/>
      <c r="DZ234" s="10"/>
      <c r="EA234" s="10"/>
      <c r="EB234" s="10"/>
      <c r="EC234" s="10"/>
      <c r="ED234" s="9"/>
      <c r="EE234" s="38"/>
      <c r="EF234" s="38"/>
      <c r="EG234" s="11"/>
      <c r="EH234" s="10"/>
      <c r="EI234" s="10"/>
      <c r="EJ234" s="10"/>
      <c r="EK234" s="10"/>
      <c r="EL234" s="10"/>
      <c r="EM234" s="10"/>
      <c r="EN234" s="10"/>
      <c r="EO234" s="10"/>
      <c r="EP234" s="10"/>
      <c r="EQ234" s="11"/>
      <c r="ER234" s="43"/>
      <c r="ES234" s="45"/>
      <c r="GP234" s="42"/>
      <c r="GQ234" s="42"/>
      <c r="GR234" s="12"/>
      <c r="HG234" s="12"/>
      <c r="HH234" s="12"/>
      <c r="HO234" s="13"/>
      <c r="HP234" s="18"/>
      <c r="IK234" s="13"/>
      <c r="IL234" s="44"/>
      <c r="IM234" s="44"/>
    </row>
    <row r="235" spans="17:247" ht="18" customHeight="1" x14ac:dyDescent="0.2">
      <c r="Q235" s="12"/>
      <c r="S235" s="12"/>
      <c r="AS235" s="18"/>
      <c r="AT235" s="12"/>
      <c r="BM235" s="13"/>
      <c r="BO235" s="13"/>
      <c r="CV235" s="42"/>
      <c r="CW235" s="43"/>
      <c r="CX235" s="14"/>
      <c r="CY235" s="16"/>
      <c r="DV235" s="24"/>
      <c r="ED235" s="12"/>
      <c r="EE235" s="32"/>
      <c r="EF235" s="32"/>
      <c r="EG235" s="13"/>
      <c r="EQ235" s="13"/>
      <c r="ER235" s="43"/>
      <c r="ES235" s="45"/>
      <c r="GP235" s="42"/>
      <c r="GQ235" s="42"/>
      <c r="GR235" s="12"/>
      <c r="HG235" s="12"/>
      <c r="HH235" s="12"/>
      <c r="HO235" s="13"/>
      <c r="HP235" s="18"/>
      <c r="IK235" s="13"/>
      <c r="IL235" s="45"/>
      <c r="IM235" s="45"/>
    </row>
    <row r="236" spans="17:247" ht="18" customHeight="1" x14ac:dyDescent="0.2">
      <c r="Q236" s="12"/>
      <c r="S236" s="12"/>
      <c r="AS236" s="18"/>
      <c r="AT236" s="12"/>
      <c r="BM236" s="13"/>
      <c r="BO236" s="13"/>
      <c r="CV236" s="42"/>
      <c r="CW236" s="43"/>
      <c r="CX236" s="12"/>
      <c r="DV236" s="24"/>
      <c r="ED236" s="14"/>
      <c r="EE236" s="15"/>
      <c r="EF236" s="15"/>
      <c r="EG236" s="16"/>
      <c r="EQ236" s="13"/>
      <c r="ER236" s="43"/>
      <c r="ES236" s="45"/>
      <c r="GP236" s="42"/>
      <c r="GQ236" s="42"/>
      <c r="GR236" s="12"/>
      <c r="HG236" s="12"/>
      <c r="HH236" s="12"/>
      <c r="HO236" s="13"/>
      <c r="HP236" s="18"/>
      <c r="IK236" s="13"/>
      <c r="IL236" s="45"/>
      <c r="IM236" s="45"/>
    </row>
    <row r="237" spans="17:247" ht="18" customHeight="1" x14ac:dyDescent="0.2">
      <c r="Q237" s="12"/>
      <c r="S237" s="12"/>
      <c r="AS237" s="18"/>
      <c r="AT237" s="12"/>
      <c r="BM237" s="13"/>
      <c r="BO237" s="13"/>
      <c r="CV237" s="42"/>
      <c r="CW237" s="43"/>
      <c r="CX237" s="12"/>
      <c r="DV237" s="24"/>
      <c r="EQ237" s="13"/>
      <c r="ER237" s="125"/>
      <c r="ES237" s="125"/>
      <c r="GP237" s="46"/>
      <c r="GQ237" s="46"/>
      <c r="GR237" s="12"/>
      <c r="HG237" s="12"/>
      <c r="HH237" s="12"/>
      <c r="HO237" s="13"/>
      <c r="HP237" s="18"/>
      <c r="IK237" s="13"/>
      <c r="IL237" s="45"/>
      <c r="IM237" s="45"/>
    </row>
    <row r="238" spans="17:247" ht="18" customHeight="1" x14ac:dyDescent="0.2">
      <c r="Q238" s="12"/>
      <c r="S238" s="12"/>
      <c r="AS238" s="18"/>
      <c r="AT238" s="12"/>
      <c r="BM238" s="13"/>
      <c r="BO238" s="13"/>
      <c r="CV238" s="42"/>
      <c r="CW238" s="43"/>
      <c r="CX238" s="12"/>
      <c r="DV238" s="24"/>
      <c r="EQ238" s="13"/>
      <c r="ER238" s="108"/>
      <c r="ES238" s="108"/>
      <c r="GP238" s="42"/>
      <c r="GQ238" s="43"/>
      <c r="GR238" s="12"/>
      <c r="HG238" s="12"/>
      <c r="HH238" s="12"/>
      <c r="HO238" s="13"/>
      <c r="HP238" s="18"/>
      <c r="IK238" s="13"/>
      <c r="IL238" s="48"/>
      <c r="IM238" s="48"/>
    </row>
    <row r="239" spans="17:247" ht="18" customHeight="1" x14ac:dyDescent="0.2">
      <c r="Q239" s="12"/>
      <c r="S239" s="20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7"/>
      <c r="AF239" s="27"/>
      <c r="AG239" s="27"/>
      <c r="AH239" s="27"/>
      <c r="AI239" s="27"/>
      <c r="AJ239" s="21"/>
      <c r="AK239" s="10"/>
      <c r="AL239" s="21"/>
      <c r="AM239" s="27"/>
      <c r="AN239" s="27"/>
      <c r="AO239" s="27"/>
      <c r="AP239" s="27"/>
      <c r="AQ239" s="27"/>
      <c r="AR239" s="21"/>
      <c r="AS239" s="131"/>
      <c r="AT239" s="20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7"/>
      <c r="BI239" s="27"/>
      <c r="BJ239" s="27"/>
      <c r="BK239" s="27"/>
      <c r="BL239" s="27"/>
      <c r="BM239" s="22"/>
      <c r="BO239" s="13"/>
      <c r="CV239" s="42"/>
      <c r="CW239" s="43"/>
      <c r="CX239" s="12"/>
      <c r="DV239" s="24"/>
      <c r="EQ239" s="13"/>
      <c r="ER239" s="108"/>
      <c r="ES239" s="108"/>
      <c r="GP239" s="42"/>
      <c r="GQ239" s="42"/>
      <c r="GR239" s="12"/>
      <c r="HG239" s="12"/>
      <c r="HH239" s="12"/>
      <c r="HO239" s="13"/>
      <c r="HP239" s="18"/>
      <c r="IK239" s="13"/>
      <c r="IL239" s="43"/>
      <c r="IM239" s="45"/>
    </row>
    <row r="240" spans="17:247" ht="18" customHeight="1" x14ac:dyDescent="0.2">
      <c r="Q240" s="12"/>
      <c r="S240" s="12"/>
      <c r="AK240" s="17"/>
      <c r="BM240" s="13"/>
      <c r="BO240" s="13"/>
      <c r="CV240" s="42"/>
      <c r="CW240" s="43"/>
      <c r="CX240" s="14"/>
      <c r="CY240" s="15"/>
      <c r="CZ240" s="15"/>
      <c r="DA240" s="15"/>
      <c r="DB240" s="15"/>
      <c r="DC240" s="15"/>
      <c r="DD240" s="15"/>
      <c r="DE240" s="15"/>
      <c r="DF240" s="15"/>
      <c r="DG240" s="15"/>
      <c r="DH240" s="15"/>
      <c r="DI240" s="15"/>
      <c r="DJ240" s="15"/>
      <c r="DK240" s="15"/>
      <c r="DL240" s="15"/>
      <c r="DM240" s="15"/>
      <c r="DN240" s="15"/>
      <c r="DO240" s="15"/>
      <c r="DP240" s="15"/>
      <c r="DQ240" s="15"/>
      <c r="DR240" s="15"/>
      <c r="DS240" s="15"/>
      <c r="DT240" s="15"/>
      <c r="DU240" s="15"/>
      <c r="DV240" s="18"/>
      <c r="EQ240" s="13"/>
      <c r="ER240" s="108"/>
      <c r="ES240" s="108"/>
      <c r="GP240" s="42"/>
      <c r="GQ240" s="42"/>
      <c r="GR240" s="14"/>
      <c r="GS240" s="15"/>
      <c r="GT240" s="15"/>
      <c r="GU240" s="15"/>
      <c r="GV240" s="15"/>
      <c r="GW240" s="15"/>
      <c r="GX240" s="15"/>
      <c r="GY240" s="15"/>
      <c r="GZ240" s="15"/>
      <c r="HA240" s="15"/>
      <c r="HB240" s="15"/>
      <c r="HC240" s="15"/>
      <c r="HD240" s="15"/>
      <c r="HE240" s="15"/>
      <c r="HF240" s="15"/>
      <c r="HG240" s="14"/>
      <c r="HH240" s="14"/>
      <c r="HI240" s="15"/>
      <c r="HJ240" s="15"/>
      <c r="HK240" s="15"/>
      <c r="HL240" s="15"/>
      <c r="HM240" s="15"/>
      <c r="HN240" s="15"/>
      <c r="HO240" s="16"/>
      <c r="HP240" s="18"/>
      <c r="HQ240" s="15"/>
      <c r="HR240" s="15"/>
      <c r="IK240" s="13"/>
      <c r="IL240" s="43" t="s">
        <v>6</v>
      </c>
      <c r="IM240" s="45"/>
    </row>
    <row r="241" spans="17:264" ht="18" customHeight="1" x14ac:dyDescent="0.25">
      <c r="Q241" s="12"/>
      <c r="S241" s="12"/>
      <c r="W241" s="128"/>
      <c r="X241" s="99"/>
      <c r="AB241" s="129"/>
      <c r="AH241" s="128"/>
      <c r="AK241" s="18"/>
      <c r="BM241" s="13"/>
      <c r="BO241" s="13"/>
      <c r="CV241" s="42"/>
      <c r="CW241" s="43"/>
      <c r="CX241" s="20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2"/>
      <c r="DV241" s="18"/>
      <c r="EQ241" s="13"/>
      <c r="ER241" s="108"/>
      <c r="ES241" s="108"/>
      <c r="GP241" s="46"/>
      <c r="GQ241" s="46"/>
      <c r="GR241" s="12"/>
      <c r="HP241" s="18"/>
      <c r="HQ241" s="10"/>
      <c r="HR241" s="10"/>
      <c r="HS241" s="11"/>
      <c r="IK241" s="13"/>
      <c r="IL241" s="43"/>
      <c r="IM241" s="45"/>
    </row>
    <row r="242" spans="17:264" ht="18" customHeight="1" x14ac:dyDescent="0.2">
      <c r="Q242" s="12"/>
      <c r="S242" s="12"/>
      <c r="AK242" s="18"/>
      <c r="BM242" s="13"/>
      <c r="BO242" s="13"/>
      <c r="CV242" s="42"/>
      <c r="CW242" s="43"/>
      <c r="CX242" s="9"/>
      <c r="CY242" s="10"/>
      <c r="CZ242" s="10"/>
      <c r="DA242" s="10"/>
      <c r="DB242" s="10"/>
      <c r="DC242" s="10"/>
      <c r="DD242" s="10"/>
      <c r="DE242" s="10"/>
      <c r="DF242" s="10"/>
      <c r="DG242" s="10"/>
      <c r="DH242" s="10"/>
      <c r="DI242" s="10"/>
      <c r="DJ242" s="10"/>
      <c r="DK242" s="10"/>
      <c r="DL242" s="10"/>
      <c r="DM242" s="10"/>
      <c r="DN242" s="10"/>
      <c r="DO242" s="10"/>
      <c r="DP242" s="10"/>
      <c r="DQ242" s="10"/>
      <c r="DR242" s="10"/>
      <c r="DS242" s="10"/>
      <c r="DT242" s="10"/>
      <c r="DU242" s="10"/>
      <c r="DV242" s="18"/>
      <c r="EQ242" s="13"/>
      <c r="ER242" s="126"/>
      <c r="ES242" s="126"/>
      <c r="GP242" s="42"/>
      <c r="GQ242" s="43"/>
      <c r="GR242" s="9"/>
      <c r="GS242" s="10"/>
      <c r="GT242" s="10"/>
      <c r="GU242" s="10"/>
      <c r="GV242" s="10"/>
      <c r="GW242" s="10"/>
      <c r="GX242" s="10"/>
      <c r="GY242" s="10"/>
      <c r="GZ242" s="10"/>
      <c r="HA242" s="10"/>
      <c r="HB242" s="10"/>
      <c r="HC242" s="10"/>
      <c r="HD242" s="10"/>
      <c r="HE242" s="10"/>
      <c r="HF242" s="10"/>
      <c r="HG242" s="10"/>
      <c r="HH242" s="10"/>
      <c r="HI242" s="10"/>
      <c r="HJ242" s="10"/>
      <c r="HK242" s="10"/>
      <c r="HL242" s="10"/>
      <c r="HM242" s="10"/>
      <c r="HN242" s="10"/>
      <c r="HO242" s="10"/>
      <c r="HP242" s="18"/>
      <c r="HS242" s="13"/>
      <c r="IK242" s="13"/>
      <c r="IL242" s="43"/>
      <c r="IM242" s="45"/>
    </row>
    <row r="243" spans="17:264" ht="18" customHeight="1" x14ac:dyDescent="0.2">
      <c r="Q243" s="12"/>
      <c r="S243" s="12"/>
      <c r="AK243" s="18"/>
      <c r="BM243" s="13"/>
      <c r="BO243" s="13"/>
      <c r="CV243" s="42"/>
      <c r="CW243" s="43"/>
      <c r="CX243" s="12"/>
      <c r="DV243" s="24"/>
      <c r="EQ243" s="13"/>
      <c r="ER243" s="43"/>
      <c r="ES243" s="45"/>
      <c r="GP243" s="42"/>
      <c r="GQ243" s="43"/>
      <c r="GR243" s="12"/>
      <c r="HP243" s="18"/>
      <c r="HQ243" s="15"/>
      <c r="HR243" s="15"/>
      <c r="HS243" s="16"/>
      <c r="IK243" s="13"/>
      <c r="IL243" s="43"/>
      <c r="IM243" s="45"/>
    </row>
    <row r="244" spans="17:264" ht="18" customHeight="1" x14ac:dyDescent="0.2">
      <c r="Q244" s="12"/>
      <c r="S244" s="12"/>
      <c r="AK244" s="18"/>
      <c r="BM244" s="13"/>
      <c r="BO244" s="13"/>
      <c r="CV244" s="42"/>
      <c r="CW244" s="43"/>
      <c r="CX244" s="12"/>
      <c r="DV244" s="24"/>
      <c r="EN244" s="9"/>
      <c r="EO244" s="10"/>
      <c r="EP244" s="10"/>
      <c r="EQ244" s="11"/>
      <c r="ER244" s="43"/>
      <c r="ES244" s="45"/>
      <c r="GP244" s="42"/>
      <c r="GQ244" s="43"/>
      <c r="GR244" s="12"/>
      <c r="HP244" s="18"/>
      <c r="HQ244" s="10"/>
      <c r="HR244" s="10"/>
      <c r="HS244" s="10"/>
      <c r="HT244" s="10"/>
      <c r="HU244" s="10"/>
      <c r="HV244" s="11"/>
      <c r="IK244" s="13"/>
      <c r="IL244" s="43"/>
      <c r="IM244" s="45"/>
      <c r="IN244" s="20"/>
      <c r="IO244" s="21"/>
      <c r="IP244" s="21"/>
      <c r="IQ244" s="21"/>
      <c r="IR244" s="21"/>
      <c r="IS244" s="21"/>
      <c r="IT244" s="21"/>
      <c r="IU244" s="21"/>
      <c r="IV244" s="21"/>
      <c r="IW244" s="21"/>
      <c r="IX244" s="21"/>
      <c r="IY244" s="21"/>
      <c r="IZ244" s="21"/>
      <c r="JA244" s="21"/>
      <c r="JB244" s="21"/>
      <c r="JC244" s="21"/>
      <c r="JD244" s="11"/>
    </row>
    <row r="245" spans="17:264" ht="18" customHeight="1" x14ac:dyDescent="0.2">
      <c r="Q245" s="12"/>
      <c r="S245" s="12"/>
      <c r="X245" s="129"/>
      <c r="AB245" s="129"/>
      <c r="AK245" s="18"/>
      <c r="BM245" s="13"/>
      <c r="BO245" s="13"/>
      <c r="CV245" s="42"/>
      <c r="CW245" s="43"/>
      <c r="CX245" s="12"/>
      <c r="DV245" s="24"/>
      <c r="EN245" s="12"/>
      <c r="EQ245" s="13"/>
      <c r="ER245" s="43"/>
      <c r="ES245" s="45"/>
      <c r="GP245" s="42"/>
      <c r="GQ245" s="43"/>
      <c r="GR245" s="12"/>
      <c r="HP245" s="18"/>
      <c r="HQ245" s="10"/>
      <c r="HR245" s="11"/>
      <c r="HS245" s="10"/>
      <c r="HT245" s="10"/>
      <c r="HU245" s="10"/>
      <c r="HV245" s="11"/>
      <c r="IK245" s="13"/>
      <c r="IL245" s="43"/>
      <c r="IM245" s="45"/>
      <c r="JC245" s="13"/>
      <c r="JD245" s="13"/>
    </row>
    <row r="246" spans="17:264" ht="18" customHeight="1" x14ac:dyDescent="0.2">
      <c r="Q246" s="12"/>
      <c r="S246" s="12"/>
      <c r="T246" s="128"/>
      <c r="X246" s="129"/>
      <c r="AB246" s="129"/>
      <c r="AK246" s="18"/>
      <c r="BM246" s="13"/>
      <c r="BO246" s="13"/>
      <c r="CV246" s="42"/>
      <c r="CW246" s="43"/>
      <c r="CX246" s="12"/>
      <c r="DV246" s="24"/>
      <c r="EH246" s="9"/>
      <c r="EI246" s="10"/>
      <c r="EJ246" s="10"/>
      <c r="EK246" s="11"/>
      <c r="EN246" s="12"/>
      <c r="EQ246" s="13"/>
      <c r="ER246" s="43"/>
      <c r="ES246" s="45"/>
      <c r="GP246" s="42"/>
      <c r="GQ246" s="43"/>
      <c r="GR246" s="12"/>
      <c r="HP246" s="18"/>
      <c r="HR246" s="13"/>
      <c r="HV246" s="13"/>
      <c r="IK246" s="13"/>
      <c r="IL246" s="43"/>
      <c r="IM246" s="45"/>
      <c r="JC246" s="13"/>
      <c r="JD246" s="13"/>
    </row>
    <row r="247" spans="17:264" ht="18" customHeight="1" x14ac:dyDescent="0.2">
      <c r="Q247" s="12"/>
      <c r="S247" s="12"/>
      <c r="AK247" s="18"/>
      <c r="BM247" s="13"/>
      <c r="BO247" s="13"/>
      <c r="CV247" s="42"/>
      <c r="CW247" s="43"/>
      <c r="CX247" s="12"/>
      <c r="DV247" s="24"/>
      <c r="EH247" s="12"/>
      <c r="EK247" s="13"/>
      <c r="EN247" s="12"/>
      <c r="EQ247" s="13"/>
      <c r="ER247" s="43"/>
      <c r="ES247" s="45"/>
      <c r="GP247" s="42"/>
      <c r="GQ247" s="43"/>
      <c r="GR247" s="12"/>
      <c r="HP247" s="18"/>
      <c r="HR247" s="13"/>
      <c r="HV247" s="13"/>
      <c r="IK247" s="13"/>
      <c r="IL247" s="43"/>
      <c r="IM247" s="45"/>
      <c r="JC247" s="13"/>
      <c r="JD247" s="13"/>
    </row>
    <row r="248" spans="17:264" ht="18" customHeight="1" x14ac:dyDescent="0.2">
      <c r="Q248" s="12"/>
      <c r="S248" s="12"/>
      <c r="AK248" s="18"/>
      <c r="BM248" s="13"/>
      <c r="BO248" s="13"/>
      <c r="CV248" s="42"/>
      <c r="CW248" s="43"/>
      <c r="CX248" s="12"/>
      <c r="DV248" s="18"/>
      <c r="EH248" s="12"/>
      <c r="EK248" s="13"/>
      <c r="EN248" s="12"/>
      <c r="EQ248" s="13"/>
      <c r="ER248" s="43"/>
      <c r="ES248" s="45"/>
      <c r="GP248" s="42"/>
      <c r="GQ248" s="43"/>
      <c r="GR248" s="12"/>
      <c r="HP248" s="18"/>
      <c r="HR248" s="13"/>
      <c r="HV248" s="13"/>
      <c r="IK248" s="13"/>
      <c r="IL248" s="43"/>
      <c r="IM248" s="45"/>
      <c r="JC248" s="13"/>
      <c r="JD248" s="13"/>
    </row>
    <row r="249" spans="17:264" ht="18" customHeight="1" x14ac:dyDescent="0.2">
      <c r="Q249" s="12"/>
      <c r="S249" s="12"/>
      <c r="AK249" s="18"/>
      <c r="BM249" s="13"/>
      <c r="BO249" s="13"/>
      <c r="CV249" s="42"/>
      <c r="CW249" s="43"/>
      <c r="CX249" s="12"/>
      <c r="DV249" s="18"/>
      <c r="EH249" s="14"/>
      <c r="EI249" s="15"/>
      <c r="EJ249" s="15"/>
      <c r="EK249" s="16"/>
      <c r="EN249" s="12"/>
      <c r="EQ249" s="13"/>
      <c r="ER249" s="43"/>
      <c r="ES249" s="45"/>
      <c r="GP249" s="42"/>
      <c r="GQ249" s="43"/>
      <c r="GR249" s="12"/>
      <c r="HP249" s="18"/>
      <c r="HR249" s="13"/>
      <c r="HS249" s="15"/>
      <c r="HT249" s="15"/>
      <c r="HU249" s="15"/>
      <c r="HV249" s="16"/>
      <c r="IK249" s="13"/>
      <c r="IL249" s="43"/>
      <c r="IM249" s="45"/>
      <c r="JC249" s="13"/>
      <c r="JD249" s="13"/>
    </row>
    <row r="250" spans="17:264" ht="18" customHeight="1" x14ac:dyDescent="0.2">
      <c r="Q250" s="12"/>
      <c r="S250" s="20"/>
      <c r="T250" s="130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18"/>
      <c r="BM250" s="13"/>
      <c r="BO250" s="13"/>
      <c r="CV250" s="42"/>
      <c r="CW250" s="43"/>
      <c r="CX250" s="12"/>
      <c r="DV250" s="18"/>
      <c r="EN250" s="12"/>
      <c r="EQ250" s="13"/>
      <c r="ER250" s="43"/>
      <c r="ES250" s="45"/>
      <c r="GP250" s="42"/>
      <c r="GQ250" s="43"/>
      <c r="GR250" s="12"/>
      <c r="HP250" s="18"/>
      <c r="HR250" s="13"/>
      <c r="HS250" s="10"/>
      <c r="HT250" s="10"/>
      <c r="HU250" s="10"/>
      <c r="HV250" s="11"/>
      <c r="IK250" s="13"/>
      <c r="IL250" s="43"/>
      <c r="IM250" s="45"/>
      <c r="JC250" s="13"/>
      <c r="JD250" s="13"/>
    </row>
    <row r="251" spans="17:264" ht="18" customHeight="1" x14ac:dyDescent="0.2">
      <c r="Q251" s="12"/>
      <c r="S251" s="12"/>
      <c r="T251" s="128"/>
      <c r="X251" s="129"/>
      <c r="AB251" s="129"/>
      <c r="AK251" s="18"/>
      <c r="BM251" s="13"/>
      <c r="BO251" s="13"/>
      <c r="CV251" s="42"/>
      <c r="CW251" s="43"/>
      <c r="CX251" s="12"/>
      <c r="DS251" s="9"/>
      <c r="DT251" s="10"/>
      <c r="DU251" s="11"/>
      <c r="DV251" s="18"/>
      <c r="DW251" s="9"/>
      <c r="DX251" s="10"/>
      <c r="DY251" s="11"/>
      <c r="EN251" s="14"/>
      <c r="EO251" s="15"/>
      <c r="EP251" s="15"/>
      <c r="EQ251" s="16"/>
      <c r="ER251" s="43"/>
      <c r="ES251" s="45"/>
      <c r="GP251" s="42"/>
      <c r="GQ251" s="43"/>
      <c r="GR251" s="12"/>
      <c r="HP251" s="18"/>
      <c r="HR251" s="13"/>
      <c r="HV251" s="13"/>
      <c r="IK251" s="13"/>
      <c r="IL251" s="43"/>
      <c r="IM251" s="45"/>
      <c r="JC251" s="13"/>
      <c r="JD251" s="13"/>
    </row>
    <row r="252" spans="17:264" ht="18" customHeight="1" x14ac:dyDescent="0.2">
      <c r="Q252" s="12"/>
      <c r="S252" s="12"/>
      <c r="AK252" s="24"/>
      <c r="BM252" s="13"/>
      <c r="BO252" s="13"/>
      <c r="CV252" s="42"/>
      <c r="CW252" s="43"/>
      <c r="CX252" s="12"/>
      <c r="DS252" s="12"/>
      <c r="DU252" s="13"/>
      <c r="DV252" s="18"/>
      <c r="DW252" s="12"/>
      <c r="DY252" s="13"/>
      <c r="EO252" s="9"/>
      <c r="EP252" s="10"/>
      <c r="EQ252" s="11"/>
      <c r="ER252" s="43"/>
      <c r="ES252" s="45"/>
      <c r="GP252" s="42"/>
      <c r="GQ252" s="43"/>
      <c r="GR252" s="12"/>
      <c r="HP252" s="18"/>
      <c r="HR252" s="13"/>
      <c r="HV252" s="13"/>
      <c r="IK252" s="13"/>
      <c r="IL252" s="43"/>
      <c r="IM252" s="45"/>
      <c r="JC252" s="13"/>
      <c r="JD252" s="13"/>
    </row>
    <row r="253" spans="17:264" ht="18" customHeight="1" x14ac:dyDescent="0.2">
      <c r="Q253" s="12"/>
      <c r="S253" s="12"/>
      <c r="AK253" s="24"/>
      <c r="BM253" s="13"/>
      <c r="BO253" s="13"/>
      <c r="CV253" s="42"/>
      <c r="CW253" s="43"/>
      <c r="CX253" s="12"/>
      <c r="DS253" s="12"/>
      <c r="DU253" s="13"/>
      <c r="DV253" s="18"/>
      <c r="DW253" s="14"/>
      <c r="DX253" s="15"/>
      <c r="DY253" s="16"/>
      <c r="EO253" s="12"/>
      <c r="EQ253" s="13"/>
      <c r="ER253" s="43"/>
      <c r="ES253" s="45"/>
      <c r="GP253" s="42"/>
      <c r="GQ253" s="43"/>
      <c r="GR253" s="12"/>
      <c r="HP253" s="18"/>
      <c r="HR253" s="13"/>
      <c r="HV253" s="13"/>
      <c r="IK253" s="13"/>
      <c r="IL253" s="43"/>
      <c r="IM253" s="45"/>
      <c r="JC253" s="13"/>
      <c r="JD253" s="13"/>
    </row>
    <row r="254" spans="17:264" ht="18" customHeight="1" x14ac:dyDescent="0.2">
      <c r="Q254" s="12"/>
      <c r="S254" s="12"/>
      <c r="AK254" s="24"/>
      <c r="BM254" s="13"/>
      <c r="BO254" s="13"/>
      <c r="CV254" s="42"/>
      <c r="CW254" s="43"/>
      <c r="CX254" s="12"/>
      <c r="DS254" s="12"/>
      <c r="DU254" s="13"/>
      <c r="DV254" s="18"/>
      <c r="DW254" s="9"/>
      <c r="DX254" s="10"/>
      <c r="DY254" s="10"/>
      <c r="DZ254" s="10"/>
      <c r="EA254" s="10"/>
      <c r="EB254" s="11"/>
      <c r="EO254" s="12"/>
      <c r="EQ254" s="13"/>
      <c r="ER254" s="43"/>
      <c r="ES254" s="45"/>
      <c r="GP254" s="42"/>
      <c r="GQ254" s="43"/>
      <c r="GR254" s="12"/>
      <c r="HP254" s="18"/>
      <c r="HQ254" s="15"/>
      <c r="HR254" s="16"/>
      <c r="HS254" s="15"/>
      <c r="HT254" s="15"/>
      <c r="HU254" s="15"/>
      <c r="HV254" s="16"/>
      <c r="IK254" s="13"/>
      <c r="IL254" s="43"/>
      <c r="IM254" s="45"/>
      <c r="JC254" s="13"/>
      <c r="JD254" s="13"/>
    </row>
    <row r="255" spans="17:264" ht="18" customHeight="1" x14ac:dyDescent="0.2">
      <c r="Q255" s="12"/>
      <c r="S255" s="12"/>
      <c r="T255" s="128"/>
      <c r="AK255" s="24"/>
      <c r="BM255" s="13"/>
      <c r="BO255" s="13"/>
      <c r="CV255" s="42"/>
      <c r="CW255" s="43"/>
      <c r="CX255" s="12"/>
      <c r="DS255" s="12"/>
      <c r="DU255" s="13"/>
      <c r="DV255" s="18"/>
      <c r="DW255" s="9"/>
      <c r="DX255" s="11"/>
      <c r="DY255" s="10"/>
      <c r="DZ255" s="10"/>
      <c r="EA255" s="10"/>
      <c r="EB255" s="11"/>
      <c r="EO255" s="14"/>
      <c r="EP255" s="15"/>
      <c r="EQ255" s="16"/>
      <c r="ER255" s="43"/>
      <c r="ES255" s="45"/>
      <c r="GP255" s="42"/>
      <c r="GQ255" s="43"/>
      <c r="GR255" s="12"/>
      <c r="HP255" s="18"/>
      <c r="HQ255" s="15"/>
      <c r="HR255" s="15"/>
      <c r="HS255" s="15"/>
      <c r="HT255" s="15"/>
      <c r="HU255" s="15"/>
      <c r="HV255" s="16"/>
      <c r="IK255" s="13"/>
      <c r="IL255" s="43"/>
      <c r="IM255" s="45"/>
      <c r="JC255" s="13"/>
      <c r="JD255" s="13"/>
    </row>
    <row r="256" spans="17:264" ht="18" customHeight="1" x14ac:dyDescent="0.2">
      <c r="Q256" s="12"/>
      <c r="S256" s="12"/>
      <c r="AK256" s="24"/>
      <c r="BM256" s="13"/>
      <c r="BO256" s="13"/>
      <c r="CV256" s="42"/>
      <c r="CW256" s="43"/>
      <c r="CX256" s="12"/>
      <c r="DS256" s="12"/>
      <c r="DU256" s="13"/>
      <c r="DV256" s="12"/>
      <c r="DW256" s="12"/>
      <c r="DX256" s="13"/>
      <c r="EB256" s="13"/>
      <c r="EO256" s="9"/>
      <c r="EP256" s="10"/>
      <c r="EQ256" s="11"/>
      <c r="ER256" s="43"/>
      <c r="ES256" s="45"/>
      <c r="GP256" s="42"/>
      <c r="GQ256" s="43"/>
      <c r="GR256" s="12"/>
      <c r="HP256" s="18"/>
      <c r="HQ256" s="9"/>
      <c r="HR256" s="10"/>
      <c r="HS256" s="11"/>
      <c r="IK256" s="13"/>
      <c r="IL256" s="43"/>
      <c r="IM256" s="45"/>
      <c r="JC256" s="13"/>
      <c r="JD256" s="13"/>
    </row>
    <row r="257" spans="17:264" ht="18" customHeight="1" x14ac:dyDescent="0.2">
      <c r="Q257" s="12"/>
      <c r="S257" s="12"/>
      <c r="AK257" s="18"/>
      <c r="BM257" s="13"/>
      <c r="BO257" s="13"/>
      <c r="CV257" s="42"/>
      <c r="CW257" s="43"/>
      <c r="CX257" s="12"/>
      <c r="DS257" s="12"/>
      <c r="DU257" s="13"/>
      <c r="DV257" s="12"/>
      <c r="DW257" s="12"/>
      <c r="DX257" s="13"/>
      <c r="EB257" s="13"/>
      <c r="EO257" s="12"/>
      <c r="EQ257" s="17"/>
      <c r="ER257" s="43"/>
      <c r="ES257" s="45"/>
      <c r="GP257" s="42"/>
      <c r="GQ257" s="43"/>
      <c r="GR257" s="14"/>
      <c r="GS257" s="15"/>
      <c r="GT257" s="15"/>
      <c r="GU257" s="15"/>
      <c r="GV257" s="15"/>
      <c r="GW257" s="15"/>
      <c r="GX257" s="15"/>
      <c r="GY257" s="15"/>
      <c r="GZ257" s="15"/>
      <c r="HA257" s="15"/>
      <c r="HB257" s="15"/>
      <c r="HC257" s="15"/>
      <c r="HD257" s="15"/>
      <c r="HE257" s="15"/>
      <c r="HF257" s="15"/>
      <c r="HG257" s="15"/>
      <c r="HH257" s="15"/>
      <c r="HI257" s="15"/>
      <c r="HJ257" s="15"/>
      <c r="HK257" s="15"/>
      <c r="HL257" s="15"/>
      <c r="HM257" s="15"/>
      <c r="HN257" s="15"/>
      <c r="HO257" s="15"/>
      <c r="HP257" s="18"/>
      <c r="HQ257" s="12"/>
      <c r="HS257" s="13"/>
      <c r="IK257" s="13"/>
      <c r="IL257" s="43"/>
      <c r="IM257" s="45"/>
      <c r="JC257" s="13"/>
      <c r="JD257" s="13"/>
    </row>
    <row r="258" spans="17:264" ht="18" customHeight="1" x14ac:dyDescent="0.25">
      <c r="Q258" s="12"/>
      <c r="S258" s="12"/>
      <c r="W258" s="128"/>
      <c r="X258" s="99"/>
      <c r="AB258" s="129"/>
      <c r="AK258" s="18"/>
      <c r="BM258" s="13"/>
      <c r="BO258" s="13"/>
      <c r="CV258" s="42"/>
      <c r="CW258" s="43"/>
      <c r="CX258" s="12"/>
      <c r="DS258" s="12"/>
      <c r="DU258" s="13"/>
      <c r="DV258" s="12"/>
      <c r="DW258" s="12"/>
      <c r="DX258" s="13"/>
      <c r="EB258" s="13"/>
      <c r="EO258" s="12"/>
      <c r="EQ258" s="18"/>
      <c r="ER258" s="43"/>
      <c r="ES258" s="45"/>
      <c r="GP258" s="42"/>
      <c r="GQ258" s="43"/>
      <c r="GR258" s="12"/>
      <c r="HP258" s="18"/>
      <c r="HQ258" s="14"/>
      <c r="HR258" s="15"/>
      <c r="HS258" s="16"/>
      <c r="IK258" s="13"/>
      <c r="IL258" s="43"/>
      <c r="IM258" s="45"/>
      <c r="JC258" s="13"/>
      <c r="JD258" s="13"/>
    </row>
    <row r="259" spans="17:264" ht="18" customHeight="1" x14ac:dyDescent="0.2">
      <c r="Q259" s="12"/>
      <c r="S259" s="12"/>
      <c r="AK259" s="18"/>
      <c r="BM259" s="13"/>
      <c r="BO259" s="13"/>
      <c r="CV259" s="42"/>
      <c r="CW259" s="43"/>
      <c r="CX259" s="12"/>
      <c r="DS259" s="12"/>
      <c r="DU259" s="13"/>
      <c r="DV259" s="12"/>
      <c r="DW259" s="12"/>
      <c r="DX259" s="13"/>
      <c r="DY259" s="15"/>
      <c r="DZ259" s="15"/>
      <c r="EA259" s="15"/>
      <c r="EB259" s="16"/>
      <c r="EO259" s="12"/>
      <c r="EQ259" s="18"/>
      <c r="ER259" s="43"/>
      <c r="ES259" s="45"/>
      <c r="GP259" s="42"/>
      <c r="GQ259" s="43"/>
      <c r="GR259" s="9"/>
      <c r="GS259" s="10"/>
      <c r="GT259" s="10"/>
      <c r="GU259" s="10"/>
      <c r="GV259" s="10"/>
      <c r="GW259" s="10"/>
      <c r="GX259" s="10"/>
      <c r="GY259" s="10"/>
      <c r="GZ259" s="10"/>
      <c r="HA259" s="10"/>
      <c r="HB259" s="10"/>
      <c r="HC259" s="10"/>
      <c r="HD259" s="10"/>
      <c r="HE259" s="10"/>
      <c r="HF259" s="10"/>
      <c r="HG259" s="10"/>
      <c r="HH259" s="10"/>
      <c r="HI259" s="10"/>
      <c r="HJ259" s="10"/>
      <c r="HK259" s="10"/>
      <c r="HL259" s="10"/>
      <c r="HM259" s="10"/>
      <c r="HN259" s="10"/>
      <c r="HO259" s="10"/>
      <c r="HP259" s="18"/>
      <c r="IK259" s="13"/>
      <c r="IL259" s="43"/>
      <c r="IM259" s="45"/>
      <c r="JC259" s="13"/>
      <c r="JD259" s="13"/>
    </row>
    <row r="260" spans="17:264" ht="18" customHeight="1" x14ac:dyDescent="0.2">
      <c r="Q260" s="12"/>
      <c r="S260" s="14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8"/>
      <c r="BM260" s="13"/>
      <c r="BO260" s="13"/>
      <c r="CV260" s="42"/>
      <c r="CW260" s="43"/>
      <c r="CX260" s="12"/>
      <c r="DS260" s="14"/>
      <c r="DT260" s="15"/>
      <c r="DU260" s="16"/>
      <c r="DV260" s="12"/>
      <c r="DW260" s="12"/>
      <c r="DX260" s="13"/>
      <c r="DY260" s="10"/>
      <c r="DZ260" s="10"/>
      <c r="EA260" s="10"/>
      <c r="EB260" s="11"/>
      <c r="EO260" s="12"/>
      <c r="EQ260" s="18"/>
      <c r="ER260" s="43"/>
      <c r="ES260" s="45"/>
      <c r="GP260" s="42"/>
      <c r="GQ260" s="43"/>
      <c r="GR260" s="12"/>
      <c r="HP260" s="18"/>
      <c r="IK260" s="13"/>
      <c r="IL260" s="43"/>
      <c r="IM260" s="45"/>
      <c r="JC260" s="13"/>
      <c r="JD260" s="13"/>
    </row>
    <row r="261" spans="17:264" ht="18" customHeight="1" x14ac:dyDescent="0.2">
      <c r="Q261" s="12"/>
      <c r="S261" s="12"/>
      <c r="AD261" s="10"/>
      <c r="AF261" s="10"/>
      <c r="AK261" s="18"/>
      <c r="BM261" s="13"/>
      <c r="BO261" s="13"/>
      <c r="CV261" s="42"/>
      <c r="CW261" s="43"/>
      <c r="CX261" s="14"/>
      <c r="CY261" s="15"/>
      <c r="CZ261" s="15"/>
      <c r="DA261" s="15"/>
      <c r="DB261" s="15"/>
      <c r="DC261" s="15"/>
      <c r="DD261" s="15"/>
      <c r="DE261" s="15"/>
      <c r="DF261" s="15"/>
      <c r="DG261" s="15"/>
      <c r="DH261" s="15"/>
      <c r="DI261" s="15"/>
      <c r="DJ261" s="15"/>
      <c r="DK261" s="15"/>
      <c r="DL261" s="15"/>
      <c r="DM261" s="15"/>
      <c r="DN261" s="15"/>
      <c r="DO261" s="15"/>
      <c r="DP261" s="15"/>
      <c r="DQ261" s="15"/>
      <c r="DR261" s="15"/>
      <c r="DS261" s="15"/>
      <c r="DT261" s="15"/>
      <c r="DU261" s="15"/>
      <c r="DV261" s="12"/>
      <c r="DW261" s="12"/>
      <c r="DX261" s="13"/>
      <c r="EB261" s="13"/>
      <c r="EO261" s="12"/>
      <c r="EQ261" s="18"/>
      <c r="ER261" s="43"/>
      <c r="ES261" s="45"/>
      <c r="GP261" s="42"/>
      <c r="GQ261" s="43"/>
      <c r="GR261" s="12"/>
      <c r="HP261" s="18"/>
      <c r="IK261" s="13"/>
      <c r="IL261" s="43"/>
      <c r="IM261" s="45"/>
      <c r="JC261" s="13"/>
      <c r="JD261" s="13"/>
    </row>
    <row r="262" spans="17:264" ht="18" customHeight="1" x14ac:dyDescent="0.2">
      <c r="Q262" s="12"/>
      <c r="S262" s="9"/>
      <c r="T262" s="10"/>
      <c r="U262" s="10"/>
      <c r="V262" s="11"/>
      <c r="W262" s="10"/>
      <c r="X262" s="10"/>
      <c r="Y262" s="10"/>
      <c r="Z262" s="10"/>
      <c r="AA262" s="10"/>
      <c r="AB262" s="10"/>
      <c r="AC262" s="9"/>
      <c r="AD262" s="10"/>
      <c r="AE262" s="10"/>
      <c r="AF262" s="11"/>
      <c r="AG262" s="10"/>
      <c r="AH262" s="10"/>
      <c r="AI262" s="10"/>
      <c r="AJ262" s="10"/>
      <c r="AK262" s="18"/>
      <c r="BM262" s="13"/>
      <c r="BO262" s="13"/>
      <c r="CI262" s="9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1"/>
      <c r="CV262" s="42"/>
      <c r="CW262" s="43"/>
      <c r="CX262" s="12"/>
      <c r="DI262" s="21"/>
      <c r="DK262" s="21"/>
      <c r="DU262" s="21"/>
      <c r="DV262" s="12"/>
      <c r="DW262" s="12"/>
      <c r="DX262" s="13"/>
      <c r="EB262" s="13"/>
      <c r="EO262" s="12"/>
      <c r="EQ262" s="19"/>
      <c r="ER262" s="43"/>
      <c r="ES262" s="45"/>
      <c r="ET262" s="9"/>
      <c r="EU262" s="10"/>
      <c r="EV262" s="10"/>
      <c r="EW262" s="10"/>
      <c r="EX262" s="10"/>
      <c r="EY262" s="10"/>
      <c r="EZ262" s="10"/>
      <c r="FA262" s="10"/>
      <c r="FB262" s="10"/>
      <c r="FC262" s="10"/>
      <c r="FD262" s="10"/>
      <c r="FE262" s="10"/>
      <c r="FF262" s="11"/>
      <c r="GP262" s="42"/>
      <c r="GQ262" s="43"/>
      <c r="GR262" s="12"/>
      <c r="HP262" s="19"/>
      <c r="IK262" s="13"/>
      <c r="IL262" s="43"/>
      <c r="IM262" s="45"/>
      <c r="JC262" s="13"/>
      <c r="JD262" s="13"/>
    </row>
    <row r="263" spans="17:264" ht="18" customHeight="1" x14ac:dyDescent="0.25">
      <c r="Q263" s="12"/>
      <c r="S263" s="12"/>
      <c r="V263" s="13"/>
      <c r="W263" s="128"/>
      <c r="X263" s="99"/>
      <c r="AB263" s="129"/>
      <c r="AC263" s="12"/>
      <c r="AF263" s="13"/>
      <c r="AH263" s="128"/>
      <c r="AK263" s="18"/>
      <c r="BM263" s="13"/>
      <c r="BO263" s="13"/>
      <c r="CI263" s="12"/>
      <c r="CJ263" s="9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1"/>
      <c r="CV263" s="42"/>
      <c r="CW263" s="43"/>
      <c r="CX263" s="9"/>
      <c r="CY263" s="10"/>
      <c r="CZ263" s="10"/>
      <c r="DA263" s="11"/>
      <c r="DB263" s="10"/>
      <c r="DC263" s="10"/>
      <c r="DD263" s="10"/>
      <c r="DE263" s="10"/>
      <c r="DF263" s="9"/>
      <c r="DG263" s="10"/>
      <c r="DH263" s="10"/>
      <c r="DI263" s="11"/>
      <c r="DJ263" s="85"/>
      <c r="DK263" s="74"/>
      <c r="DL263" s="75"/>
      <c r="DM263" s="85"/>
      <c r="DN263" s="9"/>
      <c r="DO263" s="10"/>
      <c r="DP263" s="10"/>
      <c r="DQ263" s="11"/>
      <c r="DR263" s="141"/>
      <c r="DS263" s="141"/>
      <c r="DT263" s="141"/>
      <c r="DU263" s="141"/>
      <c r="DV263" s="12"/>
      <c r="DW263" s="12"/>
      <c r="DX263" s="13"/>
      <c r="EB263" s="13"/>
      <c r="EO263" s="14"/>
      <c r="EP263" s="15"/>
      <c r="EQ263" s="16"/>
      <c r="ER263" s="43"/>
      <c r="ES263" s="45"/>
      <c r="ET263" s="9"/>
      <c r="EU263" s="10"/>
      <c r="EV263" s="10"/>
      <c r="EW263" s="10"/>
      <c r="EX263" s="10"/>
      <c r="EY263" s="10"/>
      <c r="EZ263" s="10"/>
      <c r="FA263" s="10"/>
      <c r="FB263" s="10"/>
      <c r="FC263" s="10"/>
      <c r="FD263" s="10"/>
      <c r="FE263" s="11"/>
      <c r="FF263" s="13"/>
      <c r="GP263" s="42"/>
      <c r="GQ263" s="43"/>
      <c r="GR263" s="12"/>
      <c r="GV263" s="9"/>
      <c r="GW263" s="10"/>
      <c r="GX263" s="10"/>
      <c r="GY263" s="10"/>
      <c r="GZ263" s="10"/>
      <c r="HA263" s="10"/>
      <c r="HB263" s="10"/>
      <c r="HC263" s="10"/>
      <c r="HD263" s="10"/>
      <c r="HE263" s="10"/>
      <c r="HF263" s="10"/>
      <c r="HG263" s="10"/>
      <c r="HH263" s="10"/>
      <c r="HI263" s="10"/>
      <c r="HJ263" s="10"/>
      <c r="HK263" s="10"/>
      <c r="HL263" s="10"/>
      <c r="HM263" s="10"/>
      <c r="HN263" s="10"/>
      <c r="HO263" s="10"/>
      <c r="IK263" s="13"/>
      <c r="IL263" s="43"/>
      <c r="IM263" s="45"/>
      <c r="JC263" s="13"/>
      <c r="JD263" s="13"/>
    </row>
    <row r="264" spans="17:264" ht="18" customHeight="1" x14ac:dyDescent="0.25">
      <c r="Q264" s="12"/>
      <c r="S264" s="12"/>
      <c r="V264" s="13"/>
      <c r="AC264" s="12"/>
      <c r="AF264" s="13"/>
      <c r="AK264" s="18"/>
      <c r="BM264" s="13"/>
      <c r="BO264" s="13"/>
      <c r="CI264" s="12"/>
      <c r="CJ264" s="12"/>
      <c r="CU264" s="13"/>
      <c r="CV264" s="42"/>
      <c r="CW264" s="43"/>
      <c r="CX264" s="12"/>
      <c r="DA264" s="13"/>
      <c r="DB264" s="128"/>
      <c r="DC264" s="99"/>
      <c r="DF264" s="12"/>
      <c r="DG264" s="129"/>
      <c r="DI264" s="13"/>
      <c r="DJ264" s="87"/>
      <c r="DK264" s="138"/>
      <c r="DL264" s="88"/>
      <c r="DM264" s="88"/>
      <c r="DO264" s="32"/>
      <c r="DP264" s="32"/>
      <c r="DQ264" s="13"/>
      <c r="DR264" s="49"/>
      <c r="DS264" s="142"/>
      <c r="DT264" s="49"/>
      <c r="DU264" s="49"/>
      <c r="DV264" s="18"/>
      <c r="DW264" s="14"/>
      <c r="DX264" s="16"/>
      <c r="DY264" s="15"/>
      <c r="DZ264" s="15"/>
      <c r="EA264" s="15"/>
      <c r="EB264" s="16"/>
      <c r="EQ264" s="13"/>
      <c r="ER264" s="43"/>
      <c r="ES264" s="45"/>
      <c r="ET264" s="12"/>
      <c r="FE264" s="13"/>
      <c r="FF264" s="13"/>
      <c r="GP264" s="40"/>
      <c r="GQ264" s="40"/>
      <c r="GR264" s="12"/>
      <c r="GV264" s="12"/>
      <c r="IK264" s="13"/>
      <c r="IL264" s="43"/>
      <c r="IM264" s="45"/>
      <c r="JC264" s="13"/>
      <c r="JD264" s="13"/>
    </row>
    <row r="265" spans="17:264" ht="18" customHeight="1" x14ac:dyDescent="0.2">
      <c r="Q265" s="12"/>
      <c r="S265" s="14"/>
      <c r="T265" s="15"/>
      <c r="U265" s="15"/>
      <c r="V265" s="16"/>
      <c r="AC265" s="14"/>
      <c r="AD265" s="15"/>
      <c r="AE265" s="15"/>
      <c r="AF265" s="16"/>
      <c r="AK265" s="18"/>
      <c r="BM265" s="13"/>
      <c r="BO265" s="13"/>
      <c r="CI265" s="12"/>
      <c r="CJ265" s="12"/>
      <c r="CU265" s="13"/>
      <c r="CV265" s="42"/>
      <c r="CW265" s="43"/>
      <c r="CX265" s="12"/>
      <c r="DA265" s="13"/>
      <c r="DF265" s="20"/>
      <c r="DG265" s="21"/>
      <c r="DH265" s="21"/>
      <c r="DI265" s="22"/>
      <c r="DJ265" s="87"/>
      <c r="DK265" s="86"/>
      <c r="DL265" s="88"/>
      <c r="DM265" s="88"/>
      <c r="DO265" s="32"/>
      <c r="DP265" s="32"/>
      <c r="DQ265" s="13"/>
      <c r="DR265" s="49"/>
      <c r="DS265" s="49"/>
      <c r="DT265" s="49"/>
      <c r="DU265" s="49"/>
      <c r="DV265" s="18"/>
      <c r="DW265" s="14"/>
      <c r="DX265" s="15"/>
      <c r="DY265" s="15"/>
      <c r="DZ265" s="15"/>
      <c r="EA265" s="15"/>
      <c r="EB265" s="16"/>
      <c r="EQ265" s="13"/>
      <c r="ER265" s="43"/>
      <c r="ES265" s="45"/>
      <c r="ET265" s="12"/>
      <c r="FE265" s="13"/>
      <c r="FF265" s="13"/>
      <c r="GP265" s="42"/>
      <c r="GQ265" s="42"/>
      <c r="GR265" s="12"/>
      <c r="GV265" s="12"/>
      <c r="IK265" s="13"/>
      <c r="IL265" s="43"/>
      <c r="IM265" s="45"/>
      <c r="JC265" s="13"/>
      <c r="JD265" s="13"/>
    </row>
    <row r="266" spans="17:264" ht="18" customHeight="1" x14ac:dyDescent="0.2">
      <c r="Q266" s="12"/>
      <c r="S266" s="12"/>
      <c r="W266" s="9"/>
      <c r="X266" s="10"/>
      <c r="Y266" s="10"/>
      <c r="Z266" s="10"/>
      <c r="AA266" s="10"/>
      <c r="AB266" s="10"/>
      <c r="AC266" s="10"/>
      <c r="AD266" s="10"/>
      <c r="AE266" s="10"/>
      <c r="AF266" s="11"/>
      <c r="AG266" s="9"/>
      <c r="AH266" s="10"/>
      <c r="AI266" s="10"/>
      <c r="AJ266" s="11"/>
      <c r="AK266" s="18"/>
      <c r="BM266" s="13"/>
      <c r="BO266" s="13"/>
      <c r="CI266" s="12"/>
      <c r="CJ266" s="12"/>
      <c r="CU266" s="13"/>
      <c r="CV266" s="42"/>
      <c r="CW266" s="43"/>
      <c r="CX266" s="14"/>
      <c r="CY266" s="15"/>
      <c r="CZ266" s="15"/>
      <c r="DA266" s="16"/>
      <c r="DF266" s="14"/>
      <c r="DG266" s="15"/>
      <c r="DH266" s="15"/>
      <c r="DI266" s="16"/>
      <c r="DJ266" s="87"/>
      <c r="DK266" s="76"/>
      <c r="DL266" s="77"/>
      <c r="DM266" s="87"/>
      <c r="DN266" s="14"/>
      <c r="DO266" s="15"/>
      <c r="DP266" s="15"/>
      <c r="DQ266" s="16"/>
      <c r="DR266" s="49"/>
      <c r="DS266" s="49"/>
      <c r="DT266" s="49"/>
      <c r="DU266" s="49"/>
      <c r="DV266" s="18"/>
      <c r="DW266" s="9"/>
      <c r="DX266" s="10"/>
      <c r="DY266" s="11"/>
      <c r="EQ266" s="13"/>
      <c r="ER266" s="43"/>
      <c r="ES266" s="45"/>
      <c r="ET266" s="12"/>
      <c r="FE266" s="13"/>
      <c r="FF266" s="13"/>
      <c r="GP266" s="42"/>
      <c r="GQ266" s="42"/>
      <c r="GR266" s="12"/>
      <c r="GV266" s="12"/>
      <c r="IK266" s="13"/>
      <c r="IL266" s="44"/>
      <c r="IM266" s="44"/>
      <c r="JC266" s="13"/>
      <c r="JD266" s="13"/>
    </row>
    <row r="267" spans="17:264" ht="18" customHeight="1" x14ac:dyDescent="0.2">
      <c r="Q267" s="12"/>
      <c r="S267" s="12"/>
      <c r="W267" s="12"/>
      <c r="X267" s="129"/>
      <c r="AB267" s="129"/>
      <c r="AF267" s="13"/>
      <c r="AG267" s="12"/>
      <c r="AJ267" s="13"/>
      <c r="AK267" s="18"/>
      <c r="BM267" s="13"/>
      <c r="BO267" s="13"/>
      <c r="CI267" s="12"/>
      <c r="CJ267" s="12"/>
      <c r="CU267" s="13"/>
      <c r="CV267" s="42"/>
      <c r="CW267" s="43"/>
      <c r="CX267" s="9"/>
      <c r="CY267" s="10"/>
      <c r="CZ267" s="10"/>
      <c r="DA267" s="11"/>
      <c r="DB267" s="139"/>
      <c r="DC267" s="10"/>
      <c r="DD267" s="10"/>
      <c r="DE267" s="10"/>
      <c r="DF267" s="10"/>
      <c r="DG267" s="10"/>
      <c r="DH267" s="10"/>
      <c r="DI267" s="10"/>
      <c r="DJ267" s="38"/>
      <c r="DK267" s="38"/>
      <c r="DL267" s="38"/>
      <c r="DM267" s="38"/>
      <c r="DN267" s="38"/>
      <c r="DO267" s="38"/>
      <c r="DP267" s="38"/>
      <c r="DQ267" s="38"/>
      <c r="DR267" s="38"/>
      <c r="DS267" s="38"/>
      <c r="DT267" s="38"/>
      <c r="DU267" s="38"/>
      <c r="DV267" s="18"/>
      <c r="DW267" s="12"/>
      <c r="DY267" s="13"/>
      <c r="EQ267" s="13"/>
      <c r="ER267" s="43"/>
      <c r="ES267" s="45"/>
      <c r="ET267" s="12"/>
      <c r="FE267" s="13"/>
      <c r="FF267" s="13"/>
      <c r="GP267" s="42"/>
      <c r="GQ267" s="42"/>
      <c r="GR267" s="12"/>
      <c r="GV267" s="12"/>
      <c r="IK267" s="13"/>
      <c r="IL267" s="45"/>
      <c r="IM267" s="45"/>
      <c r="JC267" s="13"/>
      <c r="JD267" s="13"/>
    </row>
    <row r="268" spans="17:264" ht="18" customHeight="1" x14ac:dyDescent="0.2">
      <c r="Q268" s="12"/>
      <c r="S268" s="12"/>
      <c r="T268" s="128"/>
      <c r="W268" s="12"/>
      <c r="X268" s="129"/>
      <c r="AB268" s="129"/>
      <c r="AF268" s="13"/>
      <c r="AG268" s="12"/>
      <c r="AJ268" s="13"/>
      <c r="AK268" s="18"/>
      <c r="BM268" s="13"/>
      <c r="BO268" s="13"/>
      <c r="CI268" s="12"/>
      <c r="CJ268" s="12"/>
      <c r="CU268" s="13"/>
      <c r="CV268" s="42"/>
      <c r="CW268" s="43"/>
      <c r="CX268" s="12"/>
      <c r="DA268" s="13"/>
      <c r="DB268" s="140"/>
      <c r="DC268" s="129"/>
      <c r="DG268" s="129"/>
      <c r="DK268" s="129"/>
      <c r="DO268" s="129"/>
      <c r="DV268" s="18"/>
      <c r="DW268" s="14"/>
      <c r="DX268" s="15"/>
      <c r="DY268" s="16"/>
      <c r="EQ268" s="13"/>
      <c r="ER268" s="125"/>
      <c r="ES268" s="125"/>
      <c r="ET268" s="12"/>
      <c r="FE268" s="13"/>
      <c r="FF268" s="13"/>
      <c r="GP268" s="42"/>
      <c r="GQ268" s="42"/>
      <c r="GR268" s="12"/>
      <c r="GV268" s="12"/>
      <c r="IK268" s="13"/>
      <c r="IL268" s="45"/>
      <c r="IM268" s="45"/>
      <c r="JC268" s="13"/>
      <c r="JD268" s="13"/>
    </row>
    <row r="269" spans="17:264" ht="18" customHeight="1" x14ac:dyDescent="0.2">
      <c r="Q269" s="12"/>
      <c r="S269" s="12"/>
      <c r="W269" s="12"/>
      <c r="AF269" s="13"/>
      <c r="AG269" s="14"/>
      <c r="AH269" s="15"/>
      <c r="AI269" s="15"/>
      <c r="AJ269" s="16"/>
      <c r="AK269" s="19"/>
      <c r="BM269" s="13"/>
      <c r="BO269" s="13"/>
      <c r="CI269" s="12"/>
      <c r="CJ269" s="12"/>
      <c r="CU269" s="13"/>
      <c r="CV269" s="42"/>
      <c r="CW269" s="43"/>
      <c r="CX269" s="12"/>
      <c r="CY269" s="137"/>
      <c r="CZ269" s="97"/>
      <c r="DA269" s="13"/>
      <c r="DB269" s="140"/>
      <c r="DC269" s="129"/>
      <c r="DG269" s="129"/>
      <c r="DK269" s="129"/>
      <c r="DO269" s="129"/>
      <c r="DV269" s="18"/>
      <c r="EQ269" s="13"/>
      <c r="ER269" s="108"/>
      <c r="ES269" s="108"/>
      <c r="ET269" s="12"/>
      <c r="FE269" s="13"/>
      <c r="FF269" s="13"/>
      <c r="GP269" s="46"/>
      <c r="GQ269" s="46"/>
      <c r="GR269" s="12"/>
      <c r="GV269" s="12"/>
      <c r="IK269" s="13"/>
      <c r="IL269" s="45"/>
      <c r="IM269" s="45"/>
      <c r="JC269" s="13"/>
      <c r="JD269" s="13"/>
    </row>
    <row r="270" spans="17:264" ht="18" customHeight="1" x14ac:dyDescent="0.2">
      <c r="Q270" s="12"/>
      <c r="S270" s="9"/>
      <c r="T270" s="10"/>
      <c r="U270" s="10"/>
      <c r="V270" s="11"/>
      <c r="W270" s="12"/>
      <c r="BM270" s="13"/>
      <c r="BO270" s="13"/>
      <c r="CI270" s="12"/>
      <c r="CJ270" s="12"/>
      <c r="CU270" s="13"/>
      <c r="CV270" s="42"/>
      <c r="CW270" s="43"/>
      <c r="CX270" s="12"/>
      <c r="CY270" s="97"/>
      <c r="CZ270" s="97"/>
      <c r="DA270" s="13"/>
      <c r="DB270" s="140"/>
      <c r="DV270" s="18"/>
      <c r="EQ270" s="13"/>
      <c r="ER270" s="108"/>
      <c r="ES270" s="108"/>
      <c r="ET270" s="12"/>
      <c r="FE270" s="13"/>
      <c r="FF270" s="13"/>
      <c r="GP270" s="42"/>
      <c r="GQ270" s="43"/>
      <c r="GR270" s="12"/>
      <c r="GV270" s="14"/>
      <c r="GW270" s="15"/>
      <c r="GX270" s="15"/>
      <c r="GY270" s="15"/>
      <c r="GZ270" s="15"/>
      <c r="HA270" s="15"/>
      <c r="HB270" s="15"/>
      <c r="HC270" s="15"/>
      <c r="HD270" s="15"/>
      <c r="HE270" s="15"/>
      <c r="HF270" s="15"/>
      <c r="HG270" s="15"/>
      <c r="HH270" s="15"/>
      <c r="HI270" s="15"/>
      <c r="HJ270" s="15"/>
      <c r="HK270" s="15"/>
      <c r="HL270" s="15"/>
      <c r="HM270" s="15"/>
      <c r="HN270" s="15"/>
      <c r="HO270" s="15"/>
      <c r="IK270" s="13"/>
      <c r="IL270" s="48"/>
      <c r="IM270" s="48"/>
      <c r="JC270" s="13"/>
      <c r="JD270" s="13"/>
    </row>
    <row r="271" spans="17:264" ht="18" customHeight="1" x14ac:dyDescent="0.2">
      <c r="Q271" s="12"/>
      <c r="S271" s="12"/>
      <c r="V271" s="13"/>
      <c r="W271" s="12"/>
      <c r="BM271" s="13"/>
      <c r="BO271" s="13"/>
      <c r="CI271" s="12"/>
      <c r="CJ271" s="12"/>
      <c r="CU271" s="13"/>
      <c r="CV271" s="42"/>
      <c r="CW271" s="43"/>
      <c r="CX271" s="12"/>
      <c r="CY271" s="137"/>
      <c r="CZ271" s="97"/>
      <c r="DA271" s="13"/>
      <c r="DB271" s="140"/>
      <c r="DV271" s="24"/>
      <c r="EQ271" s="13"/>
      <c r="ER271" s="108"/>
      <c r="ES271" s="108"/>
      <c r="ET271" s="12"/>
      <c r="FE271" s="13"/>
      <c r="FF271" s="13"/>
      <c r="GP271" s="42"/>
      <c r="GQ271" s="43"/>
      <c r="GR271" s="12"/>
      <c r="HP271" s="17"/>
      <c r="IK271" s="13"/>
      <c r="IL271" s="43"/>
      <c r="IM271" s="45"/>
      <c r="JC271" s="13"/>
      <c r="JD271" s="13"/>
    </row>
    <row r="272" spans="17:264" ht="18" customHeight="1" x14ac:dyDescent="0.2">
      <c r="Q272" s="12"/>
      <c r="S272" s="12"/>
      <c r="T272" s="128"/>
      <c r="V272" s="13"/>
      <c r="W272" s="12"/>
      <c r="BM272" s="13"/>
      <c r="BO272" s="13"/>
      <c r="CI272" s="12"/>
      <c r="CJ272" s="12"/>
      <c r="CU272" s="13"/>
      <c r="CV272" s="42"/>
      <c r="CW272" s="43"/>
      <c r="CX272" s="12"/>
      <c r="CY272" s="97"/>
      <c r="CZ272" s="97"/>
      <c r="DA272" s="13"/>
      <c r="DB272" s="140"/>
      <c r="DV272" s="24"/>
      <c r="EQ272" s="13"/>
      <c r="ER272" s="108"/>
      <c r="ES272" s="108"/>
      <c r="ET272" s="12"/>
      <c r="FE272" s="13"/>
      <c r="FF272" s="13"/>
      <c r="GP272" s="42"/>
      <c r="GQ272" s="43"/>
      <c r="GR272" s="12"/>
      <c r="HP272" s="18"/>
      <c r="IK272" s="13"/>
      <c r="IL272" s="43"/>
      <c r="IM272" s="45"/>
      <c r="JC272" s="13"/>
      <c r="JD272" s="13"/>
    </row>
    <row r="273" spans="17:264" ht="18" customHeight="1" x14ac:dyDescent="0.2">
      <c r="Q273" s="12"/>
      <c r="S273" s="14"/>
      <c r="T273" s="15"/>
      <c r="U273" s="15"/>
      <c r="V273" s="16"/>
      <c r="W273" s="12"/>
      <c r="BM273" s="13"/>
      <c r="BO273" s="13"/>
      <c r="CI273" s="12"/>
      <c r="CJ273" s="12"/>
      <c r="CU273" s="13"/>
      <c r="CV273" s="42"/>
      <c r="CW273" s="43"/>
      <c r="CX273" s="12"/>
      <c r="CY273" s="128"/>
      <c r="DA273" s="13"/>
      <c r="DB273" s="140"/>
      <c r="DV273" s="24"/>
      <c r="EQ273" s="13"/>
      <c r="ER273" s="126"/>
      <c r="ES273" s="126"/>
      <c r="ET273" s="12"/>
      <c r="FE273" s="13"/>
      <c r="FF273" s="13"/>
      <c r="GP273" s="42"/>
      <c r="GQ273" s="43"/>
      <c r="GR273" s="12"/>
      <c r="HP273" s="18"/>
      <c r="IK273" s="13"/>
      <c r="IL273" s="43"/>
      <c r="IM273" s="45"/>
      <c r="JC273" s="13"/>
      <c r="JD273" s="13"/>
    </row>
    <row r="274" spans="17:264" ht="18" customHeight="1" x14ac:dyDescent="0.2">
      <c r="Q274" s="12"/>
      <c r="S274" s="12"/>
      <c r="W274" s="12"/>
      <c r="BM274" s="13"/>
      <c r="BO274" s="13"/>
      <c r="CI274" s="12"/>
      <c r="CJ274" s="12"/>
      <c r="CU274" s="13"/>
      <c r="CV274" s="42"/>
      <c r="CW274" s="43"/>
      <c r="CX274" s="14"/>
      <c r="CY274" s="15"/>
      <c r="CZ274" s="15"/>
      <c r="DA274" s="16"/>
      <c r="DB274" s="140"/>
      <c r="DV274" s="24"/>
      <c r="EQ274" s="13"/>
      <c r="ER274" s="43"/>
      <c r="ES274" s="45"/>
      <c r="ET274" s="12"/>
      <c r="FE274" s="13"/>
      <c r="FF274" s="13"/>
      <c r="GP274" s="42"/>
      <c r="GQ274" s="43"/>
      <c r="GR274" s="14"/>
      <c r="GS274" s="15"/>
      <c r="GT274" s="15"/>
      <c r="GU274" s="15"/>
      <c r="GV274" s="15"/>
      <c r="GW274" s="15"/>
      <c r="GX274" s="15"/>
      <c r="GY274" s="15"/>
      <c r="GZ274" s="15"/>
      <c r="HA274" s="15"/>
      <c r="HB274" s="15"/>
      <c r="HC274" s="15"/>
      <c r="HD274" s="15"/>
      <c r="HE274" s="15"/>
      <c r="HF274" s="15"/>
      <c r="HG274" s="15"/>
      <c r="HH274" s="15"/>
      <c r="HI274" s="15"/>
      <c r="HJ274" s="15"/>
      <c r="HK274" s="15"/>
      <c r="HL274" s="15"/>
      <c r="HM274" s="15"/>
      <c r="HN274" s="15"/>
      <c r="HO274" s="15"/>
      <c r="HP274" s="19"/>
      <c r="HQ274" s="15"/>
      <c r="HR274" s="15"/>
      <c r="HS274" s="15"/>
      <c r="HT274" s="15"/>
      <c r="HU274" s="15"/>
      <c r="HV274" s="15"/>
      <c r="HW274" s="15"/>
      <c r="HX274" s="15"/>
      <c r="HY274" s="15"/>
      <c r="HZ274" s="15"/>
      <c r="IA274" s="15"/>
      <c r="IB274" s="15"/>
      <c r="IC274" s="15"/>
      <c r="ID274" s="15"/>
      <c r="IE274" s="15"/>
      <c r="IF274" s="15"/>
      <c r="IG274" s="15"/>
      <c r="IH274" s="15"/>
      <c r="II274" s="15"/>
      <c r="IJ274" s="15"/>
      <c r="IK274" s="16"/>
      <c r="IL274" s="43"/>
      <c r="IM274" s="45"/>
      <c r="JC274" s="13"/>
      <c r="JD274" s="13"/>
    </row>
    <row r="275" spans="17:264" ht="18" customHeight="1" x14ac:dyDescent="0.25">
      <c r="Q275" s="12"/>
      <c r="S275" s="12"/>
      <c r="W275" s="132"/>
      <c r="X275" s="99"/>
      <c r="AB275" s="129"/>
      <c r="BM275" s="13"/>
      <c r="BO275" s="13"/>
      <c r="CI275" s="12"/>
      <c r="CJ275" s="12"/>
      <c r="CU275" s="13"/>
      <c r="CV275" s="42"/>
      <c r="CW275" s="43"/>
      <c r="CX275" s="9"/>
      <c r="CY275" s="10"/>
      <c r="CZ275" s="10"/>
      <c r="DA275" s="11"/>
      <c r="DB275" s="10"/>
      <c r="DC275" s="10"/>
      <c r="DD275" s="10"/>
      <c r="DE275" s="10"/>
      <c r="DF275" s="9"/>
      <c r="DG275" s="10"/>
      <c r="DH275" s="10"/>
      <c r="DI275" s="10"/>
      <c r="DJ275" s="133"/>
      <c r="DK275" s="134"/>
      <c r="DL275" s="134"/>
      <c r="DM275" s="135"/>
      <c r="DV275" s="24"/>
      <c r="EQ275" s="13"/>
      <c r="ER275" s="43"/>
      <c r="ES275" s="45"/>
      <c r="ET275" s="12"/>
      <c r="FE275" s="13"/>
      <c r="FF275" s="13"/>
      <c r="GP275" s="42"/>
      <c r="GQ275" s="43"/>
      <c r="GR275" s="43"/>
      <c r="GS275" s="43"/>
      <c r="GT275" s="43"/>
      <c r="GU275" s="43"/>
      <c r="GV275" s="46"/>
      <c r="GW275" s="47"/>
      <c r="GX275" s="47"/>
      <c r="GY275" s="47"/>
      <c r="GZ275" s="48"/>
      <c r="HA275" s="43"/>
      <c r="HB275" s="43"/>
      <c r="HC275" s="43"/>
      <c r="HD275" s="43"/>
      <c r="HE275" s="43"/>
      <c r="HF275" s="43"/>
      <c r="HG275" s="43"/>
      <c r="HH275" s="43"/>
      <c r="HI275" s="43"/>
      <c r="HJ275" s="43"/>
      <c r="HK275" s="43"/>
      <c r="HL275" s="43"/>
      <c r="HM275" s="43"/>
      <c r="HN275" s="43"/>
      <c r="HO275" s="43"/>
      <c r="HP275" s="43"/>
      <c r="HQ275" s="43"/>
      <c r="HR275" s="43"/>
      <c r="HS275" s="43"/>
      <c r="HT275" s="43"/>
      <c r="HU275" s="123"/>
      <c r="HV275" s="109"/>
      <c r="HW275" s="109"/>
      <c r="HX275" s="109"/>
      <c r="HY275" s="109"/>
      <c r="HZ275" s="124"/>
      <c r="IA275" s="43"/>
      <c r="IB275" s="43"/>
      <c r="IC275" s="43"/>
      <c r="ID275" s="43"/>
      <c r="IE275" s="70"/>
      <c r="IF275" s="92"/>
      <c r="IG275" s="92"/>
      <c r="IH275" s="92"/>
      <c r="II275" s="92"/>
      <c r="IJ275" s="71"/>
      <c r="IK275" s="43"/>
      <c r="IL275" s="43"/>
      <c r="IM275" s="45"/>
      <c r="JC275" s="13"/>
      <c r="JD275" s="13"/>
    </row>
    <row r="276" spans="17:264" ht="18" customHeight="1" x14ac:dyDescent="0.25">
      <c r="Q276" s="12"/>
      <c r="S276" s="12"/>
      <c r="W276" s="12"/>
      <c r="BM276" s="13"/>
      <c r="BO276" s="13"/>
      <c r="CI276" s="12"/>
      <c r="CJ276" s="12"/>
      <c r="CU276" s="13"/>
      <c r="CV276" s="42"/>
      <c r="CW276" s="43"/>
      <c r="CX276" s="12"/>
      <c r="DA276" s="13"/>
      <c r="DB276" s="128"/>
      <c r="DC276" s="99"/>
      <c r="DF276" s="12"/>
      <c r="DG276" s="129"/>
      <c r="DJ276" s="86"/>
      <c r="DK276" s="136"/>
      <c r="DL276" s="87"/>
      <c r="DM276" s="88"/>
      <c r="DN276" s="9"/>
      <c r="DO276" s="10"/>
      <c r="DP276" s="11"/>
      <c r="DV276" s="24"/>
      <c r="EQ276" s="13"/>
      <c r="ER276" s="43"/>
      <c r="ES276" s="45"/>
      <c r="ET276" s="12"/>
      <c r="FE276" s="13"/>
      <c r="FF276" s="13"/>
      <c r="GP276" s="46"/>
      <c r="GQ276" s="47"/>
      <c r="GR276" s="47"/>
      <c r="GS276" s="47"/>
      <c r="GT276" s="47"/>
      <c r="GU276" s="47"/>
      <c r="GV276" s="46"/>
      <c r="GW276" s="47"/>
      <c r="GX276" s="47"/>
      <c r="GY276" s="47"/>
      <c r="GZ276" s="48"/>
      <c r="HA276" s="47"/>
      <c r="HB276" s="47"/>
      <c r="HC276" s="47"/>
      <c r="HD276" s="47"/>
      <c r="HE276" s="47"/>
      <c r="HF276" s="47"/>
      <c r="HG276" s="47"/>
      <c r="HH276" s="47"/>
      <c r="HI276" s="47"/>
      <c r="HJ276" s="47"/>
      <c r="HK276" s="47"/>
      <c r="HL276" s="47"/>
      <c r="HM276" s="47"/>
      <c r="HN276" s="47"/>
      <c r="HO276" s="47"/>
      <c r="HP276" s="47"/>
      <c r="HQ276" s="47"/>
      <c r="HR276" s="47"/>
      <c r="HS276" s="47"/>
      <c r="HT276" s="47"/>
      <c r="HU276" s="46"/>
      <c r="HV276" s="47"/>
      <c r="HW276" s="47"/>
      <c r="HX276" s="47"/>
      <c r="HY276" s="47"/>
      <c r="HZ276" s="48"/>
      <c r="IA276" s="47"/>
      <c r="IB276" s="47"/>
      <c r="IC276" s="47"/>
      <c r="ID276" s="47"/>
      <c r="IE276" s="72"/>
      <c r="IF276" s="100"/>
      <c r="IG276" s="100"/>
      <c r="IH276" s="100"/>
      <c r="II276" s="100"/>
      <c r="IJ276" s="73"/>
      <c r="IK276" s="47"/>
      <c r="IL276" s="47"/>
      <c r="IM276" s="48"/>
      <c r="JC276" s="13"/>
      <c r="JD276" s="13"/>
    </row>
    <row r="277" spans="17:264" ht="18" customHeight="1" x14ac:dyDescent="0.2">
      <c r="Q277" s="12"/>
      <c r="S277" s="14"/>
      <c r="T277" s="15"/>
      <c r="U277" s="15"/>
      <c r="V277" s="15"/>
      <c r="W277" s="14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6"/>
      <c r="BO277" s="13"/>
      <c r="CI277" s="12"/>
      <c r="CJ277" s="12"/>
      <c r="CU277" s="13"/>
      <c r="CV277" s="42"/>
      <c r="CW277" s="43"/>
      <c r="CX277" s="12"/>
      <c r="DA277" s="13"/>
      <c r="DF277" s="12"/>
      <c r="DJ277" s="86"/>
      <c r="DK277" s="87"/>
      <c r="DL277" s="87"/>
      <c r="DM277" s="88"/>
      <c r="DN277" s="12"/>
      <c r="DO277" s="131"/>
      <c r="DP277" s="13"/>
      <c r="DV277" s="24"/>
      <c r="EQ277" s="13"/>
      <c r="ER277" s="43"/>
      <c r="ES277" s="45"/>
      <c r="ET277" s="12"/>
      <c r="FE277" s="13"/>
      <c r="FF277" s="13"/>
      <c r="HD277" s="10"/>
      <c r="HE277" s="9"/>
      <c r="HF277" s="9"/>
      <c r="HG277" s="10"/>
      <c r="HH277" s="10"/>
      <c r="HI277" s="10"/>
      <c r="HJ277" s="10"/>
      <c r="HK277" s="10"/>
      <c r="HL277" s="10"/>
      <c r="JC277" s="13"/>
      <c r="JD277" s="13"/>
    </row>
    <row r="278" spans="17:264" ht="18" customHeight="1" x14ac:dyDescent="0.2">
      <c r="Q278" s="12"/>
      <c r="AL278" s="10"/>
      <c r="AM278" s="10"/>
      <c r="AN278" s="10"/>
      <c r="AO278" s="10"/>
      <c r="AP278" s="10"/>
      <c r="AQ278" s="10"/>
      <c r="AR278" s="10"/>
      <c r="BO278" s="13"/>
      <c r="CI278" s="12"/>
      <c r="CJ278" s="12"/>
      <c r="CU278" s="13"/>
      <c r="CV278" s="42"/>
      <c r="CW278" s="43"/>
      <c r="CX278" s="14"/>
      <c r="CY278" s="15"/>
      <c r="CZ278" s="15"/>
      <c r="DA278" s="16"/>
      <c r="DF278" s="14"/>
      <c r="DG278" s="15"/>
      <c r="DH278" s="15"/>
      <c r="DJ278" s="76"/>
      <c r="DK278" s="89"/>
      <c r="DL278" s="89"/>
      <c r="DM278" s="77"/>
      <c r="DN278" s="14"/>
      <c r="DO278" s="15"/>
      <c r="DP278" s="16"/>
      <c r="DQ278" s="15"/>
      <c r="DR278" s="15"/>
      <c r="DS278" s="15"/>
      <c r="DT278" s="15"/>
      <c r="DU278" s="15"/>
      <c r="DV278" s="25"/>
      <c r="DW278" s="15"/>
      <c r="DX278" s="15"/>
      <c r="DY278" s="15"/>
      <c r="DZ278" s="15"/>
      <c r="EG278" s="15"/>
      <c r="EH278" s="15"/>
      <c r="EI278" s="15"/>
      <c r="EJ278" s="15"/>
      <c r="EK278" s="15"/>
      <c r="EL278" s="15"/>
      <c r="EM278" s="15"/>
      <c r="EN278" s="15"/>
      <c r="EO278" s="15"/>
      <c r="EP278" s="15"/>
      <c r="EQ278" s="16"/>
      <c r="ER278" s="43"/>
      <c r="ES278" s="45"/>
      <c r="ET278" s="12"/>
      <c r="FE278" s="13"/>
      <c r="FF278" s="13"/>
      <c r="HE278" s="12"/>
      <c r="HF278" s="12"/>
      <c r="JC278" s="13"/>
      <c r="JD278" s="13"/>
    </row>
    <row r="279" spans="17:264" ht="18" customHeight="1" x14ac:dyDescent="0.2">
      <c r="Q279" s="14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6"/>
      <c r="CI279" s="12"/>
      <c r="CJ279" s="12"/>
      <c r="CU279" s="13"/>
      <c r="CV279" s="42"/>
      <c r="CW279" s="43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3"/>
      <c r="DW279" s="41"/>
      <c r="DX279" s="41"/>
      <c r="DY279" s="41"/>
      <c r="DZ279" s="41"/>
      <c r="EA279" s="41"/>
      <c r="EB279" s="41"/>
      <c r="EC279" s="41"/>
      <c r="ED279" s="41"/>
      <c r="EE279" s="41"/>
      <c r="EF279" s="41"/>
      <c r="EG279" s="41"/>
      <c r="EH279" s="43"/>
      <c r="EI279" s="43"/>
      <c r="EJ279" s="43"/>
      <c r="EK279" s="70"/>
      <c r="EL279" s="92"/>
      <c r="EM279" s="92"/>
      <c r="EN279" s="92"/>
      <c r="EO279" s="92"/>
      <c r="EP279" s="71"/>
      <c r="EQ279" s="43"/>
      <c r="ER279" s="43"/>
      <c r="ES279" s="45"/>
      <c r="ET279" s="12"/>
      <c r="FE279" s="13"/>
      <c r="FF279" s="13"/>
      <c r="HE279" s="12"/>
      <c r="HF279" s="12"/>
      <c r="JC279" s="13"/>
      <c r="JD279" s="13"/>
    </row>
    <row r="280" spans="17:264" ht="18" customHeight="1" x14ac:dyDescent="0.2">
      <c r="Q280" s="12"/>
      <c r="R280" s="12"/>
      <c r="BN280" s="13"/>
      <c r="BO280" s="13"/>
      <c r="CI280" s="12"/>
      <c r="CJ280" s="12"/>
      <c r="CU280" s="13"/>
      <c r="CV280" s="42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  <c r="EA280" s="43"/>
      <c r="EB280" s="43"/>
      <c r="EC280" s="43"/>
      <c r="ED280" s="43"/>
      <c r="EE280" s="43"/>
      <c r="EF280" s="43"/>
      <c r="EG280" s="43"/>
      <c r="EH280" s="43"/>
      <c r="EI280" s="43"/>
      <c r="EJ280" s="43"/>
      <c r="EK280" s="107"/>
      <c r="EL280" s="127"/>
      <c r="EM280" s="127"/>
      <c r="EN280" s="127"/>
      <c r="EO280" s="127"/>
      <c r="EP280" s="90"/>
      <c r="EQ280" s="43"/>
      <c r="ER280" s="43"/>
      <c r="ES280" s="45"/>
      <c r="ET280" s="12"/>
      <c r="FE280" s="13"/>
      <c r="FF280" s="13"/>
      <c r="HE280" s="12"/>
      <c r="HF280" s="12"/>
      <c r="JC280" s="13"/>
      <c r="JD280" s="13"/>
    </row>
    <row r="281" spans="17:264" ht="18" customHeight="1" x14ac:dyDescent="0.2">
      <c r="Q281" s="12"/>
      <c r="R281" s="12"/>
      <c r="BN281" s="13"/>
      <c r="BO281" s="13"/>
      <c r="CI281" s="12"/>
      <c r="CJ281" s="12"/>
      <c r="CV281" s="10"/>
      <c r="CW281" s="10"/>
      <c r="CX281" s="10"/>
      <c r="CY281" s="10"/>
      <c r="CZ281" s="10"/>
      <c r="DA281" s="10"/>
      <c r="DB281" s="10"/>
      <c r="DC281" s="10"/>
      <c r="DD281" s="10"/>
      <c r="DE281" s="10"/>
      <c r="DF281" s="10"/>
      <c r="DG281" s="10"/>
      <c r="DH281" s="10"/>
      <c r="DI281" s="10"/>
      <c r="DJ281" s="10"/>
      <c r="DK281" s="10"/>
      <c r="DL281" s="10"/>
      <c r="DM281" s="10"/>
      <c r="DN281" s="10"/>
      <c r="DO281" s="10"/>
      <c r="DP281" s="10"/>
      <c r="DQ281" s="10"/>
      <c r="DR281" s="10"/>
      <c r="DS281" s="10"/>
      <c r="DT281" s="10"/>
      <c r="DU281" s="10"/>
      <c r="DV281" s="10"/>
      <c r="DW281" s="10"/>
      <c r="DX281" s="10"/>
      <c r="DY281" s="10"/>
      <c r="DZ281" s="10"/>
      <c r="EA281" s="10"/>
      <c r="EB281" s="10"/>
      <c r="EC281" s="10"/>
      <c r="ED281" s="10"/>
      <c r="EE281" s="10"/>
      <c r="EF281" s="10"/>
      <c r="EG281" s="10"/>
      <c r="EH281" s="10"/>
      <c r="EI281" s="10"/>
      <c r="EJ281" s="10"/>
      <c r="EK281" s="10"/>
      <c r="EL281" s="10"/>
      <c r="EM281" s="10"/>
      <c r="EN281" s="10"/>
      <c r="EO281" s="10"/>
      <c r="EP281" s="10"/>
      <c r="EQ281" s="10"/>
      <c r="ER281" s="10"/>
      <c r="ES281" s="10"/>
      <c r="FE281" s="13"/>
      <c r="FF281" s="13"/>
      <c r="HE281" s="12"/>
      <c r="HF281" s="12"/>
      <c r="JC281" s="13"/>
      <c r="JD281" s="13"/>
    </row>
    <row r="282" spans="17:264" ht="18" customHeight="1" x14ac:dyDescent="0.2">
      <c r="Q282" s="12"/>
      <c r="R282" s="12"/>
      <c r="BN282" s="13"/>
      <c r="BO282" s="13"/>
      <c r="CI282" s="12"/>
      <c r="CJ282" s="12"/>
      <c r="FE282" s="13"/>
      <c r="FF282" s="13"/>
      <c r="HE282" s="12"/>
      <c r="HF282" s="12"/>
      <c r="JC282" s="13"/>
      <c r="JD282" s="13"/>
    </row>
    <row r="283" spans="17:264" ht="18" customHeight="1" x14ac:dyDescent="0.2">
      <c r="Q283" s="12"/>
      <c r="R283" s="12"/>
      <c r="BN283" s="13"/>
      <c r="BO283" s="16"/>
      <c r="CI283" s="12"/>
      <c r="CJ283" s="12"/>
      <c r="FE283" s="13"/>
      <c r="FF283" s="13"/>
      <c r="HE283" s="12"/>
      <c r="HF283" s="12"/>
      <c r="JC283" s="13"/>
      <c r="JD283" s="13"/>
    </row>
    <row r="284" spans="17:264" ht="18" customHeight="1" x14ac:dyDescent="0.2">
      <c r="Q284" s="12"/>
      <c r="R284" s="12"/>
      <c r="BO284" s="10"/>
      <c r="BP284" s="9"/>
      <c r="BQ284" s="11"/>
      <c r="BR284" s="9"/>
      <c r="BS284" s="11"/>
      <c r="CI284" s="12"/>
      <c r="CJ284" s="12"/>
      <c r="FE284" s="13"/>
      <c r="FF284" s="13"/>
      <c r="HE284" s="12"/>
      <c r="HF284" s="12"/>
      <c r="JC284" s="13"/>
      <c r="JD284" s="13"/>
    </row>
    <row r="285" spans="17:264" ht="18" customHeight="1" x14ac:dyDescent="0.2">
      <c r="Q285" s="12"/>
      <c r="R285" s="12"/>
      <c r="BP285" s="12"/>
      <c r="BQ285" s="13"/>
      <c r="BR285" s="12"/>
      <c r="BS285" s="13"/>
      <c r="CI285" s="12"/>
      <c r="CJ285" s="12"/>
      <c r="FE285" s="13"/>
      <c r="FF285" s="13"/>
      <c r="HE285" s="12"/>
      <c r="HF285" s="12"/>
      <c r="JC285" s="13"/>
      <c r="JD285" s="13"/>
    </row>
    <row r="286" spans="17:264" ht="18" customHeight="1" x14ac:dyDescent="0.2">
      <c r="Q286" s="12"/>
      <c r="R286" s="12"/>
      <c r="BP286" s="12"/>
      <c r="BQ286" s="13"/>
      <c r="BR286" s="12"/>
      <c r="BS286" s="13"/>
      <c r="CI286" s="12"/>
      <c r="CJ286" s="12"/>
      <c r="FE286" s="13"/>
      <c r="FF286" s="13"/>
      <c r="HE286" s="12"/>
      <c r="HF286" s="12"/>
      <c r="JC286" s="13"/>
      <c r="JD286" s="13"/>
    </row>
    <row r="287" spans="17:264" ht="18" customHeight="1" x14ac:dyDescent="0.2">
      <c r="Q287" s="12"/>
      <c r="R287" s="12"/>
      <c r="BP287" s="12"/>
      <c r="BQ287" s="13"/>
      <c r="BR287" s="12"/>
      <c r="BS287" s="13"/>
      <c r="CI287" s="12"/>
      <c r="CJ287" s="12"/>
      <c r="FE287" s="13"/>
      <c r="FF287" s="13"/>
      <c r="HE287" s="12"/>
      <c r="HF287" s="12"/>
      <c r="JC287" s="13"/>
      <c r="JD287" s="13"/>
    </row>
    <row r="288" spans="17:264" ht="18" customHeight="1" x14ac:dyDescent="0.2">
      <c r="Q288" s="12"/>
      <c r="R288" s="12"/>
      <c r="BP288" s="12"/>
      <c r="BQ288" s="13"/>
      <c r="BR288" s="12"/>
      <c r="BS288" s="13"/>
      <c r="CI288" s="12"/>
      <c r="CJ288" s="12"/>
      <c r="FE288" s="13"/>
      <c r="FF288" s="13"/>
      <c r="HE288" s="12"/>
      <c r="HF288" s="12"/>
      <c r="JC288" s="13"/>
      <c r="JD288" s="13"/>
    </row>
    <row r="289" spans="17:265" ht="18" customHeight="1" x14ac:dyDescent="0.2">
      <c r="Q289" s="12"/>
      <c r="R289" s="12"/>
      <c r="BP289" s="12"/>
      <c r="BQ289" s="13"/>
      <c r="BR289" s="12"/>
      <c r="BS289" s="13"/>
      <c r="CI289" s="12"/>
      <c r="CJ289" s="12"/>
      <c r="FE289" s="13"/>
      <c r="FF289" s="13"/>
      <c r="HE289" s="12"/>
      <c r="HF289" s="12"/>
      <c r="JC289" s="13"/>
      <c r="JD289" s="13"/>
    </row>
    <row r="290" spans="17:265" ht="18" customHeight="1" x14ac:dyDescent="0.2">
      <c r="Q290" s="12"/>
      <c r="R290" s="12"/>
      <c r="BP290" s="12"/>
      <c r="BQ290" s="13"/>
      <c r="BR290" s="12"/>
      <c r="BS290" s="13"/>
      <c r="CI290" s="12"/>
      <c r="CJ290" s="12"/>
      <c r="FE290" s="13"/>
      <c r="FF290" s="13"/>
      <c r="HE290" s="12"/>
      <c r="HF290" s="12"/>
      <c r="JC290" s="13"/>
      <c r="JD290" s="13"/>
    </row>
    <row r="291" spans="17:265" ht="18" customHeight="1" x14ac:dyDescent="0.2">
      <c r="Q291" s="12"/>
      <c r="R291" s="12"/>
      <c r="BO291" s="15"/>
      <c r="BP291" s="14"/>
      <c r="BQ291" s="16"/>
      <c r="BR291" s="14"/>
      <c r="BS291" s="16"/>
      <c r="CI291" s="12"/>
      <c r="CJ291" s="12"/>
      <c r="FE291" s="13"/>
      <c r="FF291" s="13"/>
      <c r="HE291" s="12"/>
      <c r="HF291" s="12"/>
      <c r="JC291" s="13"/>
      <c r="JD291" s="13"/>
    </row>
    <row r="292" spans="17:265" ht="18" customHeight="1" x14ac:dyDescent="0.2">
      <c r="Q292" s="12"/>
      <c r="R292" s="12"/>
      <c r="BN292" s="13"/>
      <c r="BO292" s="13"/>
      <c r="CI292" s="12"/>
      <c r="CJ292" s="12"/>
      <c r="FE292" s="13"/>
      <c r="FF292" s="13"/>
      <c r="HE292" s="12"/>
      <c r="HF292" s="14"/>
      <c r="HG292" s="15"/>
      <c r="HH292" s="15"/>
      <c r="HI292" s="15"/>
      <c r="HJ292" s="15"/>
      <c r="HK292" s="15"/>
      <c r="HL292" s="15"/>
      <c r="HM292" s="15"/>
      <c r="HN292" s="15"/>
      <c r="HO292" s="15"/>
      <c r="HP292" s="15"/>
      <c r="HQ292" s="15"/>
      <c r="HR292" s="15"/>
      <c r="HS292" s="15"/>
      <c r="HT292" s="15"/>
      <c r="HU292" s="15"/>
      <c r="HV292" s="15"/>
      <c r="HW292" s="15"/>
      <c r="HX292" s="15"/>
      <c r="HY292" s="15"/>
      <c r="HZ292" s="15"/>
      <c r="IA292" s="15"/>
      <c r="IB292" s="15"/>
      <c r="IC292" s="15"/>
      <c r="ID292" s="15"/>
      <c r="IE292" s="15"/>
      <c r="IF292" s="15"/>
      <c r="IG292" s="15"/>
      <c r="IH292" s="15"/>
      <c r="II292" s="15"/>
      <c r="IJ292" s="15"/>
      <c r="IK292" s="15"/>
      <c r="IL292" s="15"/>
      <c r="IM292" s="15"/>
      <c r="IN292" s="15"/>
      <c r="IO292" s="15"/>
      <c r="IP292" s="15"/>
      <c r="IQ292" s="15"/>
      <c r="IR292" s="15"/>
      <c r="IS292" s="15"/>
      <c r="IT292" s="15"/>
      <c r="IU292" s="15"/>
      <c r="IV292" s="15"/>
      <c r="IW292" s="15"/>
      <c r="IX292" s="15"/>
      <c r="IY292" s="15"/>
      <c r="IZ292" s="15"/>
      <c r="JA292" s="15"/>
      <c r="JB292" s="15"/>
      <c r="JC292" s="16"/>
      <c r="JD292" s="13"/>
    </row>
    <row r="293" spans="17:265" ht="18" customHeight="1" x14ac:dyDescent="0.2">
      <c r="Q293" s="12"/>
      <c r="R293" s="12"/>
      <c r="BN293" s="13"/>
      <c r="BO293" s="13"/>
      <c r="CI293" s="12"/>
      <c r="CJ293" s="12"/>
      <c r="FE293" s="13"/>
      <c r="FF293" s="13"/>
      <c r="HE293" s="14"/>
      <c r="HF293" s="15"/>
      <c r="HG293" s="15"/>
      <c r="HH293" s="15"/>
      <c r="HI293" s="15"/>
      <c r="HJ293" s="15"/>
      <c r="HK293" s="15"/>
      <c r="HL293" s="15"/>
      <c r="HM293" s="15"/>
      <c r="HN293" s="15"/>
      <c r="HO293" s="15"/>
      <c r="HP293" s="15"/>
      <c r="HQ293" s="15"/>
      <c r="HR293" s="15"/>
      <c r="HS293" s="15"/>
      <c r="HT293" s="15"/>
      <c r="HU293" s="15"/>
      <c r="HV293" s="15"/>
      <c r="HW293" s="15"/>
      <c r="HX293" s="15"/>
      <c r="HY293" s="15"/>
      <c r="HZ293" s="15"/>
      <c r="IA293" s="15"/>
      <c r="IB293" s="15"/>
      <c r="IC293" s="15"/>
      <c r="ID293" s="15"/>
      <c r="IE293" s="15"/>
      <c r="IF293" s="15"/>
      <c r="IG293" s="15"/>
      <c r="IH293" s="15"/>
      <c r="II293" s="15"/>
      <c r="IJ293" s="15"/>
      <c r="IK293" s="15"/>
      <c r="IL293" s="15"/>
      <c r="IM293" s="15"/>
      <c r="IN293" s="15"/>
      <c r="IO293" s="15"/>
      <c r="IP293" s="15"/>
      <c r="IQ293" s="15"/>
      <c r="IR293" s="15"/>
      <c r="IS293" s="15"/>
      <c r="IT293" s="15"/>
      <c r="IU293" s="15"/>
      <c r="IV293" s="15"/>
      <c r="IW293" s="15"/>
      <c r="IX293" s="15"/>
      <c r="IY293" s="15"/>
      <c r="IZ293" s="15"/>
      <c r="JA293" s="15"/>
      <c r="JB293" s="15"/>
      <c r="JC293" s="15"/>
      <c r="JD293" s="16"/>
    </row>
    <row r="294" spans="17:265" ht="18" customHeight="1" x14ac:dyDescent="0.2">
      <c r="Q294" s="12"/>
      <c r="R294" s="12"/>
      <c r="BN294" s="13"/>
      <c r="BO294" s="13"/>
      <c r="CI294" s="12"/>
      <c r="CJ294" s="12"/>
      <c r="FE294" s="13"/>
      <c r="FF294" s="13"/>
    </row>
    <row r="295" spans="17:265" ht="18" customHeight="1" x14ac:dyDescent="0.2">
      <c r="Q295" s="12"/>
      <c r="R295" s="14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6"/>
      <c r="BO295" s="13"/>
      <c r="CI295" s="12"/>
      <c r="CJ295" s="12"/>
      <c r="FE295" s="13"/>
      <c r="FF295" s="13"/>
    </row>
    <row r="296" spans="17:265" ht="18" customHeight="1" x14ac:dyDescent="0.2">
      <c r="Q296" s="14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6"/>
      <c r="CI296" s="12"/>
      <c r="CJ296" s="14"/>
      <c r="CK296" s="15"/>
      <c r="CL296" s="15"/>
      <c r="CM296" s="15"/>
      <c r="CN296" s="15"/>
      <c r="CO296" s="15"/>
      <c r="CP296" s="15"/>
      <c r="CQ296" s="15"/>
      <c r="CR296" s="15"/>
      <c r="CS296" s="15"/>
      <c r="CT296" s="15"/>
      <c r="CU296" s="15"/>
      <c r="CV296" s="15"/>
      <c r="CW296" s="15"/>
      <c r="CX296" s="15"/>
      <c r="CY296" s="15"/>
      <c r="CZ296" s="15"/>
      <c r="DA296" s="15"/>
      <c r="DB296" s="15"/>
      <c r="DC296" s="15"/>
      <c r="DD296" s="15"/>
      <c r="DE296" s="15"/>
      <c r="DF296" s="15"/>
      <c r="DG296" s="15"/>
      <c r="DH296" s="15"/>
      <c r="DI296" s="15"/>
      <c r="DJ296" s="15"/>
      <c r="DK296" s="15"/>
      <c r="DL296" s="15"/>
      <c r="DM296" s="15"/>
      <c r="DN296" s="15"/>
      <c r="DO296" s="15"/>
      <c r="DP296" s="15"/>
      <c r="DQ296" s="15"/>
      <c r="DR296" s="15"/>
      <c r="DS296" s="15"/>
      <c r="DT296" s="15"/>
      <c r="DU296" s="15"/>
      <c r="DV296" s="15"/>
      <c r="DW296" s="15"/>
      <c r="DX296" s="15"/>
      <c r="DY296" s="15"/>
      <c r="DZ296" s="15"/>
      <c r="EA296" s="15"/>
      <c r="EB296" s="15"/>
      <c r="EC296" s="15"/>
      <c r="ED296" s="15"/>
      <c r="EE296" s="15"/>
      <c r="EF296" s="15"/>
      <c r="EG296" s="15"/>
      <c r="EH296" s="15"/>
      <c r="EI296" s="15"/>
      <c r="EJ296" s="15"/>
      <c r="EK296" s="15"/>
      <c r="EL296" s="15"/>
      <c r="EM296" s="15"/>
      <c r="EN296" s="15"/>
      <c r="EO296" s="15"/>
      <c r="EP296" s="15"/>
      <c r="EQ296" s="15"/>
      <c r="ER296" s="15"/>
      <c r="ES296" s="15"/>
      <c r="ET296" s="15"/>
      <c r="EU296" s="15"/>
      <c r="EV296" s="15"/>
      <c r="EW296" s="15"/>
      <c r="EX296" s="15"/>
      <c r="EY296" s="15"/>
      <c r="EZ296" s="15"/>
      <c r="FA296" s="15"/>
      <c r="FB296" s="15"/>
      <c r="FC296" s="15"/>
      <c r="FD296" s="15"/>
      <c r="FE296" s="16"/>
      <c r="FF296" s="13"/>
    </row>
    <row r="297" spans="17:265" ht="18" customHeight="1" x14ac:dyDescent="0.2">
      <c r="CI297" s="14"/>
      <c r="CJ297" s="15"/>
      <c r="CK297" s="15"/>
      <c r="CL297" s="15"/>
      <c r="CM297" s="15"/>
      <c r="CN297" s="15"/>
      <c r="CO297" s="15"/>
      <c r="CP297" s="15"/>
      <c r="CQ297" s="15"/>
      <c r="CR297" s="15"/>
      <c r="CS297" s="15"/>
      <c r="CT297" s="15"/>
      <c r="CU297" s="15"/>
      <c r="CV297" s="15"/>
      <c r="CW297" s="15"/>
      <c r="CX297" s="15"/>
      <c r="CY297" s="15"/>
      <c r="CZ297" s="15"/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  <c r="DL297" s="15"/>
      <c r="DM297" s="15"/>
      <c r="DN297" s="15"/>
      <c r="DO297" s="15"/>
      <c r="DP297" s="15"/>
      <c r="DQ297" s="15"/>
      <c r="DR297" s="15"/>
      <c r="DS297" s="15"/>
      <c r="DT297" s="15"/>
      <c r="DU297" s="15"/>
      <c r="DV297" s="15"/>
      <c r="DW297" s="15"/>
      <c r="DX297" s="15"/>
      <c r="DY297" s="15"/>
      <c r="DZ297" s="15"/>
      <c r="EA297" s="15"/>
      <c r="EB297" s="15"/>
      <c r="EC297" s="15"/>
      <c r="ED297" s="15"/>
      <c r="EE297" s="15"/>
      <c r="EF297" s="15"/>
      <c r="EG297" s="15"/>
      <c r="EH297" s="15"/>
      <c r="EI297" s="15"/>
      <c r="EJ297" s="15"/>
      <c r="EK297" s="15"/>
      <c r="EL297" s="15"/>
      <c r="EM297" s="15"/>
      <c r="EN297" s="15"/>
      <c r="EO297" s="15"/>
      <c r="EP297" s="15"/>
      <c r="EQ297" s="15"/>
      <c r="ER297" s="15"/>
      <c r="ES297" s="15"/>
      <c r="ET297" s="15"/>
      <c r="EU297" s="15"/>
      <c r="EV297" s="15"/>
      <c r="EW297" s="15"/>
      <c r="EX297" s="15"/>
      <c r="EY297" s="15"/>
      <c r="EZ297" s="15"/>
      <c r="FA297" s="15"/>
      <c r="FB297" s="15"/>
      <c r="FC297" s="15"/>
      <c r="FD297" s="15"/>
      <c r="FE297" s="15"/>
      <c r="FF297" s="16"/>
    </row>
    <row r="300" spans="17:265" ht="18" customHeight="1" thickBot="1" x14ac:dyDescent="0.25"/>
    <row r="301" spans="17:265" ht="18" customHeight="1" x14ac:dyDescent="0.2">
      <c r="EP301" s="1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3"/>
    </row>
    <row r="302" spans="17:265" ht="18" customHeight="1" x14ac:dyDescent="0.2">
      <c r="EP302" s="4"/>
      <c r="JE302" s="5"/>
    </row>
    <row r="303" spans="17:265" ht="18" customHeight="1" x14ac:dyDescent="0.2">
      <c r="EP303" s="4"/>
      <c r="JE303" s="5"/>
    </row>
    <row r="304" spans="17:265" ht="18" customHeight="1" x14ac:dyDescent="0.2">
      <c r="EP304" s="4"/>
      <c r="JE304" s="5"/>
    </row>
    <row r="305" spans="31:265" ht="18" customHeight="1" x14ac:dyDescent="0.2">
      <c r="EP305" s="4"/>
      <c r="JE305" s="5"/>
    </row>
    <row r="306" spans="31:265" ht="18" customHeight="1" x14ac:dyDescent="0.2">
      <c r="EP306" s="4"/>
      <c r="JE306" s="5"/>
    </row>
    <row r="307" spans="31:265" ht="18" customHeight="1" x14ac:dyDescent="0.2">
      <c r="EP307" s="4"/>
      <c r="JE307" s="5"/>
    </row>
    <row r="308" spans="31:265" ht="18" customHeight="1" x14ac:dyDescent="0.2">
      <c r="EP308" s="4"/>
      <c r="JE308" s="5"/>
    </row>
    <row r="309" spans="31:265" ht="18" customHeight="1" x14ac:dyDescent="0.2">
      <c r="EP309" s="4"/>
      <c r="JE309" s="5"/>
    </row>
    <row r="310" spans="31:265" ht="18" customHeight="1" x14ac:dyDescent="0.2">
      <c r="EP310" s="4"/>
      <c r="JE310" s="5"/>
    </row>
    <row r="311" spans="31:265" ht="18" customHeight="1" x14ac:dyDescent="0.2">
      <c r="EP311" s="4"/>
      <c r="JE311" s="5"/>
    </row>
    <row r="312" spans="31:265" ht="18" customHeight="1" x14ac:dyDescent="0.2">
      <c r="EP312" s="4"/>
      <c r="JE312" s="5"/>
    </row>
    <row r="313" spans="31:265" ht="18" customHeight="1" x14ac:dyDescent="0.2">
      <c r="EP313" s="4"/>
      <c r="JE313" s="5"/>
    </row>
    <row r="314" spans="31:265" ht="18" customHeight="1" x14ac:dyDescent="0.2">
      <c r="EP314" s="4"/>
      <c r="GP314" s="15"/>
      <c r="GQ314" s="15"/>
      <c r="GR314" s="15"/>
      <c r="GS314" s="15"/>
      <c r="GT314" s="15"/>
      <c r="GU314" s="15"/>
      <c r="GV314" s="15"/>
      <c r="GW314" s="15"/>
      <c r="JE314" s="5"/>
    </row>
    <row r="315" spans="31:265" ht="18" customHeight="1" x14ac:dyDescent="0.2">
      <c r="EP315" s="4"/>
      <c r="FC315" s="9"/>
      <c r="FD315" s="10"/>
      <c r="FE315" s="10"/>
      <c r="FF315" s="10"/>
      <c r="FG315" s="10"/>
      <c r="FH315" s="10"/>
      <c r="FI315" s="10"/>
      <c r="FJ315" s="10"/>
      <c r="FK315" s="10"/>
      <c r="FL315" s="10"/>
      <c r="FM315" s="10"/>
      <c r="FN315" s="10"/>
      <c r="FO315" s="10"/>
      <c r="FP315" s="10"/>
      <c r="FQ315" s="10"/>
      <c r="FR315" s="10"/>
      <c r="FS315" s="10"/>
      <c r="FT315" s="11"/>
      <c r="FU315" s="20"/>
      <c r="FV315" s="21"/>
      <c r="FW315" s="21"/>
      <c r="FX315" s="21"/>
      <c r="FY315" s="21"/>
      <c r="FZ315" s="22"/>
      <c r="GA315" s="9"/>
      <c r="GB315" s="10"/>
      <c r="GC315" s="10"/>
      <c r="GD315" s="10"/>
      <c r="GE315" s="10"/>
      <c r="GF315" s="10"/>
      <c r="GG315" s="10"/>
      <c r="GH315" s="10"/>
      <c r="GI315" s="10"/>
      <c r="GJ315" s="10"/>
      <c r="GK315" s="10"/>
      <c r="GL315" s="10"/>
      <c r="GM315" s="10"/>
      <c r="GN315" s="10"/>
      <c r="GO315" s="10"/>
      <c r="GW315" s="11"/>
      <c r="JE315" s="5"/>
    </row>
    <row r="316" spans="31:265" ht="18" customHeight="1" x14ac:dyDescent="0.2">
      <c r="AE316" s="40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4"/>
      <c r="EP316" s="4"/>
      <c r="FC316" s="12"/>
      <c r="FT316" s="15"/>
      <c r="FU316" s="20"/>
      <c r="FV316" s="21"/>
      <c r="FW316" s="21"/>
      <c r="FX316" s="21"/>
      <c r="FY316" s="21"/>
      <c r="FZ316" s="22"/>
      <c r="GP316" s="15"/>
      <c r="GQ316" s="15"/>
      <c r="GR316" s="15"/>
      <c r="GW316" s="13"/>
      <c r="JE316" s="5"/>
    </row>
    <row r="317" spans="31:265" ht="18" customHeight="1" x14ac:dyDescent="0.2">
      <c r="AE317" s="42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5"/>
      <c r="EP317" s="4"/>
      <c r="FC317" s="12"/>
      <c r="FE317" s="9"/>
      <c r="FF317" s="10"/>
      <c r="FG317" s="10"/>
      <c r="FH317" s="10"/>
      <c r="FI317" s="10"/>
      <c r="FJ317" s="10"/>
      <c r="FK317" s="10"/>
      <c r="FL317" s="10"/>
      <c r="FM317" s="11"/>
      <c r="FN317" s="10"/>
      <c r="FO317" s="10"/>
      <c r="FP317" s="10"/>
      <c r="FQ317" s="10"/>
      <c r="FR317" s="10"/>
      <c r="FS317" s="10"/>
      <c r="FT317" s="10"/>
      <c r="FU317" s="10"/>
      <c r="FV317" s="10"/>
      <c r="FW317" s="10"/>
      <c r="FX317" s="10"/>
      <c r="FY317" s="10"/>
      <c r="FZ317" s="10"/>
      <c r="GA317" s="10"/>
      <c r="GB317" s="11"/>
      <c r="GD317" s="9"/>
      <c r="GE317" s="10"/>
      <c r="GF317" s="10"/>
      <c r="GG317" s="10"/>
      <c r="GH317" s="10"/>
      <c r="GI317" s="10"/>
      <c r="GJ317" s="10"/>
      <c r="GK317" s="10"/>
      <c r="GL317" s="10"/>
      <c r="GM317" s="10"/>
      <c r="GN317" s="9"/>
      <c r="GO317" s="10"/>
      <c r="GP317" s="10"/>
      <c r="GQ317" s="10"/>
      <c r="GR317" s="10"/>
      <c r="GS317" s="10"/>
      <c r="GT317" s="10"/>
      <c r="GU317" s="11"/>
      <c r="GW317" s="13"/>
      <c r="JE317" s="5"/>
    </row>
    <row r="318" spans="31:265" ht="18" customHeight="1" x14ac:dyDescent="0.2">
      <c r="AE318" s="42"/>
      <c r="AF318" s="43"/>
      <c r="AG318" s="9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7"/>
      <c r="BF318" s="10"/>
      <c r="BG318" s="10"/>
      <c r="BH318" s="10"/>
      <c r="BI318" s="10"/>
      <c r="BJ318" s="10"/>
      <c r="BK318" s="10"/>
      <c r="BL318" s="10"/>
      <c r="BM318" s="10"/>
      <c r="BN318" s="10"/>
      <c r="BO318" s="11"/>
      <c r="BP318" s="17"/>
      <c r="BQ318" s="9"/>
      <c r="BR318" s="10"/>
      <c r="BS318" s="10"/>
      <c r="BT318" s="10"/>
      <c r="BU318" s="10"/>
      <c r="BV318" s="10"/>
      <c r="BW318" s="10"/>
      <c r="BX318" s="10"/>
      <c r="BY318" s="10"/>
      <c r="BZ318" s="11"/>
      <c r="CA318" s="43"/>
      <c r="CB318" s="45"/>
      <c r="EP318" s="4"/>
      <c r="FC318" s="12"/>
      <c r="FE318" s="12"/>
      <c r="FM318" s="13"/>
      <c r="GB318" s="13"/>
      <c r="GC318" s="90"/>
      <c r="GD318" s="12"/>
      <c r="GN318" s="12"/>
      <c r="GU318" s="13"/>
      <c r="GW318" s="13"/>
      <c r="JE318" s="5"/>
    </row>
    <row r="319" spans="31:265" ht="18" customHeight="1" x14ac:dyDescent="0.2">
      <c r="AE319" s="42"/>
      <c r="AF319" s="43"/>
      <c r="AG319" s="12"/>
      <c r="BB319" s="9"/>
      <c r="BC319" s="10"/>
      <c r="BD319" s="11"/>
      <c r="BE319" s="18"/>
      <c r="BO319" s="13"/>
      <c r="BP319" s="18"/>
      <c r="BQ319" s="12"/>
      <c r="BZ319" s="13"/>
      <c r="CA319" s="43"/>
      <c r="CB319" s="45"/>
      <c r="EP319" s="4"/>
      <c r="FC319" s="12"/>
      <c r="FE319" s="14"/>
      <c r="FF319" s="15"/>
      <c r="FG319" s="15"/>
      <c r="FH319" s="15"/>
      <c r="FI319" s="15"/>
      <c r="FJ319" s="15"/>
      <c r="FK319" s="15"/>
      <c r="FL319" s="15"/>
      <c r="FM319" s="16"/>
      <c r="GB319" s="13"/>
      <c r="GC319" s="127"/>
      <c r="GD319" s="12"/>
      <c r="GN319" s="12"/>
      <c r="GU319" s="13"/>
      <c r="GW319" s="13"/>
      <c r="JE319" s="5"/>
    </row>
    <row r="320" spans="31:265" ht="18" customHeight="1" x14ac:dyDescent="0.2">
      <c r="AE320" s="42"/>
      <c r="AF320" s="43"/>
      <c r="AG320" s="12"/>
      <c r="BB320" s="12"/>
      <c r="BD320" s="13"/>
      <c r="BE320" s="18"/>
      <c r="BO320" s="13"/>
      <c r="BP320" s="18"/>
      <c r="BQ320" s="12"/>
      <c r="BZ320" s="13"/>
      <c r="CA320" s="43"/>
      <c r="CB320" s="45"/>
      <c r="EP320" s="4"/>
      <c r="FC320" s="12"/>
      <c r="FE320" s="12"/>
      <c r="GB320" s="13"/>
      <c r="GC320" s="127"/>
      <c r="GD320" s="12"/>
      <c r="GN320" s="12"/>
      <c r="GU320" s="13"/>
      <c r="GV320" s="17"/>
      <c r="GW320" s="17"/>
      <c r="JE320" s="5"/>
    </row>
    <row r="321" spans="31:265" ht="18" customHeight="1" x14ac:dyDescent="0.2">
      <c r="AE321" s="42"/>
      <c r="AF321" s="43"/>
      <c r="AG321" s="9"/>
      <c r="AH321" s="11"/>
      <c r="BB321" s="12"/>
      <c r="BD321" s="13"/>
      <c r="BE321" s="18"/>
      <c r="BO321" s="13"/>
      <c r="BP321" s="18"/>
      <c r="BQ321" s="12"/>
      <c r="BZ321" s="13"/>
      <c r="CA321" s="43"/>
      <c r="CB321" s="45"/>
      <c r="EP321" s="4"/>
      <c r="FC321" s="12"/>
      <c r="FE321" s="12"/>
      <c r="GB321" s="13"/>
      <c r="GC321" s="127"/>
      <c r="GD321" s="12"/>
      <c r="GN321" s="12"/>
      <c r="GU321" s="13"/>
      <c r="GV321" s="18"/>
      <c r="GW321" s="18"/>
      <c r="JE321" s="5"/>
    </row>
    <row r="322" spans="31:265" ht="18" customHeight="1" x14ac:dyDescent="0.2">
      <c r="AE322" s="42"/>
      <c r="AF322" s="43"/>
      <c r="AG322" s="12"/>
      <c r="AH322" s="13"/>
      <c r="BB322" s="12"/>
      <c r="BD322" s="13"/>
      <c r="BE322" s="18"/>
      <c r="BO322" s="13"/>
      <c r="BP322" s="18"/>
      <c r="BQ322" s="12"/>
      <c r="BZ322" s="13"/>
      <c r="CA322" s="43"/>
      <c r="CB322" s="45"/>
      <c r="EP322" s="4"/>
      <c r="FC322" s="17"/>
      <c r="FD322" s="17"/>
      <c r="FE322" s="12"/>
      <c r="GB322" s="13"/>
      <c r="GC322" s="127"/>
      <c r="GD322" s="9"/>
      <c r="GE322" s="10"/>
      <c r="GF322" s="10"/>
      <c r="GG322" s="10"/>
      <c r="GH322" s="11"/>
      <c r="GI322" s="10"/>
      <c r="GJ322" s="10"/>
      <c r="GK322" s="10"/>
      <c r="GL322" s="10"/>
      <c r="GM322" s="10"/>
      <c r="GN322" s="12"/>
      <c r="GU322" s="13"/>
      <c r="GV322" s="18"/>
      <c r="GW322" s="18"/>
      <c r="JE322" s="5"/>
    </row>
    <row r="323" spans="31:265" ht="18" customHeight="1" x14ac:dyDescent="0.2">
      <c r="AE323" s="42"/>
      <c r="AF323" s="43"/>
      <c r="AG323" s="14"/>
      <c r="AH323" s="16"/>
      <c r="BB323" s="12"/>
      <c r="BD323" s="13"/>
      <c r="BE323" s="18"/>
      <c r="BO323" s="13"/>
      <c r="BP323" s="18"/>
      <c r="BQ323" s="12"/>
      <c r="BZ323" s="13"/>
      <c r="CA323" s="43"/>
      <c r="CB323" s="45"/>
      <c r="EP323" s="4"/>
      <c r="FC323" s="18"/>
      <c r="FD323" s="18"/>
      <c r="FE323" s="12"/>
      <c r="GB323" s="13"/>
      <c r="GD323" s="12"/>
      <c r="GH323" s="13"/>
      <c r="GN323" s="12"/>
      <c r="GU323" s="13"/>
      <c r="GV323" s="19"/>
      <c r="GW323" s="19"/>
      <c r="GX323" s="12"/>
      <c r="JE323" s="5"/>
    </row>
    <row r="324" spans="31:265" ht="18" customHeight="1" x14ac:dyDescent="0.2">
      <c r="AE324" s="42"/>
      <c r="AF324" s="43"/>
      <c r="AG324" s="9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1"/>
      <c r="BB324" s="12"/>
      <c r="BD324" s="13"/>
      <c r="BE324" s="18"/>
      <c r="BF324" s="15"/>
      <c r="BG324" s="15"/>
      <c r="BH324" s="15"/>
      <c r="BI324" s="15"/>
      <c r="BJ324" s="15"/>
      <c r="BK324" s="15"/>
      <c r="BL324" s="15"/>
      <c r="BM324" s="15"/>
      <c r="BN324" s="15"/>
      <c r="BO324" s="16"/>
      <c r="BP324" s="18"/>
      <c r="BQ324" s="14"/>
      <c r="BR324" s="15"/>
      <c r="BS324" s="15"/>
      <c r="BT324" s="15"/>
      <c r="BU324" s="15"/>
      <c r="BV324" s="15"/>
      <c r="BW324" s="15"/>
      <c r="BX324" s="15"/>
      <c r="BY324" s="15"/>
      <c r="BZ324" s="16"/>
      <c r="CA324" s="43"/>
      <c r="CB324" s="45"/>
      <c r="EP324" s="4"/>
      <c r="FC324" s="18"/>
      <c r="FD324" s="18"/>
      <c r="FE324" s="12"/>
      <c r="GB324" s="13"/>
      <c r="GD324" s="12"/>
      <c r="GH324" s="13"/>
      <c r="GN324" s="12"/>
      <c r="GU324" s="13"/>
      <c r="GX324" s="12"/>
      <c r="JE324" s="5"/>
    </row>
    <row r="325" spans="31:265" ht="18" customHeight="1" x14ac:dyDescent="0.2">
      <c r="AE325" s="42"/>
      <c r="AF325" s="43"/>
      <c r="AG325" s="12"/>
      <c r="AR325" s="13"/>
      <c r="BB325" s="12"/>
      <c r="BD325" s="13"/>
      <c r="BE325" s="18"/>
      <c r="BK325" s="9"/>
      <c r="BL325" s="10"/>
      <c r="BM325" s="10"/>
      <c r="BN325" s="10"/>
      <c r="BO325" s="11"/>
      <c r="BP325" s="18"/>
      <c r="BQ325" s="9"/>
      <c r="BR325" s="10"/>
      <c r="BS325" s="10"/>
      <c r="BT325" s="10"/>
      <c r="BU325" s="11"/>
      <c r="BZ325" s="13"/>
      <c r="CA325" s="43"/>
      <c r="CB325" s="45"/>
      <c r="EP325" s="4"/>
      <c r="FC325" s="18"/>
      <c r="FD325" s="18"/>
      <c r="FE325" s="12"/>
      <c r="GB325" s="13"/>
      <c r="GD325" s="12"/>
      <c r="GH325" s="13"/>
      <c r="GN325" s="12"/>
      <c r="GU325" s="13"/>
      <c r="GX325" s="12"/>
      <c r="JE325" s="5"/>
    </row>
    <row r="326" spans="31:265" ht="18" customHeight="1" x14ac:dyDescent="0.2">
      <c r="AE326" s="42"/>
      <c r="AF326" s="43"/>
      <c r="AG326" s="12"/>
      <c r="AR326" s="13"/>
      <c r="BB326" s="12"/>
      <c r="BD326" s="13"/>
      <c r="BE326" s="18"/>
      <c r="BK326" s="12"/>
      <c r="BL326" s="32"/>
      <c r="BM326" s="32"/>
      <c r="BO326" s="13"/>
      <c r="BP326" s="18"/>
      <c r="BQ326" s="12"/>
      <c r="BS326" s="32"/>
      <c r="BT326" s="32"/>
      <c r="BU326" s="13"/>
      <c r="BZ326" s="13"/>
      <c r="CA326" s="43"/>
      <c r="CB326" s="45"/>
      <c r="EP326" s="4"/>
      <c r="FC326" s="18"/>
      <c r="FD326" s="18"/>
      <c r="FE326" s="12"/>
      <c r="GB326" s="13"/>
      <c r="GD326" s="14"/>
      <c r="GE326" s="15"/>
      <c r="GF326" s="15"/>
      <c r="GG326" s="15"/>
      <c r="GH326" s="16"/>
      <c r="GI326" s="15"/>
      <c r="GJ326" s="15"/>
      <c r="GK326" s="15"/>
      <c r="GL326" s="15"/>
      <c r="GM326" s="15"/>
      <c r="GN326" s="14"/>
      <c r="GO326" s="15"/>
      <c r="GP326" s="15"/>
      <c r="GQ326" s="15"/>
      <c r="GR326" s="15"/>
      <c r="GS326" s="15"/>
      <c r="GT326" s="15"/>
      <c r="GU326" s="16"/>
      <c r="GX326" s="12"/>
      <c r="JE326" s="5"/>
    </row>
    <row r="327" spans="31:265" ht="18" customHeight="1" x14ac:dyDescent="0.2">
      <c r="AE327" s="42"/>
      <c r="AF327" s="43"/>
      <c r="AG327" s="12"/>
      <c r="AR327" s="13"/>
      <c r="BB327" s="12"/>
      <c r="BD327" s="13"/>
      <c r="BE327" s="18"/>
      <c r="BK327" s="12"/>
      <c r="BL327" s="32"/>
      <c r="BM327" s="32"/>
      <c r="BO327" s="13"/>
      <c r="BP327" s="18"/>
      <c r="BQ327" s="12"/>
      <c r="BS327" s="32"/>
      <c r="BT327" s="32"/>
      <c r="BU327" s="13"/>
      <c r="BZ327" s="13"/>
      <c r="CA327" s="43"/>
      <c r="CB327" s="45"/>
      <c r="EP327" s="4"/>
      <c r="FC327" s="19"/>
      <c r="FD327" s="19"/>
      <c r="FE327" s="12"/>
      <c r="GB327" s="13"/>
      <c r="GD327" s="20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2"/>
      <c r="GX327" s="12"/>
      <c r="JE327" s="5"/>
    </row>
    <row r="328" spans="31:265" ht="18" customHeight="1" x14ac:dyDescent="0.2">
      <c r="AE328" s="42"/>
      <c r="AF328" s="43"/>
      <c r="AG328" s="12"/>
      <c r="AR328" s="13"/>
      <c r="BB328" s="14"/>
      <c r="BC328" s="15"/>
      <c r="BD328" s="16"/>
      <c r="BE328" s="18"/>
      <c r="BK328" s="12"/>
      <c r="BL328" s="32"/>
      <c r="BM328" s="32"/>
      <c r="BO328" s="13"/>
      <c r="BP328" s="18"/>
      <c r="BQ328" s="12"/>
      <c r="BS328" s="32"/>
      <c r="BT328" s="32"/>
      <c r="BU328" s="13"/>
      <c r="BZ328" s="13"/>
      <c r="CA328" s="43"/>
      <c r="CB328" s="45"/>
      <c r="EP328" s="4"/>
      <c r="FC328" s="12"/>
      <c r="FE328" s="12"/>
      <c r="GB328" s="13"/>
      <c r="GD328" s="9"/>
      <c r="GE328" s="10"/>
      <c r="GF328" s="10"/>
      <c r="GG328" s="10"/>
      <c r="GH328" s="11"/>
      <c r="GI328" s="10"/>
      <c r="GJ328" s="10"/>
      <c r="GK328" s="10"/>
      <c r="GL328" s="10"/>
      <c r="GM328" s="10"/>
      <c r="GN328" s="9"/>
      <c r="GO328" s="10"/>
      <c r="GP328" s="10"/>
      <c r="GQ328" s="10"/>
      <c r="GR328" s="10"/>
      <c r="GS328" s="10"/>
      <c r="GT328" s="10"/>
      <c r="GU328" s="11"/>
      <c r="GX328" s="12"/>
      <c r="JE328" s="5"/>
    </row>
    <row r="329" spans="31:265" ht="18" customHeight="1" x14ac:dyDescent="0.2">
      <c r="AE329" s="42"/>
      <c r="AF329" s="43"/>
      <c r="AG329" s="12"/>
      <c r="AR329" s="13"/>
      <c r="BE329" s="18"/>
      <c r="BK329" s="14"/>
      <c r="BL329" s="15"/>
      <c r="BM329" s="15"/>
      <c r="BN329" s="15"/>
      <c r="BO329" s="16"/>
      <c r="BP329" s="18"/>
      <c r="BQ329" s="14"/>
      <c r="BR329" s="15"/>
      <c r="BS329" s="15"/>
      <c r="BT329" s="15"/>
      <c r="BU329" s="16"/>
      <c r="BZ329" s="13"/>
      <c r="CA329" s="43"/>
      <c r="CB329" s="45"/>
      <c r="EP329" s="4"/>
      <c r="FC329" s="12"/>
      <c r="FE329" s="9"/>
      <c r="FF329" s="10"/>
      <c r="FG329" s="10"/>
      <c r="FH329" s="10"/>
      <c r="FI329" s="10"/>
      <c r="FJ329" s="10"/>
      <c r="FK329" s="10"/>
      <c r="FL329" s="10"/>
      <c r="FM329" s="10"/>
      <c r="FN329" s="10"/>
      <c r="FO329" s="10"/>
      <c r="FP329" s="11"/>
      <c r="GB329" s="13"/>
      <c r="GD329" s="12"/>
      <c r="GH329" s="13"/>
      <c r="GN329" s="12"/>
      <c r="GU329" s="13"/>
      <c r="GX329" s="12"/>
      <c r="JE329" s="5"/>
    </row>
    <row r="330" spans="31:265" ht="18" customHeight="1" x14ac:dyDescent="0.2">
      <c r="AE330" s="42"/>
      <c r="AF330" s="43"/>
      <c r="AG330" s="12"/>
      <c r="AR330" s="13"/>
      <c r="BE330" s="24"/>
      <c r="BK330" s="12"/>
      <c r="BO330" s="13"/>
      <c r="BP330" s="18"/>
      <c r="BQ330" s="12"/>
      <c r="BU330" s="13"/>
      <c r="BZ330" s="13"/>
      <c r="CA330" s="43"/>
      <c r="CB330" s="45"/>
      <c r="EP330" s="4"/>
      <c r="FC330" s="12"/>
      <c r="FE330" s="12"/>
      <c r="FP330" s="13"/>
      <c r="GB330" s="13"/>
      <c r="GD330" s="12"/>
      <c r="GH330" s="13"/>
      <c r="GN330" s="12"/>
      <c r="GU330" s="13"/>
      <c r="GW330" s="13"/>
      <c r="GX330" s="12"/>
      <c r="JE330" s="5"/>
    </row>
    <row r="331" spans="31:265" ht="18" customHeight="1" x14ac:dyDescent="0.2">
      <c r="AE331" s="42"/>
      <c r="AF331" s="43"/>
      <c r="AG331" s="12"/>
      <c r="AR331" s="13"/>
      <c r="BE331" s="24"/>
      <c r="BK331" s="12"/>
      <c r="BO331" s="13"/>
      <c r="BP331" s="18"/>
      <c r="BQ331" s="12"/>
      <c r="BU331" s="13"/>
      <c r="BZ331" s="13"/>
      <c r="CA331" s="43"/>
      <c r="CB331" s="45"/>
      <c r="EP331" s="4"/>
      <c r="FC331" s="12"/>
      <c r="FE331" s="12"/>
      <c r="FP331" s="13"/>
      <c r="GB331" s="13"/>
      <c r="GD331" s="12"/>
      <c r="GH331" s="13"/>
      <c r="GN331" s="12"/>
      <c r="GU331" s="13"/>
      <c r="GV331" s="17"/>
      <c r="GW331" s="17"/>
      <c r="GX331" s="12"/>
      <c r="JE331" s="5"/>
    </row>
    <row r="332" spans="31:265" ht="18" customHeight="1" x14ac:dyDescent="0.2">
      <c r="AE332" s="42"/>
      <c r="AF332" s="43"/>
      <c r="AG332" s="12"/>
      <c r="AR332" s="13"/>
      <c r="BE332" s="24"/>
      <c r="BK332" s="12"/>
      <c r="BO332" s="13"/>
      <c r="BP332" s="18"/>
      <c r="BQ332" s="12"/>
      <c r="BU332" s="13"/>
      <c r="BZ332" s="13"/>
      <c r="CA332" s="43"/>
      <c r="CB332" s="45"/>
      <c r="EP332" s="4"/>
      <c r="FC332" s="12"/>
      <c r="FE332" s="12"/>
      <c r="FP332" s="13"/>
      <c r="GB332" s="13"/>
      <c r="GD332" s="14"/>
      <c r="GE332" s="15"/>
      <c r="GF332" s="15"/>
      <c r="GG332" s="15"/>
      <c r="GH332" s="16"/>
      <c r="GI332" s="15"/>
      <c r="GJ332" s="15"/>
      <c r="GK332" s="15"/>
      <c r="GL332" s="15"/>
      <c r="GM332" s="15"/>
      <c r="GN332" s="12"/>
      <c r="GU332" s="13"/>
      <c r="GV332" s="18"/>
      <c r="GW332" s="18"/>
      <c r="GX332" s="12"/>
      <c r="JE332" s="5"/>
    </row>
    <row r="333" spans="31:265" ht="18" customHeight="1" x14ac:dyDescent="0.2">
      <c r="AE333" s="42"/>
      <c r="AF333" s="43"/>
      <c r="AG333" s="12"/>
      <c r="AR333" s="13"/>
      <c r="BE333" s="24"/>
      <c r="BK333" s="12"/>
      <c r="BO333" s="13"/>
      <c r="BP333" s="18"/>
      <c r="BQ333" s="12"/>
      <c r="BU333" s="13"/>
      <c r="BZ333" s="13"/>
      <c r="CA333" s="43"/>
      <c r="CB333" s="45"/>
      <c r="EP333" s="4"/>
      <c r="FC333" s="12"/>
      <c r="FE333" s="12"/>
      <c r="FP333" s="13"/>
      <c r="GB333" s="13"/>
      <c r="GD333" s="12"/>
      <c r="GN333" s="12"/>
      <c r="GU333" s="13"/>
      <c r="GV333" s="18"/>
      <c r="GW333" s="18"/>
      <c r="GX333" s="12"/>
      <c r="JE333" s="5"/>
    </row>
    <row r="334" spans="31:265" ht="18" customHeight="1" x14ac:dyDescent="0.2">
      <c r="AE334" s="42"/>
      <c r="AF334" s="43"/>
      <c r="AG334" s="12"/>
      <c r="AR334" s="13"/>
      <c r="BE334" s="18"/>
      <c r="BF334" s="15"/>
      <c r="BG334" s="15"/>
      <c r="BH334" s="15"/>
      <c r="BI334" s="15"/>
      <c r="BJ334" s="15"/>
      <c r="BK334" s="14"/>
      <c r="BL334" s="15"/>
      <c r="BM334" s="15"/>
      <c r="BN334" s="15"/>
      <c r="BO334" s="16"/>
      <c r="BP334" s="19"/>
      <c r="BQ334" s="14"/>
      <c r="BR334" s="15"/>
      <c r="BS334" s="15"/>
      <c r="BT334" s="15"/>
      <c r="BU334" s="16"/>
      <c r="BV334" s="15"/>
      <c r="BW334" s="15"/>
      <c r="BX334" s="15"/>
      <c r="BY334" s="15"/>
      <c r="BZ334" s="16"/>
      <c r="CA334" s="43"/>
      <c r="CB334" s="45"/>
      <c r="EP334" s="4"/>
      <c r="FC334" s="12"/>
      <c r="FE334" s="12"/>
      <c r="FP334" s="13"/>
      <c r="GB334" s="13"/>
      <c r="GD334" s="12"/>
      <c r="GN334" s="12"/>
      <c r="GU334" s="13"/>
      <c r="GV334" s="19"/>
      <c r="GW334" s="19"/>
      <c r="GX334" s="12"/>
      <c r="JE334" s="5"/>
    </row>
    <row r="335" spans="31:265" ht="18" customHeight="1" x14ac:dyDescent="0.2">
      <c r="AE335" s="42"/>
      <c r="AF335" s="43"/>
      <c r="AG335" s="14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6"/>
      <c r="BE335" s="18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  <c r="BU335" s="100"/>
      <c r="BV335" s="100"/>
      <c r="BW335" s="100"/>
      <c r="BX335" s="100"/>
      <c r="BY335" s="100"/>
      <c r="BZ335" s="22"/>
      <c r="CA335" s="43"/>
      <c r="CB335" s="45"/>
      <c r="EP335" s="4"/>
      <c r="FC335" s="12"/>
      <c r="FE335" s="12"/>
      <c r="FP335" s="13"/>
      <c r="GB335" s="13"/>
      <c r="GD335" s="12"/>
      <c r="GN335" s="12"/>
      <c r="GU335" s="13"/>
      <c r="GX335" s="12"/>
      <c r="JE335" s="5"/>
    </row>
    <row r="336" spans="31:265" ht="18" customHeight="1" x14ac:dyDescent="0.2">
      <c r="AE336" s="42"/>
      <c r="AF336" s="43"/>
      <c r="AG336" s="9"/>
      <c r="AH336" s="11"/>
      <c r="BE336" s="18"/>
      <c r="BF336" s="10"/>
      <c r="BG336" s="10"/>
      <c r="BH336" s="10"/>
      <c r="BI336" s="10"/>
      <c r="BJ336" s="10"/>
      <c r="BK336" s="10"/>
      <c r="BL336" s="10"/>
      <c r="BM336" s="9"/>
      <c r="BN336" s="38"/>
      <c r="BO336" s="38"/>
      <c r="BP336" s="11"/>
      <c r="BQ336" s="10"/>
      <c r="BR336" s="10"/>
      <c r="BS336" s="10"/>
      <c r="BT336" s="10"/>
      <c r="BU336" s="10"/>
      <c r="BV336" s="10"/>
      <c r="BW336" s="10"/>
      <c r="BX336" s="10"/>
      <c r="BY336" s="10"/>
      <c r="BZ336" s="11"/>
      <c r="CA336" s="43"/>
      <c r="CB336" s="45"/>
      <c r="EP336" s="4"/>
      <c r="FC336" s="12"/>
      <c r="FE336" s="12"/>
      <c r="FP336" s="13"/>
      <c r="GB336" s="13"/>
      <c r="GD336" s="12"/>
      <c r="GN336" s="12"/>
      <c r="GU336" s="13"/>
      <c r="GX336" s="14"/>
      <c r="GY336" s="15"/>
      <c r="GZ336" s="15"/>
      <c r="HA336" s="15"/>
      <c r="HB336" s="15"/>
      <c r="HC336" s="15"/>
      <c r="HD336" s="15"/>
      <c r="HE336" s="15"/>
      <c r="HF336" s="15"/>
      <c r="HG336" s="15"/>
      <c r="HH336" s="15"/>
      <c r="HI336" s="15"/>
      <c r="HJ336" s="15"/>
      <c r="HK336" s="15"/>
      <c r="HL336" s="15"/>
      <c r="JE336" s="5"/>
    </row>
    <row r="337" spans="31:265" ht="18" customHeight="1" x14ac:dyDescent="0.2">
      <c r="AE337" s="42"/>
      <c r="AF337" s="43"/>
      <c r="AG337" s="12"/>
      <c r="AH337" s="13"/>
      <c r="BE337" s="24"/>
      <c r="BM337" s="12"/>
      <c r="BN337" s="32"/>
      <c r="BO337" s="32"/>
      <c r="BP337" s="13"/>
      <c r="BZ337" s="13"/>
      <c r="CA337" s="43"/>
      <c r="CB337" s="45"/>
      <c r="EP337" s="4"/>
      <c r="FC337" s="12"/>
      <c r="FE337" s="12"/>
      <c r="FP337" s="13"/>
      <c r="GB337" s="13"/>
      <c r="GD337" s="14"/>
      <c r="GE337" s="15"/>
      <c r="GF337" s="15"/>
      <c r="GG337" s="15"/>
      <c r="GH337" s="15"/>
      <c r="GI337" s="15"/>
      <c r="GJ337" s="15"/>
      <c r="GK337" s="15"/>
      <c r="GL337" s="15"/>
      <c r="GM337" s="15"/>
      <c r="GN337" s="14"/>
      <c r="GO337" s="15"/>
      <c r="GP337" s="15"/>
      <c r="GQ337" s="15"/>
      <c r="GR337" s="15"/>
      <c r="GS337" s="15"/>
      <c r="GT337" s="15"/>
      <c r="GU337" s="16"/>
      <c r="HC337" s="20"/>
      <c r="HD337" s="21"/>
      <c r="HE337" s="21"/>
      <c r="HF337" s="21"/>
      <c r="HG337" s="21"/>
      <c r="HH337" s="22"/>
      <c r="HL337" s="11"/>
      <c r="JE337" s="5"/>
    </row>
    <row r="338" spans="31:265" ht="18" customHeight="1" x14ac:dyDescent="0.2">
      <c r="AE338" s="42"/>
      <c r="AF338" s="43"/>
      <c r="AG338" s="14"/>
      <c r="AH338" s="16"/>
      <c r="BE338" s="24"/>
      <c r="BM338" s="14"/>
      <c r="BN338" s="15"/>
      <c r="BO338" s="15"/>
      <c r="BP338" s="16"/>
      <c r="BZ338" s="13"/>
      <c r="CA338" s="43"/>
      <c r="CB338" s="45"/>
      <c r="EP338" s="4"/>
      <c r="FC338" s="12"/>
      <c r="FE338" s="12"/>
      <c r="FP338" s="13"/>
      <c r="GB338" s="13"/>
      <c r="GE338" s="127"/>
      <c r="GF338" s="127"/>
      <c r="GG338" s="127"/>
      <c r="GH338" s="127"/>
      <c r="GI338" s="127"/>
      <c r="GL338" s="15"/>
      <c r="GM338" s="15"/>
      <c r="GQ338" s="15"/>
      <c r="GR338" s="15"/>
      <c r="GV338" s="15"/>
      <c r="GW338" s="15"/>
      <c r="GX338" s="15"/>
      <c r="GY338" s="15"/>
      <c r="GZ338" s="15"/>
      <c r="HA338" s="15"/>
      <c r="HB338" s="15"/>
      <c r="HC338" s="20"/>
      <c r="HD338" s="21"/>
      <c r="HE338" s="21"/>
      <c r="HF338" s="21"/>
      <c r="HG338" s="21"/>
      <c r="HH338" s="22"/>
      <c r="HL338" s="13"/>
      <c r="JE338" s="5"/>
    </row>
    <row r="339" spans="31:265" ht="18" customHeight="1" x14ac:dyDescent="0.2">
      <c r="AE339" s="42"/>
      <c r="AF339" s="43"/>
      <c r="AG339" s="12"/>
      <c r="BE339" s="24"/>
      <c r="BZ339" s="13"/>
      <c r="CA339" s="43"/>
      <c r="CB339" s="45"/>
      <c r="EP339" s="4"/>
      <c r="FC339" s="12"/>
      <c r="FE339" s="12"/>
      <c r="FP339" s="13"/>
      <c r="GB339" s="13"/>
      <c r="GD339" s="9"/>
      <c r="GE339" s="10"/>
      <c r="GF339" s="10"/>
      <c r="GG339" s="10"/>
      <c r="GH339" s="10"/>
      <c r="GI339" s="10"/>
      <c r="GJ339" s="10"/>
      <c r="GK339" s="10"/>
      <c r="GL339" s="10"/>
      <c r="GM339" t="s">
        <v>45</v>
      </c>
      <c r="GN339" s="10"/>
      <c r="GO339" s="10"/>
      <c r="GP339" s="10"/>
      <c r="GQ339" s="10"/>
      <c r="GR339" s="10"/>
      <c r="GS339" s="10"/>
      <c r="GT339" s="10"/>
      <c r="GU339" s="10"/>
      <c r="GV339" s="10"/>
      <c r="GW339" s="10"/>
      <c r="GX339" s="10"/>
      <c r="GY339" s="10"/>
      <c r="GZ339" s="10"/>
      <c r="HA339" s="10"/>
      <c r="HB339" s="10"/>
      <c r="HC339" s="10"/>
      <c r="HD339" s="10"/>
      <c r="HE339" s="10"/>
      <c r="HF339" s="10"/>
      <c r="HG339" s="10"/>
      <c r="HH339" s="10"/>
      <c r="HI339" s="10"/>
      <c r="HJ339" s="11"/>
      <c r="HL339" s="13"/>
      <c r="JE339" s="5"/>
    </row>
    <row r="340" spans="31:265" ht="18" customHeight="1" x14ac:dyDescent="0.2">
      <c r="AE340" s="42"/>
      <c r="AF340" s="43"/>
      <c r="AG340" s="12"/>
      <c r="BE340" s="24"/>
      <c r="BZ340" s="13"/>
      <c r="CA340" s="125"/>
      <c r="CB340" s="125"/>
      <c r="EP340" s="4"/>
      <c r="FC340" s="12"/>
      <c r="FE340" s="14"/>
      <c r="FF340" s="15"/>
      <c r="FG340" s="15"/>
      <c r="FH340" s="15"/>
      <c r="FI340" s="15"/>
      <c r="FJ340" s="15"/>
      <c r="FK340" s="15"/>
      <c r="FL340" s="15"/>
      <c r="FM340" s="15"/>
      <c r="FN340" s="15"/>
      <c r="FO340" s="15"/>
      <c r="FP340" s="16"/>
      <c r="GB340" s="13"/>
      <c r="GC340" s="127"/>
      <c r="GD340" s="12"/>
      <c r="HJ340" s="13"/>
      <c r="HL340" s="13"/>
      <c r="JE340" s="5"/>
    </row>
    <row r="341" spans="31:265" ht="18" customHeight="1" x14ac:dyDescent="0.2">
      <c r="AE341" s="42"/>
      <c r="AF341" s="43"/>
      <c r="AG341" s="12"/>
      <c r="BE341" s="24"/>
      <c r="BZ341" s="13"/>
      <c r="CA341" s="108"/>
      <c r="CB341" s="108"/>
      <c r="EP341" s="4"/>
      <c r="FC341" s="12"/>
      <c r="FE341" s="12"/>
      <c r="GB341" s="13"/>
      <c r="GC341" s="127"/>
      <c r="GD341" s="12"/>
      <c r="HJ341" s="13"/>
      <c r="HL341" s="13"/>
      <c r="JE341" s="5"/>
    </row>
    <row r="342" spans="31:265" ht="18" customHeight="1" x14ac:dyDescent="0.2">
      <c r="AE342" s="42"/>
      <c r="AF342" s="43"/>
      <c r="AG342" s="12"/>
      <c r="BE342" s="24"/>
      <c r="BZ342" s="13"/>
      <c r="CA342" s="108"/>
      <c r="CB342" s="108"/>
      <c r="EP342" s="4"/>
      <c r="FC342" s="12"/>
      <c r="FE342" s="12"/>
      <c r="GB342" s="13"/>
      <c r="GC342" s="127"/>
      <c r="GD342" s="12"/>
      <c r="HJ342" s="13"/>
      <c r="HL342" s="13"/>
      <c r="JE342" s="5"/>
    </row>
    <row r="343" spans="31:265" ht="18" customHeight="1" x14ac:dyDescent="0.2">
      <c r="AE343" s="42"/>
      <c r="AF343" s="43"/>
      <c r="AG343" s="14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8"/>
      <c r="BZ343" s="13"/>
      <c r="CA343" s="108"/>
      <c r="CB343" s="108"/>
      <c r="EP343" s="4"/>
      <c r="FC343" s="12"/>
      <c r="FE343" s="12"/>
      <c r="GB343" s="13"/>
      <c r="GC343" s="127"/>
      <c r="GD343" s="12"/>
      <c r="HJ343" s="13"/>
      <c r="HL343" s="13"/>
      <c r="JE343" s="5"/>
    </row>
    <row r="344" spans="31:265" ht="18" customHeight="1" x14ac:dyDescent="0.2">
      <c r="AE344" s="42"/>
      <c r="AF344" s="43"/>
      <c r="AG344" s="20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2"/>
      <c r="BE344" s="18"/>
      <c r="BZ344" s="13"/>
      <c r="CA344" s="108"/>
      <c r="CB344" s="108"/>
      <c r="EP344" s="4"/>
      <c r="FC344" s="12"/>
      <c r="FE344" s="12"/>
      <c r="GB344" s="13"/>
      <c r="GC344" s="127"/>
      <c r="GD344" s="12"/>
      <c r="HG344" s="9"/>
      <c r="HH344" s="10"/>
      <c r="HI344" s="10"/>
      <c r="HJ344" s="11"/>
      <c r="HL344" s="13"/>
      <c r="JE344" s="5"/>
    </row>
    <row r="345" spans="31:265" ht="18" customHeight="1" x14ac:dyDescent="0.2">
      <c r="AE345" s="42"/>
      <c r="AF345" s="43"/>
      <c r="AG345" s="9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8"/>
      <c r="BZ345" s="13"/>
      <c r="CA345" s="126"/>
      <c r="CB345" s="126"/>
      <c r="EP345" s="4"/>
      <c r="FC345" s="12"/>
      <c r="FE345" s="12"/>
      <c r="GB345" s="13"/>
      <c r="GC345" s="127"/>
      <c r="GD345" s="12"/>
      <c r="HG345" s="12"/>
      <c r="HJ345" s="13"/>
      <c r="HL345" s="13"/>
      <c r="JE345" s="5"/>
    </row>
    <row r="346" spans="31:265" ht="18" customHeight="1" x14ac:dyDescent="0.2">
      <c r="AE346" s="42"/>
      <c r="AF346" s="43"/>
      <c r="AG346" s="12"/>
      <c r="BE346" s="24"/>
      <c r="BZ346" s="13"/>
      <c r="CA346" s="43"/>
      <c r="CB346" s="45"/>
      <c r="EP346" s="4"/>
      <c r="FC346" s="12"/>
      <c r="FE346" s="14"/>
      <c r="FF346" s="15"/>
      <c r="FG346" s="15"/>
      <c r="FH346" s="15"/>
      <c r="FI346" s="15"/>
      <c r="FJ346" s="15"/>
      <c r="FK346" s="15"/>
      <c r="FL346" s="15"/>
      <c r="FM346" s="15"/>
      <c r="FN346" s="15"/>
      <c r="FO346" s="15"/>
      <c r="FP346" s="15"/>
      <c r="FQ346" s="15"/>
      <c r="FR346" s="15"/>
      <c r="FS346" s="15"/>
      <c r="FT346" s="15"/>
      <c r="FU346" s="15"/>
      <c r="FV346" s="15"/>
      <c r="FW346" s="15"/>
      <c r="FX346" s="15"/>
      <c r="FY346" s="15"/>
      <c r="FZ346" s="15"/>
      <c r="GA346" s="15"/>
      <c r="GB346" s="16"/>
      <c r="GD346" s="12"/>
      <c r="HA346" s="9"/>
      <c r="HB346" s="10"/>
      <c r="HC346" s="10"/>
      <c r="HD346" s="11"/>
      <c r="HG346" s="12"/>
      <c r="HJ346" s="13"/>
      <c r="HL346" s="13"/>
      <c r="JE346" s="5"/>
    </row>
    <row r="347" spans="31:265" ht="18" customHeight="1" x14ac:dyDescent="0.2">
      <c r="AE347" s="42"/>
      <c r="AF347" s="43"/>
      <c r="AG347" s="12"/>
      <c r="BE347" s="24"/>
      <c r="BW347" s="9"/>
      <c r="BX347" s="10"/>
      <c r="BY347" s="10"/>
      <c r="BZ347" s="11"/>
      <c r="CA347" s="43"/>
      <c r="CB347" s="45"/>
      <c r="EP347" s="4"/>
      <c r="FC347" s="12"/>
      <c r="FF347" s="20"/>
      <c r="FG347" s="21"/>
      <c r="FH347" s="21"/>
      <c r="FI347" s="22"/>
      <c r="GD347" s="12"/>
      <c r="HA347" s="12"/>
      <c r="HD347" s="13"/>
      <c r="HG347" s="12"/>
      <c r="HJ347" s="13"/>
      <c r="HL347" s="13"/>
      <c r="JE347" s="5"/>
    </row>
    <row r="348" spans="31:265" ht="18" customHeight="1" x14ac:dyDescent="0.2">
      <c r="AE348" s="42"/>
      <c r="AF348" s="43"/>
      <c r="AG348" s="12"/>
      <c r="BE348" s="24"/>
      <c r="BW348" s="12"/>
      <c r="BZ348" s="13"/>
      <c r="CA348" s="43"/>
      <c r="CB348" s="45"/>
      <c r="EP348" s="4"/>
      <c r="FC348" s="14"/>
      <c r="FD348" s="15"/>
      <c r="FE348" s="15"/>
      <c r="FF348" s="20"/>
      <c r="FG348" s="21"/>
      <c r="FH348" s="21"/>
      <c r="FI348" s="22"/>
      <c r="FJ348" s="15"/>
      <c r="FK348" s="15"/>
      <c r="FN348" s="9"/>
      <c r="FO348" s="10"/>
      <c r="FP348" s="10"/>
      <c r="FQ348" s="10"/>
      <c r="FR348" s="10"/>
      <c r="FS348" s="10"/>
      <c r="FT348" s="10"/>
      <c r="FU348" s="10"/>
      <c r="FV348" s="10"/>
      <c r="FW348" s="10"/>
      <c r="FX348" s="10"/>
      <c r="FY348" s="11"/>
      <c r="FZ348" s="10"/>
      <c r="GA348" s="10"/>
      <c r="GB348" s="11"/>
      <c r="GD348" s="14"/>
      <c r="GE348" s="15"/>
      <c r="GF348" s="15"/>
      <c r="GG348" s="15"/>
      <c r="GH348" s="15"/>
      <c r="GI348" s="15"/>
      <c r="GJ348" s="15"/>
      <c r="GK348" s="15"/>
      <c r="GL348" s="15"/>
      <c r="HA348" s="12"/>
      <c r="HD348" s="13"/>
      <c r="HG348" s="12"/>
      <c r="HJ348" s="13"/>
      <c r="HL348" s="13"/>
      <c r="JE348" s="5"/>
    </row>
    <row r="349" spans="31:265" ht="18" customHeight="1" x14ac:dyDescent="0.2">
      <c r="AE349" s="42"/>
      <c r="AF349" s="43"/>
      <c r="AG349" s="12"/>
      <c r="BE349" s="24"/>
      <c r="BQ349" s="9"/>
      <c r="BR349" s="10"/>
      <c r="BS349" s="10"/>
      <c r="BT349" s="11"/>
      <c r="BW349" s="12"/>
      <c r="BZ349" s="13"/>
      <c r="CA349" s="43"/>
      <c r="CB349" s="45"/>
      <c r="EP349" s="4"/>
      <c r="FK349" s="11"/>
      <c r="FN349" s="12"/>
      <c r="FY349" s="13"/>
      <c r="GB349" s="13"/>
      <c r="GE349" s="127"/>
      <c r="GF349" s="127"/>
      <c r="GG349" s="127"/>
      <c r="GH349" s="127"/>
      <c r="GI349" s="127"/>
      <c r="GJ349" s="127"/>
      <c r="GM349" s="12"/>
      <c r="HA349" s="14"/>
      <c r="HB349" s="15"/>
      <c r="HC349" s="15"/>
      <c r="HD349" s="16"/>
      <c r="HG349" s="12"/>
      <c r="HJ349" s="13"/>
      <c r="HL349" s="13"/>
      <c r="JE349" s="5"/>
    </row>
    <row r="350" spans="31:265" ht="18" customHeight="1" x14ac:dyDescent="0.2">
      <c r="AE350" s="42"/>
      <c r="AF350" s="43"/>
      <c r="AG350" s="12"/>
      <c r="BE350" s="24"/>
      <c r="BQ350" s="12"/>
      <c r="BT350" s="13"/>
      <c r="BW350" s="12"/>
      <c r="BZ350" s="13"/>
      <c r="CA350" s="43"/>
      <c r="CB350" s="45"/>
      <c r="EP350" s="4"/>
      <c r="FK350" s="13"/>
      <c r="FN350" s="12"/>
      <c r="FY350" s="13"/>
      <c r="GC350" s="10"/>
      <c r="GD350" s="10"/>
      <c r="GE350" s="10"/>
      <c r="GF350" s="10"/>
      <c r="GG350" s="10"/>
      <c r="GH350" s="10"/>
      <c r="GI350" s="10"/>
      <c r="GJ350" s="10"/>
      <c r="GK350" s="11"/>
      <c r="GM350" s="12"/>
      <c r="HG350" s="12"/>
      <c r="HJ350" s="13"/>
      <c r="HL350" s="13"/>
      <c r="JE350" s="5"/>
    </row>
    <row r="351" spans="31:265" ht="18" customHeight="1" x14ac:dyDescent="0.2">
      <c r="AE351" s="42"/>
      <c r="AF351" s="43"/>
      <c r="AG351" s="12"/>
      <c r="BE351" s="24"/>
      <c r="BQ351" s="12"/>
      <c r="BT351" s="13"/>
      <c r="BW351" s="12"/>
      <c r="BZ351" s="13"/>
      <c r="CA351" s="43"/>
      <c r="CB351" s="45"/>
      <c r="EP351" s="4"/>
      <c r="FK351" s="13"/>
      <c r="FN351" s="14"/>
      <c r="FO351" s="15"/>
      <c r="FP351" s="15"/>
      <c r="FQ351" s="15"/>
      <c r="FR351" s="15"/>
      <c r="FS351" s="15"/>
      <c r="FT351" s="15"/>
      <c r="FU351" s="15"/>
      <c r="FV351" s="15"/>
      <c r="FW351" s="15"/>
      <c r="FX351" s="15"/>
      <c r="FY351" s="16"/>
      <c r="GK351" s="13"/>
      <c r="GM351" s="12"/>
      <c r="HG351" s="14"/>
      <c r="HH351" s="15"/>
      <c r="HI351" s="15"/>
      <c r="HJ351" s="16"/>
      <c r="HL351" s="13"/>
      <c r="JE351" s="5"/>
    </row>
    <row r="352" spans="31:265" ht="18" customHeight="1" x14ac:dyDescent="0.2">
      <c r="AE352" s="42"/>
      <c r="AF352" s="43"/>
      <c r="AG352" s="12"/>
      <c r="BE352" s="18"/>
      <c r="BQ352" s="14"/>
      <c r="BR352" s="15"/>
      <c r="BS352" s="15"/>
      <c r="BT352" s="16"/>
      <c r="BW352" s="12"/>
      <c r="BZ352" s="13"/>
      <c r="CA352" s="43"/>
      <c r="CB352" s="45"/>
      <c r="EP352" s="4"/>
      <c r="FK352" s="13"/>
      <c r="FN352" s="12"/>
      <c r="GK352" s="13"/>
      <c r="GM352" s="14"/>
      <c r="GN352" s="15"/>
      <c r="HJ352" s="13"/>
      <c r="HL352" s="13"/>
      <c r="JE352" s="5"/>
    </row>
    <row r="353" spans="18:265" ht="18" customHeight="1" x14ac:dyDescent="0.2">
      <c r="AE353" s="42"/>
      <c r="AF353" s="43"/>
      <c r="AG353" s="12"/>
      <c r="BE353" s="18"/>
      <c r="BW353" s="12"/>
      <c r="BZ353" s="13"/>
      <c r="CA353" s="43"/>
      <c r="CB353" s="45"/>
      <c r="EP353" s="4"/>
      <c r="FK353" s="13"/>
      <c r="FL353" s="12"/>
      <c r="FN353" s="12"/>
      <c r="GK353" s="13"/>
      <c r="GM353" s="9"/>
      <c r="GN353" s="10"/>
      <c r="GO353" s="11"/>
      <c r="HJ353" s="13"/>
      <c r="HL353" s="13"/>
      <c r="JE353" s="5"/>
    </row>
    <row r="354" spans="18:265" ht="18" customHeight="1" x14ac:dyDescent="0.2">
      <c r="AE354" s="42"/>
      <c r="AF354" s="43"/>
      <c r="AG354" s="12"/>
      <c r="BB354" s="9"/>
      <c r="BC354" s="10"/>
      <c r="BD354" s="11"/>
      <c r="BE354" s="18"/>
      <c r="BF354" s="9"/>
      <c r="BG354" s="10"/>
      <c r="BH354" s="11"/>
      <c r="BW354" s="14"/>
      <c r="BX354" s="15"/>
      <c r="BY354" s="15"/>
      <c r="BZ354" s="16"/>
      <c r="CA354" s="43"/>
      <c r="CB354" s="45"/>
      <c r="EP354" s="4"/>
      <c r="FK354" s="13"/>
      <c r="FL354" s="17"/>
      <c r="FM354" s="17"/>
      <c r="FN354" s="12"/>
      <c r="GK354" s="13"/>
      <c r="GM354" s="12"/>
      <c r="GO354" s="13"/>
      <c r="HJ354" s="13"/>
      <c r="HL354" s="13"/>
      <c r="JE354" s="5"/>
    </row>
    <row r="355" spans="18:265" ht="18" customHeight="1" x14ac:dyDescent="0.2">
      <c r="AE355" s="42"/>
      <c r="AF355" s="43"/>
      <c r="AG355" s="12"/>
      <c r="BB355" s="12"/>
      <c r="BD355" s="13"/>
      <c r="BE355" s="18"/>
      <c r="BF355" s="12"/>
      <c r="BH355" s="13"/>
      <c r="BX355" s="9"/>
      <c r="BY355" s="10"/>
      <c r="BZ355" s="11"/>
      <c r="CA355" s="43"/>
      <c r="CB355" s="45"/>
      <c r="EP355" s="4"/>
      <c r="FK355" s="13"/>
      <c r="FL355" s="18"/>
      <c r="FM355" s="18"/>
      <c r="FN355" s="12"/>
      <c r="GK355" s="13"/>
      <c r="GM355" s="14"/>
      <c r="GN355" s="15"/>
      <c r="GO355" s="16"/>
      <c r="HJ355" s="13"/>
      <c r="HL355" s="13"/>
      <c r="HM355" s="12"/>
      <c r="JE355" s="5"/>
    </row>
    <row r="356" spans="18:265" ht="18" customHeight="1" x14ac:dyDescent="0.2">
      <c r="AE356" s="42"/>
      <c r="AF356" s="43"/>
      <c r="AG356" s="12"/>
      <c r="BB356" s="12"/>
      <c r="BD356" s="13"/>
      <c r="BE356" s="18"/>
      <c r="BF356" s="14"/>
      <c r="BG356" s="15"/>
      <c r="BH356" s="16"/>
      <c r="BX356" s="12"/>
      <c r="BZ356" s="13"/>
      <c r="CA356" s="43"/>
      <c r="CB356" s="45"/>
      <c r="EP356" s="4"/>
      <c r="FK356" s="13"/>
      <c r="FL356" s="18"/>
      <c r="FM356" s="18"/>
      <c r="FN356" s="12"/>
      <c r="GK356" s="13"/>
      <c r="GM356" s="9"/>
      <c r="GN356" s="10"/>
      <c r="GO356" s="10"/>
      <c r="GP356" s="10"/>
      <c r="GQ356" s="10"/>
      <c r="GR356" s="11"/>
      <c r="HJ356" s="13"/>
      <c r="HL356" s="13"/>
      <c r="JD356" s="9"/>
      <c r="JE356" s="11"/>
    </row>
    <row r="357" spans="18:265" ht="18" customHeight="1" x14ac:dyDescent="0.2">
      <c r="AE357" s="42"/>
      <c r="AF357" s="43"/>
      <c r="AG357" s="12"/>
      <c r="BB357" s="12"/>
      <c r="BD357" s="13"/>
      <c r="BE357" s="18"/>
      <c r="BF357" s="9"/>
      <c r="BG357" s="10"/>
      <c r="BH357" s="10"/>
      <c r="BI357" s="10"/>
      <c r="BJ357" s="10"/>
      <c r="BK357" s="11"/>
      <c r="BX357" s="12"/>
      <c r="BZ357" s="13"/>
      <c r="CA357" s="43"/>
      <c r="CB357" s="45"/>
      <c r="EP357" s="4"/>
      <c r="FK357" s="13"/>
      <c r="FL357" s="18"/>
      <c r="FM357" s="18"/>
      <c r="FN357" s="12"/>
      <c r="GK357" s="13"/>
      <c r="GM357" s="9"/>
      <c r="GN357" s="11"/>
      <c r="GO357" s="10"/>
      <c r="GP357" s="10"/>
      <c r="GQ357" s="10"/>
      <c r="GR357" s="11"/>
      <c r="HJ357" s="13"/>
      <c r="HL357" s="13"/>
      <c r="JD357" s="12"/>
      <c r="JE357" s="13"/>
    </row>
    <row r="358" spans="18:265" ht="18" customHeight="1" x14ac:dyDescent="0.2">
      <c r="AE358" s="42"/>
      <c r="AF358" s="43"/>
      <c r="AG358" s="12"/>
      <c r="BB358" s="12"/>
      <c r="BD358" s="13"/>
      <c r="BE358" s="18"/>
      <c r="BF358" s="9"/>
      <c r="BG358" s="11"/>
      <c r="BH358" s="10"/>
      <c r="BI358" s="10"/>
      <c r="BJ358" s="10"/>
      <c r="BK358" s="11"/>
      <c r="BX358" s="14"/>
      <c r="BY358" s="15"/>
      <c r="BZ358" s="16"/>
      <c r="CA358" s="43"/>
      <c r="CB358" s="45"/>
      <c r="EP358" s="4"/>
      <c r="FK358" s="13"/>
      <c r="FL358" s="18"/>
      <c r="FM358" s="18"/>
      <c r="FN358" s="12"/>
      <c r="GK358" s="13"/>
      <c r="GM358" s="12"/>
      <c r="GN358" s="13"/>
      <c r="GR358" s="13"/>
      <c r="HH358" s="9"/>
      <c r="HI358" s="10"/>
      <c r="HJ358" s="11"/>
      <c r="HL358" s="13"/>
      <c r="HP358" s="9"/>
      <c r="HQ358" s="10"/>
      <c r="HR358" s="10"/>
      <c r="HS358" s="10"/>
      <c r="HT358" s="10"/>
      <c r="HU358" s="11"/>
      <c r="HV358" s="10"/>
      <c r="HW358" s="10"/>
      <c r="HX358" s="10"/>
      <c r="HY358" s="10"/>
      <c r="HZ358" s="10"/>
      <c r="IA358" s="10"/>
      <c r="IB358" s="10"/>
      <c r="IC358" s="10"/>
      <c r="ID358" s="10"/>
      <c r="IE358" s="10"/>
      <c r="IF358" s="10"/>
      <c r="IG358" s="10"/>
      <c r="IH358" s="10"/>
      <c r="II358" s="10"/>
      <c r="IJ358" s="10"/>
      <c r="IK358" s="10"/>
      <c r="IL358" s="10"/>
      <c r="IM358" s="10"/>
      <c r="IN358" s="11"/>
      <c r="JD358" s="12"/>
      <c r="JE358" s="13"/>
    </row>
    <row r="359" spans="18:265" ht="18" customHeight="1" x14ac:dyDescent="0.2">
      <c r="AE359" s="42"/>
      <c r="AF359" s="43"/>
      <c r="AG359" s="12"/>
      <c r="BB359" s="12"/>
      <c r="BD359" s="13"/>
      <c r="BE359" s="12"/>
      <c r="BF359" s="12"/>
      <c r="BG359" s="13"/>
      <c r="BK359" s="13"/>
      <c r="BX359" s="9"/>
      <c r="BY359" s="10"/>
      <c r="BZ359" s="11"/>
      <c r="CA359" s="43"/>
      <c r="CB359" s="45"/>
      <c r="EP359" s="4"/>
      <c r="FK359" s="13"/>
      <c r="FL359" s="19"/>
      <c r="FM359" s="19"/>
      <c r="FN359" s="12"/>
      <c r="GK359" s="13"/>
      <c r="GM359" s="12"/>
      <c r="GN359" s="13"/>
      <c r="GR359" s="13"/>
      <c r="HH359" s="12"/>
      <c r="HJ359" s="17"/>
      <c r="HL359" s="13"/>
      <c r="HP359" s="12"/>
      <c r="HU359" s="13"/>
      <c r="IN359" s="13"/>
      <c r="JD359" s="12"/>
      <c r="JE359" s="13"/>
    </row>
    <row r="360" spans="18:265" ht="18" customHeight="1" x14ac:dyDescent="0.2">
      <c r="AE360" s="42"/>
      <c r="AF360" s="43"/>
      <c r="AG360" s="12"/>
      <c r="BB360" s="12"/>
      <c r="BD360" s="13"/>
      <c r="BE360" s="12"/>
      <c r="BF360" s="12"/>
      <c r="BG360" s="13"/>
      <c r="BK360" s="13"/>
      <c r="BX360" s="12"/>
      <c r="BZ360" s="17"/>
      <c r="CA360" s="43"/>
      <c r="CB360" s="45"/>
      <c r="EP360" s="4"/>
      <c r="FK360" s="13"/>
      <c r="FL360" s="12"/>
      <c r="FN360" s="12"/>
      <c r="GK360" s="13"/>
      <c r="GM360" s="12"/>
      <c r="GN360" s="13"/>
      <c r="GR360" s="13"/>
      <c r="HH360" s="12"/>
      <c r="HJ360" s="18"/>
      <c r="HL360" s="13"/>
      <c r="HP360" s="12"/>
      <c r="HU360" s="13"/>
      <c r="IN360" s="13"/>
      <c r="JD360" s="12"/>
      <c r="JE360" s="13"/>
    </row>
    <row r="361" spans="18:265" ht="18" customHeight="1" x14ac:dyDescent="0.2">
      <c r="AE361" s="42"/>
      <c r="AF361" s="43"/>
      <c r="AG361" s="12"/>
      <c r="BB361" s="12"/>
      <c r="BD361" s="13"/>
      <c r="BE361" s="12"/>
      <c r="BF361" s="12"/>
      <c r="BG361" s="13"/>
      <c r="BK361" s="13"/>
      <c r="BX361" s="12"/>
      <c r="BZ361" s="18"/>
      <c r="CA361" s="43"/>
      <c r="CB361" s="45"/>
      <c r="EP361" s="4"/>
      <c r="FK361" s="13"/>
      <c r="FN361" s="12"/>
      <c r="GI361" s="9"/>
      <c r="GJ361" s="10"/>
      <c r="GK361" s="11"/>
      <c r="GM361" s="12"/>
      <c r="GN361" s="13"/>
      <c r="GO361" s="15"/>
      <c r="GP361" s="15"/>
      <c r="GQ361" s="15"/>
      <c r="GR361" s="16"/>
      <c r="HH361" s="12"/>
      <c r="HJ361" s="18"/>
      <c r="HL361" s="13"/>
      <c r="HP361" s="12"/>
      <c r="HU361" s="13"/>
      <c r="IN361" s="13"/>
      <c r="JD361" s="12"/>
      <c r="JE361" s="13"/>
    </row>
    <row r="362" spans="18:265" ht="18" customHeight="1" x14ac:dyDescent="0.2">
      <c r="AE362" s="42"/>
      <c r="AF362" s="43"/>
      <c r="AG362" s="12"/>
      <c r="BB362" s="12"/>
      <c r="BD362" s="13"/>
      <c r="BE362" s="12"/>
      <c r="BF362" s="12"/>
      <c r="BG362" s="13"/>
      <c r="BH362" s="15"/>
      <c r="BI362" s="15"/>
      <c r="BJ362" s="15"/>
      <c r="BK362" s="16"/>
      <c r="BX362" s="12"/>
      <c r="BZ362" s="18"/>
      <c r="CA362" s="43"/>
      <c r="CB362" s="45"/>
      <c r="EP362" s="4"/>
      <c r="FK362" s="13"/>
      <c r="FN362" s="12"/>
      <c r="GI362" s="12"/>
      <c r="GK362" s="13"/>
      <c r="GM362" s="12"/>
      <c r="GN362" s="13"/>
      <c r="GO362" s="10"/>
      <c r="GP362" s="10"/>
      <c r="GQ362" s="10"/>
      <c r="GR362" s="11"/>
      <c r="HH362" s="12"/>
      <c r="HJ362" s="18"/>
      <c r="HL362" s="13"/>
      <c r="HP362" s="12"/>
      <c r="HU362" s="13"/>
      <c r="IN362" s="13"/>
      <c r="JD362" s="12"/>
      <c r="JE362" s="13"/>
    </row>
    <row r="363" spans="18:265" ht="18" customHeight="1" x14ac:dyDescent="0.2">
      <c r="AE363" s="42"/>
      <c r="AF363" s="43"/>
      <c r="AG363" s="12"/>
      <c r="BB363" s="14"/>
      <c r="BC363" s="15"/>
      <c r="BD363" s="16"/>
      <c r="BE363" s="12"/>
      <c r="BF363" s="12"/>
      <c r="BG363" s="13"/>
      <c r="BH363" s="10"/>
      <c r="BI363" s="10"/>
      <c r="BJ363" s="10"/>
      <c r="BK363" s="11"/>
      <c r="BX363" s="12"/>
      <c r="BZ363" s="18"/>
      <c r="CA363" s="43"/>
      <c r="CB363" s="45"/>
      <c r="EP363" s="4"/>
      <c r="FK363" s="13"/>
      <c r="FN363" s="12"/>
      <c r="GI363" s="12"/>
      <c r="GK363" s="13"/>
      <c r="GM363" s="12"/>
      <c r="GN363" s="13"/>
      <c r="GR363" s="13"/>
      <c r="HH363" s="12"/>
      <c r="HJ363" s="18"/>
      <c r="HL363" s="13"/>
      <c r="HP363" s="12"/>
      <c r="HU363" s="13"/>
      <c r="IN363" s="13"/>
      <c r="JD363" s="12"/>
      <c r="JE363" s="13"/>
    </row>
    <row r="364" spans="18:265" ht="18" customHeight="1" x14ac:dyDescent="0.2">
      <c r="AE364" s="42"/>
      <c r="AF364" s="43"/>
      <c r="AG364" s="14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  <c r="AZ364" s="15"/>
      <c r="BA364" s="15"/>
      <c r="BB364" s="15"/>
      <c r="BC364" s="15"/>
      <c r="BD364" s="15"/>
      <c r="BE364" s="12"/>
      <c r="BF364" s="12"/>
      <c r="BG364" s="13"/>
      <c r="BK364" s="13"/>
      <c r="BX364" s="12"/>
      <c r="BZ364" s="18"/>
      <c r="CA364" s="43"/>
      <c r="CB364" s="45"/>
      <c r="EP364" s="4"/>
      <c r="FK364" s="13"/>
      <c r="FN364" s="12"/>
      <c r="GI364" s="12"/>
      <c r="GK364" s="13"/>
      <c r="GM364" s="12"/>
      <c r="GN364" s="13"/>
      <c r="GR364" s="13"/>
      <c r="HH364" s="12"/>
      <c r="HJ364" s="19"/>
      <c r="HL364" s="13"/>
      <c r="HP364" s="12"/>
      <c r="HU364" s="13"/>
      <c r="IN364" s="13"/>
      <c r="JD364" s="12"/>
      <c r="JE364" s="13"/>
    </row>
    <row r="365" spans="18:265" ht="18" customHeight="1" x14ac:dyDescent="0.2">
      <c r="R365" s="9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1"/>
      <c r="AE365" s="42"/>
      <c r="AF365" s="43"/>
      <c r="AG365" s="12"/>
      <c r="AR365" s="21"/>
      <c r="AT365" s="21"/>
      <c r="BD365" s="21"/>
      <c r="BE365" s="12"/>
      <c r="BF365" s="12"/>
      <c r="BG365" s="13"/>
      <c r="BK365" s="13"/>
      <c r="BX365" s="12"/>
      <c r="BZ365" s="19"/>
      <c r="CA365" s="43"/>
      <c r="CB365" s="45"/>
      <c r="CC365" s="9"/>
      <c r="CD365" s="10"/>
      <c r="CE365" s="10"/>
      <c r="CF365" s="10"/>
      <c r="CG365" s="10"/>
      <c r="CH365" s="10"/>
      <c r="CI365" s="10"/>
      <c r="CJ365" s="10"/>
      <c r="CK365" s="10"/>
      <c r="CL365" s="10"/>
      <c r="CM365" s="10"/>
      <c r="CN365" s="10"/>
      <c r="CO365" s="11"/>
      <c r="EP365" s="4"/>
      <c r="FK365" s="13"/>
      <c r="FN365" s="12"/>
      <c r="GI365" s="12"/>
      <c r="GK365" s="13"/>
      <c r="GM365" s="12"/>
      <c r="GN365" s="13"/>
      <c r="GR365" s="13"/>
      <c r="HH365" s="14"/>
      <c r="HI365" s="15"/>
      <c r="HJ365" s="16"/>
      <c r="HL365" s="13"/>
      <c r="HP365" s="12"/>
      <c r="HU365" s="13"/>
      <c r="IN365" s="13"/>
      <c r="JD365" s="12"/>
      <c r="JE365" s="13"/>
    </row>
    <row r="366" spans="18:265" ht="18" customHeight="1" x14ac:dyDescent="0.2">
      <c r="R366" s="12"/>
      <c r="S366" s="9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1"/>
      <c r="AE366" s="42"/>
      <c r="AF366" s="43"/>
      <c r="AG366" s="9"/>
      <c r="AH366" s="10"/>
      <c r="AI366" s="10"/>
      <c r="AJ366" s="11"/>
      <c r="AK366" s="10"/>
      <c r="AL366" s="10"/>
      <c r="AM366" s="10"/>
      <c r="AN366" s="10"/>
      <c r="AO366" s="9"/>
      <c r="AP366" s="10"/>
      <c r="AQ366" s="10"/>
      <c r="AR366" s="11"/>
      <c r="AS366" s="85"/>
      <c r="AT366" s="74"/>
      <c r="AU366" s="75"/>
      <c r="AV366" s="85"/>
      <c r="AW366" s="9"/>
      <c r="AX366" s="10"/>
      <c r="AY366" s="10"/>
      <c r="AZ366" s="11"/>
      <c r="BA366" s="141"/>
      <c r="BB366" s="141"/>
      <c r="BC366" s="141"/>
      <c r="BD366" s="141"/>
      <c r="BE366" s="12"/>
      <c r="BF366" s="12"/>
      <c r="BG366" s="13"/>
      <c r="BK366" s="13"/>
      <c r="BX366" s="14"/>
      <c r="BY366" s="15"/>
      <c r="BZ366" s="16"/>
      <c r="CA366" s="43"/>
      <c r="CB366" s="45"/>
      <c r="CC366" s="9"/>
      <c r="CD366" s="10"/>
      <c r="CE366" s="10"/>
      <c r="CF366" s="10"/>
      <c r="CG366" s="10"/>
      <c r="CH366" s="10"/>
      <c r="CI366" s="10"/>
      <c r="CJ366" s="10"/>
      <c r="CK366" s="10"/>
      <c r="CL366" s="10"/>
      <c r="CM366" s="10"/>
      <c r="CN366" s="11"/>
      <c r="CO366" s="13"/>
      <c r="EP366" s="4"/>
      <c r="FK366" s="13"/>
      <c r="FN366" s="12"/>
      <c r="GI366" s="12"/>
      <c r="GK366" s="13"/>
      <c r="GM366" s="14"/>
      <c r="GN366" s="16"/>
      <c r="GO366" s="15"/>
      <c r="GP366" s="15"/>
      <c r="GQ366" s="15"/>
      <c r="GR366" s="16"/>
      <c r="HJ366" s="13"/>
      <c r="HL366" s="13"/>
      <c r="HP366" s="12"/>
      <c r="HU366" s="13"/>
      <c r="IN366" s="13"/>
      <c r="JD366" s="12"/>
      <c r="JE366" s="13"/>
    </row>
    <row r="367" spans="18:265" ht="18" customHeight="1" x14ac:dyDescent="0.25">
      <c r="R367" s="12"/>
      <c r="S367" s="12"/>
      <c r="AD367" s="13"/>
      <c r="AE367" s="42"/>
      <c r="AF367" s="43"/>
      <c r="AG367" s="12"/>
      <c r="AJ367" s="13"/>
      <c r="AK367" s="128"/>
      <c r="AL367" s="99"/>
      <c r="AO367" s="12"/>
      <c r="AP367" s="129"/>
      <c r="AR367" s="13"/>
      <c r="AS367" s="87"/>
      <c r="AT367" s="138"/>
      <c r="AU367" s="88"/>
      <c r="AV367" s="88"/>
      <c r="AX367" s="32"/>
      <c r="AY367" s="32"/>
      <c r="AZ367" s="13"/>
      <c r="BA367" s="49"/>
      <c r="BB367" s="142"/>
      <c r="BC367" s="49"/>
      <c r="BD367" s="49"/>
      <c r="BE367" s="18"/>
      <c r="BF367" s="14"/>
      <c r="BG367" s="16"/>
      <c r="BH367" s="15"/>
      <c r="BI367" s="15"/>
      <c r="BJ367" s="15"/>
      <c r="BK367" s="16"/>
      <c r="BZ367" s="13"/>
      <c r="CA367" s="43"/>
      <c r="CB367" s="45"/>
      <c r="CC367" s="12"/>
      <c r="CN367" s="13"/>
      <c r="CO367" s="13"/>
      <c r="EP367" s="4"/>
      <c r="FK367" s="13"/>
      <c r="FN367" s="12"/>
      <c r="GI367" s="12"/>
      <c r="GK367" s="13"/>
      <c r="GM367" s="14"/>
      <c r="GN367" s="15"/>
      <c r="GO367" s="15"/>
      <c r="GP367" s="15"/>
      <c r="GQ367" s="15"/>
      <c r="GR367" s="16"/>
      <c r="HJ367" s="13"/>
      <c r="HL367" s="13"/>
      <c r="HP367" s="12"/>
      <c r="HU367" s="13"/>
      <c r="IN367" s="13"/>
      <c r="JD367" s="12"/>
      <c r="JE367" s="13"/>
    </row>
    <row r="368" spans="18:265" ht="18" customHeight="1" x14ac:dyDescent="0.2">
      <c r="R368" s="12"/>
      <c r="S368" s="12"/>
      <c r="AD368" s="13"/>
      <c r="AE368" s="42"/>
      <c r="AF368" s="43"/>
      <c r="AG368" s="12"/>
      <c r="AJ368" s="13"/>
      <c r="AO368" s="20"/>
      <c r="AP368" s="21"/>
      <c r="AQ368" s="21"/>
      <c r="AR368" s="22"/>
      <c r="AS368" s="87"/>
      <c r="AT368" s="86"/>
      <c r="AU368" s="88"/>
      <c r="AV368" s="88"/>
      <c r="AX368" s="32"/>
      <c r="AY368" s="32"/>
      <c r="AZ368" s="13"/>
      <c r="BA368" s="49"/>
      <c r="BB368" s="49"/>
      <c r="BC368" s="49"/>
      <c r="BD368" s="49"/>
      <c r="BE368" s="18"/>
      <c r="BF368" s="14"/>
      <c r="BG368" s="15"/>
      <c r="BH368" s="15"/>
      <c r="BI368" s="15"/>
      <c r="BJ368" s="15"/>
      <c r="BK368" s="16"/>
      <c r="BZ368" s="13"/>
      <c r="CA368" s="43"/>
      <c r="CB368" s="45"/>
      <c r="CC368" s="12"/>
      <c r="CN368" s="13"/>
      <c r="CO368" s="13"/>
      <c r="EP368" s="4"/>
      <c r="FK368" s="13"/>
      <c r="FN368" s="12"/>
      <c r="GI368" s="12"/>
      <c r="GK368" s="13"/>
      <c r="GM368" s="9"/>
      <c r="GN368" s="10"/>
      <c r="GO368" s="11"/>
      <c r="HJ368" s="13"/>
      <c r="HL368" s="13"/>
      <c r="HP368" s="14"/>
      <c r="HQ368" s="15"/>
      <c r="HR368" s="15"/>
      <c r="HS368" s="15"/>
      <c r="HT368" s="15"/>
      <c r="HU368" s="16"/>
      <c r="HV368" s="15"/>
      <c r="HW368" s="15"/>
      <c r="HX368" s="15"/>
      <c r="HY368" s="15"/>
      <c r="HZ368" s="15"/>
      <c r="IA368" s="15"/>
      <c r="IB368" s="15"/>
      <c r="IC368" s="15"/>
      <c r="ID368" s="15"/>
      <c r="IE368" s="15"/>
      <c r="IF368" s="15"/>
      <c r="IG368" s="15"/>
      <c r="IH368" s="15"/>
      <c r="II368" s="15"/>
      <c r="IJ368" s="15"/>
      <c r="IK368" s="15"/>
      <c r="IL368" s="15"/>
      <c r="IM368" s="15"/>
      <c r="IN368" s="16"/>
      <c r="JD368" s="12"/>
      <c r="JE368" s="13"/>
    </row>
    <row r="369" spans="18:265" ht="18" customHeight="1" x14ac:dyDescent="0.2">
      <c r="R369" s="12"/>
      <c r="S369" s="12"/>
      <c r="AD369" s="13"/>
      <c r="AE369" s="42"/>
      <c r="AF369" s="43"/>
      <c r="AG369" s="14"/>
      <c r="AH369" s="15"/>
      <c r="AI369" s="15"/>
      <c r="AJ369" s="16"/>
      <c r="AO369" s="14"/>
      <c r="AP369" s="15"/>
      <c r="AQ369" s="15"/>
      <c r="AR369" s="16"/>
      <c r="AS369" s="87"/>
      <c r="AT369" s="76"/>
      <c r="AU369" s="77"/>
      <c r="AV369" s="87"/>
      <c r="AW369" s="14"/>
      <c r="AX369" s="15"/>
      <c r="AY369" s="15"/>
      <c r="AZ369" s="16"/>
      <c r="BA369" s="49"/>
      <c r="BB369" s="49"/>
      <c r="BC369" s="49"/>
      <c r="BD369" s="49"/>
      <c r="BE369" s="18"/>
      <c r="BF369" s="9"/>
      <c r="BG369" s="10"/>
      <c r="BH369" s="11"/>
      <c r="BZ369" s="13"/>
      <c r="CA369" s="43"/>
      <c r="CB369" s="45"/>
      <c r="CC369" s="12"/>
      <c r="CN369" s="13"/>
      <c r="CO369" s="13"/>
      <c r="EP369" s="4"/>
      <c r="FK369" s="13"/>
      <c r="FN369" s="12"/>
      <c r="GI369" s="12"/>
      <c r="GK369" s="13"/>
      <c r="GM369" s="12"/>
      <c r="GO369" s="13"/>
      <c r="HJ369" s="13"/>
      <c r="HL369" s="13"/>
      <c r="JD369" s="12"/>
      <c r="JE369" s="13"/>
    </row>
    <row r="370" spans="18:265" ht="18" customHeight="1" x14ac:dyDescent="0.2">
      <c r="R370" s="12"/>
      <c r="S370" s="12"/>
      <c r="AD370" s="13"/>
      <c r="AE370" s="42"/>
      <c r="AF370" s="43"/>
      <c r="AG370" s="9"/>
      <c r="AH370" s="10"/>
      <c r="AI370" s="10"/>
      <c r="AJ370" s="11"/>
      <c r="AK370" s="139"/>
      <c r="AL370" s="10"/>
      <c r="AM370" s="10"/>
      <c r="AN370" s="10"/>
      <c r="AO370" s="10"/>
      <c r="AP370" s="10"/>
      <c r="AQ370" s="10"/>
      <c r="AR370" s="10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18"/>
      <c r="BF370" s="12"/>
      <c r="BH370" s="13"/>
      <c r="BZ370" s="13"/>
      <c r="CA370" s="43"/>
      <c r="CB370" s="45"/>
      <c r="CC370" s="12"/>
      <c r="CN370" s="13"/>
      <c r="CO370" s="13"/>
      <c r="EP370" s="4"/>
      <c r="FK370" s="13"/>
      <c r="FN370" s="12"/>
      <c r="GI370" s="14"/>
      <c r="GJ370" s="15"/>
      <c r="GK370" s="16"/>
      <c r="GM370" s="14"/>
      <c r="GN370" s="15"/>
      <c r="GO370" s="16"/>
      <c r="HJ370" s="13"/>
      <c r="HL370" s="13"/>
      <c r="JD370" s="12"/>
      <c r="JE370" s="13"/>
    </row>
    <row r="371" spans="18:265" ht="18" customHeight="1" x14ac:dyDescent="0.2">
      <c r="R371" s="12"/>
      <c r="S371" s="12"/>
      <c r="AD371" s="13"/>
      <c r="AE371" s="42"/>
      <c r="AF371" s="43"/>
      <c r="AG371" s="12"/>
      <c r="AJ371" s="13"/>
      <c r="AK371" s="140"/>
      <c r="AL371" s="129"/>
      <c r="AP371" s="129"/>
      <c r="AT371" s="129"/>
      <c r="AX371" s="129"/>
      <c r="BE371" s="18"/>
      <c r="BF371" s="14"/>
      <c r="BG371" s="15"/>
      <c r="BH371" s="16"/>
      <c r="BZ371" s="13"/>
      <c r="CA371" s="125"/>
      <c r="CB371" s="125"/>
      <c r="CC371" s="12"/>
      <c r="CN371" s="13"/>
      <c r="CO371" s="13"/>
      <c r="EP371" s="4"/>
      <c r="FK371" s="13"/>
      <c r="FN371" s="14"/>
      <c r="FO371" s="15"/>
      <c r="FP371" s="15"/>
      <c r="FQ371" s="15"/>
      <c r="FR371" s="15"/>
      <c r="FS371" s="15"/>
      <c r="FT371" s="15"/>
      <c r="FU371" s="15"/>
      <c r="FV371" s="15"/>
      <c r="FW371" s="15"/>
      <c r="FX371" s="15"/>
      <c r="FY371" s="15"/>
      <c r="FZ371" s="15"/>
      <c r="GA371" s="15"/>
      <c r="GB371" s="15"/>
      <c r="GC371" s="15"/>
      <c r="GD371" s="15"/>
      <c r="GE371" s="15"/>
      <c r="GF371" s="15"/>
      <c r="GG371" s="15"/>
      <c r="GH371" s="15"/>
      <c r="GI371" s="15"/>
      <c r="GJ371" s="15"/>
      <c r="GK371" s="16"/>
      <c r="GM371" s="12"/>
      <c r="HJ371" s="13"/>
      <c r="HL371" s="13"/>
      <c r="JD371" s="14"/>
      <c r="JE371" s="16"/>
    </row>
    <row r="372" spans="18:265" ht="18" customHeight="1" x14ac:dyDescent="0.2">
      <c r="R372" s="12"/>
      <c r="S372" s="12"/>
      <c r="AD372" s="13"/>
      <c r="AE372" s="42"/>
      <c r="AF372" s="43"/>
      <c r="AG372" s="12"/>
      <c r="AH372" s="137"/>
      <c r="AI372" s="97"/>
      <c r="AJ372" s="13"/>
      <c r="AK372" s="140"/>
      <c r="AL372" s="129"/>
      <c r="AP372" s="129"/>
      <c r="AT372" s="129"/>
      <c r="AX372" s="129"/>
      <c r="BE372" s="18"/>
      <c r="BZ372" s="13"/>
      <c r="CA372" s="108"/>
      <c r="CB372" s="108"/>
      <c r="CC372" s="12"/>
      <c r="CN372" s="13"/>
      <c r="CO372" s="13"/>
      <c r="EP372" s="4"/>
      <c r="FK372" s="13"/>
      <c r="GM372" s="12"/>
      <c r="HJ372" s="13"/>
      <c r="HL372" s="13"/>
      <c r="JE372" s="5"/>
    </row>
    <row r="373" spans="18:265" ht="18" customHeight="1" x14ac:dyDescent="0.2">
      <c r="R373" s="12"/>
      <c r="S373" s="12"/>
      <c r="AD373" s="13"/>
      <c r="AE373" s="42"/>
      <c r="AF373" s="43"/>
      <c r="AG373" s="12"/>
      <c r="AH373" s="97"/>
      <c r="AI373" s="97"/>
      <c r="AJ373" s="13"/>
      <c r="AK373" s="140"/>
      <c r="BE373" s="18"/>
      <c r="BZ373" s="13"/>
      <c r="CA373" s="108"/>
      <c r="CB373" s="108"/>
      <c r="CC373" s="12"/>
      <c r="CN373" s="13"/>
      <c r="CO373" s="13"/>
      <c r="EP373" s="4"/>
      <c r="FK373" s="13"/>
      <c r="FN373" s="9"/>
      <c r="FO373" s="10"/>
      <c r="FP373" s="10"/>
      <c r="FQ373" s="10"/>
      <c r="FR373" s="10"/>
      <c r="FS373" s="10"/>
      <c r="FT373" s="10"/>
      <c r="FU373" s="10"/>
      <c r="FV373" s="10"/>
      <c r="FW373" s="10"/>
      <c r="FX373" s="10"/>
      <c r="FY373" s="10"/>
      <c r="FZ373" s="10"/>
      <c r="GA373" s="10"/>
      <c r="GB373" s="10"/>
      <c r="GC373" s="10"/>
      <c r="GD373" s="10"/>
      <c r="GE373" s="10"/>
      <c r="GF373" s="10"/>
      <c r="GG373" s="10"/>
      <c r="GH373" s="10"/>
      <c r="GI373" s="10"/>
      <c r="GJ373" s="10"/>
      <c r="GK373" s="11"/>
      <c r="GM373" s="12"/>
      <c r="HJ373" s="13"/>
      <c r="HL373" s="13"/>
      <c r="HM373" s="14"/>
      <c r="HN373" s="15"/>
      <c r="HO373" s="15"/>
      <c r="HP373" s="15"/>
      <c r="HQ373" s="15"/>
      <c r="HR373" s="15"/>
      <c r="HS373" s="15"/>
      <c r="HT373" s="15"/>
      <c r="HU373" s="15"/>
      <c r="HV373" s="15"/>
      <c r="HW373" s="15"/>
      <c r="HX373" s="15"/>
      <c r="HY373" s="15"/>
      <c r="HZ373" s="15"/>
      <c r="IA373" s="15"/>
      <c r="IB373" s="15"/>
      <c r="IC373" s="15"/>
      <c r="JE373" s="5"/>
    </row>
    <row r="374" spans="18:265" ht="18" customHeight="1" x14ac:dyDescent="0.2">
      <c r="R374" s="12"/>
      <c r="S374" s="12"/>
      <c r="AD374" s="13"/>
      <c r="AE374" s="42"/>
      <c r="AF374" s="43"/>
      <c r="AG374" s="12"/>
      <c r="AH374" s="137"/>
      <c r="AI374" s="97"/>
      <c r="AJ374" s="13"/>
      <c r="AK374" s="140"/>
      <c r="BE374" s="24"/>
      <c r="BZ374" s="13"/>
      <c r="CA374" s="108"/>
      <c r="CB374" s="108"/>
      <c r="CC374" s="12"/>
      <c r="CN374" s="13"/>
      <c r="CO374" s="13"/>
      <c r="EP374" s="4"/>
      <c r="FL374" s="12"/>
      <c r="FN374" s="12"/>
      <c r="GK374" s="13"/>
      <c r="GM374" s="12"/>
      <c r="HJ374" s="13"/>
      <c r="HL374" s="13"/>
      <c r="IC374" s="13"/>
      <c r="JE374" s="5"/>
    </row>
    <row r="375" spans="18:265" ht="18" customHeight="1" x14ac:dyDescent="0.2">
      <c r="R375" s="12"/>
      <c r="S375" s="12"/>
      <c r="AD375" s="13"/>
      <c r="AE375" s="42"/>
      <c r="AF375" s="43"/>
      <c r="AG375" s="12"/>
      <c r="AH375" s="97"/>
      <c r="AI375" s="97"/>
      <c r="AJ375" s="13"/>
      <c r="AK375" s="140"/>
      <c r="BE375" s="24"/>
      <c r="BZ375" s="13"/>
      <c r="CA375" s="108"/>
      <c r="CB375" s="108"/>
      <c r="CC375" s="12"/>
      <c r="CN375" s="13"/>
      <c r="CO375" s="13"/>
      <c r="EP375" s="4"/>
      <c r="FL375" s="12"/>
      <c r="FN375" s="12"/>
      <c r="GK375" s="13"/>
      <c r="GM375" s="12"/>
      <c r="HJ375" s="13"/>
      <c r="HL375" s="13"/>
      <c r="HM375" s="9"/>
      <c r="HN375" s="10"/>
      <c r="HO375" s="10"/>
      <c r="HP375" s="10"/>
      <c r="HQ375" s="10"/>
      <c r="HR375" s="10"/>
      <c r="HS375" s="10"/>
      <c r="HT375" s="10"/>
      <c r="HU375" s="10"/>
      <c r="HV375" s="10"/>
      <c r="HW375" s="10"/>
      <c r="HX375" s="10"/>
      <c r="HY375" s="10"/>
      <c r="HZ375" s="10"/>
      <c r="IA375" s="10"/>
      <c r="IB375" s="11"/>
      <c r="IC375" s="13"/>
      <c r="JE375" s="5"/>
    </row>
    <row r="376" spans="18:265" ht="18" customHeight="1" x14ac:dyDescent="0.2">
      <c r="R376" s="12"/>
      <c r="S376" s="12"/>
      <c r="AD376" s="13"/>
      <c r="AE376" s="42"/>
      <c r="AF376" s="43"/>
      <c r="AG376" s="12"/>
      <c r="AH376" s="128"/>
      <c r="AJ376" s="13"/>
      <c r="AK376" s="140"/>
      <c r="BE376" s="24"/>
      <c r="BZ376" s="13"/>
      <c r="CA376" s="126"/>
      <c r="CB376" s="126"/>
      <c r="CC376" s="12"/>
      <c r="CN376" s="13"/>
      <c r="CO376" s="13"/>
      <c r="EP376" s="4"/>
      <c r="FL376" s="12"/>
      <c r="FN376" s="12"/>
      <c r="GK376" s="13"/>
      <c r="GM376" s="12"/>
      <c r="HJ376" s="13"/>
      <c r="HL376" s="13"/>
      <c r="HM376" s="12"/>
      <c r="IB376" s="13"/>
      <c r="IC376" s="13"/>
      <c r="JE376" s="5"/>
    </row>
    <row r="377" spans="18:265" ht="18" customHeight="1" x14ac:dyDescent="0.2">
      <c r="R377" s="12"/>
      <c r="S377" s="12"/>
      <c r="AD377" s="13"/>
      <c r="AE377" s="42"/>
      <c r="AF377" s="43"/>
      <c r="AG377" s="14"/>
      <c r="AH377" s="15"/>
      <c r="AI377" s="15"/>
      <c r="AJ377" s="16"/>
      <c r="AK377" s="140"/>
      <c r="BE377" s="24"/>
      <c r="BZ377" s="13"/>
      <c r="CA377" s="43"/>
      <c r="CB377" s="45"/>
      <c r="CC377" s="12"/>
      <c r="CN377" s="13"/>
      <c r="CO377" s="13"/>
      <c r="EP377" s="4"/>
      <c r="FL377" s="12"/>
      <c r="FN377" s="12"/>
      <c r="FR377" s="9"/>
      <c r="FS377" s="10"/>
      <c r="FT377" s="10"/>
      <c r="FU377" s="10"/>
      <c r="FV377" s="10"/>
      <c r="FW377" s="10"/>
      <c r="FX377" s="10"/>
      <c r="FY377" s="10"/>
      <c r="FZ377" s="10"/>
      <c r="GA377" s="10"/>
      <c r="GB377" s="10"/>
      <c r="GC377" s="10"/>
      <c r="GD377" s="10"/>
      <c r="GE377" s="10"/>
      <c r="GF377" s="10"/>
      <c r="GG377" s="10"/>
      <c r="GH377" s="10"/>
      <c r="GI377" s="10"/>
      <c r="GJ377" s="10"/>
      <c r="GK377" s="10"/>
      <c r="GL377" s="10"/>
      <c r="HJ377" s="13"/>
      <c r="HL377" s="13"/>
      <c r="HM377" s="12"/>
      <c r="IB377" s="13"/>
      <c r="IC377" s="13"/>
      <c r="JE377" s="5"/>
    </row>
    <row r="378" spans="18:265" ht="18" customHeight="1" x14ac:dyDescent="0.2">
      <c r="R378" s="12"/>
      <c r="S378" s="12"/>
      <c r="AD378" s="13"/>
      <c r="AE378" s="42"/>
      <c r="AF378" s="43"/>
      <c r="AG378" s="9"/>
      <c r="AH378" s="10"/>
      <c r="AI378" s="10"/>
      <c r="AJ378" s="11"/>
      <c r="AK378" s="10"/>
      <c r="AL378" s="10"/>
      <c r="AM378" s="10"/>
      <c r="AN378" s="10"/>
      <c r="AO378" s="9"/>
      <c r="AP378" s="10"/>
      <c r="AQ378" s="10"/>
      <c r="AR378" s="10"/>
      <c r="AS378" s="133"/>
      <c r="AT378" s="134"/>
      <c r="AU378" s="134"/>
      <c r="AV378" s="135"/>
      <c r="BE378" s="24"/>
      <c r="BZ378" s="13"/>
      <c r="CA378" s="43"/>
      <c r="CB378" s="45"/>
      <c r="CC378" s="12"/>
      <c r="CN378" s="13"/>
      <c r="CO378" s="13"/>
      <c r="EP378" s="4"/>
      <c r="FL378" s="17"/>
      <c r="FM378" s="17"/>
      <c r="FN378" s="12"/>
      <c r="FR378" s="12"/>
      <c r="HJ378" s="13"/>
      <c r="HK378" s="17"/>
      <c r="HL378" s="17"/>
      <c r="HM378" s="12"/>
      <c r="IB378" s="13"/>
      <c r="IC378" s="13"/>
      <c r="JE378" s="5"/>
    </row>
    <row r="379" spans="18:265" ht="18" customHeight="1" x14ac:dyDescent="0.25">
      <c r="R379" s="12"/>
      <c r="S379" s="12"/>
      <c r="AD379" s="13"/>
      <c r="AE379" s="42"/>
      <c r="AF379" s="43"/>
      <c r="AG379" s="12"/>
      <c r="AJ379" s="13"/>
      <c r="AK379" s="128"/>
      <c r="AL379" s="99"/>
      <c r="AO379" s="12"/>
      <c r="AP379" s="129"/>
      <c r="AS379" s="86"/>
      <c r="AT379" s="136"/>
      <c r="AU379" s="87"/>
      <c r="AV379" s="88"/>
      <c r="AW379" s="9"/>
      <c r="AX379" s="10"/>
      <c r="AY379" s="11"/>
      <c r="BE379" s="24"/>
      <c r="BZ379" s="13"/>
      <c r="CA379" s="43"/>
      <c r="CB379" s="45"/>
      <c r="CC379" s="12"/>
      <c r="CN379" s="13"/>
      <c r="CO379" s="13"/>
      <c r="EP379" s="4"/>
      <c r="FL379" s="18"/>
      <c r="FM379" s="18"/>
      <c r="FN379" s="12"/>
      <c r="FO379" s="9"/>
      <c r="FP379" s="11"/>
      <c r="FR379" s="12"/>
      <c r="HJ379" s="13"/>
      <c r="HK379" s="18"/>
      <c r="HL379" s="18"/>
      <c r="HM379" s="12"/>
      <c r="HQ379" s="9"/>
      <c r="HR379" s="10"/>
      <c r="HS379" s="10"/>
      <c r="HT379" s="10"/>
      <c r="HU379" s="10"/>
      <c r="HV379" s="10"/>
      <c r="HW379" s="10"/>
      <c r="HX379" s="11"/>
      <c r="IB379" s="13"/>
      <c r="IC379" s="13"/>
      <c r="ID379" s="9"/>
      <c r="IE379" s="10"/>
      <c r="IF379" s="10"/>
      <c r="IG379" s="10"/>
      <c r="IH379" s="10"/>
      <c r="II379" s="10"/>
      <c r="IJ379" s="10"/>
      <c r="IK379" s="10"/>
      <c r="IL379" s="10"/>
      <c r="IM379" s="10"/>
      <c r="IN379" s="10"/>
      <c r="IO379" s="10"/>
      <c r="IP379" s="10"/>
      <c r="IQ379" s="10"/>
      <c r="IR379" s="10"/>
      <c r="IS379" s="10"/>
      <c r="IT379" s="10"/>
      <c r="IU379" s="10"/>
      <c r="IV379" s="10"/>
      <c r="IW379" s="10"/>
      <c r="IX379" s="10"/>
      <c r="IY379" s="10"/>
      <c r="IZ379" s="10"/>
      <c r="JA379" s="10"/>
      <c r="JB379" s="10"/>
      <c r="JC379" s="10"/>
      <c r="JD379" s="9"/>
      <c r="JE379" s="11"/>
    </row>
    <row r="380" spans="18:265" ht="18" customHeight="1" x14ac:dyDescent="0.2">
      <c r="R380" s="12"/>
      <c r="S380" s="12"/>
      <c r="AD380" s="13"/>
      <c r="AE380" s="42"/>
      <c r="AF380" s="43"/>
      <c r="AG380" s="12"/>
      <c r="AJ380" s="13"/>
      <c r="AO380" s="12"/>
      <c r="AS380" s="86"/>
      <c r="AT380" s="87"/>
      <c r="AU380" s="87"/>
      <c r="AV380" s="88"/>
      <c r="AW380" s="12"/>
      <c r="AX380" s="131"/>
      <c r="AY380" s="13"/>
      <c r="BE380" s="24"/>
      <c r="BZ380" s="13"/>
      <c r="CA380" s="43"/>
      <c r="CB380" s="45"/>
      <c r="CC380" s="12"/>
      <c r="CN380" s="13"/>
      <c r="CO380" s="13"/>
      <c r="EP380" s="4"/>
      <c r="FL380" s="18"/>
      <c r="FM380" s="18"/>
      <c r="FN380" s="12"/>
      <c r="FO380" s="12"/>
      <c r="FP380" s="13"/>
      <c r="FR380" s="12"/>
      <c r="HJ380" s="13"/>
      <c r="HK380" s="18"/>
      <c r="HL380" s="18"/>
      <c r="HM380" s="12"/>
      <c r="HQ380" s="12"/>
      <c r="HX380" s="13"/>
      <c r="IB380" s="13"/>
      <c r="IC380" s="13"/>
      <c r="ID380" s="12"/>
      <c r="JD380" s="12"/>
      <c r="JE380" s="13"/>
    </row>
    <row r="381" spans="18:265" ht="18" customHeight="1" x14ac:dyDescent="0.2">
      <c r="R381" s="12"/>
      <c r="S381" s="12"/>
      <c r="AD381" s="13"/>
      <c r="AE381" s="42"/>
      <c r="AF381" s="43"/>
      <c r="AG381" s="14"/>
      <c r="AH381" s="15"/>
      <c r="AI381" s="15"/>
      <c r="AJ381" s="16"/>
      <c r="AO381" s="14"/>
      <c r="AP381" s="15"/>
      <c r="AQ381" s="15"/>
      <c r="AS381" s="76"/>
      <c r="AT381" s="89"/>
      <c r="AU381" s="89"/>
      <c r="AV381" s="77"/>
      <c r="AW381" s="14"/>
      <c r="AX381" s="15"/>
      <c r="AY381" s="16"/>
      <c r="AZ381" s="15"/>
      <c r="BA381" s="15"/>
      <c r="BB381" s="15"/>
      <c r="BC381" s="15"/>
      <c r="BD381" s="15"/>
      <c r="BE381" s="25"/>
      <c r="BF381" s="15"/>
      <c r="BG381" s="15"/>
      <c r="BH381" s="15"/>
      <c r="BI381" s="15"/>
      <c r="BP381" s="15"/>
      <c r="BQ381" s="15"/>
      <c r="BR381" s="15"/>
      <c r="BS381" s="15"/>
      <c r="BT381" s="15"/>
      <c r="BU381" s="15"/>
      <c r="BV381" s="15"/>
      <c r="BW381" s="15"/>
      <c r="BX381" s="15"/>
      <c r="BY381" s="15"/>
      <c r="BZ381" s="16"/>
      <c r="CA381" s="43"/>
      <c r="CB381" s="45"/>
      <c r="CC381" s="12"/>
      <c r="CN381" s="13"/>
      <c r="CO381" s="13"/>
      <c r="EP381" s="4"/>
      <c r="FL381" s="18"/>
      <c r="FM381" s="18"/>
      <c r="FN381" s="12"/>
      <c r="FO381" s="12"/>
      <c r="FP381" s="13"/>
      <c r="FR381" s="12"/>
      <c r="HJ381" s="13"/>
      <c r="HK381" s="18"/>
      <c r="HL381" s="18"/>
      <c r="HM381" s="12"/>
      <c r="HQ381" s="12"/>
      <c r="HX381" s="13"/>
      <c r="IB381" s="13"/>
      <c r="IC381" s="13"/>
      <c r="ID381" s="12"/>
      <c r="JD381" s="12"/>
      <c r="JE381" s="13"/>
    </row>
    <row r="382" spans="18:265" ht="18" customHeight="1" x14ac:dyDescent="0.2">
      <c r="R382" s="12"/>
      <c r="S382" s="12"/>
      <c r="AD382" s="13"/>
      <c r="AE382" s="42"/>
      <c r="AF382" s="43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3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3"/>
      <c r="BR382" s="43"/>
      <c r="BS382" s="43"/>
      <c r="BT382" s="70"/>
      <c r="BU382" s="92"/>
      <c r="BV382" s="92"/>
      <c r="BW382" s="92"/>
      <c r="BX382" s="92"/>
      <c r="BY382" s="71"/>
      <c r="BZ382" s="43"/>
      <c r="CA382" s="43"/>
      <c r="CB382" s="45"/>
      <c r="CC382" s="12"/>
      <c r="CN382" s="13"/>
      <c r="CO382" s="13"/>
      <c r="EP382" s="4"/>
      <c r="FL382" s="18"/>
      <c r="FM382" s="18"/>
      <c r="FN382" s="12"/>
      <c r="FO382" s="14"/>
      <c r="FP382" s="16"/>
      <c r="FR382" s="12"/>
      <c r="HJ382" s="13"/>
      <c r="HK382" s="18"/>
      <c r="HL382" s="18"/>
      <c r="HM382" s="12"/>
      <c r="HQ382" s="12"/>
      <c r="HX382" s="13"/>
      <c r="IB382" s="13"/>
      <c r="IC382" s="13"/>
      <c r="ID382" s="12"/>
      <c r="JD382" s="12"/>
      <c r="JE382" s="13"/>
    </row>
    <row r="383" spans="18:265" ht="18" customHeight="1" x14ac:dyDescent="0.2">
      <c r="R383" s="12"/>
      <c r="S383" s="12"/>
      <c r="AD383" s="13"/>
      <c r="AE383" s="42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107"/>
      <c r="BU383" s="127"/>
      <c r="BV383" s="127"/>
      <c r="BW383" s="127"/>
      <c r="BX383" s="127"/>
      <c r="BY383" s="90"/>
      <c r="BZ383" s="43"/>
      <c r="CA383" s="43"/>
      <c r="CB383" s="45"/>
      <c r="CC383" s="12"/>
      <c r="CN383" s="13"/>
      <c r="CO383" s="13"/>
      <c r="EP383" s="4"/>
      <c r="FL383" s="19"/>
      <c r="FM383" s="19"/>
      <c r="FN383" s="12"/>
      <c r="FR383" s="12"/>
      <c r="HJ383" s="13"/>
      <c r="HK383" s="19"/>
      <c r="HL383" s="19"/>
      <c r="HM383" s="12"/>
      <c r="HQ383" s="12"/>
      <c r="HX383" s="13"/>
      <c r="IB383" s="13"/>
      <c r="IC383" s="13"/>
      <c r="ID383" s="12"/>
      <c r="JD383" s="12"/>
      <c r="JE383" s="13"/>
    </row>
    <row r="384" spans="18:265" ht="18" customHeight="1" x14ac:dyDescent="0.2">
      <c r="R384" s="12"/>
      <c r="S384" s="12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M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N384" s="13"/>
      <c r="CO384" s="13"/>
      <c r="EP384" s="4"/>
      <c r="FL384" s="12"/>
      <c r="FN384" s="12"/>
      <c r="FR384" s="14"/>
      <c r="FS384" s="15"/>
      <c r="FT384" s="15"/>
      <c r="FU384" s="15"/>
      <c r="FV384" s="15"/>
      <c r="FW384" s="15"/>
      <c r="FX384" s="15"/>
      <c r="FY384" s="15"/>
      <c r="FZ384" s="15"/>
      <c r="GA384" s="15"/>
      <c r="GB384" s="15"/>
      <c r="GC384" s="15"/>
      <c r="GD384" s="15"/>
      <c r="GE384" s="15"/>
      <c r="GF384" s="15"/>
      <c r="GG384" s="15"/>
      <c r="GH384" s="15"/>
      <c r="GI384" s="15"/>
      <c r="GJ384" s="15"/>
      <c r="GK384" s="15"/>
      <c r="GL384" s="15"/>
      <c r="HJ384" s="13"/>
      <c r="HL384" s="13"/>
      <c r="HM384" s="12"/>
      <c r="HQ384" s="12"/>
      <c r="HX384" s="13"/>
      <c r="IB384" s="13"/>
      <c r="IC384" s="13"/>
      <c r="ID384" s="12"/>
      <c r="JD384" s="12"/>
      <c r="JE384" s="13"/>
    </row>
    <row r="385" spans="18:265" ht="18" customHeight="1" x14ac:dyDescent="0.2">
      <c r="R385" s="12"/>
      <c r="S385" s="12"/>
      <c r="CN385" s="13"/>
      <c r="CO385" s="13"/>
      <c r="EP385" s="4"/>
      <c r="FL385" s="12"/>
      <c r="FN385" s="12"/>
      <c r="GK385" s="13"/>
      <c r="GM385" s="12"/>
      <c r="HJ385" s="13"/>
      <c r="HL385" s="13"/>
      <c r="HM385" s="12"/>
      <c r="HQ385" s="12"/>
      <c r="HX385" s="13"/>
      <c r="IB385" s="13"/>
      <c r="IC385" s="13"/>
      <c r="ID385" s="12"/>
      <c r="JD385" s="12"/>
      <c r="JE385" s="13"/>
    </row>
    <row r="386" spans="18:265" ht="18" customHeight="1" x14ac:dyDescent="0.2">
      <c r="R386" s="12"/>
      <c r="S386" s="12"/>
      <c r="CN386" s="13"/>
      <c r="CO386" s="13"/>
      <c r="EP386" s="4"/>
      <c r="FL386" s="12"/>
      <c r="FN386" s="12"/>
      <c r="GK386" s="13"/>
      <c r="GM386" s="12"/>
      <c r="HJ386" s="13"/>
      <c r="HL386" s="13"/>
      <c r="HM386" s="12"/>
      <c r="HQ386" s="14"/>
      <c r="HR386" s="15"/>
      <c r="HS386" s="15"/>
      <c r="HT386" s="15"/>
      <c r="HU386" s="15"/>
      <c r="HV386" s="15"/>
      <c r="HW386" s="15"/>
      <c r="HX386" s="16"/>
      <c r="IB386" s="13"/>
      <c r="IC386" s="13"/>
      <c r="ID386" s="14"/>
      <c r="IE386" s="15"/>
      <c r="IF386" s="15"/>
      <c r="IG386" s="15"/>
      <c r="IH386" s="15"/>
      <c r="II386" s="15"/>
      <c r="IJ386" s="15"/>
      <c r="IK386" s="15"/>
      <c r="IL386" s="15"/>
      <c r="IM386" s="15"/>
      <c r="IN386" s="15"/>
      <c r="IO386" s="15"/>
      <c r="IP386" s="15"/>
      <c r="IQ386" s="15"/>
      <c r="IR386" s="15"/>
      <c r="IS386" s="15"/>
      <c r="IT386" s="15"/>
      <c r="IU386" s="15"/>
      <c r="IV386" s="15"/>
      <c r="IW386" s="15"/>
      <c r="IX386" s="15"/>
      <c r="IY386" s="15"/>
      <c r="IZ386" s="15"/>
      <c r="JA386" s="15"/>
      <c r="JB386" s="15"/>
      <c r="JC386" s="15"/>
      <c r="JD386" s="14"/>
      <c r="JE386" s="16"/>
    </row>
    <row r="387" spans="18:265" ht="18" customHeight="1" x14ac:dyDescent="0.2">
      <c r="R387" s="12"/>
      <c r="S387" s="12"/>
      <c r="CN387" s="13"/>
      <c r="CO387" s="13"/>
      <c r="EP387" s="4"/>
      <c r="FL387" s="12"/>
      <c r="FN387" s="12"/>
      <c r="GK387" s="13"/>
      <c r="GM387" s="12"/>
      <c r="HJ387" s="13"/>
      <c r="HL387" s="13"/>
      <c r="HM387" s="12"/>
      <c r="IB387" s="13"/>
      <c r="IC387" s="13"/>
      <c r="JE387" s="5"/>
    </row>
    <row r="388" spans="18:265" ht="18" customHeight="1" x14ac:dyDescent="0.2">
      <c r="R388" s="12"/>
      <c r="S388" s="12"/>
      <c r="CN388" s="13"/>
      <c r="CO388" s="13"/>
      <c r="EP388" s="4"/>
      <c r="FL388" s="12"/>
      <c r="FN388" s="14"/>
      <c r="FO388" s="15"/>
      <c r="FP388" s="15"/>
      <c r="FQ388" s="15"/>
      <c r="FR388" s="15"/>
      <c r="FS388" s="15"/>
      <c r="FT388" s="15"/>
      <c r="FU388" s="15"/>
      <c r="FV388" s="15"/>
      <c r="FW388" s="15"/>
      <c r="FX388" s="15"/>
      <c r="FY388" s="15"/>
      <c r="FZ388" s="15"/>
      <c r="GA388" s="15"/>
      <c r="GB388" s="15"/>
      <c r="GC388" s="15"/>
      <c r="GD388" s="15"/>
      <c r="GE388" s="15"/>
      <c r="GF388" s="15"/>
      <c r="GG388" s="15"/>
      <c r="GH388" s="15"/>
      <c r="GI388" s="15"/>
      <c r="GJ388" s="15"/>
      <c r="GK388" s="16"/>
      <c r="GM388" s="14"/>
      <c r="GN388" s="15"/>
      <c r="GO388" s="15"/>
      <c r="GP388" s="15"/>
      <c r="GQ388" s="15"/>
      <c r="GR388" s="15"/>
      <c r="GS388" s="15"/>
      <c r="GT388" s="15"/>
      <c r="GU388" s="15"/>
      <c r="GV388" s="15"/>
      <c r="GW388" s="15"/>
      <c r="GX388" s="15"/>
      <c r="GY388" s="15"/>
      <c r="GZ388" s="15"/>
      <c r="HA388" s="15"/>
      <c r="HB388" s="15"/>
      <c r="HC388" s="15"/>
      <c r="HD388" s="15"/>
      <c r="HE388" s="15"/>
      <c r="HF388" s="15"/>
      <c r="HG388" s="15"/>
      <c r="HH388" s="15"/>
      <c r="HI388" s="15"/>
      <c r="HJ388" s="16"/>
      <c r="HL388" s="13"/>
      <c r="HM388" s="12"/>
      <c r="IB388" s="13"/>
      <c r="IC388" s="13"/>
      <c r="JE388" s="5"/>
    </row>
    <row r="389" spans="18:265" ht="18" customHeight="1" x14ac:dyDescent="0.2">
      <c r="R389" s="12"/>
      <c r="S389" s="12"/>
      <c r="CN389" s="13"/>
      <c r="CO389" s="13"/>
      <c r="EP389" s="4"/>
      <c r="FL389" s="12"/>
      <c r="GR389" s="20"/>
      <c r="GS389" s="21"/>
      <c r="GT389" s="21"/>
      <c r="GU389" s="21"/>
      <c r="GV389" s="21"/>
      <c r="GW389" s="22"/>
      <c r="HD389" s="127"/>
      <c r="HE389" s="127"/>
      <c r="HF389" s="127"/>
      <c r="HG389" s="127"/>
      <c r="HH389" s="127"/>
      <c r="HI389" s="127"/>
      <c r="HL389" s="13"/>
      <c r="HM389" s="12"/>
      <c r="IB389" s="13"/>
      <c r="IC389" s="13"/>
      <c r="JE389" s="5"/>
    </row>
    <row r="390" spans="18:265" ht="18" customHeight="1" x14ac:dyDescent="0.2">
      <c r="R390" s="12"/>
      <c r="S390" s="12"/>
      <c r="CN390" s="13"/>
      <c r="CO390" s="13"/>
      <c r="EP390" s="4"/>
      <c r="FL390" s="14"/>
      <c r="FM390" s="15"/>
      <c r="FN390" s="15"/>
      <c r="FO390" s="15"/>
      <c r="FP390" s="15"/>
      <c r="FQ390" s="15"/>
      <c r="FR390" s="15"/>
      <c r="FS390" s="15"/>
      <c r="FT390" s="15"/>
      <c r="FU390" s="15"/>
      <c r="FW390" s="15"/>
      <c r="FX390" s="15"/>
      <c r="FZ390" s="15"/>
      <c r="GB390" s="15"/>
      <c r="GC390" s="15"/>
      <c r="GJ390" s="15"/>
      <c r="GK390" s="15"/>
      <c r="GL390" s="15"/>
      <c r="GM390" s="15"/>
      <c r="GN390" s="15"/>
      <c r="GO390" s="15"/>
      <c r="GP390" s="15"/>
      <c r="GQ390" s="15"/>
      <c r="GR390" s="20"/>
      <c r="GS390" s="21"/>
      <c r="GT390" s="21"/>
      <c r="GU390" s="21"/>
      <c r="GV390" s="21"/>
      <c r="GW390" s="22"/>
      <c r="GX390" s="15"/>
      <c r="GY390" s="15"/>
      <c r="GZ390" s="15"/>
      <c r="HA390" s="15"/>
      <c r="HB390" s="15"/>
      <c r="HC390" s="15"/>
      <c r="HD390" s="100"/>
      <c r="HE390" s="100"/>
      <c r="HF390" s="100"/>
      <c r="HG390" s="100"/>
      <c r="HH390" s="100"/>
      <c r="HI390" s="100"/>
      <c r="HJ390" s="15"/>
      <c r="HK390" s="15"/>
      <c r="HL390" s="16"/>
      <c r="HM390" s="14"/>
      <c r="HN390" s="15"/>
      <c r="HO390" s="15"/>
      <c r="HP390" s="15"/>
      <c r="HQ390" s="15"/>
      <c r="HR390" s="15"/>
      <c r="HS390" s="15"/>
      <c r="HT390" s="15"/>
      <c r="HU390" s="15"/>
      <c r="HV390" s="15"/>
      <c r="HW390" s="15"/>
      <c r="HX390" s="15"/>
      <c r="HY390" s="15"/>
      <c r="HZ390" s="15"/>
      <c r="IA390" s="15"/>
      <c r="IB390" s="16"/>
      <c r="IC390" s="13"/>
      <c r="JE390" s="5"/>
    </row>
    <row r="391" spans="18:265" ht="18" customHeight="1" x14ac:dyDescent="0.2">
      <c r="R391" s="12"/>
      <c r="S391" s="12"/>
      <c r="CN391" s="13"/>
      <c r="CO391" s="13"/>
      <c r="EP391" s="4"/>
      <c r="FV391" s="10"/>
      <c r="FY391" s="10"/>
      <c r="GA391" s="10"/>
      <c r="GD391" s="10"/>
      <c r="GE391" s="10"/>
      <c r="GF391" s="9"/>
      <c r="GG391" s="9"/>
      <c r="GH391" s="10"/>
      <c r="GI391" s="10"/>
      <c r="GJ391" s="10"/>
      <c r="GK391" s="10"/>
      <c r="GL391" s="10"/>
      <c r="GW391" s="9"/>
      <c r="GX391" s="10"/>
      <c r="GY391" s="10"/>
      <c r="GZ391" s="10"/>
      <c r="HA391" s="10"/>
      <c r="HB391" s="10"/>
      <c r="HC391" s="10"/>
      <c r="HD391" s="10"/>
      <c r="HE391" s="10"/>
      <c r="HF391" s="10"/>
      <c r="HG391" s="10"/>
      <c r="HH391" s="10"/>
      <c r="HI391" s="10"/>
      <c r="HJ391" s="10"/>
      <c r="HK391" s="10"/>
      <c r="HL391" s="11"/>
      <c r="HM391" s="9"/>
      <c r="HN391" s="10"/>
      <c r="HO391" s="10"/>
      <c r="HP391" s="10"/>
      <c r="HQ391" s="10"/>
      <c r="HR391" s="10"/>
      <c r="HS391" s="10"/>
      <c r="HT391" s="10"/>
      <c r="HU391" s="10"/>
      <c r="HV391" s="10"/>
      <c r="HW391" s="10"/>
      <c r="HX391" s="10"/>
      <c r="HY391" s="10"/>
      <c r="HZ391" s="10"/>
      <c r="IA391" s="10"/>
      <c r="IB391" s="11"/>
      <c r="IC391" s="13"/>
      <c r="JE391" s="5"/>
    </row>
    <row r="392" spans="18:265" ht="18" customHeight="1" x14ac:dyDescent="0.2">
      <c r="R392" s="12"/>
      <c r="S392" s="12"/>
      <c r="CN392" s="13"/>
      <c r="CO392" s="13"/>
      <c r="EP392" s="4"/>
      <c r="GF392" s="12"/>
      <c r="GG392" s="12"/>
      <c r="GW392" s="12"/>
      <c r="HL392" s="13"/>
      <c r="HM392" s="12"/>
      <c r="IB392" s="13"/>
      <c r="IC392" s="13"/>
      <c r="JE392" s="5"/>
    </row>
    <row r="393" spans="18:265" ht="18" customHeight="1" x14ac:dyDescent="0.2">
      <c r="R393" s="12"/>
      <c r="S393" s="12"/>
      <c r="CN393" s="13"/>
      <c r="CO393" s="13"/>
      <c r="EP393" s="4"/>
      <c r="GF393" s="12"/>
      <c r="GG393" s="12"/>
      <c r="GW393" s="12"/>
      <c r="HL393" s="13"/>
      <c r="HM393" s="12"/>
      <c r="IB393" s="13"/>
      <c r="IC393" s="13"/>
      <c r="JE393" s="5"/>
    </row>
    <row r="394" spans="18:265" ht="18" customHeight="1" x14ac:dyDescent="0.2">
      <c r="R394" s="12"/>
      <c r="S394" s="12"/>
      <c r="CN394" s="13"/>
      <c r="CO394" s="13"/>
      <c r="EP394" s="4"/>
      <c r="GF394" s="12"/>
      <c r="GG394" s="12"/>
      <c r="GW394" s="12"/>
      <c r="HL394" s="13"/>
      <c r="HM394" s="12"/>
      <c r="IB394" s="13"/>
      <c r="IC394" s="13"/>
      <c r="JE394" s="5"/>
    </row>
    <row r="395" spans="18:265" ht="18" customHeight="1" x14ac:dyDescent="0.2">
      <c r="R395" s="12"/>
      <c r="S395" s="12"/>
      <c r="CN395" s="13"/>
      <c r="CO395" s="13"/>
      <c r="EP395" s="4"/>
      <c r="GF395" s="12"/>
      <c r="GG395" s="12"/>
      <c r="GK395" s="9"/>
      <c r="GL395" s="10"/>
      <c r="GM395" s="10"/>
      <c r="GN395" s="10"/>
      <c r="GO395" s="10"/>
      <c r="GP395" s="10"/>
      <c r="GQ395" s="10"/>
      <c r="GR395" s="11"/>
      <c r="GW395" s="12"/>
      <c r="HA395" s="9"/>
      <c r="HB395" s="10"/>
      <c r="HC395" s="10"/>
      <c r="HD395" s="10"/>
      <c r="HE395" s="10"/>
      <c r="HF395" s="10"/>
      <c r="HG395" s="10"/>
      <c r="HH395" s="11"/>
      <c r="HL395" s="13"/>
      <c r="HM395" s="12"/>
      <c r="HQ395" s="9"/>
      <c r="HR395" s="10"/>
      <c r="HS395" s="10"/>
      <c r="HT395" s="10"/>
      <c r="HU395" s="10"/>
      <c r="HV395" s="10"/>
      <c r="HW395" s="10"/>
      <c r="HX395" s="11"/>
      <c r="IB395" s="13"/>
      <c r="IC395" s="13"/>
      <c r="JE395" s="5"/>
    </row>
    <row r="396" spans="18:265" ht="18" customHeight="1" x14ac:dyDescent="0.2">
      <c r="R396" s="12"/>
      <c r="S396" s="12"/>
      <c r="CN396" s="13"/>
      <c r="CO396" s="13"/>
      <c r="EP396" s="4"/>
      <c r="GF396" s="12"/>
      <c r="GG396" s="12"/>
      <c r="GK396" s="12"/>
      <c r="GR396" s="13"/>
      <c r="GW396" s="12"/>
      <c r="HA396" s="12"/>
      <c r="HH396" s="13"/>
      <c r="HL396" s="13"/>
      <c r="HM396" s="12"/>
      <c r="HQ396" s="12"/>
      <c r="HX396" s="13"/>
      <c r="IB396" s="13"/>
      <c r="IC396" s="13"/>
      <c r="JE396" s="5"/>
    </row>
    <row r="397" spans="18:265" ht="18" customHeight="1" x14ac:dyDescent="0.2">
      <c r="R397" s="12"/>
      <c r="S397" s="12"/>
      <c r="CN397" s="13"/>
      <c r="CO397" s="13"/>
      <c r="EP397" s="4"/>
      <c r="GF397" s="12"/>
      <c r="GG397" s="12"/>
      <c r="GK397" s="12"/>
      <c r="GR397" s="13"/>
      <c r="GW397" s="12"/>
      <c r="HA397" s="12"/>
      <c r="HH397" s="13"/>
      <c r="HL397" s="13"/>
      <c r="HM397" s="12"/>
      <c r="HQ397" s="12"/>
      <c r="HX397" s="13"/>
      <c r="IB397" s="13"/>
      <c r="IC397" s="13"/>
      <c r="JE397" s="5"/>
    </row>
    <row r="398" spans="18:265" ht="18" customHeight="1" x14ac:dyDescent="0.2">
      <c r="R398" s="12"/>
      <c r="S398" s="12"/>
      <c r="CN398" s="13"/>
      <c r="CO398" s="13"/>
      <c r="EP398" s="4"/>
      <c r="GF398" s="12"/>
      <c r="GG398" s="12"/>
      <c r="GK398" s="12"/>
      <c r="GR398" s="13"/>
      <c r="GW398" s="12"/>
      <c r="HA398" s="12"/>
      <c r="HH398" s="13"/>
      <c r="HL398" s="13"/>
      <c r="HM398" s="12"/>
      <c r="HQ398" s="12"/>
      <c r="HX398" s="13"/>
      <c r="IB398" s="13"/>
      <c r="IC398" s="13"/>
      <c r="JE398" s="5"/>
    </row>
    <row r="399" spans="18:265" ht="18" customHeight="1" x14ac:dyDescent="0.2">
      <c r="R399" s="12"/>
      <c r="S399" s="14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  <c r="AZ399" s="15"/>
      <c r="BA399" s="15"/>
      <c r="BB399" s="15"/>
      <c r="BC399" s="15"/>
      <c r="BD399" s="15"/>
      <c r="BE399" s="15"/>
      <c r="BF399" s="15"/>
      <c r="BG399" s="15"/>
      <c r="BH399" s="15"/>
      <c r="BI399" s="15"/>
      <c r="BJ399" s="15"/>
      <c r="BK399" s="15"/>
      <c r="BL399" s="15"/>
      <c r="BM399" s="15"/>
      <c r="BN399" s="15"/>
      <c r="BO399" s="15"/>
      <c r="BP399" s="15"/>
      <c r="BQ399" s="15"/>
      <c r="BR399" s="15"/>
      <c r="BS399" s="15"/>
      <c r="BT399" s="15"/>
      <c r="BU399" s="15"/>
      <c r="BV399" s="15"/>
      <c r="BW399" s="15"/>
      <c r="BX399" s="15"/>
      <c r="BY399" s="15"/>
      <c r="BZ399" s="15"/>
      <c r="CA399" s="15"/>
      <c r="CB399" s="15"/>
      <c r="CC399" s="15"/>
      <c r="CD399" s="15"/>
      <c r="CE399" s="15"/>
      <c r="CF399" s="15"/>
      <c r="CG399" s="15"/>
      <c r="CH399" s="15"/>
      <c r="CI399" s="15"/>
      <c r="CJ399" s="15"/>
      <c r="CK399" s="15"/>
      <c r="CL399" s="15"/>
      <c r="CM399" s="15"/>
      <c r="CN399" s="16"/>
      <c r="CO399" s="13"/>
      <c r="EP399" s="4"/>
      <c r="GF399" s="12"/>
      <c r="GG399" s="12"/>
      <c r="GK399" s="12"/>
      <c r="GR399" s="13"/>
      <c r="GW399" s="12"/>
      <c r="HA399" s="12"/>
      <c r="HH399" s="13"/>
      <c r="HL399" s="13"/>
      <c r="HM399" s="12"/>
      <c r="HQ399" s="12"/>
      <c r="HX399" s="13"/>
      <c r="IB399" s="13"/>
      <c r="IC399" s="13"/>
      <c r="JE399" s="5"/>
    </row>
    <row r="400" spans="18:265" ht="18" customHeight="1" x14ac:dyDescent="0.2">
      <c r="R400" s="14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  <c r="AZ400" s="15"/>
      <c r="BA400" s="15"/>
      <c r="BB400" s="15"/>
      <c r="BC400" s="15"/>
      <c r="BD400" s="15"/>
      <c r="BE400" s="15"/>
      <c r="BF400" s="15"/>
      <c r="BG400" s="15"/>
      <c r="BH400" s="15"/>
      <c r="BI400" s="15"/>
      <c r="BJ400" s="15"/>
      <c r="BK400" s="15"/>
      <c r="BL400" s="15"/>
      <c r="BM400" s="15"/>
      <c r="BN400" s="15"/>
      <c r="BO400" s="15"/>
      <c r="BP400" s="15"/>
      <c r="BQ400" s="15"/>
      <c r="BR400" s="15"/>
      <c r="BS400" s="15"/>
      <c r="BT400" s="15"/>
      <c r="BU400" s="15"/>
      <c r="BV400" s="15"/>
      <c r="BW400" s="15"/>
      <c r="BX400" s="15"/>
      <c r="BY400" s="15"/>
      <c r="BZ400" s="15"/>
      <c r="CA400" s="15"/>
      <c r="CB400" s="15"/>
      <c r="CC400" s="15"/>
      <c r="CD400" s="15"/>
      <c r="CE400" s="15"/>
      <c r="CF400" s="15"/>
      <c r="CG400" s="15"/>
      <c r="CH400" s="15"/>
      <c r="CI400" s="15"/>
      <c r="CJ400" s="15"/>
      <c r="CK400" s="15"/>
      <c r="CL400" s="15"/>
      <c r="CM400" s="15"/>
      <c r="CN400" s="15"/>
      <c r="CO400" s="16"/>
      <c r="EP400" s="4"/>
      <c r="GF400" s="12"/>
      <c r="GG400" s="12"/>
      <c r="GK400" s="12"/>
      <c r="GR400" s="13"/>
      <c r="GW400" s="12"/>
      <c r="HA400" s="12"/>
      <c r="HH400" s="13"/>
      <c r="HL400" s="13"/>
      <c r="HM400" s="12"/>
      <c r="HQ400" s="12"/>
      <c r="HX400" s="13"/>
      <c r="IB400" s="13"/>
      <c r="IC400" s="13"/>
      <c r="JE400" s="5"/>
    </row>
    <row r="401" spans="146:265" ht="18" customHeight="1" x14ac:dyDescent="0.2">
      <c r="EP401" s="4"/>
      <c r="GF401" s="12"/>
      <c r="GG401" s="12"/>
      <c r="GK401" s="12"/>
      <c r="GR401" s="13"/>
      <c r="GW401" s="12"/>
      <c r="HA401" s="12"/>
      <c r="HH401" s="13"/>
      <c r="HL401" s="13"/>
      <c r="HM401" s="12"/>
      <c r="HQ401" s="12"/>
      <c r="HX401" s="13"/>
      <c r="IB401" s="13"/>
      <c r="IC401" s="13"/>
      <c r="JE401" s="5"/>
    </row>
    <row r="402" spans="146:265" ht="18" customHeight="1" x14ac:dyDescent="0.2">
      <c r="EP402" s="4"/>
      <c r="GF402" s="12"/>
      <c r="GG402" s="12"/>
      <c r="GK402" s="14"/>
      <c r="GL402" s="15"/>
      <c r="GM402" s="15"/>
      <c r="GN402" s="15"/>
      <c r="GO402" s="15"/>
      <c r="GP402" s="15"/>
      <c r="GQ402" s="15"/>
      <c r="GR402" s="16"/>
      <c r="GW402" s="12"/>
      <c r="HA402" s="14"/>
      <c r="HB402" s="15"/>
      <c r="HC402" s="15"/>
      <c r="HD402" s="15"/>
      <c r="HE402" s="15"/>
      <c r="HF402" s="15"/>
      <c r="HG402" s="15"/>
      <c r="HH402" s="16"/>
      <c r="HL402" s="13"/>
      <c r="HM402" s="12"/>
      <c r="HQ402" s="14"/>
      <c r="HR402" s="15"/>
      <c r="HS402" s="15"/>
      <c r="HT402" s="15"/>
      <c r="HU402" s="15"/>
      <c r="HV402" s="15"/>
      <c r="HW402" s="15"/>
      <c r="HX402" s="16"/>
      <c r="IB402" s="13"/>
      <c r="IC402" s="13"/>
      <c r="JE402" s="5"/>
    </row>
    <row r="403" spans="146:265" ht="18" customHeight="1" x14ac:dyDescent="0.2">
      <c r="EP403" s="4"/>
      <c r="GF403" s="12"/>
      <c r="GG403" s="12"/>
      <c r="GW403" s="12"/>
      <c r="HL403" s="13"/>
      <c r="HM403" s="12"/>
      <c r="IB403" s="13"/>
      <c r="IC403" s="13"/>
      <c r="JE403" s="5"/>
    </row>
    <row r="404" spans="146:265" ht="18" customHeight="1" x14ac:dyDescent="0.2">
      <c r="EP404" s="4"/>
      <c r="GF404" s="12"/>
      <c r="GG404" s="12"/>
      <c r="GW404" s="12"/>
      <c r="HL404" s="13"/>
      <c r="HM404" s="12"/>
      <c r="IB404" s="13"/>
      <c r="IC404" s="13"/>
      <c r="JE404" s="5"/>
    </row>
    <row r="405" spans="146:265" ht="18" customHeight="1" x14ac:dyDescent="0.2">
      <c r="EP405" s="4"/>
      <c r="GF405" s="12"/>
      <c r="GG405" s="12"/>
      <c r="GW405" s="12"/>
      <c r="HL405" s="13"/>
      <c r="HM405" s="12"/>
      <c r="IB405" s="13"/>
      <c r="IC405" s="13"/>
      <c r="JE405" s="5"/>
    </row>
    <row r="406" spans="146:265" ht="18" customHeight="1" x14ac:dyDescent="0.2">
      <c r="EP406" s="4"/>
      <c r="GF406" s="12"/>
      <c r="GG406" s="14"/>
      <c r="GH406" s="15"/>
      <c r="GI406" s="15"/>
      <c r="GJ406" s="15"/>
      <c r="GK406" s="15"/>
      <c r="GL406" s="15"/>
      <c r="GM406" s="15"/>
      <c r="GN406" s="15"/>
      <c r="GO406" s="15"/>
      <c r="GP406" s="15"/>
      <c r="GQ406" s="15"/>
      <c r="GR406" s="15"/>
      <c r="GS406" s="15"/>
      <c r="GT406" s="15"/>
      <c r="GU406" s="15"/>
      <c r="GV406" s="15"/>
      <c r="GW406" s="14"/>
      <c r="GX406" s="15"/>
      <c r="GY406" s="15"/>
      <c r="GZ406" s="15"/>
      <c r="HA406" s="15"/>
      <c r="HB406" s="15"/>
      <c r="HC406" s="15"/>
      <c r="HD406" s="15"/>
      <c r="HE406" s="15"/>
      <c r="HF406" s="15"/>
      <c r="HG406" s="15"/>
      <c r="HH406" s="15"/>
      <c r="HI406" s="15"/>
      <c r="HJ406" s="15"/>
      <c r="HK406" s="15"/>
      <c r="HL406" s="16"/>
      <c r="HM406" s="14"/>
      <c r="HN406" s="15"/>
      <c r="HO406" s="15"/>
      <c r="HP406" s="15"/>
      <c r="HQ406" s="15"/>
      <c r="HR406" s="15"/>
      <c r="HS406" s="15"/>
      <c r="HT406" s="15"/>
      <c r="HU406" s="15"/>
      <c r="HV406" s="15"/>
      <c r="HW406" s="15"/>
      <c r="HX406" s="15"/>
      <c r="HY406" s="15"/>
      <c r="HZ406" s="15"/>
      <c r="IA406" s="15"/>
      <c r="IB406" s="16"/>
      <c r="IC406" s="13"/>
      <c r="JE406" s="5"/>
    </row>
    <row r="407" spans="146:265" ht="18" customHeight="1" x14ac:dyDescent="0.2">
      <c r="EP407" s="4"/>
      <c r="GF407" s="14"/>
      <c r="GG407" s="15"/>
      <c r="GH407" s="15"/>
      <c r="GI407" s="15"/>
      <c r="GJ407" s="15"/>
      <c r="GK407" s="15"/>
      <c r="GL407" s="15"/>
      <c r="GM407" s="15"/>
      <c r="GN407" s="15"/>
      <c r="GO407" s="15"/>
      <c r="GP407" s="15"/>
      <c r="GQ407" s="15"/>
      <c r="GR407" s="15"/>
      <c r="GS407" s="15"/>
      <c r="GT407" s="15"/>
      <c r="GU407" s="15"/>
      <c r="GV407" s="15"/>
      <c r="GW407" s="15"/>
      <c r="GX407" s="15"/>
      <c r="GY407" s="15"/>
      <c r="GZ407" s="15"/>
      <c r="HA407" s="15"/>
      <c r="HB407" s="15"/>
      <c r="HC407" s="15"/>
      <c r="HD407" s="15"/>
      <c r="HE407" s="15"/>
      <c r="HF407" s="15"/>
      <c r="HG407" s="15"/>
      <c r="HH407" s="15"/>
      <c r="HI407" s="15"/>
      <c r="HJ407" s="15"/>
      <c r="HK407" s="15"/>
      <c r="HL407" s="15"/>
      <c r="HM407" s="15"/>
      <c r="HN407" s="15"/>
      <c r="HO407" s="15"/>
      <c r="HP407" s="15"/>
      <c r="HQ407" s="15"/>
      <c r="HR407" s="15"/>
      <c r="HS407" s="15"/>
      <c r="HT407" s="15"/>
      <c r="HU407" s="15"/>
      <c r="HV407" s="15"/>
      <c r="HW407" s="15"/>
      <c r="HX407" s="15"/>
      <c r="HY407" s="15"/>
      <c r="HZ407" s="15"/>
      <c r="IA407" s="15"/>
      <c r="IB407" s="15"/>
      <c r="IC407" s="16"/>
      <c r="JE407" s="5"/>
    </row>
    <row r="408" spans="146:265" ht="18" customHeight="1" x14ac:dyDescent="0.2">
      <c r="EP408" s="4"/>
      <c r="JE408" s="5"/>
    </row>
    <row r="409" spans="146:265" ht="18" customHeight="1" x14ac:dyDescent="0.2">
      <c r="EP409" s="4"/>
      <c r="JE409" s="5"/>
    </row>
    <row r="410" spans="146:265" ht="18" customHeight="1" x14ac:dyDescent="0.2">
      <c r="EP410" s="4"/>
      <c r="JE410" s="5"/>
    </row>
    <row r="411" spans="146:265" ht="18" customHeight="1" x14ac:dyDescent="0.2">
      <c r="EP411" s="4"/>
      <c r="JE411" s="5"/>
    </row>
    <row r="412" spans="146:265" ht="18" customHeight="1" x14ac:dyDescent="0.2">
      <c r="EP412" s="4"/>
      <c r="JE412" s="5"/>
    </row>
    <row r="413" spans="146:265" ht="18" customHeight="1" x14ac:dyDescent="0.2">
      <c r="EP413" s="4"/>
      <c r="JE413" s="5"/>
    </row>
    <row r="414" spans="146:265" ht="18" customHeight="1" x14ac:dyDescent="0.2">
      <c r="EP414" s="4"/>
      <c r="JE414" s="5"/>
    </row>
    <row r="415" spans="146:265" ht="18" customHeight="1" x14ac:dyDescent="0.2">
      <c r="EP415" s="4"/>
      <c r="JE415" s="5"/>
    </row>
    <row r="416" spans="146:265" ht="18" customHeight="1" x14ac:dyDescent="0.2">
      <c r="EP416" s="4"/>
      <c r="JE416" s="5"/>
    </row>
    <row r="417" spans="8:394" ht="18" customHeight="1" x14ac:dyDescent="0.2">
      <c r="EP417" s="4"/>
      <c r="JE417" s="5"/>
    </row>
    <row r="418" spans="8:394" ht="18" customHeight="1" x14ac:dyDescent="0.2">
      <c r="EP418" s="4"/>
      <c r="JE418" s="5"/>
    </row>
    <row r="419" spans="8:394" ht="18" customHeight="1" x14ac:dyDescent="0.2">
      <c r="EP419" s="4"/>
      <c r="JE419" s="5"/>
    </row>
    <row r="420" spans="8:394" ht="18" customHeight="1" thickBot="1" x14ac:dyDescent="0.25">
      <c r="EP420" s="6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/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/>
      <c r="IR420" s="7"/>
      <c r="IS420" s="7"/>
      <c r="IT420" s="7"/>
      <c r="IU420" s="7"/>
      <c r="IV420" s="7"/>
      <c r="IW420" s="7"/>
      <c r="IX420" s="7"/>
      <c r="IY420" s="7"/>
      <c r="IZ420" s="7"/>
      <c r="JA420" s="7"/>
      <c r="JB420" s="7"/>
      <c r="JC420" s="7"/>
      <c r="JD420" s="7"/>
      <c r="JE420" s="8"/>
    </row>
    <row r="429" spans="8:394" ht="18" customHeight="1" thickBot="1" x14ac:dyDescent="0.25"/>
    <row r="430" spans="8:394" ht="18" customHeight="1" thickBot="1" x14ac:dyDescent="0.25">
      <c r="H430" s="1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3"/>
    </row>
    <row r="431" spans="8:394" ht="18" customHeight="1" x14ac:dyDescent="0.2">
      <c r="H431" s="4"/>
      <c r="DW431" s="5"/>
      <c r="EQ431" s="1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3"/>
      <c r="JO431" s="1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  <c r="ND431" s="2"/>
      <c r="NE431" s="2"/>
      <c r="NF431" s="2"/>
      <c r="NG431" s="2"/>
      <c r="NH431" s="2"/>
      <c r="NI431" s="2"/>
      <c r="NJ431" s="2"/>
      <c r="NK431" s="2"/>
      <c r="NL431" s="2"/>
      <c r="NM431" s="2"/>
      <c r="NN431" s="2"/>
      <c r="NO431" s="2"/>
      <c r="NP431" s="2"/>
      <c r="NQ431" s="2"/>
      <c r="NR431" s="2"/>
      <c r="NS431" s="2"/>
      <c r="NT431" s="2"/>
      <c r="NU431" s="2"/>
      <c r="NV431" s="2"/>
      <c r="NW431" s="2"/>
      <c r="NX431" s="2"/>
      <c r="NY431" s="2"/>
      <c r="NZ431" s="2"/>
      <c r="OA431" s="2"/>
      <c r="OB431" s="2"/>
      <c r="OC431" s="2"/>
      <c r="OD431" s="3"/>
    </row>
    <row r="432" spans="8:394" ht="18" customHeight="1" x14ac:dyDescent="0.2">
      <c r="H432" s="4"/>
      <c r="DW432" s="5"/>
      <c r="EQ432" s="4"/>
      <c r="JF432" s="5"/>
      <c r="JO432" s="4"/>
      <c r="OD432" s="5"/>
    </row>
    <row r="433" spans="8:394" ht="18" customHeight="1" x14ac:dyDescent="0.2">
      <c r="H433" s="4"/>
      <c r="DW433" s="5"/>
      <c r="EQ433" s="4"/>
      <c r="JF433" s="5"/>
      <c r="JO433" s="4"/>
      <c r="OD433" s="5"/>
    </row>
    <row r="434" spans="8:394" ht="18" customHeight="1" x14ac:dyDescent="0.2">
      <c r="H434" s="4"/>
      <c r="DW434" s="5"/>
      <c r="EQ434" s="4"/>
      <c r="JF434" s="5"/>
      <c r="JO434" s="4"/>
      <c r="OD434" s="5"/>
    </row>
    <row r="435" spans="8:394" ht="18" customHeight="1" x14ac:dyDescent="0.2">
      <c r="H435" s="4"/>
      <c r="DW435" s="5"/>
      <c r="EQ435" s="4"/>
      <c r="JF435" s="5"/>
      <c r="JO435" s="4"/>
      <c r="OD435" s="5"/>
    </row>
    <row r="436" spans="8:394" ht="18" customHeight="1" x14ac:dyDescent="0.2">
      <c r="H436" s="4"/>
      <c r="DW436" s="5"/>
      <c r="EQ436" s="4"/>
      <c r="JF436" s="5"/>
      <c r="JO436" s="4"/>
      <c r="OD436" s="5"/>
    </row>
    <row r="437" spans="8:394" ht="18" customHeight="1" x14ac:dyDescent="0.2">
      <c r="H437" s="4"/>
      <c r="DW437" s="5"/>
      <c r="EQ437" s="4"/>
      <c r="JF437" s="5"/>
      <c r="JO437" s="4"/>
      <c r="OD437" s="5"/>
    </row>
    <row r="438" spans="8:394" ht="18" customHeight="1" x14ac:dyDescent="0.2">
      <c r="H438" s="4"/>
      <c r="DW438" s="5"/>
      <c r="EQ438" s="4"/>
      <c r="JF438" s="5"/>
      <c r="JO438" s="4"/>
      <c r="OD438" s="5"/>
    </row>
    <row r="439" spans="8:394" ht="18" customHeight="1" x14ac:dyDescent="0.2">
      <c r="H439" s="4"/>
      <c r="DW439" s="5"/>
      <c r="EQ439" s="4"/>
      <c r="JF439" s="5"/>
      <c r="JO439" s="4"/>
      <c r="OD439" s="5"/>
    </row>
    <row r="440" spans="8:394" ht="18" customHeight="1" x14ac:dyDescent="0.2">
      <c r="H440" s="4"/>
      <c r="DW440" s="5"/>
      <c r="EQ440" s="4"/>
      <c r="JF440" s="5"/>
      <c r="JO440" s="4"/>
      <c r="OD440" s="5"/>
    </row>
    <row r="441" spans="8:394" ht="18" customHeight="1" x14ac:dyDescent="0.2">
      <c r="H441" s="4"/>
      <c r="DW441" s="5"/>
      <c r="EQ441" s="4"/>
      <c r="JF441" s="5"/>
      <c r="JO441" s="4"/>
      <c r="OD441" s="5"/>
    </row>
    <row r="442" spans="8:394" ht="18" customHeight="1" x14ac:dyDescent="0.2">
      <c r="H442" s="4"/>
      <c r="DW442" s="5"/>
      <c r="EQ442" s="4"/>
      <c r="JF442" s="5"/>
      <c r="JO442" s="4"/>
      <c r="OD442" s="5"/>
    </row>
    <row r="443" spans="8:394" ht="18" customHeight="1" x14ac:dyDescent="0.2">
      <c r="H443" s="4"/>
      <c r="DW443" s="5"/>
      <c r="EQ443" s="4"/>
      <c r="JF443" s="5"/>
      <c r="JO443" s="4"/>
      <c r="OD443" s="5"/>
    </row>
    <row r="444" spans="8:394" ht="18" customHeight="1" x14ac:dyDescent="0.2">
      <c r="H444" s="4"/>
      <c r="DW444" s="5"/>
      <c r="EQ444" s="4"/>
      <c r="JF444" s="5"/>
      <c r="JO444" s="4"/>
      <c r="OD444" s="5"/>
    </row>
    <row r="445" spans="8:394" ht="18" customHeight="1" x14ac:dyDescent="0.2">
      <c r="H445" s="4"/>
      <c r="DW445" s="5"/>
      <c r="EQ445" s="4"/>
      <c r="JF445" s="5"/>
      <c r="JO445" s="4"/>
      <c r="OD445" s="5"/>
    </row>
    <row r="446" spans="8:394" ht="18" customHeight="1" x14ac:dyDescent="0.2">
      <c r="H446" s="4"/>
      <c r="DW446" s="5"/>
      <c r="EQ446" s="4"/>
      <c r="JF446" s="5"/>
      <c r="JO446" s="4"/>
      <c r="OD446" s="5"/>
    </row>
    <row r="447" spans="8:394" ht="18" customHeight="1" x14ac:dyDescent="0.2">
      <c r="H447" s="4"/>
      <c r="DW447" s="5"/>
      <c r="EQ447" s="4"/>
      <c r="JF447" s="5"/>
      <c r="JO447" s="4"/>
      <c r="OD447" s="5"/>
    </row>
    <row r="448" spans="8:394" ht="18" customHeight="1" x14ac:dyDescent="0.2">
      <c r="H448" s="4"/>
      <c r="DW448" s="5"/>
      <c r="EQ448" s="4"/>
      <c r="JF448" s="5"/>
      <c r="JO448" s="4"/>
      <c r="OD448" s="5"/>
    </row>
    <row r="449" spans="8:394" ht="18" customHeight="1" x14ac:dyDescent="0.2">
      <c r="H449" s="4"/>
      <c r="DW449" s="5"/>
      <c r="EQ449" s="4"/>
      <c r="JF449" s="5"/>
      <c r="JO449" s="4"/>
      <c r="OD449" s="5"/>
    </row>
    <row r="450" spans="8:394" ht="18" customHeight="1" x14ac:dyDescent="0.2">
      <c r="H450" s="4"/>
      <c r="DW450" s="5"/>
      <c r="EQ450" s="4"/>
      <c r="JF450" s="5"/>
      <c r="JO450" s="4"/>
      <c r="OD450" s="5"/>
    </row>
    <row r="451" spans="8:394" ht="18" customHeight="1" x14ac:dyDescent="0.2">
      <c r="H451" s="4"/>
      <c r="DW451" s="5"/>
      <c r="EQ451" s="4"/>
      <c r="JF451" s="5"/>
      <c r="JO451" s="4"/>
      <c r="OD451" s="5"/>
    </row>
    <row r="452" spans="8:394" ht="18" customHeight="1" x14ac:dyDescent="0.2">
      <c r="H452" s="4"/>
      <c r="DW452" s="5"/>
      <c r="EQ452" s="4"/>
      <c r="JF452" s="5"/>
      <c r="JO452" s="4"/>
      <c r="OD452" s="5"/>
    </row>
    <row r="453" spans="8:394" ht="18" customHeight="1" x14ac:dyDescent="0.2">
      <c r="H453" s="4"/>
      <c r="AD453" s="9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  <c r="BI453" s="10"/>
      <c r="BJ453" s="10"/>
      <c r="BK453" s="10"/>
      <c r="BL453" s="10"/>
      <c r="BM453" s="10"/>
      <c r="BN453" s="10"/>
      <c r="BO453" s="10"/>
      <c r="BP453" s="10"/>
      <c r="BQ453" s="10"/>
      <c r="BR453" s="11"/>
      <c r="DW453" s="5"/>
      <c r="EQ453" s="4"/>
      <c r="JF453" s="5"/>
      <c r="JO453" s="4"/>
      <c r="OD453" s="5"/>
    </row>
    <row r="454" spans="8:394" ht="18" customHeight="1" x14ac:dyDescent="0.2">
      <c r="H454" s="4"/>
      <c r="AD454" s="12"/>
      <c r="BR454" s="13"/>
      <c r="DW454" s="5"/>
      <c r="EQ454" s="4"/>
      <c r="JF454" s="5"/>
      <c r="JO454" s="4"/>
      <c r="OD454" s="5"/>
    </row>
    <row r="455" spans="8:394" ht="18" customHeight="1" x14ac:dyDescent="0.2">
      <c r="H455" s="4"/>
      <c r="AD455" s="12"/>
      <c r="AF455" s="9"/>
      <c r="AG455" s="10"/>
      <c r="AH455" s="10"/>
      <c r="AI455" s="10"/>
      <c r="AJ455" s="11"/>
      <c r="AK455" s="9"/>
      <c r="AL455" s="10"/>
      <c r="AM455" s="10"/>
      <c r="AN455" s="10"/>
      <c r="AO455" s="11"/>
      <c r="AP455" s="9"/>
      <c r="AQ455" s="10"/>
      <c r="AR455" s="10"/>
      <c r="AS455" s="10"/>
      <c r="AT455" s="10"/>
      <c r="AU455" s="10"/>
      <c r="AV455" s="10"/>
      <c r="AW455" s="11"/>
      <c r="AX455" s="17"/>
      <c r="AY455" s="9"/>
      <c r="AZ455" s="10"/>
      <c r="BA455" s="10"/>
      <c r="BB455" s="10"/>
      <c r="BC455" s="10"/>
      <c r="BD455" s="10"/>
      <c r="BE455" s="10"/>
      <c r="BF455" s="11"/>
      <c r="BG455" s="9"/>
      <c r="BH455" s="10"/>
      <c r="BI455" s="10"/>
      <c r="BJ455" s="10"/>
      <c r="BK455" s="11"/>
      <c r="BL455" s="10"/>
      <c r="BM455" s="10"/>
      <c r="BN455" s="10"/>
      <c r="BO455" s="10"/>
      <c r="BP455" s="11"/>
      <c r="BR455" s="13"/>
      <c r="DW455" s="5"/>
      <c r="EQ455" s="4"/>
      <c r="JF455" s="5"/>
      <c r="JO455" s="4"/>
      <c r="OD455" s="5"/>
    </row>
    <row r="456" spans="8:394" ht="18" customHeight="1" x14ac:dyDescent="0.2">
      <c r="H456" s="4"/>
      <c r="AD456" s="12"/>
      <c r="AF456" s="12"/>
      <c r="AJ456" s="13"/>
      <c r="AK456" s="12"/>
      <c r="AO456" s="13"/>
      <c r="AP456" s="12"/>
      <c r="AW456" s="13"/>
      <c r="AX456" s="18"/>
      <c r="AY456" s="12"/>
      <c r="BF456" s="13"/>
      <c r="BG456" s="12"/>
      <c r="BK456" s="13"/>
      <c r="BP456" s="13"/>
      <c r="BR456" s="13"/>
      <c r="DW456" s="5"/>
      <c r="EQ456" s="4"/>
      <c r="JF456" s="5"/>
      <c r="JO456" s="4"/>
      <c r="OD456" s="5"/>
    </row>
    <row r="457" spans="8:394" ht="18" customHeight="1" x14ac:dyDescent="0.2">
      <c r="H457" s="4"/>
      <c r="AD457" s="12"/>
      <c r="AF457" s="12"/>
      <c r="AJ457" s="13"/>
      <c r="AK457" s="12"/>
      <c r="AO457" s="13"/>
      <c r="AP457" s="12"/>
      <c r="AW457" s="13"/>
      <c r="AX457" s="18"/>
      <c r="AY457" s="12"/>
      <c r="BF457" s="13"/>
      <c r="BG457" s="12"/>
      <c r="BK457" s="13"/>
      <c r="BP457" s="13"/>
      <c r="BR457" s="13"/>
      <c r="DW457" s="5"/>
      <c r="EQ457" s="4"/>
      <c r="JF457" s="5"/>
      <c r="JO457" s="4"/>
      <c r="OD457" s="5"/>
    </row>
    <row r="458" spans="8:394" ht="18" customHeight="1" x14ac:dyDescent="0.2">
      <c r="H458" s="4"/>
      <c r="AD458" s="12"/>
      <c r="AF458" s="12"/>
      <c r="AJ458" s="13"/>
      <c r="AK458" s="12"/>
      <c r="AO458" s="13"/>
      <c r="AP458" s="12"/>
      <c r="AW458" s="13"/>
      <c r="AX458" s="18"/>
      <c r="AY458" s="12"/>
      <c r="BF458" s="13"/>
      <c r="BG458" s="12"/>
      <c r="BK458" s="13"/>
      <c r="BP458" s="13"/>
      <c r="BR458" s="13"/>
      <c r="DW458" s="5"/>
      <c r="EQ458" s="4"/>
      <c r="JF458" s="5"/>
      <c r="JO458" s="4"/>
      <c r="JZ458" s="9"/>
      <c r="KA458" s="10"/>
      <c r="KB458" s="10"/>
      <c r="KC458" s="10"/>
      <c r="KD458" s="10"/>
      <c r="KE458" s="10"/>
      <c r="KF458" s="10"/>
      <c r="KG458" s="10"/>
      <c r="KH458" s="10"/>
      <c r="KI458" s="10"/>
      <c r="KJ458" s="10"/>
      <c r="KK458" s="10"/>
      <c r="KL458" s="10"/>
      <c r="KM458" s="10"/>
      <c r="KN458" s="10"/>
      <c r="KO458" s="10"/>
      <c r="KP458" s="10"/>
      <c r="KQ458" s="10"/>
      <c r="KR458" s="10"/>
      <c r="KS458" s="10"/>
      <c r="KT458" s="10"/>
      <c r="KU458" s="10"/>
      <c r="KV458" s="10"/>
      <c r="KW458" s="10"/>
      <c r="KX458" s="10"/>
      <c r="KY458" s="10"/>
      <c r="KZ458" s="10"/>
      <c r="LA458" s="10"/>
      <c r="LB458" s="10"/>
      <c r="LC458" s="10"/>
      <c r="LD458" s="10"/>
      <c r="LE458" s="10"/>
      <c r="LF458" s="10"/>
      <c r="LG458" s="10"/>
      <c r="LH458" s="10"/>
      <c r="LI458" s="10"/>
      <c r="LJ458" s="10"/>
      <c r="LK458" s="10"/>
      <c r="LL458" s="10"/>
      <c r="LM458" s="10"/>
      <c r="LN458" s="10"/>
      <c r="LO458" s="10"/>
      <c r="LP458" s="10"/>
      <c r="LQ458" s="10"/>
      <c r="LR458" s="10"/>
      <c r="LS458" s="10"/>
      <c r="LT458" s="10"/>
      <c r="LU458" s="10"/>
      <c r="LV458" s="11"/>
      <c r="OD458" s="5"/>
    </row>
    <row r="459" spans="8:394" ht="18" customHeight="1" x14ac:dyDescent="0.2">
      <c r="H459" s="4"/>
      <c r="AD459" s="12"/>
      <c r="AF459" s="14"/>
      <c r="AG459" s="15"/>
      <c r="AH459" s="15"/>
      <c r="AI459" s="15"/>
      <c r="AJ459" s="16"/>
      <c r="AK459" s="14"/>
      <c r="AL459" s="15"/>
      <c r="AM459" s="15"/>
      <c r="AN459" s="15"/>
      <c r="AO459" s="16"/>
      <c r="AP459" s="12"/>
      <c r="AW459" s="13"/>
      <c r="AX459" s="18"/>
      <c r="AY459" s="12"/>
      <c r="BF459" s="13"/>
      <c r="BG459" s="14"/>
      <c r="BH459" s="15"/>
      <c r="BI459" s="15"/>
      <c r="BJ459" s="15"/>
      <c r="BK459" s="16"/>
      <c r="BL459" s="15"/>
      <c r="BM459" s="15"/>
      <c r="BN459" s="15"/>
      <c r="BO459" s="15"/>
      <c r="BP459" s="16"/>
      <c r="BR459" s="13"/>
      <c r="DW459" s="5"/>
      <c r="EQ459" s="4"/>
      <c r="FB459" s="40"/>
      <c r="FC459" s="41"/>
      <c r="FD459" s="41"/>
      <c r="FE459" s="41"/>
      <c r="FF459" s="41"/>
      <c r="FG459" s="41"/>
      <c r="FH459" s="41"/>
      <c r="FI459" s="41"/>
      <c r="FJ459" s="41"/>
      <c r="FK459" s="41"/>
      <c r="FL459" s="41"/>
      <c r="FM459" s="41"/>
      <c r="FN459" s="41"/>
      <c r="FO459" s="41"/>
      <c r="FP459" s="41"/>
      <c r="FQ459" s="41"/>
      <c r="FR459" s="41"/>
      <c r="FS459" s="41"/>
      <c r="FT459" s="41"/>
      <c r="FU459" s="41"/>
      <c r="FV459" s="41"/>
      <c r="FW459" s="41"/>
      <c r="FX459" s="41"/>
      <c r="FY459" s="41"/>
      <c r="FZ459" s="41"/>
      <c r="GA459" s="41"/>
      <c r="GB459" s="41"/>
      <c r="GC459" s="41"/>
      <c r="GD459" s="41"/>
      <c r="GE459" s="41"/>
      <c r="GF459" s="41"/>
      <c r="GG459" s="41"/>
      <c r="GH459" s="41"/>
      <c r="GI459" s="41"/>
      <c r="GJ459" s="41"/>
      <c r="GK459" s="41"/>
      <c r="GL459" s="41"/>
      <c r="GM459" s="41"/>
      <c r="GN459" s="41"/>
      <c r="GO459" s="41"/>
      <c r="GP459" s="41"/>
      <c r="GQ459" s="41"/>
      <c r="GR459" s="41"/>
      <c r="GS459" s="41"/>
      <c r="GT459" s="41"/>
      <c r="GU459" s="41"/>
      <c r="GV459" s="41"/>
      <c r="GW459" s="41"/>
      <c r="GX459" s="44"/>
      <c r="JF459" s="5"/>
      <c r="JO459" s="4"/>
      <c r="JZ459" s="12"/>
      <c r="LV459" s="13"/>
      <c r="OD459" s="5"/>
    </row>
    <row r="460" spans="8:394" ht="18" customHeight="1" x14ac:dyDescent="0.2">
      <c r="H460" s="4"/>
      <c r="AD460" s="12"/>
      <c r="AF460" s="12"/>
      <c r="AP460" s="12"/>
      <c r="AW460" s="13"/>
      <c r="AX460" s="18"/>
      <c r="AY460" s="12"/>
      <c r="BF460" s="13"/>
      <c r="BP460" s="13"/>
      <c r="BR460" s="13"/>
      <c r="DW460" s="5"/>
      <c r="EQ460" s="4"/>
      <c r="FB460" s="42"/>
      <c r="FC460" s="43"/>
      <c r="FD460" s="43"/>
      <c r="FE460" s="43"/>
      <c r="FF460" s="43"/>
      <c r="FG460" s="43"/>
      <c r="FH460" s="43"/>
      <c r="FI460" s="43"/>
      <c r="FJ460" s="43"/>
      <c r="FK460" s="43"/>
      <c r="FL460" s="43"/>
      <c r="FM460" s="43"/>
      <c r="FN460" s="43"/>
      <c r="FO460" s="43"/>
      <c r="FP460" s="43"/>
      <c r="FQ460" s="43"/>
      <c r="FR460" s="43"/>
      <c r="FS460" s="43"/>
      <c r="FT460" s="43"/>
      <c r="FU460" s="43"/>
      <c r="FV460" s="43"/>
      <c r="FW460" s="43"/>
      <c r="FX460" s="43"/>
      <c r="FY460" s="43"/>
      <c r="FZ460" s="43"/>
      <c r="GA460" s="43"/>
      <c r="GB460" s="43"/>
      <c r="GC460" s="43"/>
      <c r="GD460" s="43"/>
      <c r="GE460" s="43"/>
      <c r="GF460" s="43"/>
      <c r="GG460" s="43"/>
      <c r="GH460" s="43"/>
      <c r="GI460" s="43"/>
      <c r="GJ460" s="43"/>
      <c r="GK460" s="43"/>
      <c r="GL460" s="43"/>
      <c r="GM460" s="43"/>
      <c r="GN460" s="43"/>
      <c r="GO460" s="43"/>
      <c r="GP460" s="43"/>
      <c r="GQ460" s="43"/>
      <c r="GR460" s="43"/>
      <c r="GS460" s="43"/>
      <c r="GT460" s="43"/>
      <c r="GU460" s="43"/>
      <c r="GV460" s="43"/>
      <c r="GW460" s="43"/>
      <c r="GX460" s="45"/>
      <c r="JF460" s="5"/>
      <c r="JO460" s="4"/>
      <c r="JZ460" s="12"/>
      <c r="KB460" s="9"/>
      <c r="KC460" s="10"/>
      <c r="KD460" s="10"/>
      <c r="KE460" s="10"/>
      <c r="KF460" s="10"/>
      <c r="KG460" s="10"/>
      <c r="KH460" s="10"/>
      <c r="KI460" s="10"/>
      <c r="KJ460" s="10"/>
      <c r="KK460" s="10"/>
      <c r="KL460" s="10"/>
      <c r="KM460" s="10"/>
      <c r="KN460" s="10"/>
      <c r="KO460" s="10"/>
      <c r="KP460" s="10"/>
      <c r="KQ460" s="10"/>
      <c r="KR460" s="10"/>
      <c r="KS460" s="10"/>
      <c r="KT460" s="10"/>
      <c r="KU460" s="10"/>
      <c r="KV460" s="10"/>
      <c r="KW460" s="10"/>
      <c r="KX460" s="10"/>
      <c r="KY460" s="10"/>
      <c r="KZ460" s="10"/>
      <c r="LA460" s="11"/>
      <c r="LB460" s="10"/>
      <c r="LC460" s="9"/>
      <c r="LD460" s="10"/>
      <c r="LE460" s="10"/>
      <c r="LF460" s="10"/>
      <c r="LG460" s="11"/>
      <c r="LH460" s="10"/>
      <c r="LI460" s="10"/>
      <c r="LJ460" s="10"/>
      <c r="LK460" s="10"/>
      <c r="LL460" s="11"/>
      <c r="LM460" s="9"/>
      <c r="LN460" s="10"/>
      <c r="LO460" s="10"/>
      <c r="LP460" s="10"/>
      <c r="LQ460" s="10"/>
      <c r="LR460" s="10"/>
      <c r="LS460" s="10"/>
      <c r="LT460" s="11"/>
      <c r="LV460" s="13"/>
      <c r="OD460" s="5"/>
    </row>
    <row r="461" spans="8:394" ht="18" customHeight="1" x14ac:dyDescent="0.2">
      <c r="H461" s="4"/>
      <c r="AD461" s="12"/>
      <c r="AF461" s="12"/>
      <c r="AP461" s="12"/>
      <c r="AW461" s="13"/>
      <c r="AX461" s="18"/>
      <c r="AY461" s="12"/>
      <c r="BF461" s="13"/>
      <c r="BP461" s="13"/>
      <c r="BR461" s="13"/>
      <c r="DW461" s="5"/>
      <c r="EQ461" s="4"/>
      <c r="FB461" s="42"/>
      <c r="FC461" s="43"/>
      <c r="FD461" s="9"/>
      <c r="FE461" s="10"/>
      <c r="FF461" s="10"/>
      <c r="FG461" s="10"/>
      <c r="FH461" s="10"/>
      <c r="FI461" s="10"/>
      <c r="FJ461" s="10"/>
      <c r="FK461" s="10"/>
      <c r="FL461" s="10"/>
      <c r="FM461" s="10"/>
      <c r="FN461" s="10"/>
      <c r="FO461" s="10"/>
      <c r="FP461" s="10"/>
      <c r="FQ461" s="10"/>
      <c r="FR461" s="10"/>
      <c r="FS461" s="10"/>
      <c r="FT461" s="10"/>
      <c r="FU461" s="10"/>
      <c r="FV461" s="10"/>
      <c r="FW461" s="10"/>
      <c r="FX461" s="10"/>
      <c r="FY461" s="10"/>
      <c r="FZ461" s="10"/>
      <c r="GA461" s="10"/>
      <c r="GB461" s="10"/>
      <c r="GC461" s="11"/>
      <c r="GD461" s="10"/>
      <c r="GE461" s="9"/>
      <c r="GF461" s="10"/>
      <c r="GG461" s="10"/>
      <c r="GH461" s="10"/>
      <c r="GI461" s="11"/>
      <c r="GJ461" s="10"/>
      <c r="GK461" s="10"/>
      <c r="GL461" s="10"/>
      <c r="GM461" s="10"/>
      <c r="GN461" s="11"/>
      <c r="GO461" s="9"/>
      <c r="GP461" s="10"/>
      <c r="GQ461" s="10"/>
      <c r="GR461" s="10"/>
      <c r="GS461" s="10"/>
      <c r="GT461" s="10"/>
      <c r="GU461" s="10"/>
      <c r="GV461" s="11"/>
      <c r="GW461" s="43"/>
      <c r="GX461" s="45"/>
      <c r="JF461" s="5"/>
      <c r="JO461" s="4"/>
      <c r="JZ461" s="12"/>
      <c r="KB461" s="12"/>
      <c r="LA461" s="13"/>
      <c r="LC461" s="12"/>
      <c r="LG461" s="13"/>
      <c r="LL461" s="13"/>
      <c r="LM461" s="12"/>
      <c r="LT461" s="13"/>
      <c r="LV461" s="13"/>
      <c r="OD461" s="5"/>
    </row>
    <row r="462" spans="8:394" ht="18" customHeight="1" x14ac:dyDescent="0.2">
      <c r="H462" s="4"/>
      <c r="AD462" s="12"/>
      <c r="AF462" s="12"/>
      <c r="AP462" s="12"/>
      <c r="AW462" s="13"/>
      <c r="AX462" s="18"/>
      <c r="AY462" s="12"/>
      <c r="BF462" s="13"/>
      <c r="BP462" s="13"/>
      <c r="BR462" s="13"/>
      <c r="DW462" s="5"/>
      <c r="EQ462" s="4"/>
      <c r="FB462" s="42"/>
      <c r="FC462" s="43"/>
      <c r="FD462" s="12"/>
      <c r="GC462" s="13"/>
      <c r="GE462" s="12"/>
      <c r="GI462" s="13"/>
      <c r="GN462" s="13"/>
      <c r="GO462" s="12"/>
      <c r="GV462" s="13"/>
      <c r="GW462" s="43"/>
      <c r="GX462" s="45"/>
      <c r="JF462" s="5"/>
      <c r="JO462" s="4"/>
      <c r="JZ462" s="12"/>
      <c r="KB462" s="12"/>
      <c r="LA462" s="13"/>
      <c r="LC462" s="12"/>
      <c r="LG462" s="13"/>
      <c r="LL462" s="13"/>
      <c r="LM462" s="12"/>
      <c r="LT462" s="13"/>
      <c r="LV462" s="13"/>
      <c r="OD462" s="5"/>
    </row>
    <row r="463" spans="8:394" ht="18" customHeight="1" x14ac:dyDescent="0.2">
      <c r="H463" s="4"/>
      <c r="AD463" s="12"/>
      <c r="AF463" s="12"/>
      <c r="AP463" s="12"/>
      <c r="AW463" s="13"/>
      <c r="AX463" s="18"/>
      <c r="AY463" s="12"/>
      <c r="BF463" s="13"/>
      <c r="BP463" s="13"/>
      <c r="BR463" s="13"/>
      <c r="DW463" s="5"/>
      <c r="EQ463" s="4"/>
      <c r="FB463" s="42"/>
      <c r="FC463" s="43"/>
      <c r="FD463" s="12"/>
      <c r="GC463" s="13"/>
      <c r="GE463" s="12"/>
      <c r="GI463" s="13"/>
      <c r="GN463" s="13"/>
      <c r="GO463" s="12"/>
      <c r="GV463" s="13"/>
      <c r="GW463" s="43"/>
      <c r="GX463" s="45"/>
      <c r="JF463" s="5"/>
      <c r="JO463" s="4"/>
      <c r="JZ463" s="12"/>
      <c r="KB463" s="12"/>
      <c r="LA463" s="13"/>
      <c r="LC463" s="12"/>
      <c r="LG463" s="13"/>
      <c r="LL463" s="13"/>
      <c r="LM463" s="12"/>
      <c r="LT463" s="13"/>
      <c r="LV463" s="13"/>
      <c r="OD463" s="5"/>
    </row>
    <row r="464" spans="8:394" ht="18" customHeight="1" x14ac:dyDescent="0.2">
      <c r="H464" s="4"/>
      <c r="AD464" s="12"/>
      <c r="AF464" s="14"/>
      <c r="AG464" s="15"/>
      <c r="AH464" s="15"/>
      <c r="AI464" s="15"/>
      <c r="AJ464" s="15"/>
      <c r="AK464" s="15"/>
      <c r="AL464" s="15"/>
      <c r="AM464" s="15"/>
      <c r="AN464" s="15"/>
      <c r="AO464" s="15"/>
      <c r="AP464" s="14"/>
      <c r="AQ464" s="15"/>
      <c r="AR464" s="15"/>
      <c r="AS464" s="15"/>
      <c r="AT464" s="15"/>
      <c r="AU464" s="15"/>
      <c r="AV464" s="15"/>
      <c r="AW464" s="16"/>
      <c r="AX464" s="19"/>
      <c r="AY464" s="14"/>
      <c r="AZ464" s="15"/>
      <c r="BA464" s="15"/>
      <c r="BB464" s="15"/>
      <c r="BC464" s="15"/>
      <c r="BD464" s="15"/>
      <c r="BE464" s="15"/>
      <c r="BF464" s="16"/>
      <c r="BG464" s="15"/>
      <c r="BH464" s="15"/>
      <c r="BI464" s="15"/>
      <c r="BJ464" s="15"/>
      <c r="BK464" s="15"/>
      <c r="BL464" s="15"/>
      <c r="BM464" s="15"/>
      <c r="BN464" s="15"/>
      <c r="BO464" s="15"/>
      <c r="BP464" s="16"/>
      <c r="BS464" s="10"/>
      <c r="BT464" s="10"/>
      <c r="BU464" s="10"/>
      <c r="BV464" s="10"/>
      <c r="BW464" s="10"/>
      <c r="BX464" s="10"/>
      <c r="BY464" s="10"/>
      <c r="BZ464" s="10"/>
      <c r="CA464" s="10"/>
      <c r="CB464" s="10"/>
      <c r="CC464" s="10"/>
      <c r="CD464" s="11"/>
      <c r="DW464" s="5"/>
      <c r="EQ464" s="4"/>
      <c r="FB464" s="42"/>
      <c r="FC464" s="43"/>
      <c r="FD464" s="12"/>
      <c r="GC464" s="13"/>
      <c r="GE464" s="12"/>
      <c r="GI464" s="13"/>
      <c r="GN464" s="13"/>
      <c r="GO464" s="12"/>
      <c r="GV464" s="13"/>
      <c r="GW464" s="43"/>
      <c r="GX464" s="45"/>
      <c r="JF464" s="5"/>
      <c r="JO464" s="4"/>
      <c r="JZ464" s="12"/>
      <c r="KB464" s="12"/>
      <c r="LA464" s="13"/>
      <c r="LC464" s="14"/>
      <c r="LD464" s="15"/>
      <c r="LE464" s="15"/>
      <c r="LF464" s="15"/>
      <c r="LG464" s="16"/>
      <c r="LH464" s="15"/>
      <c r="LI464" s="15"/>
      <c r="LJ464" s="15"/>
      <c r="LK464" s="15"/>
      <c r="LL464" s="16"/>
      <c r="LM464" s="12"/>
      <c r="LT464" s="13"/>
      <c r="LV464" s="13"/>
      <c r="OD464" s="5"/>
    </row>
    <row r="465" spans="8:394" ht="18" customHeight="1" x14ac:dyDescent="0.2">
      <c r="H465" s="4"/>
      <c r="AD465" s="12"/>
      <c r="AF465" s="15"/>
      <c r="AG465" s="100"/>
      <c r="AH465" s="100"/>
      <c r="AI465" s="100"/>
      <c r="AJ465" s="100"/>
      <c r="AK465" s="100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15"/>
      <c r="AZ465" s="15"/>
      <c r="BA465" s="15"/>
      <c r="BB465" s="15"/>
      <c r="BC465" s="15"/>
      <c r="BD465" s="15"/>
      <c r="BE465" s="15"/>
      <c r="BF465" s="15"/>
      <c r="BG465" s="15"/>
      <c r="BH465" s="100"/>
      <c r="BI465" s="100"/>
      <c r="BJ465" s="100"/>
      <c r="BK465" s="100"/>
      <c r="BL465" s="100"/>
      <c r="BM465" s="15"/>
      <c r="BN465" s="15"/>
      <c r="BO465" s="15"/>
      <c r="BP465" s="15"/>
      <c r="BQ465" s="15"/>
      <c r="BR465" s="15"/>
      <c r="CD465" s="13"/>
      <c r="DW465" s="5"/>
      <c r="EQ465" s="4"/>
      <c r="FB465" s="42"/>
      <c r="FC465" s="43"/>
      <c r="FD465" s="12"/>
      <c r="GC465" s="13"/>
      <c r="GE465" s="14"/>
      <c r="GF465" s="15"/>
      <c r="GG465" s="15"/>
      <c r="GH465" s="15"/>
      <c r="GI465" s="16"/>
      <c r="GJ465" s="15"/>
      <c r="GK465" s="15"/>
      <c r="GL465" s="15"/>
      <c r="GM465" s="15"/>
      <c r="GN465" s="16"/>
      <c r="GO465" s="12"/>
      <c r="GV465" s="13"/>
      <c r="GW465" s="43"/>
      <c r="GX465" s="45"/>
      <c r="JF465" s="5"/>
      <c r="JO465" s="4"/>
      <c r="JZ465" s="12"/>
      <c r="KB465" s="12"/>
      <c r="LA465" s="13"/>
      <c r="LC465" s="12"/>
      <c r="LM465" s="12"/>
      <c r="LT465" s="13"/>
      <c r="LV465" s="13"/>
      <c r="OD465" s="5"/>
    </row>
    <row r="466" spans="8:394" ht="18" customHeight="1" x14ac:dyDescent="0.2">
      <c r="H466" s="4"/>
      <c r="AD466" s="12"/>
      <c r="AF466" s="12"/>
      <c r="BD466" s="18"/>
      <c r="BE466" t="s">
        <v>45</v>
      </c>
      <c r="BS466" s="10"/>
      <c r="BT466" s="10"/>
      <c r="BU466" s="10"/>
      <c r="BV466" s="10"/>
      <c r="BW466" s="10"/>
      <c r="BX466" s="10"/>
      <c r="BY466" s="10"/>
      <c r="BZ466" s="10"/>
      <c r="CA466" s="10"/>
      <c r="CB466" s="11"/>
      <c r="CD466" s="13"/>
      <c r="DW466" s="5"/>
      <c r="EQ466" s="4"/>
      <c r="FB466" s="42"/>
      <c r="FC466" s="43"/>
      <c r="FD466" s="12"/>
      <c r="GC466" s="13"/>
      <c r="GE466" s="12"/>
      <c r="GO466" s="12"/>
      <c r="GV466" s="13"/>
      <c r="GW466" s="43"/>
      <c r="GX466" s="45"/>
      <c r="JF466" s="5"/>
      <c r="JO466" s="4"/>
      <c r="JZ466" s="12"/>
      <c r="KB466" s="12"/>
      <c r="LA466" s="13"/>
      <c r="LC466" s="12"/>
      <c r="LM466" s="12"/>
      <c r="LT466" s="13"/>
      <c r="LV466" s="13"/>
      <c r="OD466" s="5"/>
    </row>
    <row r="467" spans="8:394" ht="18" customHeight="1" x14ac:dyDescent="0.2">
      <c r="H467" s="4"/>
      <c r="AD467" s="12"/>
      <c r="AF467" s="12"/>
      <c r="BD467" s="24"/>
      <c r="CB467" s="13"/>
      <c r="CD467" s="13"/>
      <c r="DW467" s="5"/>
      <c r="EQ467" s="4"/>
      <c r="FB467" s="42"/>
      <c r="FC467" s="43"/>
      <c r="FD467" s="12"/>
      <c r="GC467" s="13"/>
      <c r="GE467" s="12"/>
      <c r="GO467" s="12"/>
      <c r="GV467" s="13"/>
      <c r="GW467" s="43"/>
      <c r="GX467" s="45"/>
      <c r="JF467" s="5"/>
      <c r="JO467" s="4"/>
      <c r="JZ467" s="12"/>
      <c r="KB467" s="12"/>
      <c r="LA467" s="13"/>
      <c r="LC467" s="12"/>
      <c r="LM467" s="12"/>
      <c r="LT467" s="13"/>
      <c r="LV467" s="13"/>
      <c r="OD467" s="5"/>
    </row>
    <row r="468" spans="8:394" ht="18" customHeight="1" x14ac:dyDescent="0.2">
      <c r="H468" s="4"/>
      <c r="AD468" s="12"/>
      <c r="AF468" s="12"/>
      <c r="BD468" s="24"/>
      <c r="CB468" s="13"/>
      <c r="CD468" s="13"/>
      <c r="DW468" s="5"/>
      <c r="EQ468" s="4"/>
      <c r="FB468" s="42"/>
      <c r="FC468" s="43"/>
      <c r="FD468" s="12"/>
      <c r="GC468" s="13"/>
      <c r="GE468" s="12"/>
      <c r="GO468" s="12"/>
      <c r="GV468" s="13"/>
      <c r="GW468" s="43"/>
      <c r="GX468" s="45"/>
      <c r="JF468" s="5"/>
      <c r="JO468" s="4"/>
      <c r="JZ468" s="12"/>
      <c r="KB468" s="12"/>
      <c r="LA468" s="13"/>
      <c r="LC468" s="12"/>
      <c r="LM468" s="12"/>
      <c r="LT468" s="13"/>
      <c r="LV468" s="13"/>
      <c r="LX468" s="15"/>
      <c r="LY468" s="15"/>
      <c r="LZ468" s="15"/>
      <c r="MA468" s="15"/>
      <c r="MB468" s="15"/>
      <c r="MC468" s="15"/>
      <c r="MD468" s="15"/>
      <c r="ME468" s="15"/>
      <c r="MF468" s="15"/>
      <c r="MG468" s="15"/>
      <c r="MH468" s="15"/>
      <c r="MI468" s="15"/>
      <c r="MJ468" s="15"/>
      <c r="MK468" s="15"/>
      <c r="OD468" s="5"/>
    </row>
    <row r="469" spans="8:394" ht="18" customHeight="1" x14ac:dyDescent="0.2">
      <c r="H469" s="4"/>
      <c r="AD469" s="12"/>
      <c r="AF469" s="12"/>
      <c r="BD469" s="24"/>
      <c r="CB469" s="13"/>
      <c r="CD469" s="13"/>
      <c r="DW469" s="5"/>
      <c r="EQ469" s="4"/>
      <c r="FB469" s="42"/>
      <c r="FC469" s="43"/>
      <c r="FD469" s="12"/>
      <c r="GC469" s="13"/>
      <c r="GE469" s="12"/>
      <c r="GO469" s="12"/>
      <c r="GV469" s="13"/>
      <c r="GW469" s="43"/>
      <c r="GX469" s="45"/>
      <c r="GZ469" s="15"/>
      <c r="HA469" s="15"/>
      <c r="HB469" s="15"/>
      <c r="HC469" s="15"/>
      <c r="HD469" s="15"/>
      <c r="HE469" s="15"/>
      <c r="HF469" s="15"/>
      <c r="HG469" s="15"/>
      <c r="HH469" s="15"/>
      <c r="HI469" s="15"/>
      <c r="HJ469" s="15"/>
      <c r="HK469" s="15"/>
      <c r="JF469" s="5"/>
      <c r="JO469" s="4"/>
      <c r="JZ469" s="12"/>
      <c r="KB469" s="12"/>
      <c r="LA469" s="13"/>
      <c r="LC469" s="14"/>
      <c r="LD469" s="15"/>
      <c r="LE469" s="15"/>
      <c r="LF469" s="15"/>
      <c r="LG469" s="15"/>
      <c r="LH469" s="15"/>
      <c r="LI469" s="15"/>
      <c r="LJ469" s="15"/>
      <c r="LK469" s="15"/>
      <c r="LL469" s="15"/>
      <c r="LM469" s="14"/>
      <c r="LN469" s="15"/>
      <c r="LO469" s="15"/>
      <c r="LP469" s="15"/>
      <c r="LQ469" s="15"/>
      <c r="LR469" s="15"/>
      <c r="LS469" s="15"/>
      <c r="LT469" s="16"/>
      <c r="LW469" s="10"/>
      <c r="MB469" s="20"/>
      <c r="MC469" s="21"/>
      <c r="MD469" s="21"/>
      <c r="ME469" s="21"/>
      <c r="MF469" s="21"/>
      <c r="MG469" s="22"/>
      <c r="MK469" s="11"/>
      <c r="OD469" s="5"/>
    </row>
    <row r="470" spans="8:394" ht="18" customHeight="1" x14ac:dyDescent="0.2">
      <c r="H470" s="4"/>
      <c r="AD470" s="12"/>
      <c r="AF470" s="12"/>
      <c r="BD470" s="24"/>
      <c r="CB470" s="13"/>
      <c r="CD470" s="13"/>
      <c r="DW470" s="5"/>
      <c r="EQ470" s="4"/>
      <c r="FB470" s="42"/>
      <c r="FC470" s="43"/>
      <c r="FD470" s="12"/>
      <c r="GC470" s="13"/>
      <c r="GE470" s="14"/>
      <c r="GF470" s="15"/>
      <c r="GG470" s="15"/>
      <c r="GH470" s="15"/>
      <c r="GI470" s="15"/>
      <c r="GJ470" s="15"/>
      <c r="GK470" s="15"/>
      <c r="GL470" s="15"/>
      <c r="GM470" s="15"/>
      <c r="GN470" s="15"/>
      <c r="GO470" s="14"/>
      <c r="GP470" s="15"/>
      <c r="GQ470" s="15"/>
      <c r="GR470" s="15"/>
      <c r="GS470" s="15"/>
      <c r="GT470" s="15"/>
      <c r="GU470" s="15"/>
      <c r="GV470" s="16"/>
      <c r="GW470" s="43"/>
      <c r="GX470" s="43"/>
      <c r="GY470" s="41"/>
      <c r="GZ470" s="43"/>
      <c r="HA470" s="43"/>
      <c r="HB470" s="123"/>
      <c r="HC470" s="109"/>
      <c r="HD470" s="109"/>
      <c r="HE470" s="109"/>
      <c r="HF470" s="109"/>
      <c r="HG470" s="124"/>
      <c r="HH470" s="43"/>
      <c r="HI470" s="43"/>
      <c r="HJ470" s="43"/>
      <c r="HK470" s="44"/>
      <c r="JF470" s="5"/>
      <c r="JO470" s="4"/>
      <c r="JZ470" s="12"/>
      <c r="KB470" s="12"/>
      <c r="LA470" s="13"/>
      <c r="LC470" s="15"/>
      <c r="LD470" s="15"/>
      <c r="LE470" s="100"/>
      <c r="LF470" s="100"/>
      <c r="LG470" s="100"/>
      <c r="LH470" s="100"/>
      <c r="LI470" s="100"/>
      <c r="LJ470" s="15"/>
      <c r="LK470" s="15"/>
      <c r="LL470" s="15"/>
      <c r="LM470" s="15"/>
      <c r="LN470" s="15"/>
      <c r="LO470" s="15"/>
      <c r="LP470" s="15"/>
      <c r="LQ470" s="15"/>
      <c r="LR470" s="15"/>
      <c r="LS470" s="15"/>
      <c r="LT470" s="15"/>
      <c r="LU470" s="15"/>
      <c r="LV470" s="15"/>
      <c r="LX470" s="15"/>
      <c r="LY470" s="15"/>
      <c r="LZ470" s="15"/>
      <c r="MA470" s="15"/>
      <c r="MB470" s="20"/>
      <c r="MC470" s="21"/>
      <c r="MD470" s="21"/>
      <c r="ME470" s="21"/>
      <c r="MF470" s="21"/>
      <c r="MG470" s="22"/>
      <c r="MK470" s="13"/>
      <c r="OD470" s="5"/>
    </row>
    <row r="471" spans="8:394" ht="18" customHeight="1" x14ac:dyDescent="0.2">
      <c r="H471" s="4"/>
      <c r="AD471" s="12"/>
      <c r="AF471" s="12"/>
      <c r="BD471" s="24"/>
      <c r="BY471" s="9"/>
      <c r="BZ471" s="10"/>
      <c r="CA471" s="10"/>
      <c r="CB471" s="11"/>
      <c r="CD471" s="13"/>
      <c r="DW471" s="5"/>
      <c r="EQ471" s="4"/>
      <c r="FB471" s="42"/>
      <c r="FC471" s="43"/>
      <c r="FD471" s="12"/>
      <c r="GC471" s="13"/>
      <c r="GE471" s="15"/>
      <c r="GF471" s="15"/>
      <c r="GG471" s="100"/>
      <c r="GH471" s="100"/>
      <c r="GI471" s="100"/>
      <c r="GJ471" s="100"/>
      <c r="GK471" s="100"/>
      <c r="GL471" s="15"/>
      <c r="GM471" s="15"/>
      <c r="GN471" s="15"/>
      <c r="GO471" s="15"/>
      <c r="GP471" s="15"/>
      <c r="GQ471" s="15"/>
      <c r="GR471" s="15"/>
      <c r="GS471" s="15"/>
      <c r="GT471" s="15"/>
      <c r="GU471" s="15"/>
      <c r="GV471" s="15"/>
      <c r="GW471" s="47"/>
      <c r="GX471" s="47"/>
      <c r="GY471" s="43"/>
      <c r="GZ471" s="47"/>
      <c r="HA471" s="47"/>
      <c r="HB471" s="123"/>
      <c r="HC471" s="109"/>
      <c r="HD471" s="109"/>
      <c r="HE471" s="109"/>
      <c r="HF471" s="109"/>
      <c r="HG471" s="124"/>
      <c r="HH471" s="43"/>
      <c r="HI471" s="43"/>
      <c r="HJ471" s="43"/>
      <c r="HK471" s="45"/>
      <c r="JF471" s="5"/>
      <c r="JO471" s="4"/>
      <c r="JZ471" s="12"/>
      <c r="KB471" s="12"/>
      <c r="LA471" s="13"/>
      <c r="LC471" s="9"/>
      <c r="LD471" s="10"/>
      <c r="LE471" s="10"/>
      <c r="LF471" s="10"/>
      <c r="LG471" s="10"/>
      <c r="LH471" s="10"/>
      <c r="LI471" s="10"/>
      <c r="LJ471" s="10"/>
      <c r="LK471" s="10"/>
      <c r="LL471" s="10"/>
      <c r="LM471" s="10"/>
      <c r="LN471" s="10"/>
      <c r="LO471" s="10"/>
      <c r="LP471" s="10"/>
      <c r="LQ471" s="10"/>
      <c r="LR471" s="10"/>
      <c r="LS471" s="10"/>
      <c r="LT471" s="10"/>
      <c r="LU471" s="10"/>
      <c r="LV471" s="10"/>
      <c r="LW471" s="10"/>
      <c r="LX471" s="10"/>
      <c r="LY471" s="10"/>
      <c r="LZ471" s="10"/>
      <c r="MA471" s="10"/>
      <c r="MB471" s="10"/>
      <c r="MC471" s="10"/>
      <c r="MD471" s="10"/>
      <c r="ME471" s="10"/>
      <c r="MF471" s="10"/>
      <c r="MG471" s="10"/>
      <c r="MH471" s="10"/>
      <c r="MI471" s="11"/>
      <c r="MK471" s="13"/>
      <c r="OD471" s="5"/>
    </row>
    <row r="472" spans="8:394" ht="18" customHeight="1" x14ac:dyDescent="0.2">
      <c r="H472" s="4"/>
      <c r="AD472" s="12"/>
      <c r="AF472" s="12"/>
      <c r="BD472" s="24"/>
      <c r="BY472" s="12"/>
      <c r="CB472" s="13"/>
      <c r="CD472" s="13"/>
      <c r="DW472" s="5"/>
      <c r="EQ472" s="4"/>
      <c r="FB472" s="42"/>
      <c r="FC472" s="43"/>
      <c r="FD472" s="12"/>
      <c r="GC472" s="13"/>
      <c r="GE472" s="9"/>
      <c r="GF472" s="10"/>
      <c r="GG472" s="10"/>
      <c r="GH472" s="10"/>
      <c r="GI472" s="10"/>
      <c r="GJ472" s="10"/>
      <c r="GK472" s="10"/>
      <c r="GL472" s="10"/>
      <c r="GM472" s="10"/>
      <c r="GN472" t="s">
        <v>45</v>
      </c>
      <c r="GO472" s="10"/>
      <c r="GP472" s="10"/>
      <c r="GQ472" s="10"/>
      <c r="GR472" s="10"/>
      <c r="GS472" s="10"/>
      <c r="GT472" s="10"/>
      <c r="GU472" s="10"/>
      <c r="GV472" s="10"/>
      <c r="GW472" s="10"/>
      <c r="GX472" s="10"/>
      <c r="GY472" s="10"/>
      <c r="GZ472" s="10"/>
      <c r="HA472" s="10"/>
      <c r="HB472" s="10"/>
      <c r="HC472" s="10"/>
      <c r="HD472" s="10"/>
      <c r="HE472" s="10"/>
      <c r="HF472" s="10"/>
      <c r="HG472" s="10"/>
      <c r="HH472" s="10"/>
      <c r="HI472" s="11"/>
      <c r="HJ472" s="43"/>
      <c r="HK472" s="45"/>
      <c r="JF472" s="5"/>
      <c r="JO472" s="4"/>
      <c r="JZ472" s="12"/>
      <c r="KB472" s="12"/>
      <c r="LA472" s="13"/>
      <c r="LC472" s="12"/>
      <c r="MI472" s="13"/>
      <c r="MK472" s="13"/>
      <c r="OD472" s="5"/>
    </row>
    <row r="473" spans="8:394" ht="18" customHeight="1" x14ac:dyDescent="0.2">
      <c r="H473" s="4"/>
      <c r="AD473" s="12"/>
      <c r="AF473" s="12"/>
      <c r="BD473" s="18"/>
      <c r="BS473" s="9"/>
      <c r="BT473" s="10"/>
      <c r="BU473" s="10"/>
      <c r="BV473" s="11"/>
      <c r="BY473" s="12"/>
      <c r="CB473" s="13"/>
      <c r="CD473" s="13"/>
      <c r="DW473" s="5"/>
      <c r="EQ473" s="4"/>
      <c r="FB473" s="42"/>
      <c r="FC473" s="43"/>
      <c r="FD473" s="12"/>
      <c r="GC473" s="13"/>
      <c r="GE473" s="12"/>
      <c r="HI473" s="13"/>
      <c r="HJ473" s="43"/>
      <c r="HK473" s="45"/>
      <c r="JF473" s="5"/>
      <c r="JO473" s="4"/>
      <c r="JZ473" s="12"/>
      <c r="KB473" s="12"/>
      <c r="LA473" s="13"/>
      <c r="LC473" s="12"/>
      <c r="MI473" s="13"/>
      <c r="MK473" s="13"/>
      <c r="OD473" s="5"/>
    </row>
    <row r="474" spans="8:394" ht="18" customHeight="1" x14ac:dyDescent="0.2">
      <c r="H474" s="4"/>
      <c r="AD474" s="12"/>
      <c r="AF474" s="12"/>
      <c r="BD474" s="18"/>
      <c r="BS474" s="12"/>
      <c r="BV474" s="13"/>
      <c r="BY474" s="12"/>
      <c r="CB474" s="13"/>
      <c r="CD474" s="13"/>
      <c r="DW474" s="5"/>
      <c r="EQ474" s="4"/>
      <c r="FB474" s="42"/>
      <c r="FC474" s="43"/>
      <c r="FD474" s="12"/>
      <c r="GC474" s="13"/>
      <c r="GD474" s="127"/>
      <c r="GE474" s="12"/>
      <c r="HI474" s="13"/>
      <c r="HJ474" s="43"/>
      <c r="HK474" s="45"/>
      <c r="JF474" s="5"/>
      <c r="JO474" s="4"/>
      <c r="JZ474" s="12"/>
      <c r="KB474" s="12"/>
      <c r="LA474" s="13"/>
      <c r="LB474" s="127"/>
      <c r="LC474" s="12"/>
      <c r="MI474" s="13"/>
      <c r="MK474" s="13"/>
      <c r="OD474" s="5"/>
    </row>
    <row r="475" spans="8:394" ht="18" customHeight="1" x14ac:dyDescent="0.2">
      <c r="H475" s="4"/>
      <c r="AD475" s="12"/>
      <c r="AF475" s="12"/>
      <c r="BD475" s="18"/>
      <c r="BE475" s="15"/>
      <c r="BF475" s="15"/>
      <c r="BS475" s="12"/>
      <c r="BV475" s="13"/>
      <c r="BY475" s="12"/>
      <c r="CB475" s="13"/>
      <c r="CD475" s="13"/>
      <c r="DW475" s="5"/>
      <c r="EQ475" s="4"/>
      <c r="FB475" s="42"/>
      <c r="FC475" s="43"/>
      <c r="FD475" s="12"/>
      <c r="GC475" s="13"/>
      <c r="GD475" s="127"/>
      <c r="GE475" s="12"/>
      <c r="HI475" s="13"/>
      <c r="HJ475" s="43"/>
      <c r="HK475" s="45"/>
      <c r="JF475" s="5"/>
      <c r="JO475" s="4"/>
      <c r="JZ475" s="12"/>
      <c r="KB475" s="12"/>
      <c r="LA475" s="13"/>
      <c r="LB475" s="127"/>
      <c r="LC475" s="12"/>
      <c r="MI475" s="13"/>
      <c r="MK475" s="13"/>
      <c r="OD475" s="5"/>
    </row>
    <row r="476" spans="8:394" ht="18" customHeight="1" x14ac:dyDescent="0.2">
      <c r="H476" s="4"/>
      <c r="AD476" s="12"/>
      <c r="AF476" s="12"/>
      <c r="BD476" s="18"/>
      <c r="BE476" s="10"/>
      <c r="BF476" s="10"/>
      <c r="BG476" s="11"/>
      <c r="BS476" s="14"/>
      <c r="BT476" s="15"/>
      <c r="BU476" s="15"/>
      <c r="BV476" s="16"/>
      <c r="BY476" s="12"/>
      <c r="CB476" s="13"/>
      <c r="CD476" s="13"/>
      <c r="DW476" s="5"/>
      <c r="EQ476" s="4"/>
      <c r="FB476" s="42"/>
      <c r="FC476" s="43"/>
      <c r="FD476" s="12"/>
      <c r="GC476" s="13"/>
      <c r="GD476" s="127"/>
      <c r="GE476" s="12"/>
      <c r="HF476" s="9"/>
      <c r="HG476" s="10"/>
      <c r="HH476" s="10"/>
      <c r="HI476" s="11"/>
      <c r="HJ476" s="43"/>
      <c r="HK476" s="45"/>
      <c r="JF476" s="5"/>
      <c r="JO476" s="4"/>
      <c r="JZ476" s="12"/>
      <c r="KB476" s="12"/>
      <c r="LA476" s="13"/>
      <c r="LB476" s="127"/>
      <c r="LC476" s="12"/>
      <c r="MF476" s="9"/>
      <c r="MG476" s="10"/>
      <c r="MH476" s="10"/>
      <c r="MI476" s="11"/>
      <c r="MK476" s="13"/>
      <c r="OD476" s="5"/>
    </row>
    <row r="477" spans="8:394" ht="18" customHeight="1" x14ac:dyDescent="0.2">
      <c r="H477" s="4"/>
      <c r="AD477" s="12"/>
      <c r="AF477" s="12"/>
      <c r="BD477" s="18"/>
      <c r="BG477" s="13"/>
      <c r="BY477" s="12"/>
      <c r="CB477" s="13"/>
      <c r="CD477" s="13"/>
      <c r="DW477" s="5"/>
      <c r="EQ477" s="4"/>
      <c r="FB477" s="42"/>
      <c r="FC477" s="43"/>
      <c r="FD477" s="12"/>
      <c r="GC477" s="13"/>
      <c r="GD477" s="127"/>
      <c r="GE477" s="12"/>
      <c r="HF477" s="12"/>
      <c r="HI477" s="13"/>
      <c r="HJ477" s="43"/>
      <c r="HK477" s="45"/>
      <c r="JF477" s="5"/>
      <c r="JO477" s="4"/>
      <c r="JZ477" s="12"/>
      <c r="KB477" s="12"/>
      <c r="LA477" s="13"/>
      <c r="LB477" s="127"/>
      <c r="LC477" s="12"/>
      <c r="MF477" s="12"/>
      <c r="MI477" s="13"/>
      <c r="MK477" s="13"/>
      <c r="OD477" s="5"/>
    </row>
    <row r="478" spans="8:394" ht="18" customHeight="1" x14ac:dyDescent="0.2">
      <c r="H478" s="4"/>
      <c r="AD478" s="12"/>
      <c r="AF478" s="12"/>
      <c r="BD478" s="18"/>
      <c r="BE478" s="15"/>
      <c r="BF478" s="15"/>
      <c r="BG478" s="16"/>
      <c r="BY478" s="14"/>
      <c r="BZ478" s="15"/>
      <c r="CA478" s="15"/>
      <c r="CB478" s="16"/>
      <c r="CD478" s="13"/>
      <c r="DW478" s="5"/>
      <c r="EQ478" s="4"/>
      <c r="FB478" s="42"/>
      <c r="FC478" s="43"/>
      <c r="FD478" s="12"/>
      <c r="GC478" s="13"/>
      <c r="GD478" s="127"/>
      <c r="GE478" s="12"/>
      <c r="GZ478" s="9"/>
      <c r="HA478" s="10"/>
      <c r="HB478" s="10"/>
      <c r="HC478" s="11"/>
      <c r="HF478" s="12"/>
      <c r="HI478" s="13"/>
      <c r="HJ478" s="43"/>
      <c r="HK478" s="45"/>
      <c r="JF478" s="5"/>
      <c r="JO478" s="4"/>
      <c r="JZ478" s="12"/>
      <c r="KB478" s="12"/>
      <c r="LA478" s="13"/>
      <c r="LB478" s="127"/>
      <c r="LC478" s="12"/>
      <c r="LZ478" s="9"/>
      <c r="MA478" s="10"/>
      <c r="MB478" s="10"/>
      <c r="MC478" s="11"/>
      <c r="MF478" s="12"/>
      <c r="MI478" s="13"/>
      <c r="MK478" s="13"/>
      <c r="OD478" s="5"/>
    </row>
    <row r="479" spans="8:394" ht="18" customHeight="1" x14ac:dyDescent="0.2">
      <c r="H479" s="4"/>
      <c r="AD479" s="12"/>
      <c r="AF479" s="12"/>
      <c r="BD479" s="18"/>
      <c r="BE479" s="10"/>
      <c r="BF479" s="10"/>
      <c r="BG479" s="10"/>
      <c r="BH479" s="10"/>
      <c r="BI479" s="10"/>
      <c r="BJ479" s="11"/>
      <c r="CB479" s="13"/>
      <c r="CD479" s="13"/>
      <c r="DW479" s="5"/>
      <c r="EQ479" s="4"/>
      <c r="FB479" s="42"/>
      <c r="FC479" s="43"/>
      <c r="FD479" s="12"/>
      <c r="GC479" s="13"/>
      <c r="GD479" s="127"/>
      <c r="GE479" s="12"/>
      <c r="GZ479" s="12"/>
      <c r="HC479" s="13"/>
      <c r="HF479" s="12"/>
      <c r="HI479" s="13"/>
      <c r="HJ479" s="43"/>
      <c r="HK479" s="45"/>
      <c r="JF479" s="5"/>
      <c r="JO479" s="4"/>
      <c r="JZ479" s="12"/>
      <c r="KB479" s="12"/>
      <c r="LA479" s="13"/>
      <c r="LB479" s="127"/>
      <c r="LC479" s="12"/>
      <c r="LZ479" s="12"/>
      <c r="MC479" s="13"/>
      <c r="MF479" s="12"/>
      <c r="MI479" s="13"/>
      <c r="MK479" s="13"/>
      <c r="OD479" s="5"/>
    </row>
    <row r="480" spans="8:394" ht="18" customHeight="1" x14ac:dyDescent="0.2">
      <c r="H480" s="4"/>
      <c r="AD480" s="12"/>
      <c r="AF480" s="12"/>
      <c r="BD480" s="18"/>
      <c r="BE480" s="10"/>
      <c r="BF480" s="11"/>
      <c r="BG480" s="10"/>
      <c r="BH480" s="10"/>
      <c r="BI480" s="10"/>
      <c r="BJ480" s="11"/>
      <c r="CB480" s="13"/>
      <c r="CD480" s="13"/>
      <c r="DW480" s="5"/>
      <c r="EQ480" s="4"/>
      <c r="FB480" s="42"/>
      <c r="FC480" s="43"/>
      <c r="FD480" s="14"/>
      <c r="FE480" s="15"/>
      <c r="FF480" s="15"/>
      <c r="FG480" s="15"/>
      <c r="FH480" s="15"/>
      <c r="FI480" s="15"/>
      <c r="FJ480" s="15"/>
      <c r="FK480" s="15"/>
      <c r="FL480" s="15"/>
      <c r="FM480" s="15"/>
      <c r="FN480" s="15"/>
      <c r="FO480" s="15"/>
      <c r="FP480" s="15"/>
      <c r="FQ480" s="15"/>
      <c r="FR480" s="15"/>
      <c r="FS480" s="15"/>
      <c r="FT480" s="15"/>
      <c r="FU480" s="15"/>
      <c r="FV480" s="15"/>
      <c r="FW480" s="15"/>
      <c r="FX480" s="15"/>
      <c r="FY480" s="15"/>
      <c r="FZ480" s="15"/>
      <c r="GA480" s="15"/>
      <c r="GB480" s="15"/>
      <c r="GC480" s="16"/>
      <c r="GE480" s="14"/>
      <c r="GF480" s="15"/>
      <c r="GG480" s="15"/>
      <c r="GH480" s="15"/>
      <c r="GI480" s="15"/>
      <c r="GJ480" s="15"/>
      <c r="GK480" s="15"/>
      <c r="GL480" s="15"/>
      <c r="GM480" s="15"/>
      <c r="GZ480" s="12"/>
      <c r="HC480" s="13"/>
      <c r="HF480" s="12"/>
      <c r="HI480" s="13"/>
      <c r="HJ480" s="43"/>
      <c r="HK480" s="45"/>
      <c r="HU480" s="155"/>
      <c r="JE480" s="9"/>
      <c r="JF480" s="11"/>
      <c r="JO480" s="4"/>
      <c r="JZ480" s="12"/>
      <c r="KB480" s="14"/>
      <c r="KC480" s="15"/>
      <c r="KD480" s="15"/>
      <c r="KE480" s="15"/>
      <c r="KF480" s="15"/>
      <c r="KG480" s="15"/>
      <c r="KH480" s="15"/>
      <c r="KI480" s="15"/>
      <c r="KJ480" s="15"/>
      <c r="KK480" s="15"/>
      <c r="KL480" s="15"/>
      <c r="KM480" s="15"/>
      <c r="KN480" s="15"/>
      <c r="KO480" s="15"/>
      <c r="KP480" s="15"/>
      <c r="KQ480" s="15"/>
      <c r="KR480" s="15"/>
      <c r="KS480" s="15"/>
      <c r="KT480" s="15"/>
      <c r="KU480" s="15"/>
      <c r="KV480" s="15"/>
      <c r="KW480" s="15"/>
      <c r="KX480" s="15"/>
      <c r="KY480" s="15"/>
      <c r="KZ480" s="15"/>
      <c r="LA480" s="16"/>
      <c r="LC480" s="14"/>
      <c r="LD480" s="15"/>
      <c r="LE480" s="15"/>
      <c r="LF480" s="15"/>
      <c r="LG480" s="15"/>
      <c r="LH480" s="15"/>
      <c r="LI480" s="15"/>
      <c r="LJ480" s="15"/>
      <c r="LK480" s="15"/>
      <c r="LZ480" s="12"/>
      <c r="MC480" s="13"/>
      <c r="MF480" s="12"/>
      <c r="MI480" s="13"/>
      <c r="MK480" s="13"/>
      <c r="OC480" s="9"/>
      <c r="OD480" s="11"/>
    </row>
    <row r="481" spans="8:394" ht="18" customHeight="1" x14ac:dyDescent="0.2">
      <c r="H481" s="4"/>
      <c r="AD481" s="12"/>
      <c r="AF481" s="12"/>
      <c r="BD481" s="18"/>
      <c r="BF481" s="13"/>
      <c r="BJ481" s="13"/>
      <c r="CB481" s="13"/>
      <c r="CD481" s="13"/>
      <c r="DW481" s="5"/>
      <c r="EQ481" s="4"/>
      <c r="FB481" s="42"/>
      <c r="FC481" s="43"/>
      <c r="FH481" s="127"/>
      <c r="FI481" s="127"/>
      <c r="FJ481" s="127"/>
      <c r="FK481" s="127"/>
      <c r="FL481" s="127"/>
      <c r="GF481" s="127"/>
      <c r="GG481" s="127"/>
      <c r="GH481" s="127"/>
      <c r="GI481" s="127"/>
      <c r="GJ481" s="127"/>
      <c r="GK481" s="127"/>
      <c r="GN481" s="12"/>
      <c r="GZ481" s="14"/>
      <c r="HA481" s="15"/>
      <c r="HB481" s="15"/>
      <c r="HC481" s="16"/>
      <c r="HF481" s="12"/>
      <c r="HI481" s="13"/>
      <c r="HJ481" s="43"/>
      <c r="HK481" s="45"/>
      <c r="HU481" s="156"/>
      <c r="JE481" s="12"/>
      <c r="JF481" s="13"/>
      <c r="JO481" s="4"/>
      <c r="JZ481" s="12"/>
      <c r="KF481" s="127"/>
      <c r="KG481" s="127"/>
      <c r="KH481" s="127"/>
      <c r="KI481" s="127"/>
      <c r="KJ481" s="127"/>
      <c r="LD481" s="127"/>
      <c r="LE481" s="127"/>
      <c r="LF481" s="127"/>
      <c r="LG481" s="127"/>
      <c r="LH481" s="127"/>
      <c r="LI481" s="127"/>
      <c r="LL481" s="12"/>
      <c r="LZ481" s="14"/>
      <c r="MA481" s="15"/>
      <c r="MB481" s="15"/>
      <c r="MC481" s="16"/>
      <c r="MF481" s="12"/>
      <c r="MI481" s="13"/>
      <c r="MK481" s="13"/>
      <c r="OC481" s="12"/>
      <c r="OD481" s="13"/>
    </row>
    <row r="482" spans="8:394" ht="18" customHeight="1" x14ac:dyDescent="0.2">
      <c r="H482" s="4"/>
      <c r="AD482" s="12"/>
      <c r="AF482" s="12"/>
      <c r="BD482" s="18"/>
      <c r="BF482" s="13"/>
      <c r="BJ482" s="13"/>
      <c r="CB482" s="13"/>
      <c r="CD482" s="13"/>
      <c r="DW482" s="5"/>
      <c r="EQ482" s="4"/>
      <c r="FB482" s="42"/>
      <c r="FC482" s="43"/>
      <c r="FD482" s="9"/>
      <c r="FE482" s="10"/>
      <c r="FF482" s="10"/>
      <c r="FG482" s="10"/>
      <c r="FH482" s="10"/>
      <c r="FI482" s="10"/>
      <c r="FJ482" s="10"/>
      <c r="FK482" s="10"/>
      <c r="FL482" s="10"/>
      <c r="FM482" s="11"/>
      <c r="FO482" s="9"/>
      <c r="FP482" s="10"/>
      <c r="FQ482" s="10"/>
      <c r="FR482" s="10"/>
      <c r="FS482" s="10"/>
      <c r="FT482" s="10"/>
      <c r="FU482" s="10"/>
      <c r="FV482" s="10"/>
      <c r="FW482" s="10"/>
      <c r="FX482" s="10"/>
      <c r="FY482" s="10"/>
      <c r="FZ482" s="10"/>
      <c r="GA482" s="10"/>
      <c r="GB482" s="10"/>
      <c r="GC482" s="10"/>
      <c r="GD482" s="10"/>
      <c r="GE482" s="10"/>
      <c r="GF482" s="10"/>
      <c r="GG482" s="10"/>
      <c r="GH482" s="10"/>
      <c r="GI482" s="10"/>
      <c r="GJ482" s="10"/>
      <c r="GK482" s="10"/>
      <c r="GL482" s="11"/>
      <c r="GN482" s="12"/>
      <c r="HF482" s="12"/>
      <c r="HI482" s="13"/>
      <c r="HJ482" s="43"/>
      <c r="HK482" s="45"/>
      <c r="HP482" s="16"/>
      <c r="HQ482" s="9"/>
      <c r="HR482" s="10"/>
      <c r="HS482" s="10"/>
      <c r="HT482" s="11"/>
      <c r="HU482" s="70"/>
      <c r="HV482" s="92"/>
      <c r="HW482" s="71"/>
      <c r="HX482" s="10"/>
      <c r="HY482" s="10"/>
      <c r="HZ482" s="10"/>
      <c r="IA482" s="10"/>
      <c r="IB482" s="10"/>
      <c r="IC482" s="10"/>
      <c r="ID482" s="10"/>
      <c r="IE482" s="10"/>
      <c r="IF482" s="10"/>
      <c r="IG482" s="10"/>
      <c r="IH482" s="10"/>
      <c r="II482" s="10"/>
      <c r="IJ482" s="10"/>
      <c r="IK482" s="10"/>
      <c r="IL482" s="10"/>
      <c r="IM482" s="11"/>
      <c r="JE482" s="12"/>
      <c r="JF482" s="13"/>
      <c r="JO482" s="4"/>
      <c r="JZ482" s="12"/>
      <c r="KB482" s="9"/>
      <c r="KC482" s="10"/>
      <c r="KD482" s="10"/>
      <c r="KE482" s="10"/>
      <c r="KF482" s="10"/>
      <c r="KG482" s="10"/>
      <c r="KH482" s="10"/>
      <c r="KI482" s="10"/>
      <c r="KJ482" s="10"/>
      <c r="KK482" s="11"/>
      <c r="KM482" s="9"/>
      <c r="KN482" s="10"/>
      <c r="KO482" s="10"/>
      <c r="KP482" s="10"/>
      <c r="KQ482" s="10"/>
      <c r="KR482" s="10"/>
      <c r="KS482" s="10"/>
      <c r="KT482" s="10"/>
      <c r="KU482" s="10"/>
      <c r="KV482" s="10"/>
      <c r="KW482" s="10"/>
      <c r="KX482" s="10"/>
      <c r="KY482" s="10"/>
      <c r="KZ482" s="10"/>
      <c r="LA482" s="10"/>
      <c r="LB482" s="10"/>
      <c r="LC482" s="10"/>
      <c r="LD482" s="10"/>
      <c r="LE482" s="10"/>
      <c r="LF482" s="10"/>
      <c r="LG482" s="10"/>
      <c r="LH482" s="10"/>
      <c r="LI482" s="10"/>
      <c r="LJ482" s="11"/>
      <c r="LL482" s="14"/>
      <c r="LM482" s="15"/>
      <c r="MF482" s="12"/>
      <c r="MI482" s="13"/>
      <c r="MK482" s="13"/>
      <c r="MO482" s="9"/>
      <c r="MP482" s="10"/>
      <c r="MQ482" s="10"/>
      <c r="MR482" s="10"/>
      <c r="MS482" s="10"/>
      <c r="MT482" s="11"/>
      <c r="MU482" s="10"/>
      <c r="MV482" s="10"/>
      <c r="MW482" s="10"/>
      <c r="MX482" s="10"/>
      <c r="MY482" s="10"/>
      <c r="MZ482" s="10"/>
      <c r="NA482" s="10"/>
      <c r="NB482" s="10"/>
      <c r="NC482" s="10"/>
      <c r="ND482" s="10"/>
      <c r="NE482" s="10"/>
      <c r="NF482" s="10"/>
      <c r="NG482" s="10"/>
      <c r="NH482" s="10"/>
      <c r="NI482" s="10"/>
      <c r="NJ482" s="10"/>
      <c r="NK482" s="10"/>
      <c r="NL482" s="10"/>
      <c r="NM482" s="11"/>
      <c r="OC482" s="12"/>
      <c r="OD482" s="13"/>
    </row>
    <row r="483" spans="8:394" ht="18" customHeight="1" x14ac:dyDescent="0.2">
      <c r="H483" s="4"/>
      <c r="AD483" s="12"/>
      <c r="AF483" s="12"/>
      <c r="BD483" s="18"/>
      <c r="BF483" s="13"/>
      <c r="BJ483" s="13"/>
      <c r="CB483" s="13"/>
      <c r="CD483" s="13"/>
      <c r="DW483" s="5"/>
      <c r="EQ483" s="4"/>
      <c r="FB483" s="42"/>
      <c r="FC483" s="43"/>
      <c r="FD483" s="12"/>
      <c r="FM483" s="13"/>
      <c r="FO483" s="12"/>
      <c r="GL483" s="13"/>
      <c r="GN483" s="12"/>
      <c r="HF483" s="14"/>
      <c r="HG483" s="15"/>
      <c r="HH483" s="15"/>
      <c r="HI483" s="16"/>
      <c r="HJ483" s="43"/>
      <c r="HK483" s="45"/>
      <c r="HO483" s="16"/>
      <c r="HT483" s="13"/>
      <c r="HU483" s="107"/>
      <c r="HV483" s="127"/>
      <c r="HW483" s="90"/>
      <c r="IM483" s="13"/>
      <c r="JE483" s="12"/>
      <c r="JF483" s="13"/>
      <c r="JO483" s="4"/>
      <c r="JZ483" s="12"/>
      <c r="KB483" s="12"/>
      <c r="KK483" s="13"/>
      <c r="KM483" s="12"/>
      <c r="LJ483" s="13"/>
      <c r="LL483" s="9"/>
      <c r="LM483" s="10"/>
      <c r="LN483" s="11"/>
      <c r="MF483" s="14"/>
      <c r="MG483" s="15"/>
      <c r="MH483" s="15"/>
      <c r="MI483" s="16"/>
      <c r="MK483" s="13"/>
      <c r="MO483" s="12"/>
      <c r="MT483" s="13"/>
      <c r="NM483" s="13"/>
      <c r="OC483" s="12"/>
      <c r="OD483" s="13"/>
    </row>
    <row r="484" spans="8:394" ht="18" customHeight="1" x14ac:dyDescent="0.2">
      <c r="H484" s="4"/>
      <c r="AD484" s="12"/>
      <c r="AF484" s="12"/>
      <c r="BD484" s="18"/>
      <c r="BF484" s="13"/>
      <c r="BG484" s="15"/>
      <c r="BH484" s="15"/>
      <c r="BI484" s="15"/>
      <c r="BJ484" s="16"/>
      <c r="CB484" s="13"/>
      <c r="CD484" s="13"/>
      <c r="CE484" s="12"/>
      <c r="DW484" s="5"/>
      <c r="EQ484" s="4"/>
      <c r="FB484" s="42"/>
      <c r="FC484" s="43"/>
      <c r="FD484" s="12"/>
      <c r="FM484" s="13"/>
      <c r="FO484" s="12"/>
      <c r="GL484" s="13"/>
      <c r="GN484" s="14"/>
      <c r="GO484" s="15"/>
      <c r="HI484" s="13"/>
      <c r="HJ484" s="43"/>
      <c r="HK484" s="45"/>
      <c r="HO484" s="12"/>
      <c r="HT484" s="13"/>
      <c r="HU484" s="107"/>
      <c r="HV484" s="127"/>
      <c r="HW484" s="90"/>
      <c r="IM484" s="13"/>
      <c r="JE484" s="12"/>
      <c r="JF484" s="13"/>
      <c r="JO484" s="4"/>
      <c r="JZ484" s="12"/>
      <c r="KB484" s="12"/>
      <c r="KK484" s="13"/>
      <c r="KM484" s="12"/>
      <c r="LJ484" s="13"/>
      <c r="LL484" s="12"/>
      <c r="LN484" s="13"/>
      <c r="MI484" s="13"/>
      <c r="MK484" s="13"/>
      <c r="MO484" s="12"/>
      <c r="MT484" s="13"/>
      <c r="NM484" s="13"/>
      <c r="OC484" s="12"/>
      <c r="OD484" s="13"/>
    </row>
    <row r="485" spans="8:394" ht="18" customHeight="1" x14ac:dyDescent="0.2">
      <c r="H485" s="4"/>
      <c r="AD485" s="12"/>
      <c r="AF485" s="12"/>
      <c r="BD485" s="18"/>
      <c r="BF485" s="13"/>
      <c r="BG485" s="10"/>
      <c r="BH485" s="10"/>
      <c r="BI485" s="10"/>
      <c r="BJ485" s="11"/>
      <c r="CB485" s="13"/>
      <c r="CD485" s="13"/>
      <c r="DV485" s="9"/>
      <c r="DW485" s="11"/>
      <c r="EQ485" s="4"/>
      <c r="FB485" s="42"/>
      <c r="FC485" s="43"/>
      <c r="FD485" s="12"/>
      <c r="FM485" s="13"/>
      <c r="FO485" s="12"/>
      <c r="GL485" s="13"/>
      <c r="GN485" s="9"/>
      <c r="GO485" s="10"/>
      <c r="GP485" s="11"/>
      <c r="HI485" s="13"/>
      <c r="HJ485" s="43"/>
      <c r="HK485" s="45"/>
      <c r="HO485" s="12"/>
      <c r="HT485" s="13"/>
      <c r="HU485" s="107"/>
      <c r="HV485" s="127"/>
      <c r="HW485" s="90"/>
      <c r="IM485" s="13"/>
      <c r="JE485" s="12"/>
      <c r="JF485" s="13"/>
      <c r="JO485" s="4"/>
      <c r="JZ485" s="12"/>
      <c r="KB485" s="12"/>
      <c r="KK485" s="13"/>
      <c r="KM485" s="12"/>
      <c r="LJ485" s="13"/>
      <c r="LL485" s="14"/>
      <c r="LM485" s="15"/>
      <c r="LN485" s="16"/>
      <c r="MI485" s="13"/>
      <c r="MK485" s="13"/>
      <c r="MO485" s="12"/>
      <c r="MT485" s="13"/>
      <c r="NM485" s="13"/>
      <c r="OC485" s="12"/>
      <c r="OD485" s="13"/>
    </row>
    <row r="486" spans="8:394" ht="18" customHeight="1" x14ac:dyDescent="0.2">
      <c r="H486" s="4"/>
      <c r="AD486" s="12"/>
      <c r="AF486" s="12"/>
      <c r="BD486" s="18"/>
      <c r="BF486" s="13"/>
      <c r="BJ486" s="13"/>
      <c r="CB486" s="13"/>
      <c r="CD486" s="13"/>
      <c r="DV486" s="12"/>
      <c r="DW486" s="13"/>
      <c r="EQ486" s="4"/>
      <c r="FB486" s="42"/>
      <c r="FC486" s="43"/>
      <c r="FD486" s="14"/>
      <c r="FE486" s="15"/>
      <c r="FF486" s="15"/>
      <c r="FG486" s="15"/>
      <c r="FH486" s="15"/>
      <c r="FI486" s="15"/>
      <c r="FJ486" s="15"/>
      <c r="FK486" s="15"/>
      <c r="FL486" s="15"/>
      <c r="FM486" s="16"/>
      <c r="FO486" s="12"/>
      <c r="GL486" s="13"/>
      <c r="GN486" s="12"/>
      <c r="GP486" s="13"/>
      <c r="HI486" s="13"/>
      <c r="HJ486" s="43"/>
      <c r="HK486" s="45"/>
      <c r="HO486" s="12"/>
      <c r="HT486" s="13"/>
      <c r="HU486" s="107"/>
      <c r="HV486" s="127"/>
      <c r="HW486" s="90"/>
      <c r="IM486" s="13"/>
      <c r="JE486" s="12"/>
      <c r="JF486" s="13"/>
      <c r="JO486" s="4"/>
      <c r="JZ486" s="12"/>
      <c r="KB486" s="14"/>
      <c r="KC486" s="15"/>
      <c r="KD486" s="15"/>
      <c r="KE486" s="15"/>
      <c r="KF486" s="15"/>
      <c r="KG486" s="15"/>
      <c r="KH486" s="15"/>
      <c r="KI486" s="15"/>
      <c r="KJ486" s="15"/>
      <c r="KK486" s="16"/>
      <c r="KM486" s="12"/>
      <c r="LJ486" s="13"/>
      <c r="LL486" s="9"/>
      <c r="LM486" s="10"/>
      <c r="LN486" s="10"/>
      <c r="LO486" s="10"/>
      <c r="LP486" s="10"/>
      <c r="LQ486" s="11"/>
      <c r="MI486" s="13"/>
      <c r="MK486" s="13"/>
      <c r="MO486" s="12"/>
      <c r="MT486" s="13"/>
      <c r="NM486" s="13"/>
      <c r="OC486" s="12"/>
      <c r="OD486" s="13"/>
    </row>
    <row r="487" spans="8:394" ht="18" customHeight="1" x14ac:dyDescent="0.2">
      <c r="H487" s="4"/>
      <c r="AD487" s="12"/>
      <c r="AF487" s="12"/>
      <c r="BD487" s="18"/>
      <c r="BF487" s="13"/>
      <c r="BJ487" s="13"/>
      <c r="BZ487" s="9"/>
      <c r="CA487" s="10"/>
      <c r="CB487" s="11"/>
      <c r="CD487" s="13"/>
      <c r="CH487" s="9"/>
      <c r="CI487" s="10"/>
      <c r="CJ487" s="10"/>
      <c r="CK487" s="10"/>
      <c r="CL487" s="10"/>
      <c r="CM487" s="11"/>
      <c r="CN487" s="10"/>
      <c r="CO487" s="10"/>
      <c r="CP487" s="10"/>
      <c r="CQ487" s="10"/>
      <c r="CR487" s="10"/>
      <c r="CS487" s="10"/>
      <c r="CT487" s="10"/>
      <c r="CU487" s="10"/>
      <c r="CV487" s="10"/>
      <c r="CW487" s="10"/>
      <c r="CX487" s="10"/>
      <c r="CY487" s="10"/>
      <c r="CZ487" s="10"/>
      <c r="DA487" s="10"/>
      <c r="DB487" s="10"/>
      <c r="DC487" s="10"/>
      <c r="DD487" s="10"/>
      <c r="DE487" s="10"/>
      <c r="DF487" s="11"/>
      <c r="DV487" s="12"/>
      <c r="DW487" s="13"/>
      <c r="EQ487" s="4"/>
      <c r="FB487" s="42"/>
      <c r="FC487" s="43"/>
      <c r="FD487" s="12"/>
      <c r="FI487" s="12"/>
      <c r="FM487" s="13"/>
      <c r="FO487" s="12"/>
      <c r="GL487" s="13"/>
      <c r="GN487" s="14"/>
      <c r="GO487" s="15"/>
      <c r="GP487" s="16"/>
      <c r="HI487" s="13"/>
      <c r="HJ487" s="43"/>
      <c r="HK487" s="45"/>
      <c r="HL487" s="12"/>
      <c r="HO487" s="12"/>
      <c r="HT487" s="13"/>
      <c r="HU487" s="107"/>
      <c r="HV487" s="127"/>
      <c r="HW487" s="90"/>
      <c r="IM487" s="13"/>
      <c r="JE487" s="12"/>
      <c r="JF487" s="13"/>
      <c r="JO487" s="4"/>
      <c r="JZ487" s="12"/>
      <c r="KB487" s="12"/>
      <c r="KG487" s="12"/>
      <c r="KK487" s="13"/>
      <c r="KM487" s="12"/>
      <c r="LJ487" s="13"/>
      <c r="LL487" s="9"/>
      <c r="LM487" s="11"/>
      <c r="LN487" s="10"/>
      <c r="LO487" s="10"/>
      <c r="LP487" s="10"/>
      <c r="LQ487" s="11"/>
      <c r="MI487" s="13"/>
      <c r="MK487" s="13"/>
      <c r="ML487" s="12"/>
      <c r="MO487" s="12"/>
      <c r="MT487" s="13"/>
      <c r="NM487" s="13"/>
      <c r="OC487" s="12"/>
      <c r="OD487" s="13"/>
    </row>
    <row r="488" spans="8:394" ht="18" customHeight="1" x14ac:dyDescent="0.2">
      <c r="H488" s="4"/>
      <c r="AD488" s="12"/>
      <c r="AF488" s="12"/>
      <c r="BD488" s="18"/>
      <c r="BF488" s="13"/>
      <c r="BJ488" s="13"/>
      <c r="BZ488" s="12"/>
      <c r="CB488" s="17"/>
      <c r="CD488" s="13"/>
      <c r="CH488" s="12"/>
      <c r="CM488" s="13"/>
      <c r="DF488" s="13"/>
      <c r="DV488" s="12"/>
      <c r="DW488" s="13"/>
      <c r="EQ488" s="4"/>
      <c r="FB488" s="42"/>
      <c r="FC488" s="43"/>
      <c r="FD488" s="12"/>
      <c r="FI488" s="12"/>
      <c r="FM488" s="13"/>
      <c r="FO488" s="12"/>
      <c r="GL488" s="13"/>
      <c r="GN488" s="157"/>
      <c r="GO488" s="158"/>
      <c r="GP488" s="158"/>
      <c r="GQ488" s="158"/>
      <c r="GR488" s="158"/>
      <c r="GS488" s="159"/>
      <c r="HI488" s="13"/>
      <c r="HJ488" s="43"/>
      <c r="HK488" s="45"/>
      <c r="HO488" s="12"/>
      <c r="HT488" s="13"/>
      <c r="HU488" s="107"/>
      <c r="HV488" s="127"/>
      <c r="HW488" s="90"/>
      <c r="IM488" s="13"/>
      <c r="JE488" s="12"/>
      <c r="JF488" s="13"/>
      <c r="JO488" s="4"/>
      <c r="JZ488" s="12"/>
      <c r="KB488" s="12"/>
      <c r="KG488" s="12"/>
      <c r="KK488" s="13"/>
      <c r="KM488" s="12"/>
      <c r="LJ488" s="13"/>
      <c r="LL488" s="12"/>
      <c r="LM488" s="13"/>
      <c r="LQ488" s="13"/>
      <c r="MG488" s="9"/>
      <c r="MH488" s="10"/>
      <c r="MI488" s="11"/>
      <c r="MK488" s="13"/>
      <c r="MO488" s="12"/>
      <c r="MT488" s="13"/>
      <c r="NM488" s="13"/>
      <c r="OC488" s="12"/>
      <c r="OD488" s="13"/>
    </row>
    <row r="489" spans="8:394" ht="18" customHeight="1" x14ac:dyDescent="0.2">
      <c r="H489" s="4"/>
      <c r="AD489" s="12"/>
      <c r="AF489" s="12"/>
      <c r="BD489" s="18"/>
      <c r="BE489" s="15"/>
      <c r="BF489" s="16"/>
      <c r="BG489" s="15"/>
      <c r="BH489" s="15"/>
      <c r="BI489" s="15"/>
      <c r="BJ489" s="16"/>
      <c r="BZ489" s="12"/>
      <c r="CB489" s="18"/>
      <c r="CD489" s="13"/>
      <c r="CH489" s="12"/>
      <c r="CM489" s="13"/>
      <c r="DF489" s="13"/>
      <c r="DV489" s="12"/>
      <c r="DW489" s="13"/>
      <c r="EQ489" s="4"/>
      <c r="FB489" s="42"/>
      <c r="FC489" s="43"/>
      <c r="FD489" s="12"/>
      <c r="FI489" s="12"/>
      <c r="FM489" s="13"/>
      <c r="FO489" s="12"/>
      <c r="GL489" s="13"/>
      <c r="GN489" s="157"/>
      <c r="GO489" s="159"/>
      <c r="GP489" s="158"/>
      <c r="GQ489" s="158"/>
      <c r="GR489" s="158"/>
      <c r="GS489" s="159"/>
      <c r="HI489" s="13"/>
      <c r="HJ489" s="43"/>
      <c r="HK489" s="45"/>
      <c r="HO489" s="12"/>
      <c r="HT489" s="13"/>
      <c r="HU489" s="107"/>
      <c r="HV489" s="127"/>
      <c r="HW489" s="90"/>
      <c r="IM489" s="13"/>
      <c r="JE489" s="12"/>
      <c r="JF489" s="13"/>
      <c r="JO489" s="4"/>
      <c r="JZ489" s="12"/>
      <c r="KB489" s="12"/>
      <c r="KG489" s="12"/>
      <c r="KK489" s="13"/>
      <c r="KM489" s="12"/>
      <c r="LJ489" s="13"/>
      <c r="LL489" s="12"/>
      <c r="LM489" s="13"/>
      <c r="LQ489" s="13"/>
      <c r="MG489" s="12"/>
      <c r="MI489" s="17"/>
      <c r="MK489" s="13"/>
      <c r="MO489" s="12"/>
      <c r="MT489" s="13"/>
      <c r="NM489" s="13"/>
      <c r="OC489" s="12"/>
      <c r="OD489" s="13"/>
    </row>
    <row r="490" spans="8:394" ht="18" customHeight="1" x14ac:dyDescent="0.2">
      <c r="H490" s="4"/>
      <c r="AD490" s="12"/>
      <c r="AF490" s="20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2"/>
      <c r="BD490" s="18"/>
      <c r="BE490" s="15"/>
      <c r="BF490" s="15"/>
      <c r="BG490" s="15"/>
      <c r="BH490" s="15"/>
      <c r="BI490" s="15"/>
      <c r="BJ490" s="16"/>
      <c r="BZ490" s="12"/>
      <c r="CB490" s="18"/>
      <c r="CD490" s="13"/>
      <c r="CH490" s="12"/>
      <c r="CM490" s="13"/>
      <c r="DF490" s="13"/>
      <c r="DV490" s="12"/>
      <c r="DW490" s="13"/>
      <c r="EQ490" s="4"/>
      <c r="FB490" s="42"/>
      <c r="FC490" s="43"/>
      <c r="FD490" s="12"/>
      <c r="FI490" s="12"/>
      <c r="FM490" s="13"/>
      <c r="FO490" s="12"/>
      <c r="GL490" s="13"/>
      <c r="GN490" s="160"/>
      <c r="GO490" s="161"/>
      <c r="GP490" s="162"/>
      <c r="GQ490" s="162"/>
      <c r="GR490" s="162"/>
      <c r="GS490" s="161"/>
      <c r="HG490" s="9"/>
      <c r="HH490" s="10"/>
      <c r="HI490" s="11"/>
      <c r="HJ490" s="43"/>
      <c r="HK490" s="45"/>
      <c r="HO490" s="14"/>
      <c r="HT490" s="13"/>
      <c r="HU490" s="107"/>
      <c r="HV490" s="127"/>
      <c r="HW490" s="90"/>
      <c r="IM490" s="13"/>
      <c r="JE490" s="12"/>
      <c r="JF490" s="13"/>
      <c r="JO490" s="4"/>
      <c r="JZ490" s="12"/>
      <c r="KB490" s="12"/>
      <c r="KG490" s="12"/>
      <c r="KK490" s="13"/>
      <c r="KM490" s="12"/>
      <c r="LJ490" s="13"/>
      <c r="LL490" s="12"/>
      <c r="LM490" s="13"/>
      <c r="LQ490" s="13"/>
      <c r="MG490" s="12"/>
      <c r="MI490" s="18"/>
      <c r="MK490" s="13"/>
      <c r="MO490" s="12"/>
      <c r="MT490" s="13"/>
      <c r="NM490" s="13"/>
      <c r="OC490" s="12"/>
      <c r="OD490" s="13"/>
    </row>
    <row r="491" spans="8:394" ht="18" customHeight="1" x14ac:dyDescent="0.2">
      <c r="H491" s="4"/>
      <c r="AD491" s="12"/>
      <c r="AF491" s="9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  <c r="BB491" s="10"/>
      <c r="BC491" s="11"/>
      <c r="BD491" s="18"/>
      <c r="BE491" s="10"/>
      <c r="BF491" s="10"/>
      <c r="BG491" s="11"/>
      <c r="BZ491" s="12"/>
      <c r="CB491" s="18"/>
      <c r="CD491" s="13"/>
      <c r="CH491" s="12"/>
      <c r="CM491" s="13"/>
      <c r="DF491" s="13"/>
      <c r="DV491" s="12"/>
      <c r="DW491" s="13"/>
      <c r="EQ491" s="4"/>
      <c r="FB491" s="42"/>
      <c r="FC491" s="43"/>
      <c r="FD491" s="14"/>
      <c r="FE491" s="15"/>
      <c r="FF491" s="15"/>
      <c r="FG491" s="15"/>
      <c r="FH491" s="15"/>
      <c r="FI491" s="14"/>
      <c r="FJ491" s="15"/>
      <c r="FK491" s="15"/>
      <c r="FL491" s="15"/>
      <c r="FM491" s="13"/>
      <c r="FO491" s="12"/>
      <c r="GL491" s="13"/>
      <c r="GN491" s="160"/>
      <c r="GO491" s="161"/>
      <c r="GP491" s="162"/>
      <c r="GQ491" s="162"/>
      <c r="GR491" s="162"/>
      <c r="GS491" s="161"/>
      <c r="HG491" s="12"/>
      <c r="HI491" s="176"/>
      <c r="HJ491" s="43"/>
      <c r="HK491" s="45"/>
      <c r="HO491" s="11"/>
      <c r="HP491" s="14"/>
      <c r="HT491" s="13"/>
      <c r="HU491" s="107"/>
      <c r="HV491" s="127"/>
      <c r="HW491" s="90"/>
      <c r="IM491" s="13"/>
      <c r="JE491" s="12"/>
      <c r="JF491" s="13"/>
      <c r="JO491" s="4"/>
      <c r="JZ491" s="12"/>
      <c r="KB491" s="14"/>
      <c r="KC491" s="15"/>
      <c r="KD491" s="15"/>
      <c r="KE491" s="15"/>
      <c r="KF491" s="15"/>
      <c r="KG491" s="14"/>
      <c r="KH491" s="15"/>
      <c r="KI491" s="15"/>
      <c r="KJ491" s="15"/>
      <c r="KK491" s="13"/>
      <c r="KM491" s="12"/>
      <c r="LJ491" s="13"/>
      <c r="LL491" s="12"/>
      <c r="LM491" s="13"/>
      <c r="LN491" s="15"/>
      <c r="LO491" s="15"/>
      <c r="LP491" s="15"/>
      <c r="LQ491" s="16"/>
      <c r="MG491" s="12"/>
      <c r="MI491" s="18"/>
      <c r="MK491" s="13"/>
      <c r="MO491" s="12"/>
      <c r="MT491" s="13"/>
      <c r="NM491" s="13"/>
      <c r="OC491" s="12"/>
      <c r="OD491" s="13"/>
    </row>
    <row r="492" spans="8:394" ht="18" customHeight="1" x14ac:dyDescent="0.2">
      <c r="H492" s="4"/>
      <c r="AD492" s="12"/>
      <c r="AF492" s="12"/>
      <c r="BC492" s="13"/>
      <c r="BD492" s="18"/>
      <c r="BG492" s="13"/>
      <c r="BZ492" s="12"/>
      <c r="CB492" s="18"/>
      <c r="CD492" s="13"/>
      <c r="CH492" s="12"/>
      <c r="CM492" s="13"/>
      <c r="DF492" s="13"/>
      <c r="DV492" s="12"/>
      <c r="DW492" s="13"/>
      <c r="EQ492" s="4"/>
      <c r="FB492" s="42"/>
      <c r="FC492" s="43"/>
      <c r="FD492" s="43"/>
      <c r="FE492" s="43"/>
      <c r="FF492" s="43"/>
      <c r="FG492" s="43"/>
      <c r="FH492" s="43"/>
      <c r="FI492" s="43"/>
      <c r="FJ492" s="43"/>
      <c r="FK492" s="43"/>
      <c r="FL492" s="41"/>
      <c r="FM492" s="41"/>
      <c r="FN492" s="44"/>
      <c r="GL492" s="13"/>
      <c r="GN492" s="160"/>
      <c r="GO492" s="161"/>
      <c r="GP492" s="162"/>
      <c r="GQ492" s="162"/>
      <c r="GR492" s="162"/>
      <c r="GS492" s="161"/>
      <c r="HG492" s="12"/>
      <c r="HI492" s="177"/>
      <c r="HJ492" s="43"/>
      <c r="HK492" s="45"/>
      <c r="HP492" s="11"/>
      <c r="HQ492" s="15"/>
      <c r="HR492" s="15"/>
      <c r="HS492" s="15"/>
      <c r="HT492" s="16"/>
      <c r="HU492" s="72"/>
      <c r="HV492" s="100"/>
      <c r="HW492" s="73"/>
      <c r="HX492" s="15"/>
      <c r="HY492" s="15"/>
      <c r="HZ492" s="15"/>
      <c r="IA492" s="15"/>
      <c r="IB492" s="15"/>
      <c r="IC492" s="15"/>
      <c r="ID492" s="15"/>
      <c r="IE492" s="15"/>
      <c r="IF492" s="15"/>
      <c r="IG492" s="15"/>
      <c r="IH492" s="15"/>
      <c r="II492" s="15"/>
      <c r="IJ492" s="15"/>
      <c r="IK492" s="15"/>
      <c r="IL492" s="15"/>
      <c r="IM492" s="16"/>
      <c r="JE492" s="12"/>
      <c r="JF492" s="13"/>
      <c r="JO492" s="4"/>
      <c r="JZ492" s="12"/>
      <c r="KJ492" s="10"/>
      <c r="KK492" s="10"/>
      <c r="KL492" s="11"/>
      <c r="LJ492" s="13"/>
      <c r="LL492" s="12"/>
      <c r="LM492" s="13"/>
      <c r="LN492" s="10"/>
      <c r="LO492" s="10"/>
      <c r="LP492" s="10"/>
      <c r="LQ492" s="11"/>
      <c r="MG492" s="12"/>
      <c r="MI492" s="18"/>
      <c r="MK492" s="13"/>
      <c r="MO492" s="14"/>
      <c r="MP492" s="15"/>
      <c r="MQ492" s="15"/>
      <c r="MR492" s="15"/>
      <c r="MS492" s="15"/>
      <c r="MT492" s="16"/>
      <c r="MU492" s="15"/>
      <c r="MV492" s="15"/>
      <c r="MW492" s="15"/>
      <c r="MX492" s="15"/>
      <c r="MY492" s="15"/>
      <c r="MZ492" s="15"/>
      <c r="NA492" s="15"/>
      <c r="NB492" s="15"/>
      <c r="NC492" s="15"/>
      <c r="ND492" s="15"/>
      <c r="NE492" s="15"/>
      <c r="NF492" s="15"/>
      <c r="NG492" s="15"/>
      <c r="NH492" s="15"/>
      <c r="NI492" s="15"/>
      <c r="NJ492" s="15"/>
      <c r="NK492" s="15"/>
      <c r="NL492" s="15"/>
      <c r="NM492" s="16"/>
      <c r="OC492" s="12"/>
      <c r="OD492" s="13"/>
    </row>
    <row r="493" spans="8:394" ht="18" customHeight="1" x14ac:dyDescent="0.2">
      <c r="H493" s="4"/>
      <c r="AD493" s="12"/>
      <c r="AF493" s="12"/>
      <c r="BC493" s="13"/>
      <c r="BD493" s="18"/>
      <c r="BE493" s="15"/>
      <c r="BF493" s="15"/>
      <c r="BG493" s="16"/>
      <c r="BZ493" s="12"/>
      <c r="CB493" s="19"/>
      <c r="CD493" s="13"/>
      <c r="CH493" s="12"/>
      <c r="CM493" s="13"/>
      <c r="DF493" s="13"/>
      <c r="DV493" s="12"/>
      <c r="DW493" s="13"/>
      <c r="EQ493" s="4"/>
      <c r="FB493" s="46"/>
      <c r="FC493" s="47"/>
      <c r="FD493" s="47"/>
      <c r="FE493" s="47"/>
      <c r="FF493" s="47"/>
      <c r="FG493" s="47"/>
      <c r="FH493" s="47"/>
      <c r="FI493" s="47"/>
      <c r="FJ493" s="47"/>
      <c r="FK493" s="47"/>
      <c r="FL493" s="47"/>
      <c r="FM493" s="43"/>
      <c r="FN493" s="45"/>
      <c r="GL493" s="13"/>
      <c r="GN493" s="160"/>
      <c r="GO493" s="161"/>
      <c r="GP493" s="163"/>
      <c r="GQ493" s="163"/>
      <c r="GR493" s="163"/>
      <c r="GS493" s="164"/>
      <c r="HG493" s="12"/>
      <c r="HI493" s="177"/>
      <c r="HJ493" s="43"/>
      <c r="HK493" s="45"/>
      <c r="HU493" s="155"/>
      <c r="JE493" s="12"/>
      <c r="JF493" s="13"/>
      <c r="JO493" s="4"/>
      <c r="JZ493" s="14"/>
      <c r="KA493" s="15"/>
      <c r="KB493" s="15"/>
      <c r="KC493" s="15"/>
      <c r="KD493" s="15"/>
      <c r="KE493" s="15"/>
      <c r="KF493" s="15"/>
      <c r="KG493" s="15"/>
      <c r="KH493" s="15"/>
      <c r="KI493" s="15"/>
      <c r="KJ493" s="15"/>
      <c r="KL493" s="13"/>
      <c r="LJ493" s="13"/>
      <c r="LL493" s="12"/>
      <c r="LM493" s="13"/>
      <c r="LQ493" s="13"/>
      <c r="MG493" s="12"/>
      <c r="MI493" s="18"/>
      <c r="MK493" s="13"/>
      <c r="OC493" s="12"/>
      <c r="OD493" s="13"/>
    </row>
    <row r="494" spans="8:394" ht="18" customHeight="1" x14ac:dyDescent="0.2">
      <c r="H494" s="4"/>
      <c r="AD494" s="12"/>
      <c r="AF494" s="12"/>
      <c r="BC494" s="13"/>
      <c r="BD494" s="18"/>
      <c r="BZ494" s="14"/>
      <c r="CA494" s="15"/>
      <c r="CB494" s="16"/>
      <c r="CD494" s="13"/>
      <c r="CH494" s="12"/>
      <c r="CM494" s="13"/>
      <c r="DF494" s="13"/>
      <c r="DV494" s="12"/>
      <c r="DW494" s="13"/>
      <c r="EQ494" s="4"/>
      <c r="FM494" s="46"/>
      <c r="FN494" s="48"/>
      <c r="GL494" s="13"/>
      <c r="GN494" s="160"/>
      <c r="GO494" s="161"/>
      <c r="GP494" s="158"/>
      <c r="GQ494" s="158"/>
      <c r="GR494" s="158"/>
      <c r="GS494" s="159"/>
      <c r="HG494" s="12"/>
      <c r="HI494" s="177"/>
      <c r="HJ494" s="43"/>
      <c r="HK494" s="45"/>
      <c r="HU494" s="156"/>
      <c r="JE494" s="12"/>
      <c r="JF494" s="13"/>
      <c r="JO494" s="4"/>
      <c r="KK494" s="14"/>
      <c r="KL494" s="16"/>
      <c r="LJ494" s="13"/>
      <c r="LL494" s="12"/>
      <c r="LM494" s="13"/>
      <c r="LQ494" s="13"/>
      <c r="MG494" s="12"/>
      <c r="MI494" s="19"/>
      <c r="MK494" s="13"/>
      <c r="OC494" s="12"/>
      <c r="OD494" s="13"/>
    </row>
    <row r="495" spans="8:394" ht="18" customHeight="1" x14ac:dyDescent="0.2">
      <c r="H495" s="4"/>
      <c r="AD495" s="12"/>
      <c r="AF495" s="12"/>
      <c r="BC495" s="13"/>
      <c r="BD495" s="24"/>
      <c r="CB495" s="13"/>
      <c r="CD495" s="13"/>
      <c r="CH495" s="12"/>
      <c r="CM495" s="13"/>
      <c r="DF495" s="13"/>
      <c r="DV495" s="12"/>
      <c r="DW495" s="13"/>
      <c r="EQ495" s="4"/>
      <c r="FL495" s="13"/>
      <c r="FM495" s="108"/>
      <c r="FN495" s="42"/>
      <c r="FO495" s="12"/>
      <c r="GL495" s="13"/>
      <c r="GN495" s="160"/>
      <c r="GO495" s="161"/>
      <c r="GP495" s="162"/>
      <c r="GQ495" s="162"/>
      <c r="GR495" s="162"/>
      <c r="GS495" s="161"/>
      <c r="HG495" s="12"/>
      <c r="HI495" s="177"/>
      <c r="HJ495" s="43"/>
      <c r="HK495" s="45"/>
      <c r="JE495" s="14"/>
      <c r="JF495" s="16"/>
      <c r="JO495" s="4"/>
      <c r="KJ495" s="13"/>
      <c r="KK495" s="18"/>
      <c r="KL495" s="12"/>
      <c r="KM495" s="12"/>
      <c r="LJ495" s="13"/>
      <c r="LL495" s="12"/>
      <c r="LM495" s="13"/>
      <c r="LQ495" s="13"/>
      <c r="MG495" s="14"/>
      <c r="MH495" s="15"/>
      <c r="MI495" s="16"/>
      <c r="MK495" s="13"/>
      <c r="OC495" s="14"/>
      <c r="OD495" s="16"/>
    </row>
    <row r="496" spans="8:394" ht="18" customHeight="1" x14ac:dyDescent="0.2">
      <c r="H496" s="4"/>
      <c r="AD496" s="12"/>
      <c r="AF496" s="12"/>
      <c r="BC496" s="13"/>
      <c r="BD496" s="24"/>
      <c r="CB496" s="13"/>
      <c r="CD496" s="13"/>
      <c r="CH496" s="12"/>
      <c r="CM496" s="13"/>
      <c r="DF496" s="13"/>
      <c r="DV496" s="12"/>
      <c r="DW496" s="13"/>
      <c r="EQ496" s="4"/>
      <c r="FL496" s="13"/>
      <c r="FM496" s="108"/>
      <c r="FN496" s="42"/>
      <c r="FO496" s="12"/>
      <c r="GL496" s="13"/>
      <c r="GN496" s="160"/>
      <c r="GO496" s="161"/>
      <c r="GP496" s="162"/>
      <c r="GQ496" s="162"/>
      <c r="GR496" s="162"/>
      <c r="GS496" s="161"/>
      <c r="HG496" s="12"/>
      <c r="HI496" s="178"/>
      <c r="HJ496" s="43"/>
      <c r="HK496" s="45"/>
      <c r="JF496" s="5"/>
      <c r="JO496" s="4"/>
      <c r="KJ496" s="13"/>
      <c r="KK496" s="18"/>
      <c r="KL496" s="12"/>
      <c r="KM496" s="12"/>
      <c r="LJ496" s="13"/>
      <c r="LL496" s="12"/>
      <c r="LM496" s="13"/>
      <c r="LQ496" s="13"/>
      <c r="MI496" s="13"/>
      <c r="MK496" s="13"/>
      <c r="ML496" s="20"/>
      <c r="MM496" s="21"/>
      <c r="MN496" s="21"/>
      <c r="MO496" s="21"/>
      <c r="MP496" s="21"/>
      <c r="MQ496" s="21"/>
      <c r="MR496" s="21"/>
      <c r="MS496" s="21"/>
      <c r="MT496" s="21"/>
      <c r="MU496" s="21"/>
      <c r="MV496" s="21"/>
      <c r="MW496" s="21"/>
      <c r="MX496" s="22"/>
      <c r="OD496" s="5"/>
    </row>
    <row r="497" spans="8:394" ht="18" customHeight="1" x14ac:dyDescent="0.2">
      <c r="H497" s="4"/>
      <c r="AD497" s="12"/>
      <c r="AF497" s="12"/>
      <c r="BC497" s="13"/>
      <c r="BD497" s="24"/>
      <c r="CB497" s="13"/>
      <c r="CD497" s="13"/>
      <c r="CH497" s="14"/>
      <c r="CI497" s="15"/>
      <c r="CJ497" s="15"/>
      <c r="CK497" s="15"/>
      <c r="CL497" s="15"/>
      <c r="CM497" s="16"/>
      <c r="CN497" s="15"/>
      <c r="CO497" s="15"/>
      <c r="CP497" s="15"/>
      <c r="CQ497" s="15"/>
      <c r="CR497" s="15"/>
      <c r="CS497" s="15"/>
      <c r="CT497" s="15"/>
      <c r="CU497" s="15"/>
      <c r="CV497" s="15"/>
      <c r="CW497" s="15"/>
      <c r="CX497" s="15"/>
      <c r="CY497" s="15"/>
      <c r="CZ497" s="15"/>
      <c r="DA497" s="15"/>
      <c r="DB497" s="15"/>
      <c r="DC497" s="15"/>
      <c r="DD497" s="15"/>
      <c r="DE497" s="15"/>
      <c r="DF497" s="16"/>
      <c r="DV497" s="12"/>
      <c r="DW497" s="13"/>
      <c r="EQ497" s="4"/>
      <c r="FL497" s="13"/>
      <c r="FM497" s="108"/>
      <c r="FN497" s="42"/>
      <c r="FO497" s="12"/>
      <c r="GL497" s="13"/>
      <c r="GN497" s="160"/>
      <c r="GO497" s="161"/>
      <c r="GP497" s="162"/>
      <c r="GQ497" s="162"/>
      <c r="GR497" s="162"/>
      <c r="GS497" s="161"/>
      <c r="HG497" s="14"/>
      <c r="HH497" s="15"/>
      <c r="HI497" s="16"/>
      <c r="HJ497" s="43"/>
      <c r="HK497" s="45"/>
      <c r="JF497" s="5"/>
      <c r="JO497" s="4"/>
      <c r="KJ497" s="13"/>
      <c r="KK497" s="18"/>
      <c r="KL497" s="12"/>
      <c r="KM497" s="12"/>
      <c r="LJ497" s="13"/>
      <c r="LL497" s="20"/>
      <c r="LM497" s="21"/>
      <c r="LN497" s="21"/>
      <c r="LO497" s="21"/>
      <c r="LP497" s="21"/>
      <c r="LQ497" s="22"/>
      <c r="MI497" s="13"/>
      <c r="MK497" s="13"/>
      <c r="ML497" s="12"/>
      <c r="MW497" s="13"/>
      <c r="MY497" s="12"/>
      <c r="OD497" s="5"/>
    </row>
    <row r="498" spans="8:394" ht="18" customHeight="1" x14ac:dyDescent="0.2">
      <c r="H498" s="4"/>
      <c r="AD498" s="12"/>
      <c r="AF498" s="12"/>
      <c r="BC498" s="13"/>
      <c r="BD498" s="24"/>
      <c r="CB498" s="13"/>
      <c r="CD498" s="13"/>
      <c r="DV498" s="12"/>
      <c r="DW498" s="13"/>
      <c r="EQ498" s="4"/>
      <c r="FM498" s="108"/>
      <c r="FN498" s="42"/>
      <c r="FO498" s="12"/>
      <c r="GL498" s="13"/>
      <c r="GN498" s="160"/>
      <c r="GO498" s="161"/>
      <c r="GP498" s="162"/>
      <c r="GQ498" s="162"/>
      <c r="GR498" s="162"/>
      <c r="GS498" s="161"/>
      <c r="HI498" s="13"/>
      <c r="HJ498" s="43"/>
      <c r="HK498" s="45"/>
      <c r="JF498" s="5"/>
      <c r="JO498" s="4"/>
      <c r="KK498" s="18"/>
      <c r="KL498" s="12"/>
      <c r="KM498" s="12"/>
      <c r="LJ498" s="13"/>
      <c r="LL498" s="12"/>
      <c r="LN498" s="13"/>
      <c r="MI498" s="13"/>
      <c r="MK498" s="13"/>
      <c r="ML498" s="12"/>
      <c r="MW498" s="13"/>
      <c r="MY498" s="12"/>
      <c r="OD498" s="5"/>
    </row>
    <row r="499" spans="8:394" ht="18" customHeight="1" x14ac:dyDescent="0.2">
      <c r="H499" s="4"/>
      <c r="AD499" s="12"/>
      <c r="AF499" s="12"/>
      <c r="BC499" s="13"/>
      <c r="BD499" s="24"/>
      <c r="CB499" s="13"/>
      <c r="CD499" s="13"/>
      <c r="DV499" s="12"/>
      <c r="DW499" s="13"/>
      <c r="EQ499" s="4"/>
      <c r="FL499" s="13"/>
      <c r="FM499" s="108"/>
      <c r="FN499" s="42"/>
      <c r="FO499" s="12"/>
      <c r="GL499" s="13"/>
      <c r="GN499" s="165"/>
      <c r="GO499" s="166"/>
      <c r="GP499" s="166"/>
      <c r="GQ499" s="166"/>
      <c r="GR499" s="166"/>
      <c r="GS499" s="167"/>
      <c r="HI499" s="13"/>
      <c r="HJ499" s="43"/>
      <c r="HK499" s="45"/>
      <c r="JF499" s="5"/>
      <c r="JO499" s="4"/>
      <c r="KJ499" s="13"/>
      <c r="KK499" s="18"/>
      <c r="KL499" s="12"/>
      <c r="KM499" s="12"/>
      <c r="LJ499" s="13"/>
      <c r="LL499" s="12"/>
      <c r="LN499" s="13"/>
      <c r="MI499" s="13"/>
      <c r="MK499" s="13"/>
      <c r="ML499" s="12"/>
      <c r="MW499" s="13"/>
      <c r="MY499" s="12"/>
      <c r="OD499" s="5"/>
    </row>
    <row r="500" spans="8:394" ht="18" customHeight="1" x14ac:dyDescent="0.2">
      <c r="H500" s="4"/>
      <c r="AD500" s="12"/>
      <c r="AF500" s="14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15"/>
      <c r="AZ500" s="15"/>
      <c r="BA500" s="15"/>
      <c r="BB500" s="15"/>
      <c r="BC500" s="16"/>
      <c r="BD500" s="24"/>
      <c r="CB500" s="13"/>
      <c r="CD500" s="13"/>
      <c r="DV500" s="14"/>
      <c r="DW500" s="16"/>
      <c r="EQ500" s="4"/>
      <c r="FL500" s="13"/>
      <c r="FM500" s="126"/>
      <c r="FN500" s="46"/>
      <c r="FO500" s="12"/>
      <c r="GL500" s="13"/>
      <c r="GN500" s="12"/>
      <c r="GP500" s="13"/>
      <c r="HI500" s="13"/>
      <c r="HJ500" s="43"/>
      <c r="HK500" s="45"/>
      <c r="JF500" s="5"/>
      <c r="JO500" s="4"/>
      <c r="KJ500" s="13"/>
      <c r="KK500" s="19"/>
      <c r="KL500" s="14"/>
      <c r="KM500" s="12"/>
      <c r="LJ500" s="13"/>
      <c r="LL500" s="14"/>
      <c r="LM500" s="15"/>
      <c r="LN500" s="16"/>
      <c r="MI500" s="13"/>
      <c r="MK500" s="13"/>
      <c r="ML500" s="12"/>
      <c r="MW500" s="13"/>
      <c r="MY500" s="12"/>
      <c r="OD500" s="5"/>
    </row>
    <row r="501" spans="8:394" ht="18" customHeight="1" x14ac:dyDescent="0.2">
      <c r="H501" s="4"/>
      <c r="AD501" s="12"/>
      <c r="AF501" s="12"/>
      <c r="BD501" s="18"/>
      <c r="CB501" s="13"/>
      <c r="CD501" s="13"/>
      <c r="DW501" s="5"/>
      <c r="EQ501" s="4"/>
      <c r="FL501" s="13"/>
      <c r="FM501" s="43"/>
      <c r="FN501" s="43"/>
      <c r="FO501" s="14"/>
      <c r="FP501" s="15"/>
      <c r="FQ501" s="15"/>
      <c r="FR501" s="15"/>
      <c r="FS501" s="15"/>
      <c r="FT501" s="15"/>
      <c r="FU501" s="15"/>
      <c r="FV501" s="15"/>
      <c r="FW501" s="15"/>
      <c r="FX501" s="15"/>
      <c r="FY501" s="15"/>
      <c r="FZ501" s="15"/>
      <c r="GA501" s="15"/>
      <c r="GB501" s="15"/>
      <c r="GC501" s="15"/>
      <c r="GD501" s="15"/>
      <c r="GE501" s="15"/>
      <c r="GF501" s="15"/>
      <c r="GG501" s="15"/>
      <c r="GH501" s="15"/>
      <c r="GI501" s="15"/>
      <c r="GJ501" s="15"/>
      <c r="GK501" s="15"/>
      <c r="GL501" s="16"/>
      <c r="GN501" s="12"/>
      <c r="GP501" s="13"/>
      <c r="HI501" s="13"/>
      <c r="HJ501" s="43"/>
      <c r="HK501" s="45"/>
      <c r="HL501" s="146"/>
      <c r="HM501" s="147"/>
      <c r="HN501" s="147"/>
      <c r="HO501" s="147"/>
      <c r="HP501" s="147"/>
      <c r="HQ501" s="147"/>
      <c r="HR501" s="147"/>
      <c r="HS501" s="147"/>
      <c r="HT501" s="147"/>
      <c r="HU501" s="147"/>
      <c r="HV501" s="147"/>
      <c r="HW501" s="147"/>
      <c r="HX501" s="147"/>
      <c r="HY501" s="147"/>
      <c r="HZ501" s="147"/>
      <c r="IA501" s="147"/>
      <c r="IB501" s="147"/>
      <c r="IC501" s="147"/>
      <c r="ID501" s="147"/>
      <c r="IE501" s="148"/>
      <c r="JF501" s="5"/>
      <c r="JO501" s="4"/>
      <c r="KJ501" s="13"/>
      <c r="KM501" s="14"/>
      <c r="KN501" s="15"/>
      <c r="KO501" s="15"/>
      <c r="KP501" s="15"/>
      <c r="KQ501" s="15"/>
      <c r="KR501" s="15"/>
      <c r="KS501" s="15"/>
      <c r="KT501" s="15"/>
      <c r="KU501" s="15"/>
      <c r="KV501" s="15"/>
      <c r="KW501" s="15"/>
      <c r="KX501" s="15"/>
      <c r="KY501" s="15"/>
      <c r="KZ501" s="15"/>
      <c r="LA501" s="15"/>
      <c r="LB501" s="15"/>
      <c r="LC501" s="15"/>
      <c r="LD501" s="15"/>
      <c r="LE501" s="15"/>
      <c r="LF501" s="15"/>
      <c r="LG501" s="15"/>
      <c r="LH501" s="15"/>
      <c r="LI501" s="15"/>
      <c r="LJ501" s="16"/>
      <c r="LL501" s="12"/>
      <c r="MI501" s="13"/>
      <c r="MK501" s="13"/>
      <c r="ML501" s="12"/>
      <c r="MW501" s="13"/>
      <c r="MY501" s="12"/>
      <c r="OD501" s="5"/>
    </row>
    <row r="502" spans="8:394" ht="18" customHeight="1" x14ac:dyDescent="0.2">
      <c r="H502" s="4"/>
      <c r="AD502" s="12"/>
      <c r="AF502" s="9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  <c r="BB502" s="10"/>
      <c r="BC502" s="10"/>
      <c r="BD502" s="18"/>
      <c r="CB502" s="13"/>
      <c r="CD502" s="13"/>
      <c r="CE502" s="14"/>
      <c r="CF502" s="15"/>
      <c r="CG502" s="15"/>
      <c r="CH502" s="15"/>
      <c r="CI502" s="15"/>
      <c r="CJ502" s="15"/>
      <c r="CK502" s="15"/>
      <c r="CL502" s="15"/>
      <c r="CM502" s="15"/>
      <c r="CN502" s="15"/>
      <c r="CO502" s="15"/>
      <c r="CP502" s="15"/>
      <c r="CQ502" s="15"/>
      <c r="CR502" s="15"/>
      <c r="CS502" s="15"/>
      <c r="CT502" s="15"/>
      <c r="CU502" s="15"/>
      <c r="DW502" s="5"/>
      <c r="EQ502" s="4"/>
      <c r="FL502" s="13"/>
      <c r="FM502" s="43"/>
      <c r="FN502" s="43"/>
      <c r="GN502" s="14"/>
      <c r="GO502" s="15"/>
      <c r="GP502" s="16"/>
      <c r="HI502" s="13"/>
      <c r="HJ502" s="43"/>
      <c r="HK502" s="45"/>
      <c r="HL502" s="149"/>
      <c r="HM502" s="150"/>
      <c r="HN502" s="150"/>
      <c r="HO502" s="150"/>
      <c r="HP502" s="150"/>
      <c r="HQ502" s="150"/>
      <c r="HR502" s="150"/>
      <c r="HS502" s="150"/>
      <c r="HT502" s="150"/>
      <c r="HU502" s="150"/>
      <c r="HV502" s="150"/>
      <c r="HW502" s="150"/>
      <c r="HX502" s="150"/>
      <c r="HY502" s="150"/>
      <c r="HZ502" s="150"/>
      <c r="IA502" s="150"/>
      <c r="IB502" s="150"/>
      <c r="IC502" s="150"/>
      <c r="ID502" s="150"/>
      <c r="IE502" s="151"/>
      <c r="JF502" s="5"/>
      <c r="JO502" s="4"/>
      <c r="KJ502" s="13"/>
      <c r="LL502" s="12"/>
      <c r="MI502" s="13"/>
      <c r="MK502" s="13"/>
      <c r="ML502" s="12"/>
      <c r="MW502" s="13"/>
      <c r="MY502" s="12"/>
      <c r="OD502" s="5"/>
    </row>
    <row r="503" spans="8:394" ht="18" customHeight="1" x14ac:dyDescent="0.2">
      <c r="H503" s="4"/>
      <c r="AD503" s="12"/>
      <c r="AF503" s="12"/>
      <c r="BD503" s="18"/>
      <c r="CB503" s="13"/>
      <c r="CD503" s="13"/>
      <c r="CU503" s="13"/>
      <c r="DW503" s="5"/>
      <c r="EQ503" s="4"/>
      <c r="FL503" s="13"/>
      <c r="FM503" s="43"/>
      <c r="FN503" s="43"/>
      <c r="FO503" s="9"/>
      <c r="FP503" s="10"/>
      <c r="FQ503" s="10"/>
      <c r="FR503" s="10"/>
      <c r="FS503" s="10"/>
      <c r="FT503" s="10"/>
      <c r="FU503" s="10"/>
      <c r="FV503" s="10"/>
      <c r="FW503" s="10"/>
      <c r="FX503" s="10"/>
      <c r="FY503" s="10"/>
      <c r="FZ503" s="10"/>
      <c r="GA503" s="10"/>
      <c r="GB503" s="10"/>
      <c r="GC503" s="10"/>
      <c r="GD503" s="10"/>
      <c r="GE503" s="10"/>
      <c r="GF503" s="10"/>
      <c r="GG503" s="10"/>
      <c r="GH503" s="10"/>
      <c r="GI503" s="10"/>
      <c r="GJ503" s="10"/>
      <c r="GK503" s="10"/>
      <c r="GL503" s="11"/>
      <c r="GN503" s="12"/>
      <c r="HI503" s="13"/>
      <c r="HJ503" s="43"/>
      <c r="HK503" s="45"/>
      <c r="HL503" s="152"/>
      <c r="HM503" s="153"/>
      <c r="HN503" s="153"/>
      <c r="HO503" s="153"/>
      <c r="HP503" s="153"/>
      <c r="HQ503" s="153"/>
      <c r="HR503" s="153"/>
      <c r="HS503" s="153"/>
      <c r="HT503" s="153"/>
      <c r="HU503" s="153"/>
      <c r="HV503" s="153"/>
      <c r="HW503" s="153"/>
      <c r="HX503" s="153"/>
      <c r="HY503" s="153"/>
      <c r="HZ503" s="153"/>
      <c r="IA503" s="153"/>
      <c r="IB503" s="153"/>
      <c r="IC503" s="150"/>
      <c r="ID503" s="150"/>
      <c r="IE503" s="151"/>
      <c r="JF503" s="5"/>
      <c r="JO503" s="4"/>
      <c r="KK503" s="9"/>
      <c r="KL503" s="10"/>
      <c r="KM503" s="9"/>
      <c r="KN503" s="10"/>
      <c r="KO503" s="10"/>
      <c r="KP503" s="10"/>
      <c r="KQ503" s="9"/>
      <c r="KR503" s="10"/>
      <c r="KS503" s="10"/>
      <c r="KT503" s="10"/>
      <c r="KU503" s="10"/>
      <c r="KV503" s="10"/>
      <c r="KW503" s="10"/>
      <c r="KX503" s="10"/>
      <c r="KY503" s="10"/>
      <c r="KZ503" s="10"/>
      <c r="LA503" s="10"/>
      <c r="LB503" s="10"/>
      <c r="LC503" s="10"/>
      <c r="LD503" s="10"/>
      <c r="LE503" s="10"/>
      <c r="LF503" s="10"/>
      <c r="LG503" s="10"/>
      <c r="LH503" s="10"/>
      <c r="LI503" s="10"/>
      <c r="LJ503" s="10"/>
      <c r="LK503" s="10"/>
      <c r="MI503" s="13"/>
      <c r="ML503" s="12"/>
      <c r="MW503" s="13"/>
      <c r="MY503" s="12"/>
      <c r="OD503" s="5"/>
    </row>
    <row r="504" spans="8:394" ht="18" customHeight="1" x14ac:dyDescent="0.2">
      <c r="H504" s="4"/>
      <c r="AD504" s="12"/>
      <c r="AF504" s="12"/>
      <c r="BD504" s="18"/>
      <c r="CB504" s="13"/>
      <c r="CD504" s="13"/>
      <c r="CE504" s="9"/>
      <c r="CF504" s="10"/>
      <c r="CG504" s="10"/>
      <c r="CH504" s="10"/>
      <c r="CI504" s="10"/>
      <c r="CJ504" s="10"/>
      <c r="CK504" s="10"/>
      <c r="CL504" s="10"/>
      <c r="CM504" s="10"/>
      <c r="CN504" s="10"/>
      <c r="CO504" s="10"/>
      <c r="CP504" s="10"/>
      <c r="CQ504" s="10"/>
      <c r="CR504" s="10"/>
      <c r="CS504" s="10"/>
      <c r="CT504" s="11"/>
      <c r="CU504" s="13"/>
      <c r="DW504" s="5"/>
      <c r="EQ504" s="4"/>
      <c r="FM504" s="42"/>
      <c r="FN504" s="43"/>
      <c r="FO504" s="12"/>
      <c r="GL504" s="13"/>
      <c r="GN504" s="12"/>
      <c r="HI504" s="13"/>
      <c r="HJ504" s="43"/>
      <c r="HK504" s="45"/>
      <c r="HL504" s="150"/>
      <c r="HM504" s="150"/>
      <c r="HN504" s="150"/>
      <c r="HO504" s="150"/>
      <c r="HP504" s="150"/>
      <c r="HQ504" s="150"/>
      <c r="HR504" s="150"/>
      <c r="HS504" s="150"/>
      <c r="HT504" s="150"/>
      <c r="HU504" s="150"/>
      <c r="HV504" s="150"/>
      <c r="HW504" s="150"/>
      <c r="HX504" s="150"/>
      <c r="HY504" s="150"/>
      <c r="HZ504" s="150"/>
      <c r="IA504" s="150"/>
      <c r="IB504" s="151"/>
      <c r="IC504" s="150"/>
      <c r="ID504" s="150"/>
      <c r="IE504" s="151"/>
      <c r="JF504" s="5"/>
      <c r="JO504" s="4"/>
      <c r="KK504" s="12"/>
      <c r="KM504" s="12"/>
      <c r="KQ504" s="12"/>
      <c r="MI504" s="13"/>
      <c r="ML504" s="12"/>
      <c r="MW504" s="13"/>
      <c r="MY504" s="12"/>
      <c r="OD504" s="5"/>
    </row>
    <row r="505" spans="8:394" ht="18" customHeight="1" x14ac:dyDescent="0.2">
      <c r="H505" s="4"/>
      <c r="AD505" s="12"/>
      <c r="AF505" s="12"/>
      <c r="BD505" s="19"/>
      <c r="CB505" s="13"/>
      <c r="CD505" s="13"/>
      <c r="CE505" s="12"/>
      <c r="CT505" s="13"/>
      <c r="CU505" s="13"/>
      <c r="DW505" s="5"/>
      <c r="EQ505" s="4"/>
      <c r="FM505" s="42"/>
      <c r="FN505" s="43"/>
      <c r="FO505" s="12"/>
      <c r="GL505" s="13"/>
      <c r="GN505" s="12"/>
      <c r="HI505" s="13"/>
      <c r="HJ505" s="43"/>
      <c r="HK505" s="45"/>
      <c r="HL505" s="146"/>
      <c r="HM505" s="147"/>
      <c r="HN505" s="147"/>
      <c r="HO505" s="147"/>
      <c r="HP505" s="147"/>
      <c r="HQ505" s="147"/>
      <c r="HR505" s="147"/>
      <c r="HS505" s="147"/>
      <c r="HT505" s="147"/>
      <c r="HU505" s="147"/>
      <c r="HV505" s="147"/>
      <c r="HW505" s="147"/>
      <c r="HX505" s="147"/>
      <c r="HY505" s="147"/>
      <c r="HZ505" s="147"/>
      <c r="IA505" s="148"/>
      <c r="IB505" s="151"/>
      <c r="IC505" s="150"/>
      <c r="ID505" s="150"/>
      <c r="IE505" s="151"/>
      <c r="JF505" s="5"/>
      <c r="JO505" s="4"/>
      <c r="KK505" s="12"/>
      <c r="KM505" s="12"/>
      <c r="KQ505" s="12"/>
      <c r="MI505" s="13"/>
      <c r="ML505" s="12"/>
      <c r="MW505" s="13"/>
      <c r="MY505" s="12"/>
      <c r="OD505" s="5"/>
    </row>
    <row r="506" spans="8:394" ht="18" customHeight="1" x14ac:dyDescent="0.2">
      <c r="H506" s="4"/>
      <c r="AD506" s="12"/>
      <c r="AF506" s="12"/>
      <c r="AJ506" s="9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  <c r="BB506" s="10"/>
      <c r="BC506" s="10"/>
      <c r="CB506" s="13"/>
      <c r="CD506" s="13"/>
      <c r="CE506" s="12"/>
      <c r="CT506" s="13"/>
      <c r="CU506" s="13"/>
      <c r="DW506" s="5"/>
      <c r="EQ506" s="4"/>
      <c r="FM506" s="42"/>
      <c r="FN506" s="43"/>
      <c r="FO506" s="12"/>
      <c r="GL506" s="13"/>
      <c r="GN506" s="12"/>
      <c r="HI506" s="13"/>
      <c r="HJ506" s="43"/>
      <c r="HK506" s="45"/>
      <c r="HL506" s="149"/>
      <c r="HM506" s="150"/>
      <c r="HN506" s="150"/>
      <c r="HO506" s="150"/>
      <c r="HP506" s="150"/>
      <c r="HQ506" s="150"/>
      <c r="HR506" s="150"/>
      <c r="HS506" s="150"/>
      <c r="HT506" s="150"/>
      <c r="HU506" s="150"/>
      <c r="HV506" s="150"/>
      <c r="HW506" s="150"/>
      <c r="HX506" s="150"/>
      <c r="HY506" s="150"/>
      <c r="HZ506" s="150"/>
      <c r="IA506" s="151"/>
      <c r="IB506" s="151"/>
      <c r="IC506" s="150"/>
      <c r="ID506" s="150"/>
      <c r="IE506" s="151"/>
      <c r="JF506" s="5"/>
      <c r="JO506" s="4"/>
      <c r="KK506" s="12"/>
      <c r="KM506" s="12"/>
      <c r="KQ506" s="12"/>
      <c r="MI506" s="13"/>
      <c r="ML506" s="12"/>
      <c r="MW506" s="13"/>
      <c r="MY506" s="12"/>
      <c r="OD506" s="5"/>
    </row>
    <row r="507" spans="8:394" ht="18" customHeight="1" x14ac:dyDescent="0.2">
      <c r="H507" s="4"/>
      <c r="AD507" s="17"/>
      <c r="AE507" s="9"/>
      <c r="AF507" s="12"/>
      <c r="AJ507" s="12"/>
      <c r="CB507" s="13"/>
      <c r="CC507" s="17"/>
      <c r="CD507" s="17"/>
      <c r="CE507" s="12"/>
      <c r="CT507" s="13"/>
      <c r="CU507" s="13"/>
      <c r="DW507" s="5"/>
      <c r="EQ507" s="4"/>
      <c r="FM507" s="42"/>
      <c r="FN507" s="43"/>
      <c r="FO507" s="12"/>
      <c r="FS507" s="9"/>
      <c r="FT507" s="10"/>
      <c r="FU507" s="10"/>
      <c r="FV507" s="10"/>
      <c r="FW507" s="10"/>
      <c r="FX507" s="10"/>
      <c r="FY507" s="10"/>
      <c r="FZ507" s="10"/>
      <c r="GA507" s="10"/>
      <c r="GB507" s="10"/>
      <c r="GC507" s="10"/>
      <c r="GD507" s="10"/>
      <c r="GE507" s="10"/>
      <c r="GF507" s="10"/>
      <c r="GG507" s="10"/>
      <c r="GH507" s="10"/>
      <c r="GI507" s="10"/>
      <c r="GJ507" s="10"/>
      <c r="GK507" s="10"/>
      <c r="GL507" s="10"/>
      <c r="GM507" s="10"/>
      <c r="HI507" s="13"/>
      <c r="HJ507" s="43"/>
      <c r="HK507" s="45"/>
      <c r="HL507" s="149"/>
      <c r="HM507" s="150"/>
      <c r="HN507" s="150"/>
      <c r="HO507" s="150"/>
      <c r="HP507" s="150"/>
      <c r="HQ507" s="150"/>
      <c r="HR507" s="150"/>
      <c r="HS507" s="150"/>
      <c r="HT507" s="150"/>
      <c r="HU507" s="150"/>
      <c r="HV507" s="150"/>
      <c r="HW507" s="150"/>
      <c r="HX507" s="150"/>
      <c r="HY507" s="150"/>
      <c r="HZ507" s="150"/>
      <c r="IA507" s="151"/>
      <c r="IB507" s="151"/>
      <c r="IC507" s="150"/>
      <c r="ID507" s="150"/>
      <c r="IE507" s="151"/>
      <c r="JF507" s="5"/>
      <c r="JO507" s="4"/>
      <c r="KK507" s="12"/>
      <c r="KM507" s="12"/>
      <c r="KQ507" s="12"/>
      <c r="MI507" s="13"/>
      <c r="ML507" s="12"/>
      <c r="MW507" s="13"/>
      <c r="MY507" s="12"/>
      <c r="OD507" s="5"/>
    </row>
    <row r="508" spans="8:394" ht="18" customHeight="1" x14ac:dyDescent="0.2">
      <c r="H508" s="4"/>
      <c r="AD508" s="18"/>
      <c r="AE508" s="12"/>
      <c r="AF508" s="12"/>
      <c r="AG508" s="9"/>
      <c r="AH508" s="11"/>
      <c r="AJ508" s="12"/>
      <c r="CB508" s="13"/>
      <c r="CC508" s="18"/>
      <c r="CD508" s="18"/>
      <c r="CE508" s="12"/>
      <c r="CI508" s="9"/>
      <c r="CJ508" s="10"/>
      <c r="CK508" s="10"/>
      <c r="CL508" s="10"/>
      <c r="CM508" s="10"/>
      <c r="CN508" s="10"/>
      <c r="CO508" s="10"/>
      <c r="CP508" s="11"/>
      <c r="CT508" s="13"/>
      <c r="CU508" s="13"/>
      <c r="CV508" s="9"/>
      <c r="CW508" s="10"/>
      <c r="CX508" s="10"/>
      <c r="CY508" s="10"/>
      <c r="CZ508" s="10"/>
      <c r="DA508" s="10"/>
      <c r="DB508" s="10"/>
      <c r="DC508" s="10"/>
      <c r="DD508" s="10"/>
      <c r="DE508" s="10"/>
      <c r="DF508" s="10"/>
      <c r="DG508" s="10"/>
      <c r="DH508" s="10"/>
      <c r="DI508" s="10"/>
      <c r="DJ508" s="10"/>
      <c r="DK508" s="10"/>
      <c r="DL508" s="10"/>
      <c r="DM508" s="10"/>
      <c r="DN508" s="10"/>
      <c r="DO508" s="10"/>
      <c r="DP508" s="10"/>
      <c r="DQ508" s="10"/>
      <c r="DR508" s="10"/>
      <c r="DS508" s="10"/>
      <c r="DT508" s="10"/>
      <c r="DU508" s="10"/>
      <c r="DV508" s="9"/>
      <c r="DW508" s="11"/>
      <c r="EQ508" s="4"/>
      <c r="FM508" s="125"/>
      <c r="FN508" s="125"/>
      <c r="FO508" s="12"/>
      <c r="FS508" s="12"/>
      <c r="HI508" s="13"/>
      <c r="HJ508" s="125"/>
      <c r="HK508" s="125"/>
      <c r="HL508" s="149"/>
      <c r="HM508" s="150"/>
      <c r="HN508" s="150"/>
      <c r="HO508" s="150"/>
      <c r="HP508" s="150"/>
      <c r="HQ508" s="150"/>
      <c r="HR508" s="150"/>
      <c r="HS508" s="150"/>
      <c r="HT508" s="150"/>
      <c r="HU508" s="150"/>
      <c r="HV508" s="150"/>
      <c r="HW508" s="150"/>
      <c r="HX508" s="150"/>
      <c r="HY508" s="150"/>
      <c r="HZ508" s="150"/>
      <c r="IA508" s="151"/>
      <c r="IB508" s="151"/>
      <c r="IC508" s="150"/>
      <c r="ID508" s="150"/>
      <c r="IE508" s="151"/>
      <c r="JF508" s="5"/>
      <c r="JO508" s="4"/>
      <c r="KK508" s="12"/>
      <c r="KM508" s="9"/>
      <c r="KN508" s="10"/>
      <c r="KO508" s="10"/>
      <c r="KP508" s="11"/>
      <c r="KQ508" s="12"/>
      <c r="MI508" s="13"/>
      <c r="ML508" s="12"/>
      <c r="MW508" s="13"/>
      <c r="MY508" s="12"/>
      <c r="OD508" s="5"/>
    </row>
    <row r="509" spans="8:394" ht="18" customHeight="1" x14ac:dyDescent="0.2">
      <c r="H509" s="4"/>
      <c r="AD509" s="18"/>
      <c r="AE509" s="12"/>
      <c r="AF509" s="12"/>
      <c r="AG509" s="12"/>
      <c r="AH509" s="13"/>
      <c r="AJ509" s="12"/>
      <c r="CB509" s="13"/>
      <c r="CC509" s="18"/>
      <c r="CD509" s="18"/>
      <c r="CE509" s="12"/>
      <c r="CI509" s="12"/>
      <c r="CP509" s="13"/>
      <c r="CT509" s="13"/>
      <c r="CU509" s="13"/>
      <c r="CV509" s="12"/>
      <c r="DV509" s="12"/>
      <c r="DW509" s="13"/>
      <c r="EQ509" s="4"/>
      <c r="FM509" s="108"/>
      <c r="FN509" s="108"/>
      <c r="FO509" s="12"/>
      <c r="FP509" s="168"/>
      <c r="FQ509" s="169"/>
      <c r="FS509" s="12"/>
      <c r="HI509" s="13"/>
      <c r="HJ509" s="108"/>
      <c r="HK509" s="108"/>
      <c r="HL509" s="149"/>
      <c r="HM509" s="150"/>
      <c r="HN509" s="150"/>
      <c r="HO509" s="150"/>
      <c r="HP509" s="150"/>
      <c r="HQ509" s="150"/>
      <c r="HR509" s="150"/>
      <c r="HS509" s="150"/>
      <c r="HT509" s="150"/>
      <c r="HU509" s="150"/>
      <c r="HV509" s="150"/>
      <c r="HW509" s="150"/>
      <c r="HX509" s="150"/>
      <c r="HY509" s="150"/>
      <c r="HZ509" s="150"/>
      <c r="IA509" s="151"/>
      <c r="IB509" s="151"/>
      <c r="IC509" s="146"/>
      <c r="ID509" s="147"/>
      <c r="IE509" s="148"/>
      <c r="IF509" s="10"/>
      <c r="IG509" s="10"/>
      <c r="IH509" s="10"/>
      <c r="II509" s="10"/>
      <c r="IJ509" s="10"/>
      <c r="IK509" s="10"/>
      <c r="IL509" s="10"/>
      <c r="IM509" s="10"/>
      <c r="IN509" s="10"/>
      <c r="IO509" s="10"/>
      <c r="IP509" s="10"/>
      <c r="IQ509" s="10"/>
      <c r="IR509" s="10"/>
      <c r="IS509" s="10"/>
      <c r="IT509" s="10"/>
      <c r="IU509" s="10"/>
      <c r="IV509" s="10"/>
      <c r="IW509" s="10"/>
      <c r="IX509" s="10"/>
      <c r="IY509" s="10"/>
      <c r="IZ509" s="10"/>
      <c r="JA509" s="10"/>
      <c r="JB509" s="10"/>
      <c r="JC509" s="10"/>
      <c r="JD509" s="10"/>
      <c r="JE509" s="9"/>
      <c r="JF509" s="11"/>
      <c r="JO509" s="4"/>
      <c r="KK509" s="12"/>
      <c r="KM509" s="12"/>
      <c r="KP509" s="13"/>
      <c r="KQ509" s="12"/>
      <c r="MI509" s="13"/>
      <c r="ML509" s="12"/>
      <c r="MW509" s="13"/>
      <c r="MY509" s="12"/>
      <c r="NF509" s="10"/>
      <c r="NG509" s="10"/>
      <c r="NH509" s="10"/>
      <c r="NI509" s="10"/>
      <c r="NJ509" s="10"/>
      <c r="NK509" s="10"/>
      <c r="NL509" s="10"/>
      <c r="NM509" s="10"/>
      <c r="NN509" s="10"/>
      <c r="NO509" s="10"/>
      <c r="NP509" s="10"/>
      <c r="NQ509" s="10"/>
      <c r="NR509" s="10"/>
      <c r="NS509" s="10"/>
      <c r="NT509" s="10"/>
      <c r="NU509" s="10"/>
      <c r="NV509" s="10"/>
      <c r="NW509" s="10"/>
      <c r="NX509" s="10"/>
      <c r="NY509" s="10"/>
      <c r="NZ509" s="10"/>
      <c r="OA509" s="10"/>
      <c r="OB509" s="10"/>
      <c r="OC509" s="9"/>
      <c r="OD509" s="11"/>
    </row>
    <row r="510" spans="8:394" ht="18" customHeight="1" x14ac:dyDescent="0.2">
      <c r="H510" s="4"/>
      <c r="AD510" s="18"/>
      <c r="AE510" s="12"/>
      <c r="AF510" s="12"/>
      <c r="AG510" s="12"/>
      <c r="AH510" s="13"/>
      <c r="AJ510" s="12"/>
      <c r="CB510" s="13"/>
      <c r="CC510" s="18"/>
      <c r="CD510" s="18"/>
      <c r="CE510" s="12"/>
      <c r="CI510" s="12"/>
      <c r="CP510" s="13"/>
      <c r="CT510" s="13"/>
      <c r="CU510" s="13"/>
      <c r="CV510" s="12"/>
      <c r="DV510" s="12"/>
      <c r="DW510" s="13"/>
      <c r="EQ510" s="4"/>
      <c r="FM510" s="108"/>
      <c r="FN510" s="108"/>
      <c r="FO510" s="12"/>
      <c r="FP510" s="170"/>
      <c r="FQ510" s="172"/>
      <c r="FS510" s="12"/>
      <c r="HI510" s="13"/>
      <c r="HJ510" s="108"/>
      <c r="HK510" s="108"/>
      <c r="HL510" s="149"/>
      <c r="HM510" s="150"/>
      <c r="HN510" s="150"/>
      <c r="HO510" s="150"/>
      <c r="HP510" s="150"/>
      <c r="HQ510" s="150"/>
      <c r="HR510" s="150"/>
      <c r="HS510" s="150"/>
      <c r="HT510" s="150"/>
      <c r="HU510" s="150"/>
      <c r="HV510" s="150"/>
      <c r="HW510" s="150"/>
      <c r="HX510" s="150"/>
      <c r="HY510" s="150"/>
      <c r="HZ510" s="150"/>
      <c r="IA510" s="151"/>
      <c r="IB510" s="151"/>
      <c r="IC510" s="149"/>
      <c r="ID510" s="150"/>
      <c r="IE510" s="151"/>
      <c r="JE510" s="12"/>
      <c r="JF510" s="13"/>
      <c r="JO510" s="4"/>
      <c r="KK510" s="12"/>
      <c r="KM510" s="12"/>
      <c r="KP510" s="13"/>
      <c r="KQ510" s="12"/>
      <c r="KY510" s="15"/>
      <c r="KZ510" s="15"/>
      <c r="LA510" s="15"/>
      <c r="LB510" s="15"/>
      <c r="LC510" s="15"/>
      <c r="LD510" s="15"/>
      <c r="LE510" s="15"/>
      <c r="LF510" s="15"/>
      <c r="LG510" s="15"/>
      <c r="LH510" s="15"/>
      <c r="LI510" s="15"/>
      <c r="LJ510" s="15"/>
      <c r="LK510" s="15"/>
      <c r="LL510" s="15"/>
      <c r="LM510" s="15"/>
      <c r="LN510" s="15"/>
      <c r="LO510" s="15"/>
      <c r="LP510" s="15"/>
      <c r="LQ510" s="15"/>
      <c r="LR510" s="15"/>
      <c r="LS510" s="15"/>
      <c r="LT510" s="15"/>
      <c r="LU510" s="15"/>
      <c r="LV510" s="15"/>
      <c r="LW510" s="15"/>
      <c r="LX510" s="15"/>
      <c r="LY510" s="15"/>
      <c r="LZ510" s="15"/>
      <c r="MA510" s="15"/>
      <c r="MB510" s="15"/>
      <c r="MC510" s="15"/>
      <c r="MD510" s="15"/>
      <c r="ME510" s="15"/>
      <c r="MF510" s="15"/>
      <c r="MG510" s="15"/>
      <c r="MH510" s="15"/>
      <c r="MI510" s="16"/>
      <c r="ML510" s="12"/>
      <c r="MW510" s="13"/>
      <c r="MY510" s="12"/>
      <c r="OC510" s="12"/>
      <c r="OD510" s="13"/>
    </row>
    <row r="511" spans="8:394" ht="18" customHeight="1" x14ac:dyDescent="0.2">
      <c r="H511" s="4"/>
      <c r="AD511" s="18"/>
      <c r="AE511" s="12"/>
      <c r="AF511" s="12"/>
      <c r="AG511" s="14"/>
      <c r="AH511" s="16"/>
      <c r="AJ511" s="12"/>
      <c r="CB511" s="13"/>
      <c r="CC511" s="18"/>
      <c r="CD511" s="18"/>
      <c r="CE511" s="12"/>
      <c r="CI511" s="12"/>
      <c r="CP511" s="13"/>
      <c r="CT511" s="13"/>
      <c r="CU511" s="13"/>
      <c r="CV511" s="12"/>
      <c r="DV511" s="12"/>
      <c r="DW511" s="13"/>
      <c r="EQ511" s="4"/>
      <c r="FM511" s="108"/>
      <c r="FN511" s="108"/>
      <c r="FO511" s="12"/>
      <c r="FP511" s="170"/>
      <c r="FQ511" s="172"/>
      <c r="FS511" s="12"/>
      <c r="HI511" s="13"/>
      <c r="HJ511" s="108"/>
      <c r="HK511" s="108"/>
      <c r="HL511" s="149"/>
      <c r="HM511" s="150"/>
      <c r="HN511" s="150"/>
      <c r="HO511" s="150"/>
      <c r="HP511" s="150"/>
      <c r="HQ511" s="150"/>
      <c r="HR511" s="150"/>
      <c r="HS511" s="150"/>
      <c r="HT511" s="150"/>
      <c r="HU511" s="150"/>
      <c r="HV511" s="150"/>
      <c r="HW511" s="150"/>
      <c r="HX511" s="150"/>
      <c r="HY511" s="150"/>
      <c r="HZ511" s="150"/>
      <c r="IA511" s="151"/>
      <c r="IB511" s="151"/>
      <c r="IC511" s="149"/>
      <c r="ID511" s="150"/>
      <c r="IE511" s="151"/>
      <c r="JE511" s="12"/>
      <c r="JF511" s="13"/>
      <c r="JO511" s="4"/>
      <c r="KK511" s="12"/>
      <c r="KM511" s="14"/>
      <c r="KN511" s="15"/>
      <c r="KO511" s="15"/>
      <c r="KP511" s="16"/>
      <c r="KQ511" s="12"/>
      <c r="KX511" s="13"/>
      <c r="LB511" s="13"/>
      <c r="LD511" s="13"/>
      <c r="MC511" s="127"/>
      <c r="MD511" s="127"/>
      <c r="ME511" s="127"/>
      <c r="MF511" s="127"/>
      <c r="MG511" s="127"/>
      <c r="MH511" s="127"/>
      <c r="ML511" s="12"/>
      <c r="MW511" s="13"/>
      <c r="MY511" s="12"/>
      <c r="OC511" s="12"/>
      <c r="OD511" s="13"/>
    </row>
    <row r="512" spans="8:394" ht="18" customHeight="1" x14ac:dyDescent="0.2">
      <c r="H512" s="4"/>
      <c r="AD512" s="19"/>
      <c r="AE512" s="14"/>
      <c r="AF512" s="12"/>
      <c r="AJ512" s="12"/>
      <c r="CB512" s="13"/>
      <c r="CC512" s="19"/>
      <c r="CD512" s="19"/>
      <c r="CE512" s="12"/>
      <c r="CI512" s="12"/>
      <c r="CP512" s="13"/>
      <c r="CT512" s="13"/>
      <c r="CU512" s="13"/>
      <c r="CV512" s="12"/>
      <c r="DV512" s="12"/>
      <c r="DW512" s="13"/>
      <c r="EQ512" s="4"/>
      <c r="FM512" s="108"/>
      <c r="FN512" s="108"/>
      <c r="FO512" s="12"/>
      <c r="FP512" s="173"/>
      <c r="FQ512" s="174"/>
      <c r="FS512" s="12"/>
      <c r="HI512" s="13"/>
      <c r="HJ512" s="108"/>
      <c r="HK512" s="108"/>
      <c r="HL512" s="149"/>
      <c r="HM512" s="150"/>
      <c r="HN512" s="150"/>
      <c r="HO512" s="150"/>
      <c r="HP512" s="150"/>
      <c r="HQ512" s="150"/>
      <c r="HR512" s="150"/>
      <c r="HS512" s="150"/>
      <c r="HT512" s="150"/>
      <c r="HU512" s="150"/>
      <c r="HV512" s="150"/>
      <c r="HW512" s="150"/>
      <c r="HX512" s="150"/>
      <c r="HY512" s="150"/>
      <c r="HZ512" s="150"/>
      <c r="IA512" s="151"/>
      <c r="IB512" s="151"/>
      <c r="IC512" s="149"/>
      <c r="ID512" s="150"/>
      <c r="IE512" s="151"/>
      <c r="JE512" s="12"/>
      <c r="JF512" s="13"/>
      <c r="JO512" s="4"/>
      <c r="KK512" s="12"/>
      <c r="KM512" s="12"/>
      <c r="KQ512" s="12"/>
      <c r="KX512" s="13"/>
      <c r="LB512" s="13"/>
      <c r="LD512" s="13"/>
      <c r="MC512" s="127"/>
      <c r="MD512" s="127"/>
      <c r="ME512" s="127"/>
      <c r="MF512" s="127"/>
      <c r="MG512" s="127"/>
      <c r="MH512" s="127"/>
      <c r="ML512" s="12"/>
      <c r="MW512" s="13"/>
      <c r="MY512" s="12"/>
      <c r="OC512" s="12"/>
      <c r="OD512" s="13"/>
    </row>
    <row r="513" spans="8:394" ht="18" customHeight="1" x14ac:dyDescent="0.2">
      <c r="H513" s="4"/>
      <c r="AD513" s="12"/>
      <c r="AF513" s="12"/>
      <c r="AJ513" s="14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15"/>
      <c r="AZ513" s="15"/>
      <c r="BA513" s="15"/>
      <c r="BB513" s="15"/>
      <c r="BC513" s="15"/>
      <c r="BD513" s="15"/>
      <c r="CB513" s="13"/>
      <c r="CD513" s="13"/>
      <c r="CE513" s="12"/>
      <c r="CI513" s="12"/>
      <c r="CP513" s="13"/>
      <c r="CT513" s="13"/>
      <c r="CU513" s="13"/>
      <c r="CV513" s="12"/>
      <c r="DV513" s="12"/>
      <c r="DW513" s="13"/>
      <c r="EQ513" s="4"/>
      <c r="FM513" s="126"/>
      <c r="FN513" s="126"/>
      <c r="FO513" s="12"/>
      <c r="FS513" s="12"/>
      <c r="HI513" s="13"/>
      <c r="HJ513" s="126"/>
      <c r="HK513" s="126"/>
      <c r="HL513" s="149"/>
      <c r="HM513" s="150"/>
      <c r="HN513" s="150"/>
      <c r="HO513" s="150"/>
      <c r="HP513" s="150"/>
      <c r="HQ513" s="150"/>
      <c r="HR513" s="150"/>
      <c r="HS513" s="150"/>
      <c r="HT513" s="150"/>
      <c r="HU513" s="150"/>
      <c r="HV513" s="150"/>
      <c r="HW513" s="150"/>
      <c r="HX513" s="150"/>
      <c r="HY513" s="150"/>
      <c r="HZ513" s="150"/>
      <c r="IA513" s="151"/>
      <c r="IB513" s="151"/>
      <c r="IC513" s="149"/>
      <c r="ID513" s="150"/>
      <c r="IE513" s="151"/>
      <c r="JE513" s="12"/>
      <c r="JF513" s="13"/>
      <c r="JO513" s="4"/>
      <c r="KK513" s="12"/>
      <c r="KM513" s="12"/>
      <c r="KQ513" s="12"/>
      <c r="KX513" s="13"/>
      <c r="LB513" s="13"/>
      <c r="LE513" s="9"/>
      <c r="LF513" s="10"/>
      <c r="LG513" s="10"/>
      <c r="LH513" s="10"/>
      <c r="LI513" s="10"/>
      <c r="LJ513" s="10"/>
      <c r="LK513" s="10"/>
      <c r="LL513" s="10"/>
      <c r="LM513" s="10"/>
      <c r="LN513" s="10"/>
      <c r="LO513" s="10"/>
      <c r="LP513" s="10"/>
      <c r="LQ513" s="10"/>
      <c r="LR513" s="10"/>
      <c r="LS513" s="10"/>
      <c r="LT513" s="10"/>
      <c r="LU513" s="10"/>
      <c r="LV513" s="10"/>
      <c r="LW513" s="10"/>
      <c r="LX513" s="10"/>
      <c r="LY513" s="10"/>
      <c r="LZ513" s="10"/>
      <c r="MA513" s="10"/>
      <c r="MB513" s="10"/>
      <c r="MC513" s="10"/>
      <c r="MD513" s="10"/>
      <c r="ME513" s="10"/>
      <c r="MF513" s="10"/>
      <c r="MG513" s="10"/>
      <c r="MH513" s="10"/>
      <c r="MI513" s="10"/>
      <c r="MJ513" s="10"/>
      <c r="MK513" s="10"/>
      <c r="ML513" s="10"/>
      <c r="MM513" s="10"/>
      <c r="MN513" s="10"/>
      <c r="MO513" s="10"/>
      <c r="MP513" s="10"/>
      <c r="MQ513" s="10"/>
      <c r="MR513" s="10"/>
      <c r="MS513" s="10"/>
      <c r="MT513" s="10"/>
      <c r="MU513" s="10"/>
      <c r="MV513" s="10"/>
      <c r="MW513" s="11"/>
      <c r="MY513" s="12"/>
      <c r="OC513" s="12"/>
      <c r="OD513" s="13"/>
    </row>
    <row r="514" spans="8:394" ht="18" customHeight="1" x14ac:dyDescent="0.2">
      <c r="H514" s="4"/>
      <c r="AD514" s="12"/>
      <c r="AF514" s="12"/>
      <c r="BC514" s="13"/>
      <c r="BE514" s="12"/>
      <c r="CB514" s="13"/>
      <c r="CD514" s="13"/>
      <c r="CE514" s="12"/>
      <c r="CI514" s="12"/>
      <c r="CP514" s="13"/>
      <c r="CT514" s="13"/>
      <c r="CU514" s="13"/>
      <c r="CV514" s="12"/>
      <c r="DV514" s="12"/>
      <c r="DW514" s="13"/>
      <c r="EQ514" s="4"/>
      <c r="FM514" s="42"/>
      <c r="FN514" s="43"/>
      <c r="FO514" s="12"/>
      <c r="FS514" s="14"/>
      <c r="FT514" s="15"/>
      <c r="FU514" s="15"/>
      <c r="FV514" s="15"/>
      <c r="FW514" s="15"/>
      <c r="FX514" s="15"/>
      <c r="FY514" s="15"/>
      <c r="FZ514" s="15"/>
      <c r="GA514" s="15"/>
      <c r="GB514" s="15"/>
      <c r="GC514" s="15"/>
      <c r="GD514" s="15"/>
      <c r="GE514" s="15"/>
      <c r="GF514" s="15"/>
      <c r="GG514" s="15"/>
      <c r="GH514" s="15"/>
      <c r="GI514" s="15"/>
      <c r="GJ514" s="15"/>
      <c r="GK514" s="15"/>
      <c r="GL514" s="15"/>
      <c r="GM514" s="15"/>
      <c r="HI514" s="13"/>
      <c r="HJ514" s="43"/>
      <c r="HK514" s="45"/>
      <c r="HL514" s="149"/>
      <c r="HM514" s="150"/>
      <c r="HN514" s="150"/>
      <c r="HO514" s="150"/>
      <c r="HP514" s="150"/>
      <c r="HQ514" s="150"/>
      <c r="HR514" s="150"/>
      <c r="HS514" s="150"/>
      <c r="HT514" s="150"/>
      <c r="HU514" s="150"/>
      <c r="HV514" s="150"/>
      <c r="HW514" s="150"/>
      <c r="HX514" s="150"/>
      <c r="HY514" s="150"/>
      <c r="HZ514" s="150"/>
      <c r="IA514" s="151"/>
      <c r="IB514" s="151"/>
      <c r="IC514" s="149"/>
      <c r="ID514" s="150"/>
      <c r="IE514" s="151"/>
      <c r="JE514" s="12"/>
      <c r="JF514" s="13"/>
      <c r="JO514" s="4"/>
      <c r="KK514" s="12"/>
      <c r="KM514" s="12"/>
      <c r="KQ514" s="12"/>
      <c r="KX514" s="13"/>
      <c r="LB514" s="13"/>
      <c r="LE514" s="12"/>
      <c r="MW514" s="13"/>
      <c r="MY514" s="12"/>
      <c r="OC514" s="12"/>
      <c r="OD514" s="13"/>
    </row>
    <row r="515" spans="8:394" ht="18" customHeight="1" x14ac:dyDescent="0.2">
      <c r="H515" s="4"/>
      <c r="AD515" s="12"/>
      <c r="AF515" s="12"/>
      <c r="BC515" s="13"/>
      <c r="BE515" s="12"/>
      <c r="CB515" s="13"/>
      <c r="CD515" s="13"/>
      <c r="CE515" s="12"/>
      <c r="CI515" s="14"/>
      <c r="CJ515" s="15"/>
      <c r="CK515" s="15"/>
      <c r="CL515" s="15"/>
      <c r="CM515" s="15"/>
      <c r="CN515" s="15"/>
      <c r="CO515" s="15"/>
      <c r="CP515" s="16"/>
      <c r="CT515" s="13"/>
      <c r="CU515" s="13"/>
      <c r="CV515" s="14"/>
      <c r="CW515" s="15"/>
      <c r="CX515" s="15"/>
      <c r="CY515" s="15"/>
      <c r="CZ515" s="15"/>
      <c r="DA515" s="15"/>
      <c r="DB515" s="15"/>
      <c r="DC515" s="15"/>
      <c r="DD515" s="15"/>
      <c r="DE515" s="15"/>
      <c r="DF515" s="15"/>
      <c r="DG515" s="15"/>
      <c r="DH515" s="15"/>
      <c r="DI515" s="15"/>
      <c r="DJ515" s="15"/>
      <c r="DK515" s="15"/>
      <c r="DL515" s="15"/>
      <c r="DM515" s="15"/>
      <c r="DN515" s="15"/>
      <c r="DO515" s="15"/>
      <c r="DP515" s="15"/>
      <c r="DQ515" s="15"/>
      <c r="DR515" s="15"/>
      <c r="DS515" s="15"/>
      <c r="DT515" s="15"/>
      <c r="DU515" s="15"/>
      <c r="DV515" s="14"/>
      <c r="DW515" s="16"/>
      <c r="EQ515" s="4"/>
      <c r="FM515" s="42"/>
      <c r="FN515" s="43"/>
      <c r="FO515" s="12"/>
      <c r="GL515" s="13"/>
      <c r="GN515" s="12"/>
      <c r="HI515" s="13"/>
      <c r="HJ515" s="43"/>
      <c r="HK515" s="45"/>
      <c r="HL515" s="149"/>
      <c r="HM515" s="150"/>
      <c r="HN515" s="150"/>
      <c r="HO515" s="150"/>
      <c r="HP515" s="150"/>
      <c r="HQ515" s="150"/>
      <c r="HR515" s="150"/>
      <c r="HS515" s="150"/>
      <c r="HT515" s="150"/>
      <c r="HU515" s="150"/>
      <c r="HV515" s="150"/>
      <c r="HW515" s="150"/>
      <c r="HX515" s="150"/>
      <c r="HY515" s="150"/>
      <c r="HZ515" s="150"/>
      <c r="IA515" s="151"/>
      <c r="IB515" s="151"/>
      <c r="IC515" s="149"/>
      <c r="ID515" s="150"/>
      <c r="IE515" s="151"/>
      <c r="JE515" s="12"/>
      <c r="JF515" s="13"/>
      <c r="JO515" s="4"/>
      <c r="KK515" s="12"/>
      <c r="KM515" s="12"/>
      <c r="KQ515" s="12"/>
      <c r="KX515" s="13"/>
      <c r="LB515" s="13"/>
      <c r="LE515" s="12"/>
      <c r="LL515" s="9"/>
      <c r="LM515" s="10"/>
      <c r="LN515" s="10"/>
      <c r="LO515" s="10"/>
      <c r="LP515" s="10"/>
      <c r="LQ515" s="10"/>
      <c r="LR515" s="11"/>
      <c r="MW515" s="13"/>
      <c r="MY515" s="12"/>
      <c r="OC515" s="12"/>
      <c r="OD515" s="13"/>
    </row>
    <row r="516" spans="8:394" ht="18" customHeight="1" x14ac:dyDescent="0.2">
      <c r="H516" s="4"/>
      <c r="AD516" s="12"/>
      <c r="AF516" s="12"/>
      <c r="BC516" s="13"/>
      <c r="BE516" s="12"/>
      <c r="CB516" s="13"/>
      <c r="CD516" s="13"/>
      <c r="CE516" s="12"/>
      <c r="CT516" s="13"/>
      <c r="CU516" s="13"/>
      <c r="DW516" s="5"/>
      <c r="EQ516" s="4"/>
      <c r="FM516" s="42"/>
      <c r="FN516" s="43"/>
      <c r="FO516" s="12"/>
      <c r="GL516" s="13"/>
      <c r="GN516" s="12"/>
      <c r="HI516" s="13"/>
      <c r="HJ516" s="43"/>
      <c r="HK516" s="45"/>
      <c r="HL516" s="149"/>
      <c r="HM516" s="150"/>
      <c r="HN516" s="150"/>
      <c r="HO516" s="150"/>
      <c r="HP516" s="150"/>
      <c r="HQ516" s="150"/>
      <c r="HR516" s="150"/>
      <c r="HS516" s="150"/>
      <c r="HT516" s="150"/>
      <c r="HU516" s="150"/>
      <c r="HV516" s="150"/>
      <c r="HW516" s="150"/>
      <c r="HX516" s="150"/>
      <c r="HY516" s="150"/>
      <c r="HZ516" s="150"/>
      <c r="IA516" s="151"/>
      <c r="IB516" s="151"/>
      <c r="IC516" s="152"/>
      <c r="ID516" s="153"/>
      <c r="IE516" s="154"/>
      <c r="IF516" s="15"/>
      <c r="IG516" s="15"/>
      <c r="IH516" s="15"/>
      <c r="II516" s="15"/>
      <c r="IJ516" s="15"/>
      <c r="IK516" s="15"/>
      <c r="IL516" s="15"/>
      <c r="IM516" s="15"/>
      <c r="IN516" s="15"/>
      <c r="IO516" s="15"/>
      <c r="IP516" s="15"/>
      <c r="IQ516" s="15"/>
      <c r="IR516" s="15"/>
      <c r="IS516" s="15"/>
      <c r="IT516" s="15"/>
      <c r="IU516" s="15"/>
      <c r="IV516" s="15"/>
      <c r="IW516" s="15"/>
      <c r="IX516" s="15"/>
      <c r="IY516" s="15"/>
      <c r="IZ516" s="15"/>
      <c r="JA516" s="15"/>
      <c r="JB516" s="15"/>
      <c r="JC516" s="15"/>
      <c r="JD516" s="15"/>
      <c r="JE516" s="14"/>
      <c r="JF516" s="16"/>
      <c r="JO516" s="4"/>
      <c r="KK516" s="12"/>
      <c r="KM516" s="9"/>
      <c r="KN516" s="10"/>
      <c r="KO516" s="10"/>
      <c r="KP516" s="11"/>
      <c r="KQ516" s="12"/>
      <c r="KX516" s="13"/>
      <c r="KY516" s="9"/>
      <c r="KZ516" s="10"/>
      <c r="LA516" s="10"/>
      <c r="LB516" s="11"/>
      <c r="LE516" s="12"/>
      <c r="LL516" s="12"/>
      <c r="LR516" s="13"/>
      <c r="MW516" s="13"/>
      <c r="MY516" s="12"/>
      <c r="NF516" s="15"/>
      <c r="NG516" s="15"/>
      <c r="NH516" s="15"/>
      <c r="NI516" s="15"/>
      <c r="NJ516" s="15"/>
      <c r="NK516" s="15"/>
      <c r="NL516" s="15"/>
      <c r="NM516" s="15"/>
      <c r="NN516" s="15"/>
      <c r="NO516" s="15"/>
      <c r="NP516" s="15"/>
      <c r="NQ516" s="15"/>
      <c r="NR516" s="15"/>
      <c r="NS516" s="15"/>
      <c r="NT516" s="15"/>
      <c r="NU516" s="15"/>
      <c r="NV516" s="15"/>
      <c r="NW516" s="15"/>
      <c r="NX516" s="15"/>
      <c r="NY516" s="15"/>
      <c r="NZ516" s="15"/>
      <c r="OA516" s="15"/>
      <c r="OB516" s="15"/>
      <c r="OC516" s="14"/>
      <c r="OD516" s="16"/>
    </row>
    <row r="517" spans="8:394" ht="18" customHeight="1" x14ac:dyDescent="0.2">
      <c r="H517" s="4"/>
      <c r="AD517" s="12"/>
      <c r="AF517" s="14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15"/>
      <c r="AZ517" s="15"/>
      <c r="BA517" s="15"/>
      <c r="BB517" s="15"/>
      <c r="BC517" s="16"/>
      <c r="BD517" s="15"/>
      <c r="BE517" s="14"/>
      <c r="BF517" s="15"/>
      <c r="BG517" s="15"/>
      <c r="BH517" s="15"/>
      <c r="BI517" s="15"/>
      <c r="BJ517" s="15"/>
      <c r="BK517" s="15"/>
      <c r="BL517" s="15"/>
      <c r="BM517" s="15"/>
      <c r="BN517" s="15"/>
      <c r="BO517" s="15"/>
      <c r="BP517" s="15"/>
      <c r="BQ517" s="15"/>
      <c r="BR517" s="15"/>
      <c r="BS517" s="15"/>
      <c r="BT517" s="15"/>
      <c r="BU517" s="15"/>
      <c r="BV517" s="15"/>
      <c r="BW517" s="15"/>
      <c r="BX517" s="15"/>
      <c r="BY517" s="15"/>
      <c r="BZ517" s="15"/>
      <c r="CA517" s="15"/>
      <c r="CB517" s="16"/>
      <c r="CD517" s="13"/>
      <c r="CE517" s="12"/>
      <c r="CT517" s="13"/>
      <c r="CU517" s="13"/>
      <c r="DW517" s="5"/>
      <c r="EQ517" s="4"/>
      <c r="FM517" s="42"/>
      <c r="FN517" s="43"/>
      <c r="FO517" s="12"/>
      <c r="GL517" s="13"/>
      <c r="GN517" s="12"/>
      <c r="HI517" s="13"/>
      <c r="HJ517" s="43"/>
      <c r="HK517" s="45"/>
      <c r="HL517" s="149"/>
      <c r="HM517" s="150"/>
      <c r="HN517" s="150"/>
      <c r="HO517" s="150"/>
      <c r="HP517" s="150"/>
      <c r="HQ517" s="150"/>
      <c r="HR517" s="150"/>
      <c r="HS517" s="150"/>
      <c r="HT517" s="150"/>
      <c r="HU517" s="150"/>
      <c r="HV517" s="150"/>
      <c r="HW517" s="150"/>
      <c r="HX517" s="150"/>
      <c r="HY517" s="150"/>
      <c r="HZ517" s="150"/>
      <c r="IA517" s="151"/>
      <c r="IB517" s="151"/>
      <c r="IC517" s="150"/>
      <c r="ID517" s="150"/>
      <c r="IE517" s="151"/>
      <c r="JF517" s="5"/>
      <c r="JO517" s="4"/>
      <c r="KK517" s="12"/>
      <c r="KM517" s="12"/>
      <c r="KP517" s="13"/>
      <c r="KQ517" s="12"/>
      <c r="KX517" s="13"/>
      <c r="KY517" s="12"/>
      <c r="LB517" s="13"/>
      <c r="LE517" s="12"/>
      <c r="LL517" s="12"/>
      <c r="LR517" s="13"/>
      <c r="MW517" s="13"/>
      <c r="MY517" s="12"/>
      <c r="OD517" s="5"/>
    </row>
    <row r="518" spans="8:394" ht="18" customHeight="1" x14ac:dyDescent="0.2">
      <c r="H518" s="4"/>
      <c r="AD518" s="12"/>
      <c r="BJ518" s="14"/>
      <c r="BK518" s="15"/>
      <c r="BL518" s="15"/>
      <c r="BM518" s="15"/>
      <c r="BN518" s="15"/>
      <c r="BO518" s="16"/>
      <c r="BV518" s="127"/>
      <c r="BW518" s="127"/>
      <c r="BX518" s="127"/>
      <c r="BY518" s="127"/>
      <c r="BZ518" s="127"/>
      <c r="CA518" s="127"/>
      <c r="CD518" s="13"/>
      <c r="CE518" s="12"/>
      <c r="CT518" s="13"/>
      <c r="CU518" s="13"/>
      <c r="DW518" s="5"/>
      <c r="EQ518" s="4"/>
      <c r="FM518" s="42"/>
      <c r="FN518" s="43"/>
      <c r="FO518" s="14"/>
      <c r="FP518" s="15"/>
      <c r="FQ518" s="15"/>
      <c r="FR518" s="15"/>
      <c r="FS518" s="15"/>
      <c r="FT518" s="15"/>
      <c r="FU518" s="15"/>
      <c r="FV518" s="15"/>
      <c r="FW518" s="15"/>
      <c r="FX518" s="15"/>
      <c r="FY518" s="15"/>
      <c r="FZ518" s="15"/>
      <c r="GA518" s="15"/>
      <c r="GB518" s="15"/>
      <c r="GC518" s="15"/>
      <c r="GD518" s="15"/>
      <c r="GE518" s="15"/>
      <c r="GF518" s="15"/>
      <c r="GG518" s="15"/>
      <c r="GH518" s="15"/>
      <c r="GI518" s="15"/>
      <c r="GJ518" s="15"/>
      <c r="GK518" s="15"/>
      <c r="GL518" s="16"/>
      <c r="GN518" s="14"/>
      <c r="GO518" s="15"/>
      <c r="GP518" s="15"/>
      <c r="GQ518" s="15"/>
      <c r="GR518" s="15"/>
      <c r="GS518" s="15"/>
      <c r="GT518" s="15"/>
      <c r="GU518" s="15"/>
      <c r="GV518" s="15"/>
      <c r="GW518" s="15"/>
      <c r="GX518" s="15"/>
      <c r="GY518" s="15"/>
      <c r="GZ518" s="15"/>
      <c r="HA518" s="15"/>
      <c r="HB518" s="15"/>
      <c r="HC518" s="15"/>
      <c r="HD518" s="15"/>
      <c r="HE518" s="15"/>
      <c r="HF518" s="15"/>
      <c r="HG518" s="15"/>
      <c r="HH518" s="15"/>
      <c r="HI518" s="16"/>
      <c r="HJ518" s="43"/>
      <c r="HK518" s="45"/>
      <c r="HL518" s="149"/>
      <c r="HM518" s="150"/>
      <c r="HN518" s="150"/>
      <c r="HO518" s="150"/>
      <c r="HP518" s="150"/>
      <c r="HQ518" s="150"/>
      <c r="HR518" s="150"/>
      <c r="HS518" s="150"/>
      <c r="HT518" s="150"/>
      <c r="HU518" s="150"/>
      <c r="HV518" s="150"/>
      <c r="HW518" s="150"/>
      <c r="HX518" s="150"/>
      <c r="HY518" s="150"/>
      <c r="HZ518" s="150"/>
      <c r="IA518" s="151"/>
      <c r="IB518" s="151"/>
      <c r="IC518" s="150"/>
      <c r="ID518" s="150"/>
      <c r="IE518" s="151"/>
      <c r="JF518" s="5"/>
      <c r="JO518" s="4"/>
      <c r="KK518" s="12"/>
      <c r="KM518" s="12"/>
      <c r="KP518" s="13"/>
      <c r="KQ518" s="12"/>
      <c r="KX518" s="13"/>
      <c r="KY518" s="12"/>
      <c r="LB518" s="13"/>
      <c r="LE518" s="12"/>
      <c r="LL518" s="12"/>
      <c r="LR518" s="13"/>
      <c r="MW518" s="13"/>
      <c r="MY518" s="12"/>
      <c r="OD518" s="5"/>
    </row>
    <row r="519" spans="8:394" ht="18" customHeight="1" x14ac:dyDescent="0.2">
      <c r="H519" s="4"/>
      <c r="AD519" s="14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15"/>
      <c r="AZ519" s="15"/>
      <c r="BA519" s="15"/>
      <c r="BB519" s="15"/>
      <c r="BC519" s="15"/>
      <c r="BD519" s="15"/>
      <c r="BE519" s="15"/>
      <c r="BF519" s="15"/>
      <c r="BG519" s="15"/>
      <c r="BH519" s="15"/>
      <c r="BI519" s="15"/>
      <c r="BJ519" s="20"/>
      <c r="BK519" s="21"/>
      <c r="BL519" s="21"/>
      <c r="BM519" s="21"/>
      <c r="BN519" s="21"/>
      <c r="BO519" s="22"/>
      <c r="BP519" s="15"/>
      <c r="BQ519" s="15"/>
      <c r="BR519" s="15"/>
      <c r="BS519" s="15"/>
      <c r="BT519" s="15"/>
      <c r="BU519" s="15"/>
      <c r="BV519" s="100"/>
      <c r="BW519" s="100"/>
      <c r="BX519" s="100"/>
      <c r="BY519" s="100"/>
      <c r="BZ519" s="100"/>
      <c r="CA519" s="100"/>
      <c r="CB519" s="15"/>
      <c r="CC519" s="15"/>
      <c r="CD519" s="16"/>
      <c r="CE519" s="14"/>
      <c r="CF519" s="15"/>
      <c r="CG519" s="15"/>
      <c r="CH519" s="15"/>
      <c r="CI519" s="15"/>
      <c r="CJ519" s="15"/>
      <c r="CK519" s="15"/>
      <c r="CL519" s="15"/>
      <c r="CM519" s="15"/>
      <c r="CN519" s="15"/>
      <c r="CO519" s="15"/>
      <c r="CP519" s="15"/>
      <c r="CQ519" s="15"/>
      <c r="CR519" s="15"/>
      <c r="CS519" s="15"/>
      <c r="CT519" s="16"/>
      <c r="CU519" s="13"/>
      <c r="DW519" s="5"/>
      <c r="EQ519" s="4"/>
      <c r="FM519" s="42"/>
      <c r="FN519" s="43"/>
      <c r="FO519" s="43"/>
      <c r="FP519" s="43"/>
      <c r="FQ519" s="43"/>
      <c r="FR519" s="43"/>
      <c r="FS519" s="43"/>
      <c r="FT519" s="43"/>
      <c r="FU519" s="43"/>
      <c r="FV519" s="43"/>
      <c r="FW519" s="43"/>
      <c r="FX519" s="43"/>
      <c r="FY519" s="43"/>
      <c r="FZ519" s="43"/>
      <c r="GA519" s="43"/>
      <c r="GB519" s="43"/>
      <c r="GC519" s="43"/>
      <c r="GD519" s="43"/>
      <c r="GE519" s="43"/>
      <c r="GF519" s="43"/>
      <c r="GG519" s="43"/>
      <c r="GH519" s="43"/>
      <c r="GI519" s="43"/>
      <c r="GJ519" s="43"/>
      <c r="GK519" s="43"/>
      <c r="GL519" s="43"/>
      <c r="GM519" s="43"/>
      <c r="GN519" s="43"/>
      <c r="GO519" s="43"/>
      <c r="GP519" s="43"/>
      <c r="GQ519" s="43"/>
      <c r="GR519" s="43"/>
      <c r="GS519" s="123"/>
      <c r="GT519" s="109"/>
      <c r="GU519" s="109"/>
      <c r="GV519" s="109"/>
      <c r="GW519" s="109"/>
      <c r="GX519" s="124"/>
      <c r="GY519" s="43"/>
      <c r="GZ519" s="43"/>
      <c r="HA519" s="43"/>
      <c r="HB519" s="43"/>
      <c r="HC519" s="127"/>
      <c r="HD519" s="127"/>
      <c r="HE519" s="127"/>
      <c r="HF519" s="127"/>
      <c r="HG519" s="127"/>
      <c r="HH519" s="127"/>
      <c r="HI519" s="43"/>
      <c r="HJ519" s="43"/>
      <c r="HK519" s="45"/>
      <c r="HL519" s="149"/>
      <c r="HM519" s="150"/>
      <c r="HN519" s="150"/>
      <c r="HO519" s="150"/>
      <c r="HP519" s="150"/>
      <c r="HQ519" s="150"/>
      <c r="HR519" s="150"/>
      <c r="HS519" s="150"/>
      <c r="HT519" s="150"/>
      <c r="HU519" s="150"/>
      <c r="HV519" s="150"/>
      <c r="HW519" s="150"/>
      <c r="HX519" s="150"/>
      <c r="HY519" s="150"/>
      <c r="HZ519" s="150"/>
      <c r="IA519" s="151"/>
      <c r="IB519" s="151"/>
      <c r="IC519" s="150"/>
      <c r="ID519" s="150"/>
      <c r="IE519" s="151"/>
      <c r="JF519" s="5"/>
      <c r="JO519" s="4"/>
      <c r="KK519" s="12"/>
      <c r="KM519" s="14"/>
      <c r="KN519" s="15"/>
      <c r="KO519" s="15"/>
      <c r="KP519" s="16"/>
      <c r="KQ519" s="12"/>
      <c r="KX519" s="13"/>
      <c r="KY519" s="14"/>
      <c r="KZ519" s="15"/>
      <c r="LA519" s="15"/>
      <c r="LB519" s="16"/>
      <c r="LE519" s="12"/>
      <c r="LL519" s="12"/>
      <c r="LR519" s="13"/>
      <c r="MW519" s="13"/>
      <c r="MY519" s="12"/>
      <c r="OD519" s="5"/>
    </row>
    <row r="520" spans="8:394" ht="18" customHeight="1" x14ac:dyDescent="0.2">
      <c r="H520" s="4"/>
      <c r="AN520" s="10"/>
      <c r="AQ520" s="10"/>
      <c r="AS520" s="10"/>
      <c r="AV520" s="10"/>
      <c r="AW520" s="10"/>
      <c r="AX520" s="9"/>
      <c r="AY520" s="9"/>
      <c r="AZ520" s="10"/>
      <c r="BA520" s="10"/>
      <c r="BB520" s="10"/>
      <c r="BC520" s="10"/>
      <c r="BD520" s="10"/>
      <c r="BO520" s="9"/>
      <c r="BP520" s="10"/>
      <c r="BQ520" s="10"/>
      <c r="BR520" s="10"/>
      <c r="BS520" s="10"/>
      <c r="BT520" s="10"/>
      <c r="BU520" s="10"/>
      <c r="BV520" s="10"/>
      <c r="BW520" s="10"/>
      <c r="BX520" s="10"/>
      <c r="BY520" s="10"/>
      <c r="BZ520" s="10"/>
      <c r="CA520" s="10"/>
      <c r="CB520" s="10"/>
      <c r="CC520" s="10"/>
      <c r="CD520" s="11"/>
      <c r="CE520" s="9"/>
      <c r="CF520" s="10"/>
      <c r="CG520" s="10"/>
      <c r="CH520" s="10"/>
      <c r="CI520" s="10"/>
      <c r="CJ520" s="10"/>
      <c r="CK520" s="10"/>
      <c r="CL520" s="10"/>
      <c r="CM520" s="10"/>
      <c r="CN520" s="10"/>
      <c r="CO520" s="10"/>
      <c r="CP520" s="10"/>
      <c r="CQ520" s="10"/>
      <c r="CR520" s="10"/>
      <c r="CS520" s="10"/>
      <c r="CT520" s="11"/>
      <c r="CU520" s="13"/>
      <c r="DW520" s="5"/>
      <c r="EQ520" s="4"/>
      <c r="FM520" s="46"/>
      <c r="FN520" s="47"/>
      <c r="FO520" s="47"/>
      <c r="FP520" s="47"/>
      <c r="FQ520" s="47"/>
      <c r="FR520" s="47"/>
      <c r="FS520" s="47"/>
      <c r="FT520" s="47"/>
      <c r="FU520" s="47"/>
      <c r="FV520" s="47"/>
      <c r="FW520" s="43"/>
      <c r="FX520" s="47"/>
      <c r="FY520" s="47"/>
      <c r="FZ520" s="43"/>
      <c r="GA520" s="47"/>
      <c r="GB520" s="43"/>
      <c r="GC520" s="47"/>
      <c r="GD520" s="47"/>
      <c r="GE520" s="43"/>
      <c r="GF520" s="43"/>
      <c r="GG520" s="43"/>
      <c r="GH520" s="43"/>
      <c r="GI520" s="43"/>
      <c r="GJ520" s="43"/>
      <c r="GK520" s="43"/>
      <c r="GL520" s="43"/>
      <c r="GM520" s="43"/>
      <c r="GN520" s="43"/>
      <c r="GO520" s="43"/>
      <c r="GP520" s="43"/>
      <c r="GQ520" s="43"/>
      <c r="GR520" s="43"/>
      <c r="GS520" s="40"/>
      <c r="GT520" s="41"/>
      <c r="GU520" s="41"/>
      <c r="GV520" s="41"/>
      <c r="GW520" s="41"/>
      <c r="GX520" s="44"/>
      <c r="GY520" s="43"/>
      <c r="GZ520" s="43"/>
      <c r="HA520" s="43"/>
      <c r="HB520" s="43"/>
      <c r="HC520" s="127"/>
      <c r="HD520" s="127"/>
      <c r="HE520" s="127"/>
      <c r="HF520" s="127"/>
      <c r="HG520" s="127"/>
      <c r="HH520" s="127"/>
      <c r="HI520" s="43"/>
      <c r="HJ520" s="43"/>
      <c r="HK520" s="45"/>
      <c r="HL520" s="149"/>
      <c r="HM520" s="150"/>
      <c r="HN520" s="150"/>
      <c r="HO520" s="150"/>
      <c r="HP520" s="150"/>
      <c r="HQ520" s="150"/>
      <c r="HR520" s="150"/>
      <c r="HS520" s="150"/>
      <c r="HT520" s="150"/>
      <c r="HU520" s="150"/>
      <c r="HV520" s="150"/>
      <c r="HW520" s="150"/>
      <c r="HX520" s="150"/>
      <c r="HY520" s="150"/>
      <c r="HZ520" s="150"/>
      <c r="IA520" s="151"/>
      <c r="IB520" s="151"/>
      <c r="IC520" s="150"/>
      <c r="ID520" s="150"/>
      <c r="IE520" s="151"/>
      <c r="JF520" s="5"/>
      <c r="JO520" s="4"/>
      <c r="KK520" s="12"/>
      <c r="KM520" s="12"/>
      <c r="KQ520" s="12"/>
      <c r="KX520" s="13"/>
      <c r="KY520" s="9"/>
      <c r="KZ520" s="10"/>
      <c r="LA520" s="10"/>
      <c r="LB520" s="11"/>
      <c r="LE520" s="12"/>
      <c r="LL520" s="12"/>
      <c r="LR520" s="13"/>
      <c r="MW520" s="13"/>
      <c r="MY520" s="12"/>
      <c r="OD520" s="5"/>
    </row>
    <row r="521" spans="8:394" ht="18" customHeight="1" x14ac:dyDescent="0.2">
      <c r="H521" s="4"/>
      <c r="AX521" s="12"/>
      <c r="AY521" s="12"/>
      <c r="BO521" s="12"/>
      <c r="CD521" s="13"/>
      <c r="CE521" s="12"/>
      <c r="CT521" s="13"/>
      <c r="CU521" s="13"/>
      <c r="DW521" s="5"/>
      <c r="EQ521" s="4"/>
      <c r="FW521" s="10"/>
      <c r="FZ521" s="10"/>
      <c r="GB521" s="146"/>
      <c r="GC521" s="147"/>
      <c r="GD521" s="147"/>
      <c r="GE521" s="146"/>
      <c r="GF521" s="146"/>
      <c r="GG521" s="147"/>
      <c r="GH521" s="147"/>
      <c r="GI521" s="147"/>
      <c r="GJ521" s="147"/>
      <c r="GK521" s="147"/>
      <c r="GL521" s="147"/>
      <c r="GM521" s="147"/>
      <c r="GN521" s="147"/>
      <c r="GO521" s="147"/>
      <c r="GP521" s="147"/>
      <c r="GQ521" s="147"/>
      <c r="GR521" s="147"/>
      <c r="GS521" s="147"/>
      <c r="GT521" s="147"/>
      <c r="GU521" s="147"/>
      <c r="GV521" s="147"/>
      <c r="GW521" s="147"/>
      <c r="GX521" s="147"/>
      <c r="GY521" s="147"/>
      <c r="GZ521" s="147"/>
      <c r="HA521" s="147"/>
      <c r="HB521" s="147"/>
      <c r="HC521" s="147"/>
      <c r="HD521" s="147"/>
      <c r="HE521" s="147"/>
      <c r="HF521" s="147"/>
      <c r="HG521" s="147"/>
      <c r="HH521" s="147"/>
      <c r="HI521" s="147"/>
      <c r="HJ521" s="147"/>
      <c r="HK521" s="147"/>
      <c r="HL521" s="147"/>
      <c r="HM521" s="147"/>
      <c r="HN521" s="147"/>
      <c r="HO521" s="147"/>
      <c r="HP521" s="147"/>
      <c r="HQ521" s="147"/>
      <c r="HR521" s="147"/>
      <c r="HS521" s="147"/>
      <c r="HT521" s="147"/>
      <c r="HU521" s="147"/>
      <c r="HV521" s="147"/>
      <c r="HW521" s="147"/>
      <c r="HX521" s="147"/>
      <c r="HY521" s="147"/>
      <c r="HZ521" s="147"/>
      <c r="IA521" s="148"/>
      <c r="IB521" s="151"/>
      <c r="IC521" s="150"/>
      <c r="ID521" s="150"/>
      <c r="IE521" s="151"/>
      <c r="JF521" s="5"/>
      <c r="JO521" s="4"/>
      <c r="KK521" s="12"/>
      <c r="KM521" s="12"/>
      <c r="KQ521" s="12"/>
      <c r="KX521" s="13"/>
      <c r="KY521" s="12"/>
      <c r="LB521" s="13"/>
      <c r="LE521" s="12"/>
      <c r="LL521" s="12"/>
      <c r="LR521" s="13"/>
      <c r="MW521" s="13"/>
      <c r="MY521" s="12"/>
      <c r="OD521" s="5"/>
    </row>
    <row r="522" spans="8:394" ht="18" customHeight="1" x14ac:dyDescent="0.2">
      <c r="H522" s="4"/>
      <c r="AX522" s="12"/>
      <c r="AY522" s="12"/>
      <c r="BO522" s="12"/>
      <c r="CD522" s="13"/>
      <c r="CE522" s="12"/>
      <c r="CT522" s="13"/>
      <c r="CU522" s="13"/>
      <c r="DW522" s="5"/>
      <c r="EQ522" s="4"/>
      <c r="GB522" s="149"/>
      <c r="GC522" s="150"/>
      <c r="GD522" s="150"/>
      <c r="GE522" s="149"/>
      <c r="GF522" s="149"/>
      <c r="GG522" s="150"/>
      <c r="GH522" s="150"/>
      <c r="GI522" s="150"/>
      <c r="GJ522" s="150"/>
      <c r="GK522" s="150"/>
      <c r="GL522" s="150"/>
      <c r="GM522" s="150"/>
      <c r="GN522" s="150"/>
      <c r="GO522" s="150"/>
      <c r="GP522" s="150"/>
      <c r="GQ522" s="150"/>
      <c r="GR522" s="150"/>
      <c r="GS522" s="150"/>
      <c r="GT522" s="150"/>
      <c r="GU522" s="150"/>
      <c r="GV522" s="150"/>
      <c r="GW522" s="150"/>
      <c r="GX522" s="150"/>
      <c r="GY522" s="150"/>
      <c r="GZ522" s="150"/>
      <c r="HA522" s="150"/>
      <c r="HB522" s="150"/>
      <c r="HC522" s="150"/>
      <c r="HD522" s="150"/>
      <c r="HE522" s="150"/>
      <c r="HF522" s="150"/>
      <c r="HG522" s="150"/>
      <c r="HH522" s="150"/>
      <c r="HI522" s="150"/>
      <c r="HJ522" s="150"/>
      <c r="HK522" s="150"/>
      <c r="HL522" s="150"/>
      <c r="HM522" s="150"/>
      <c r="HN522" s="150"/>
      <c r="HO522" s="150"/>
      <c r="HP522" s="150"/>
      <c r="HQ522" s="150"/>
      <c r="HR522" s="150"/>
      <c r="HS522" s="150"/>
      <c r="HT522" s="150"/>
      <c r="HU522" s="150"/>
      <c r="HV522" s="150"/>
      <c r="HW522" s="150"/>
      <c r="HX522" s="150"/>
      <c r="HY522" s="150"/>
      <c r="HZ522" s="150"/>
      <c r="IA522" s="151"/>
      <c r="IB522" s="151"/>
      <c r="IC522" s="150"/>
      <c r="ID522" s="150"/>
      <c r="IE522" s="151"/>
      <c r="JF522" s="5"/>
      <c r="JO522" s="4"/>
      <c r="KK522" s="12"/>
      <c r="KM522" s="12"/>
      <c r="KQ522" s="12"/>
      <c r="KX522" s="13"/>
      <c r="KY522" s="12"/>
      <c r="LB522" s="13"/>
      <c r="LE522" s="12"/>
      <c r="LL522" s="12"/>
      <c r="LR522" s="13"/>
      <c r="MW522" s="13"/>
      <c r="MY522" s="12"/>
      <c r="OD522" s="5"/>
    </row>
    <row r="523" spans="8:394" ht="18" customHeight="1" x14ac:dyDescent="0.2">
      <c r="H523" s="4"/>
      <c r="AX523" s="12"/>
      <c r="AY523" s="12"/>
      <c r="BO523" s="12"/>
      <c r="CD523" s="13"/>
      <c r="CE523" s="12"/>
      <c r="CT523" s="13"/>
      <c r="CU523" s="13"/>
      <c r="DW523" s="5"/>
      <c r="EQ523" s="4"/>
      <c r="GB523" s="149"/>
      <c r="GC523" s="150"/>
      <c r="GD523" s="150"/>
      <c r="GE523" s="149"/>
      <c r="GF523" s="149"/>
      <c r="GG523" s="150"/>
      <c r="GH523" s="150"/>
      <c r="GI523" s="150"/>
      <c r="GJ523" s="150"/>
      <c r="GK523" s="150"/>
      <c r="GL523" s="150"/>
      <c r="GM523" s="150"/>
      <c r="GN523" s="150"/>
      <c r="GO523" s="150"/>
      <c r="GP523" s="150"/>
      <c r="GQ523" s="150"/>
      <c r="GR523" s="150"/>
      <c r="GS523" s="150"/>
      <c r="GT523" s="150"/>
      <c r="GU523" s="150"/>
      <c r="GV523" s="150"/>
      <c r="GW523" s="150"/>
      <c r="GX523" s="150"/>
      <c r="GY523" s="150"/>
      <c r="GZ523" s="150"/>
      <c r="HA523" s="150"/>
      <c r="HB523" s="150"/>
      <c r="HC523" s="150"/>
      <c r="HD523" s="150"/>
      <c r="HE523" s="150"/>
      <c r="HF523" s="150"/>
      <c r="HG523" s="150"/>
      <c r="HH523" s="150"/>
      <c r="HI523" s="150"/>
      <c r="HJ523" s="150"/>
      <c r="HK523" s="150"/>
      <c r="HL523" s="150"/>
      <c r="HM523" s="150"/>
      <c r="HN523" s="150"/>
      <c r="HO523" s="150"/>
      <c r="HP523" s="150"/>
      <c r="HQ523" s="150"/>
      <c r="HR523" s="150"/>
      <c r="HS523" s="150"/>
      <c r="HT523" s="150"/>
      <c r="HU523" s="150"/>
      <c r="HV523" s="150"/>
      <c r="HW523" s="150"/>
      <c r="HX523" s="150"/>
      <c r="HY523" s="150"/>
      <c r="HZ523" s="150"/>
      <c r="IA523" s="151"/>
      <c r="IB523" s="151"/>
      <c r="IC523" s="150"/>
      <c r="ID523" s="150"/>
      <c r="IE523" s="151"/>
      <c r="JF523" s="5"/>
      <c r="JO523" s="4"/>
      <c r="KK523" s="12"/>
      <c r="KM523" s="12"/>
      <c r="KQ523" s="12"/>
      <c r="KX523" s="13"/>
      <c r="KY523" s="14"/>
      <c r="KZ523" s="15"/>
      <c r="LA523" s="15"/>
      <c r="LB523" s="16"/>
      <c r="LE523" s="12"/>
      <c r="LL523" s="12"/>
      <c r="LR523" s="13"/>
      <c r="MW523" s="13"/>
      <c r="MY523" s="12"/>
      <c r="OD523" s="5"/>
    </row>
    <row r="524" spans="8:394" ht="18" customHeight="1" x14ac:dyDescent="0.2">
      <c r="H524" s="4"/>
      <c r="AX524" s="12"/>
      <c r="AY524" s="12"/>
      <c r="BC524" s="9"/>
      <c r="BD524" s="10"/>
      <c r="BE524" s="10"/>
      <c r="BF524" s="10"/>
      <c r="BG524" s="10"/>
      <c r="BH524" s="10"/>
      <c r="BI524" s="10"/>
      <c r="BJ524" s="11"/>
      <c r="BO524" s="12"/>
      <c r="BS524" s="9"/>
      <c r="BT524" s="10"/>
      <c r="BU524" s="10"/>
      <c r="BV524" s="10"/>
      <c r="BW524" s="10"/>
      <c r="BX524" s="10"/>
      <c r="BY524" s="10"/>
      <c r="BZ524" s="11"/>
      <c r="CD524" s="13"/>
      <c r="CE524" s="12"/>
      <c r="CI524" s="9"/>
      <c r="CJ524" s="10"/>
      <c r="CK524" s="10"/>
      <c r="CL524" s="10"/>
      <c r="CM524" s="10"/>
      <c r="CN524" s="10"/>
      <c r="CO524" s="10"/>
      <c r="CP524" s="11"/>
      <c r="CT524" s="13"/>
      <c r="CU524" s="13"/>
      <c r="DW524" s="5"/>
      <c r="EQ524" s="4"/>
      <c r="GB524" s="149"/>
      <c r="GC524" s="150"/>
      <c r="GD524" s="150"/>
      <c r="GE524" s="149"/>
      <c r="GF524" s="149"/>
      <c r="GG524" s="150"/>
      <c r="GH524" s="150"/>
      <c r="GI524" s="150"/>
      <c r="GJ524" s="150"/>
      <c r="GK524" s="150"/>
      <c r="GL524" s="150"/>
      <c r="GM524" s="150"/>
      <c r="GN524" s="150"/>
      <c r="GO524" s="150"/>
      <c r="GP524" s="150"/>
      <c r="GQ524" s="150"/>
      <c r="GR524" s="150"/>
      <c r="GS524" s="150"/>
      <c r="GT524" s="150"/>
      <c r="GU524" s="150"/>
      <c r="GV524" s="150"/>
      <c r="GW524" s="150"/>
      <c r="GX524" s="150"/>
      <c r="GY524" s="150"/>
      <c r="GZ524" s="150"/>
      <c r="HA524" s="150"/>
      <c r="HB524" s="150"/>
      <c r="HC524" s="150"/>
      <c r="HD524" s="150"/>
      <c r="HE524" s="150"/>
      <c r="HF524" s="150"/>
      <c r="HG524" s="150"/>
      <c r="HH524" s="150"/>
      <c r="HI524" s="150"/>
      <c r="HJ524" s="150"/>
      <c r="HK524" s="150"/>
      <c r="HL524" s="150"/>
      <c r="HM524" s="150"/>
      <c r="HN524" s="150"/>
      <c r="HO524" s="150"/>
      <c r="HP524" s="150"/>
      <c r="HQ524" s="150"/>
      <c r="HR524" s="150"/>
      <c r="HS524" s="150"/>
      <c r="HT524" s="150"/>
      <c r="HU524" s="150"/>
      <c r="HV524" s="150"/>
      <c r="HW524" s="150"/>
      <c r="HX524" s="150"/>
      <c r="HY524" s="150"/>
      <c r="HZ524" s="150"/>
      <c r="IA524" s="151"/>
      <c r="IB524" s="151"/>
      <c r="IC524" s="150"/>
      <c r="ID524" s="150"/>
      <c r="IE524" s="151"/>
      <c r="JF524" s="5"/>
      <c r="JO524" s="4"/>
      <c r="KK524" s="12"/>
      <c r="KM524" s="9"/>
      <c r="KN524" s="10"/>
      <c r="KO524" s="10"/>
      <c r="KP524" s="11"/>
      <c r="KQ524" s="10"/>
      <c r="KR524" s="10"/>
      <c r="KS524" s="10"/>
      <c r="KT524" s="10"/>
      <c r="KU524" s="9"/>
      <c r="KV524" s="10"/>
      <c r="KW524" s="10"/>
      <c r="KX524" s="11"/>
      <c r="LB524" s="13"/>
      <c r="LE524" s="12"/>
      <c r="LL524" s="12"/>
      <c r="LR524" s="13"/>
      <c r="MW524" s="13"/>
      <c r="MY524" s="12"/>
      <c r="OD524" s="5"/>
    </row>
    <row r="525" spans="8:394" ht="18" customHeight="1" x14ac:dyDescent="0.2">
      <c r="H525" s="4"/>
      <c r="AX525" s="12"/>
      <c r="AY525" s="12"/>
      <c r="BC525" s="12"/>
      <c r="BJ525" s="13"/>
      <c r="BO525" s="12"/>
      <c r="BS525" s="12"/>
      <c r="BZ525" s="13"/>
      <c r="CD525" s="13"/>
      <c r="CE525" s="12"/>
      <c r="CI525" s="12"/>
      <c r="CP525" s="13"/>
      <c r="CT525" s="13"/>
      <c r="CU525" s="13"/>
      <c r="DW525" s="5"/>
      <c r="EQ525" s="4"/>
      <c r="GB525" s="149"/>
      <c r="GC525" s="150"/>
      <c r="GD525" s="150"/>
      <c r="GE525" s="146"/>
      <c r="GF525" s="149"/>
      <c r="GG525" s="150"/>
      <c r="GH525" s="150"/>
      <c r="GI525" s="150"/>
      <c r="GJ525" s="150"/>
      <c r="GK525" s="150"/>
      <c r="GL525" s="150"/>
      <c r="GM525" s="150"/>
      <c r="GN525" s="150"/>
      <c r="GO525" s="150"/>
      <c r="GP525" s="150"/>
      <c r="GQ525" s="150"/>
      <c r="GR525" s="150"/>
      <c r="GS525" s="150"/>
      <c r="GT525" s="150"/>
      <c r="GU525" s="150"/>
      <c r="GV525" s="150"/>
      <c r="GW525" s="150"/>
      <c r="GX525" s="150"/>
      <c r="GY525" s="150"/>
      <c r="GZ525" s="150"/>
      <c r="HA525" s="150"/>
      <c r="HB525" s="150"/>
      <c r="HC525" s="150"/>
      <c r="HD525" s="150"/>
      <c r="HE525" s="150"/>
      <c r="HF525" s="150"/>
      <c r="HG525" s="150"/>
      <c r="HH525" s="150"/>
      <c r="HI525" s="150"/>
      <c r="HJ525" s="150"/>
      <c r="HK525" s="150"/>
      <c r="HL525" s="150"/>
      <c r="HM525" s="150"/>
      <c r="HN525" s="150"/>
      <c r="HO525" s="150"/>
      <c r="HP525" s="150"/>
      <c r="HQ525" s="150"/>
      <c r="HR525" s="150"/>
      <c r="HS525" s="150"/>
      <c r="HT525" s="150"/>
      <c r="HU525" s="150"/>
      <c r="HV525" s="150"/>
      <c r="HW525" s="150"/>
      <c r="HX525" s="150"/>
      <c r="HY525" s="150"/>
      <c r="HZ525" s="150"/>
      <c r="IA525" s="151"/>
      <c r="IB525" s="151"/>
      <c r="IC525" s="150"/>
      <c r="ID525" s="150"/>
      <c r="IE525" s="151"/>
      <c r="JF525" s="5"/>
      <c r="JO525" s="4"/>
      <c r="KK525" s="12"/>
      <c r="KM525" s="12"/>
      <c r="KP525" s="13"/>
      <c r="KU525" s="12"/>
      <c r="KX525" s="13"/>
      <c r="LB525" s="13"/>
      <c r="LE525" s="12"/>
      <c r="LL525" s="12"/>
      <c r="LR525" s="13"/>
      <c r="MW525" s="13"/>
      <c r="MY525" s="12"/>
      <c r="OD525" s="5"/>
    </row>
    <row r="526" spans="8:394" ht="18" customHeight="1" x14ac:dyDescent="0.2">
      <c r="H526" s="4"/>
      <c r="AX526" s="12"/>
      <c r="AY526" s="12"/>
      <c r="BC526" s="12"/>
      <c r="BJ526" s="13"/>
      <c r="BO526" s="12"/>
      <c r="BS526" s="12"/>
      <c r="BZ526" s="13"/>
      <c r="CD526" s="13"/>
      <c r="CE526" s="12"/>
      <c r="CI526" s="12"/>
      <c r="CP526" s="13"/>
      <c r="CT526" s="13"/>
      <c r="CU526" s="13"/>
      <c r="DW526" s="5"/>
      <c r="EQ526" s="4"/>
      <c r="GB526" s="149"/>
      <c r="GC526" s="150"/>
      <c r="GD526" s="150"/>
      <c r="GE526" s="149"/>
      <c r="GF526" s="149"/>
      <c r="GG526" s="150"/>
      <c r="GH526" s="150"/>
      <c r="GI526" s="150"/>
      <c r="GJ526" s="150"/>
      <c r="GK526" s="150"/>
      <c r="GL526" s="150"/>
      <c r="GM526" s="150"/>
      <c r="GN526" s="150"/>
      <c r="GO526" s="150"/>
      <c r="GP526" s="150"/>
      <c r="GQ526" s="150"/>
      <c r="GR526" s="150"/>
      <c r="GS526" s="150"/>
      <c r="GT526" s="150"/>
      <c r="GU526" s="150"/>
      <c r="GV526" s="150"/>
      <c r="GW526" s="150"/>
      <c r="GX526" s="150"/>
      <c r="GY526" s="150"/>
      <c r="GZ526" s="150"/>
      <c r="HA526" s="150"/>
      <c r="HB526" s="150"/>
      <c r="HC526" s="150"/>
      <c r="HD526" s="150"/>
      <c r="HE526" s="150"/>
      <c r="HF526" s="150"/>
      <c r="HG526" s="150"/>
      <c r="HH526" s="150"/>
      <c r="HI526" s="150"/>
      <c r="HJ526" s="150"/>
      <c r="HK526" s="150"/>
      <c r="HL526" s="150"/>
      <c r="HM526" s="150"/>
      <c r="HN526" s="150"/>
      <c r="HO526" s="150"/>
      <c r="HP526" s="150"/>
      <c r="HQ526" s="150"/>
      <c r="HR526" s="150"/>
      <c r="HS526" s="150"/>
      <c r="HT526" s="150"/>
      <c r="HU526" s="150"/>
      <c r="HV526" s="150"/>
      <c r="HW526" s="150"/>
      <c r="HX526" s="150"/>
      <c r="HY526" s="150"/>
      <c r="HZ526" s="150"/>
      <c r="IA526" s="151"/>
      <c r="IB526" s="151"/>
      <c r="IC526" s="150"/>
      <c r="ID526" s="150"/>
      <c r="IE526" s="151"/>
      <c r="JF526" s="5"/>
      <c r="JO526" s="4"/>
      <c r="KK526" s="12"/>
      <c r="KM526" s="12"/>
      <c r="KP526" s="13"/>
      <c r="KU526" s="12"/>
      <c r="KX526" s="13"/>
      <c r="LB526" s="13"/>
      <c r="LE526" s="12"/>
      <c r="LL526" s="14"/>
      <c r="LM526" s="15"/>
      <c r="LN526" s="15"/>
      <c r="LO526" s="15"/>
      <c r="LP526" s="15"/>
      <c r="LQ526" s="15"/>
      <c r="LR526" s="16"/>
      <c r="MW526" s="13"/>
      <c r="MY526" s="12"/>
      <c r="OD526" s="5"/>
    </row>
    <row r="527" spans="8:394" ht="18" customHeight="1" x14ac:dyDescent="0.2">
      <c r="H527" s="4"/>
      <c r="AX527" s="12"/>
      <c r="AY527" s="12"/>
      <c r="BC527" s="12"/>
      <c r="BJ527" s="13"/>
      <c r="BO527" s="12"/>
      <c r="BS527" s="12"/>
      <c r="BZ527" s="13"/>
      <c r="CD527" s="13"/>
      <c r="CE527" s="12"/>
      <c r="CI527" s="12"/>
      <c r="CP527" s="13"/>
      <c r="CT527" s="13"/>
      <c r="CU527" s="13"/>
      <c r="DW527" s="5"/>
      <c r="EQ527" s="4"/>
      <c r="GB527" s="149"/>
      <c r="GC527" s="150"/>
      <c r="GD527" s="150"/>
      <c r="GE527" s="149"/>
      <c r="GF527" s="149"/>
      <c r="GG527" s="150"/>
      <c r="GH527" s="150"/>
      <c r="GI527" s="150"/>
      <c r="GJ527" s="150"/>
      <c r="GK527" s="150"/>
      <c r="GL527" s="150"/>
      <c r="GM527" s="150"/>
      <c r="GN527" s="150"/>
      <c r="GO527" s="150"/>
      <c r="GP527" s="150"/>
      <c r="GQ527" s="150"/>
      <c r="GR527" s="150"/>
      <c r="GS527" s="150"/>
      <c r="GT527" s="150"/>
      <c r="GU527" s="150"/>
      <c r="GV527" s="150"/>
      <c r="GW527" s="150"/>
      <c r="GX527" s="150"/>
      <c r="GY527" s="150"/>
      <c r="GZ527" s="150"/>
      <c r="HA527" s="150"/>
      <c r="HB527" s="150"/>
      <c r="HC527" s="150"/>
      <c r="HD527" s="150"/>
      <c r="HE527" s="150"/>
      <c r="HF527" s="150"/>
      <c r="HG527" s="150"/>
      <c r="HH527" s="150"/>
      <c r="HI527" s="150"/>
      <c r="HJ527" s="150"/>
      <c r="HK527" s="150"/>
      <c r="HL527" s="150"/>
      <c r="HM527" s="150"/>
      <c r="HN527" s="150"/>
      <c r="HO527" s="150"/>
      <c r="HP527" s="150"/>
      <c r="HQ527" s="150"/>
      <c r="HR527" s="150"/>
      <c r="HS527" s="150"/>
      <c r="HT527" s="150"/>
      <c r="HU527" s="150"/>
      <c r="HV527" s="150"/>
      <c r="HW527" s="150"/>
      <c r="HX527" s="150"/>
      <c r="HY527" s="150"/>
      <c r="HZ527" s="150"/>
      <c r="IA527" s="151"/>
      <c r="IB527" s="151"/>
      <c r="IC527" s="150"/>
      <c r="ID527" s="150"/>
      <c r="IE527" s="151"/>
      <c r="JF527" s="5"/>
      <c r="JO527" s="4"/>
      <c r="KK527" s="12"/>
      <c r="KM527" s="14"/>
      <c r="KN527" s="15"/>
      <c r="KO527" s="15"/>
      <c r="KP527" s="16"/>
      <c r="KQ527" s="15"/>
      <c r="KR527" s="15"/>
      <c r="KS527" s="15"/>
      <c r="KT527" s="15"/>
      <c r="KU527" s="14"/>
      <c r="KV527" s="15"/>
      <c r="KW527" s="15"/>
      <c r="KX527" s="16"/>
      <c r="KY527" s="15"/>
      <c r="KZ527" s="15"/>
      <c r="LA527" s="15"/>
      <c r="LB527" s="16"/>
      <c r="LE527" s="12"/>
      <c r="MW527" s="13"/>
      <c r="MY527" s="12"/>
      <c r="OD527" s="5"/>
    </row>
    <row r="528" spans="8:394" ht="18" customHeight="1" x14ac:dyDescent="0.2">
      <c r="H528" s="4"/>
      <c r="AX528" s="12"/>
      <c r="AY528" s="12"/>
      <c r="BC528" s="12"/>
      <c r="BJ528" s="13"/>
      <c r="BO528" s="12"/>
      <c r="BS528" s="12"/>
      <c r="BZ528" s="13"/>
      <c r="CD528" s="13"/>
      <c r="CE528" s="12"/>
      <c r="CI528" s="12"/>
      <c r="CP528" s="13"/>
      <c r="CT528" s="13"/>
      <c r="CU528" s="13"/>
      <c r="DW528" s="5"/>
      <c r="EQ528" s="4"/>
      <c r="GB528" s="149"/>
      <c r="GC528" s="150"/>
      <c r="GD528" s="150"/>
      <c r="GE528" s="149"/>
      <c r="GF528" s="149"/>
      <c r="GG528" s="150"/>
      <c r="GH528" s="150"/>
      <c r="GI528" s="150"/>
      <c r="GJ528" s="150"/>
      <c r="GK528" s="150"/>
      <c r="GL528" s="150"/>
      <c r="GM528" s="150"/>
      <c r="GN528" s="150"/>
      <c r="GO528" s="150"/>
      <c r="GP528" s="150"/>
      <c r="GQ528" s="150"/>
      <c r="GR528" s="150"/>
      <c r="GS528" s="150"/>
      <c r="GT528" s="150"/>
      <c r="GU528" s="150"/>
      <c r="GV528" s="150"/>
      <c r="GW528" s="150"/>
      <c r="GX528" s="150"/>
      <c r="GY528" s="150"/>
      <c r="GZ528" s="150"/>
      <c r="HA528" s="150"/>
      <c r="HB528" s="150"/>
      <c r="HC528" s="150"/>
      <c r="HD528" s="150"/>
      <c r="HE528" s="150"/>
      <c r="HF528" s="150"/>
      <c r="HG528" s="150"/>
      <c r="HH528" s="150"/>
      <c r="HI528" s="150"/>
      <c r="HJ528" s="150"/>
      <c r="HK528" s="150"/>
      <c r="HL528" s="150"/>
      <c r="HM528" s="150"/>
      <c r="HN528" s="150"/>
      <c r="HO528" s="150"/>
      <c r="HP528" s="150"/>
      <c r="HQ528" s="150"/>
      <c r="HR528" s="150"/>
      <c r="HS528" s="150"/>
      <c r="HT528" s="150"/>
      <c r="HU528" s="150"/>
      <c r="HV528" s="150"/>
      <c r="HW528" s="150"/>
      <c r="HX528" s="150"/>
      <c r="HY528" s="150"/>
      <c r="HZ528" s="150"/>
      <c r="IA528" s="151"/>
      <c r="IB528" s="151"/>
      <c r="IC528" s="150"/>
      <c r="ID528" s="150"/>
      <c r="IE528" s="151"/>
      <c r="JF528" s="5"/>
      <c r="JO528" s="4"/>
      <c r="KK528" s="12"/>
      <c r="LE528" s="12"/>
      <c r="MW528" s="13"/>
      <c r="MY528" s="12"/>
      <c r="OD528" s="5"/>
    </row>
    <row r="529" spans="8:394" ht="18" customHeight="1" x14ac:dyDescent="0.2">
      <c r="H529" s="4"/>
      <c r="AX529" s="12"/>
      <c r="AY529" s="12"/>
      <c r="BC529" s="12"/>
      <c r="BJ529" s="13"/>
      <c r="BO529" s="12"/>
      <c r="BS529" s="12"/>
      <c r="BZ529" s="13"/>
      <c r="CD529" s="13"/>
      <c r="CE529" s="12"/>
      <c r="CI529" s="12"/>
      <c r="CP529" s="13"/>
      <c r="CT529" s="13"/>
      <c r="CU529" s="13"/>
      <c r="DW529" s="5"/>
      <c r="EQ529" s="4"/>
      <c r="GB529" s="149"/>
      <c r="GC529" s="150"/>
      <c r="GD529" s="150"/>
      <c r="GE529" s="149"/>
      <c r="GF529" s="149"/>
      <c r="GG529" s="150"/>
      <c r="GH529" s="150"/>
      <c r="GI529" s="150"/>
      <c r="GJ529" s="150"/>
      <c r="GK529" s="150"/>
      <c r="GL529" s="150"/>
      <c r="GM529" s="150"/>
      <c r="GN529" s="150"/>
      <c r="GO529" s="150"/>
      <c r="GP529" s="150"/>
      <c r="GQ529" s="150"/>
      <c r="GR529" s="150"/>
      <c r="GS529" s="150"/>
      <c r="GT529" s="150"/>
      <c r="GU529" s="150"/>
      <c r="GV529" s="150"/>
      <c r="GW529" s="150"/>
      <c r="GX529" s="150"/>
      <c r="GY529" s="150"/>
      <c r="GZ529" s="150"/>
      <c r="HA529" s="150"/>
      <c r="HB529" s="150"/>
      <c r="HC529" s="150"/>
      <c r="HD529" s="150"/>
      <c r="HE529" s="150"/>
      <c r="HF529" s="150"/>
      <c r="HG529" s="150"/>
      <c r="HH529" s="150"/>
      <c r="HI529" s="150"/>
      <c r="HJ529" s="150"/>
      <c r="HK529" s="150"/>
      <c r="HL529" s="150"/>
      <c r="HM529" s="150"/>
      <c r="HN529" s="150"/>
      <c r="HO529" s="150"/>
      <c r="HP529" s="150"/>
      <c r="HQ529" s="150"/>
      <c r="HR529" s="150"/>
      <c r="HS529" s="150"/>
      <c r="HT529" s="150"/>
      <c r="HU529" s="150"/>
      <c r="HV529" s="150"/>
      <c r="HW529" s="150"/>
      <c r="HX529" s="150"/>
      <c r="HY529" s="150"/>
      <c r="HZ529" s="150"/>
      <c r="IA529" s="151"/>
      <c r="IB529" s="151"/>
      <c r="IC529" s="150"/>
      <c r="ID529" s="150"/>
      <c r="IE529" s="151"/>
      <c r="JF529" s="5"/>
      <c r="JO529" s="4"/>
      <c r="KK529" s="14"/>
      <c r="KL529" s="15"/>
      <c r="KM529" s="15"/>
      <c r="KN529" s="15"/>
      <c r="KO529" s="15"/>
      <c r="KP529" s="15"/>
      <c r="KQ529" s="15"/>
      <c r="KR529" s="15"/>
      <c r="KS529" s="15"/>
      <c r="KT529" s="15"/>
      <c r="KU529" s="15"/>
      <c r="KV529" s="15"/>
      <c r="KW529" s="15"/>
      <c r="KX529" s="15"/>
      <c r="KY529" s="15"/>
      <c r="KZ529" s="15"/>
      <c r="LA529" s="15"/>
      <c r="LB529" s="15"/>
      <c r="LC529" s="15"/>
      <c r="LD529" s="15"/>
      <c r="LE529" s="12"/>
      <c r="MW529" s="13"/>
      <c r="MY529" s="12"/>
      <c r="OD529" s="5"/>
    </row>
    <row r="530" spans="8:394" ht="18" customHeight="1" x14ac:dyDescent="0.2">
      <c r="H530" s="4"/>
      <c r="AX530" s="12"/>
      <c r="AY530" s="12"/>
      <c r="BC530" s="12"/>
      <c r="BJ530" s="13"/>
      <c r="BO530" s="12"/>
      <c r="BS530" s="12"/>
      <c r="BZ530" s="13"/>
      <c r="CD530" s="13"/>
      <c r="CE530" s="12"/>
      <c r="CI530" s="12"/>
      <c r="CP530" s="13"/>
      <c r="CT530" s="13"/>
      <c r="CU530" s="13"/>
      <c r="DW530" s="5"/>
      <c r="EQ530" s="4"/>
      <c r="GB530" s="149"/>
      <c r="GC530" s="150"/>
      <c r="GD530" s="150"/>
      <c r="GE530" s="149"/>
      <c r="GF530" s="149"/>
      <c r="GG530" s="150"/>
      <c r="GH530" s="150"/>
      <c r="GI530" s="150"/>
      <c r="GJ530" s="150"/>
      <c r="GK530" s="150"/>
      <c r="GL530" s="150"/>
      <c r="GM530" s="150"/>
      <c r="GN530" s="150"/>
      <c r="GO530" s="150"/>
      <c r="GP530" s="150"/>
      <c r="GQ530" s="150"/>
      <c r="GR530" s="150"/>
      <c r="GS530" s="150"/>
      <c r="GT530" s="150"/>
      <c r="GU530" s="150"/>
      <c r="GV530" s="150"/>
      <c r="GW530" s="150"/>
      <c r="GX530" s="150"/>
      <c r="GY530" s="150"/>
      <c r="GZ530" s="150"/>
      <c r="HA530" s="150"/>
      <c r="HB530" s="150"/>
      <c r="HC530" s="150"/>
      <c r="HD530" s="150"/>
      <c r="HE530" s="150"/>
      <c r="HF530" s="150"/>
      <c r="HG530" s="150"/>
      <c r="HH530" s="150"/>
      <c r="HI530" s="150"/>
      <c r="HJ530" s="150"/>
      <c r="HK530" s="150"/>
      <c r="HL530" s="150"/>
      <c r="HM530" s="150"/>
      <c r="HN530" s="150"/>
      <c r="HO530" s="150"/>
      <c r="HP530" s="150"/>
      <c r="HQ530" s="150"/>
      <c r="HR530" s="150"/>
      <c r="HS530" s="150"/>
      <c r="HT530" s="150"/>
      <c r="HU530" s="150"/>
      <c r="HV530" s="150"/>
      <c r="HW530" s="150"/>
      <c r="HX530" s="150"/>
      <c r="HY530" s="150"/>
      <c r="HZ530" s="150"/>
      <c r="IA530" s="151"/>
      <c r="IB530" s="151"/>
      <c r="IC530" s="150"/>
      <c r="ID530" s="150"/>
      <c r="IE530" s="151"/>
      <c r="JF530" s="5"/>
      <c r="JO530" s="4"/>
      <c r="LC530" s="11"/>
      <c r="LE530" s="12"/>
      <c r="MW530" s="13"/>
      <c r="MY530" s="12"/>
      <c r="OD530" s="5"/>
    </row>
    <row r="531" spans="8:394" ht="18" customHeight="1" x14ac:dyDescent="0.2">
      <c r="H531" s="4"/>
      <c r="AX531" s="12"/>
      <c r="AY531" s="12"/>
      <c r="BC531" s="14"/>
      <c r="BD531" s="15"/>
      <c r="BE531" s="15"/>
      <c r="BF531" s="15"/>
      <c r="BG531" s="15"/>
      <c r="BH531" s="15"/>
      <c r="BI531" s="15"/>
      <c r="BJ531" s="16"/>
      <c r="BO531" s="12"/>
      <c r="BS531" s="14"/>
      <c r="BT531" s="15"/>
      <c r="BU531" s="15"/>
      <c r="BV531" s="15"/>
      <c r="BW531" s="15"/>
      <c r="BX531" s="15"/>
      <c r="BY531" s="15"/>
      <c r="BZ531" s="16"/>
      <c r="CD531" s="13"/>
      <c r="CE531" s="12"/>
      <c r="CI531" s="14"/>
      <c r="CJ531" s="15"/>
      <c r="CK531" s="15"/>
      <c r="CL531" s="15"/>
      <c r="CM531" s="15"/>
      <c r="CN531" s="15"/>
      <c r="CO531" s="15"/>
      <c r="CP531" s="16"/>
      <c r="CT531" s="13"/>
      <c r="CU531" s="13"/>
      <c r="DW531" s="5"/>
      <c r="EQ531" s="4"/>
      <c r="GB531" s="149"/>
      <c r="GC531" s="150"/>
      <c r="GD531" s="150"/>
      <c r="GE531" s="149"/>
      <c r="GF531" s="149"/>
      <c r="GG531" s="150"/>
      <c r="GH531" s="150"/>
      <c r="GI531" s="150"/>
      <c r="GJ531" s="150"/>
      <c r="GK531" s="150"/>
      <c r="GL531" s="150"/>
      <c r="GM531" s="150"/>
      <c r="GN531" s="150"/>
      <c r="GO531" s="150"/>
      <c r="GP531" s="150"/>
      <c r="GQ531" s="150"/>
      <c r="GR531" s="150"/>
      <c r="GS531" s="150"/>
      <c r="GT531" s="150"/>
      <c r="GU531" s="150"/>
      <c r="GV531" s="150"/>
      <c r="GW531" s="150"/>
      <c r="GX531" s="150"/>
      <c r="GY531" s="150"/>
      <c r="GZ531" s="150"/>
      <c r="HA531" s="150"/>
      <c r="HB531" s="150"/>
      <c r="HC531" s="150"/>
      <c r="HD531" s="150"/>
      <c r="HE531" s="150"/>
      <c r="HF531" s="150"/>
      <c r="HG531" s="150"/>
      <c r="HH531" s="150"/>
      <c r="HI531" s="150"/>
      <c r="HJ531" s="150"/>
      <c r="HK531" s="150"/>
      <c r="HL531" s="150"/>
      <c r="HM531" s="150"/>
      <c r="HN531" s="150"/>
      <c r="HO531" s="150"/>
      <c r="HP531" s="150"/>
      <c r="HQ531" s="150"/>
      <c r="HR531" s="150"/>
      <c r="HS531" s="150"/>
      <c r="HT531" s="150"/>
      <c r="HU531" s="150"/>
      <c r="HV531" s="150"/>
      <c r="HW531" s="150"/>
      <c r="HX531" s="150"/>
      <c r="HY531" s="150"/>
      <c r="HZ531" s="150"/>
      <c r="IA531" s="151"/>
      <c r="IB531" s="151"/>
      <c r="IC531" s="150"/>
      <c r="ID531" s="150"/>
      <c r="IE531" s="151"/>
      <c r="JF531" s="5"/>
      <c r="JO531" s="4"/>
      <c r="LC531" s="13"/>
      <c r="LE531" s="12"/>
      <c r="MW531" s="13"/>
      <c r="MY531" s="12"/>
      <c r="OD531" s="5"/>
    </row>
    <row r="532" spans="8:394" ht="18" customHeight="1" x14ac:dyDescent="0.2">
      <c r="H532" s="4"/>
      <c r="AX532" s="12"/>
      <c r="AY532" s="12"/>
      <c r="BO532" s="12"/>
      <c r="CD532" s="13"/>
      <c r="CE532" s="12"/>
      <c r="CT532" s="13"/>
      <c r="CU532" s="13"/>
      <c r="DW532" s="5"/>
      <c r="EQ532" s="4"/>
      <c r="GB532" s="149"/>
      <c r="GC532" s="150"/>
      <c r="GD532" s="150"/>
      <c r="GE532" s="149"/>
      <c r="GF532" s="149"/>
      <c r="GG532" s="150"/>
      <c r="GH532" s="150"/>
      <c r="GI532" s="150"/>
      <c r="GJ532" s="150"/>
      <c r="GK532" s="150"/>
      <c r="GL532" s="150"/>
      <c r="GM532" s="150"/>
      <c r="GN532" s="150"/>
      <c r="GO532" s="150"/>
      <c r="GP532" s="150"/>
      <c r="GQ532" s="150"/>
      <c r="GR532" s="150"/>
      <c r="GS532" s="150"/>
      <c r="GT532" s="150"/>
      <c r="GU532" s="150"/>
      <c r="GV532" s="150"/>
      <c r="GW532" s="150"/>
      <c r="GX532" s="150"/>
      <c r="GY532" s="150"/>
      <c r="GZ532" s="150"/>
      <c r="HA532" s="150"/>
      <c r="HB532" s="150"/>
      <c r="HC532" s="150"/>
      <c r="HD532" s="150"/>
      <c r="HE532" s="150"/>
      <c r="HF532" s="150"/>
      <c r="HG532" s="150"/>
      <c r="HH532" s="150"/>
      <c r="HI532" s="150"/>
      <c r="HJ532" s="150"/>
      <c r="HK532" s="150"/>
      <c r="HL532" s="150"/>
      <c r="HM532" s="150"/>
      <c r="HN532" s="150"/>
      <c r="HO532" s="150"/>
      <c r="HP532" s="150"/>
      <c r="HQ532" s="150"/>
      <c r="HR532" s="150"/>
      <c r="HS532" s="150"/>
      <c r="HT532" s="150"/>
      <c r="HU532" s="150"/>
      <c r="HV532" s="150"/>
      <c r="HW532" s="150"/>
      <c r="HX532" s="150"/>
      <c r="HY532" s="150"/>
      <c r="HZ532" s="150"/>
      <c r="IA532" s="151"/>
      <c r="IB532" s="151"/>
      <c r="IC532" s="150"/>
      <c r="ID532" s="150"/>
      <c r="IE532" s="151"/>
      <c r="JF532" s="5"/>
      <c r="JO532" s="4"/>
      <c r="LC532" s="13"/>
      <c r="LE532" s="14"/>
      <c r="LF532" s="15"/>
      <c r="LG532" s="15"/>
      <c r="LH532" s="15"/>
      <c r="LI532" s="15"/>
      <c r="LJ532" s="15"/>
      <c r="LK532" s="15"/>
      <c r="LL532" s="15"/>
      <c r="LM532" s="15"/>
      <c r="LN532" s="15"/>
      <c r="LO532" s="15"/>
      <c r="LP532" s="15"/>
      <c r="LQ532" s="15"/>
      <c r="LR532" s="15"/>
      <c r="LS532" s="15"/>
      <c r="LT532" s="15"/>
      <c r="LU532" s="15"/>
      <c r="LV532" s="15"/>
      <c r="LW532" s="15"/>
      <c r="LX532" s="15"/>
      <c r="LY532" s="15"/>
      <c r="LZ532" s="15"/>
      <c r="MA532" s="15"/>
      <c r="MB532" s="15"/>
      <c r="MC532" s="15"/>
      <c r="MD532" s="15"/>
      <c r="ME532" s="15"/>
      <c r="MF532" s="15"/>
      <c r="MG532" s="15"/>
      <c r="MH532" s="15"/>
      <c r="MI532" s="15"/>
      <c r="MJ532" s="15"/>
      <c r="MK532" s="15"/>
      <c r="ML532" s="15"/>
      <c r="MM532" s="15"/>
      <c r="MN532" s="15"/>
      <c r="MO532" s="15"/>
      <c r="MP532" s="15"/>
      <c r="MQ532" s="15"/>
      <c r="MR532" s="15"/>
      <c r="MS532" s="15"/>
      <c r="MT532" s="15"/>
      <c r="MU532" s="15"/>
      <c r="MV532" s="15"/>
      <c r="MW532" s="16"/>
      <c r="MY532" s="12"/>
      <c r="OD532" s="5"/>
    </row>
    <row r="533" spans="8:394" ht="18" customHeight="1" x14ac:dyDescent="0.2">
      <c r="H533" s="4"/>
      <c r="AX533" s="12"/>
      <c r="AY533" s="12"/>
      <c r="BO533" s="12"/>
      <c r="CD533" s="13"/>
      <c r="CE533" s="12"/>
      <c r="CT533" s="13"/>
      <c r="CU533" s="13"/>
      <c r="DW533" s="5"/>
      <c r="EQ533" s="4"/>
      <c r="GB533" s="149"/>
      <c r="GC533" s="150"/>
      <c r="GD533" s="150"/>
      <c r="GE533" s="149"/>
      <c r="GF533" s="149"/>
      <c r="GG533" s="150"/>
      <c r="GH533" s="150"/>
      <c r="GI533" s="150"/>
      <c r="GJ533" s="150"/>
      <c r="GK533" s="150"/>
      <c r="GL533" s="150"/>
      <c r="GM533" s="150"/>
      <c r="GN533" s="150"/>
      <c r="GO533" s="150"/>
      <c r="GP533" s="150"/>
      <c r="GQ533" s="150"/>
      <c r="GR533" s="150"/>
      <c r="GS533" s="150"/>
      <c r="GT533" s="150"/>
      <c r="GU533" s="150"/>
      <c r="GV533" s="150"/>
      <c r="GW533" s="150"/>
      <c r="GX533" s="150"/>
      <c r="GY533" s="150"/>
      <c r="GZ533" s="150"/>
      <c r="HA533" s="150"/>
      <c r="HB533" s="150"/>
      <c r="HC533" s="150"/>
      <c r="HD533" s="150"/>
      <c r="HE533" s="150"/>
      <c r="HF533" s="150"/>
      <c r="HG533" s="150"/>
      <c r="HH533" s="150"/>
      <c r="HI533" s="150"/>
      <c r="HJ533" s="150"/>
      <c r="HK533" s="150"/>
      <c r="HL533" s="150"/>
      <c r="HM533" s="150"/>
      <c r="HN533" s="150"/>
      <c r="HO533" s="150"/>
      <c r="HP533" s="150"/>
      <c r="HQ533" s="150"/>
      <c r="HR533" s="150"/>
      <c r="HS533" s="150"/>
      <c r="HT533" s="150"/>
      <c r="HU533" s="150"/>
      <c r="HV533" s="150"/>
      <c r="HW533" s="150"/>
      <c r="HX533" s="150"/>
      <c r="HY533" s="150"/>
      <c r="HZ533" s="150"/>
      <c r="IA533" s="151"/>
      <c r="IB533" s="151"/>
      <c r="IC533" s="150"/>
      <c r="ID533" s="150"/>
      <c r="IE533" s="151"/>
      <c r="JF533" s="5"/>
      <c r="JO533" s="4"/>
      <c r="LC533" s="13"/>
      <c r="MY533" s="12"/>
      <c r="OD533" s="5"/>
    </row>
    <row r="534" spans="8:394" ht="18" customHeight="1" x14ac:dyDescent="0.2">
      <c r="H534" s="4"/>
      <c r="AX534" s="12"/>
      <c r="AY534" s="12"/>
      <c r="BO534" s="12"/>
      <c r="CD534" s="13"/>
      <c r="CE534" s="12"/>
      <c r="CT534" s="13"/>
      <c r="CU534" s="13"/>
      <c r="DW534" s="5"/>
      <c r="EQ534" s="4"/>
      <c r="GB534" s="149"/>
      <c r="GC534" s="150"/>
      <c r="GD534" s="150"/>
      <c r="GE534" s="149"/>
      <c r="GF534" s="149"/>
      <c r="GG534" s="150"/>
      <c r="GH534" s="150"/>
      <c r="GI534" s="150"/>
      <c r="GJ534" s="150"/>
      <c r="GK534" s="150"/>
      <c r="GL534" s="150"/>
      <c r="GM534" s="150"/>
      <c r="GN534" s="150"/>
      <c r="GO534" s="150"/>
      <c r="GP534" s="150"/>
      <c r="GQ534" s="150"/>
      <c r="GR534" s="150"/>
      <c r="GS534" s="150"/>
      <c r="GT534" s="150"/>
      <c r="GU534" s="150"/>
      <c r="GV534" s="150"/>
      <c r="GW534" s="150"/>
      <c r="GX534" s="150"/>
      <c r="GY534" s="150"/>
      <c r="GZ534" s="150"/>
      <c r="HA534" s="150"/>
      <c r="HB534" s="150"/>
      <c r="HC534" s="150"/>
      <c r="HD534" s="150"/>
      <c r="HE534" s="150"/>
      <c r="HF534" s="150"/>
      <c r="HG534" s="150"/>
      <c r="HH534" s="150"/>
      <c r="HI534" s="150"/>
      <c r="HJ534" s="150"/>
      <c r="HK534" s="150"/>
      <c r="HL534" s="150"/>
      <c r="HM534" s="150"/>
      <c r="HN534" s="150"/>
      <c r="HO534" s="150"/>
      <c r="HP534" s="150"/>
      <c r="HQ534" s="150"/>
      <c r="HR534" s="150"/>
      <c r="HS534" s="150"/>
      <c r="HT534" s="150"/>
      <c r="HU534" s="150"/>
      <c r="HV534" s="150"/>
      <c r="HW534" s="150"/>
      <c r="HX534" s="150"/>
      <c r="HY534" s="150"/>
      <c r="HZ534" s="150"/>
      <c r="IA534" s="151"/>
      <c r="IB534" s="151"/>
      <c r="IC534" s="150"/>
      <c r="ID534" s="150"/>
      <c r="IE534" s="151"/>
      <c r="JF534" s="5"/>
      <c r="JO534" s="4"/>
      <c r="LD534" s="10"/>
      <c r="LE534" s="10"/>
      <c r="LF534" s="10"/>
      <c r="LG534" s="10"/>
      <c r="LH534" s="10"/>
      <c r="LI534" s="10"/>
      <c r="LJ534" s="10"/>
      <c r="LK534" s="10"/>
      <c r="LL534" s="10"/>
      <c r="LM534" s="10"/>
      <c r="LN534" s="10"/>
      <c r="LO534" s="10"/>
      <c r="LP534" s="10"/>
      <c r="LQ534" s="10"/>
      <c r="LR534" s="10"/>
      <c r="LS534" s="10"/>
      <c r="LT534" s="10"/>
      <c r="LU534" s="10"/>
      <c r="LV534" s="10"/>
      <c r="LW534" s="10"/>
      <c r="LX534" s="10"/>
      <c r="LY534" s="10"/>
      <c r="LZ534" s="10"/>
      <c r="MA534" s="10"/>
      <c r="MB534" s="10"/>
      <c r="MC534" s="10"/>
      <c r="MD534" s="10"/>
      <c r="ME534" s="10"/>
      <c r="MF534" s="10"/>
      <c r="MG534" s="10"/>
      <c r="MH534" s="10"/>
      <c r="MI534" s="10"/>
      <c r="MJ534" s="10"/>
      <c r="MK534" s="10"/>
      <c r="ML534" s="10"/>
      <c r="MM534" s="10"/>
      <c r="MN534" s="10"/>
      <c r="MO534" s="10"/>
      <c r="MP534" s="10"/>
      <c r="MQ534" s="10"/>
      <c r="MR534" s="10"/>
      <c r="MS534" s="10"/>
      <c r="MT534" s="10"/>
      <c r="MU534" s="10"/>
      <c r="MV534" s="10"/>
      <c r="MW534" s="10"/>
      <c r="MX534" s="10"/>
      <c r="OD534" s="5"/>
    </row>
    <row r="535" spans="8:394" ht="18" customHeight="1" x14ac:dyDescent="0.2">
      <c r="H535" s="4"/>
      <c r="AX535" s="12"/>
      <c r="AY535" s="14"/>
      <c r="AZ535" s="15"/>
      <c r="BA535" s="15"/>
      <c r="BB535" s="15"/>
      <c r="BC535" s="15"/>
      <c r="BD535" s="15"/>
      <c r="BE535" s="15"/>
      <c r="BF535" s="15"/>
      <c r="BG535" s="15"/>
      <c r="BH535" s="15"/>
      <c r="BI535" s="15"/>
      <c r="BJ535" s="15"/>
      <c r="BK535" s="15"/>
      <c r="BL535" s="15"/>
      <c r="BM535" s="15"/>
      <c r="BN535" s="15"/>
      <c r="BO535" s="14"/>
      <c r="BP535" s="15"/>
      <c r="BQ535" s="15"/>
      <c r="BR535" s="15"/>
      <c r="BS535" s="15"/>
      <c r="BT535" s="15"/>
      <c r="BU535" s="15"/>
      <c r="BV535" s="15"/>
      <c r="BW535" s="15"/>
      <c r="BX535" s="15"/>
      <c r="BY535" s="15"/>
      <c r="BZ535" s="15"/>
      <c r="CA535" s="15"/>
      <c r="CB535" s="15"/>
      <c r="CC535" s="15"/>
      <c r="CD535" s="16"/>
      <c r="CE535" s="14"/>
      <c r="CF535" s="15"/>
      <c r="CG535" s="15"/>
      <c r="CH535" s="15"/>
      <c r="CI535" s="15"/>
      <c r="CJ535" s="15"/>
      <c r="CK535" s="15"/>
      <c r="CL535" s="15"/>
      <c r="CM535" s="15"/>
      <c r="CN535" s="15"/>
      <c r="CO535" s="15"/>
      <c r="CP535" s="15"/>
      <c r="CQ535" s="15"/>
      <c r="CR535" s="15"/>
      <c r="CS535" s="15"/>
      <c r="CT535" s="16"/>
      <c r="CU535" s="13"/>
      <c r="DW535" s="5"/>
      <c r="EQ535" s="4"/>
      <c r="GB535" s="149"/>
      <c r="GC535" s="150"/>
      <c r="GD535" s="150"/>
      <c r="GE535" s="149"/>
      <c r="GF535" s="149"/>
      <c r="GG535" s="150"/>
      <c r="GH535" s="150"/>
      <c r="GI535" s="150"/>
      <c r="GJ535" s="150"/>
      <c r="GK535" s="150"/>
      <c r="GL535" s="150"/>
      <c r="GM535" s="150"/>
      <c r="GN535" s="150"/>
      <c r="GO535" s="150"/>
      <c r="GP535" s="150"/>
      <c r="GQ535" s="150"/>
      <c r="GR535" s="150"/>
      <c r="GS535" s="150"/>
      <c r="GT535" s="150"/>
      <c r="GU535" s="150"/>
      <c r="GV535" s="150"/>
      <c r="GW535" s="150"/>
      <c r="GX535" s="150"/>
      <c r="GY535" s="150"/>
      <c r="GZ535" s="150"/>
      <c r="HA535" s="150"/>
      <c r="HB535" s="150"/>
      <c r="HC535" s="150"/>
      <c r="HD535" s="150"/>
      <c r="HE535" s="150"/>
      <c r="HF535" s="150"/>
      <c r="HG535" s="150"/>
      <c r="HH535" s="150"/>
      <c r="HI535" s="150"/>
      <c r="HJ535" s="150"/>
      <c r="HK535" s="150"/>
      <c r="HL535" s="150"/>
      <c r="HM535" s="150"/>
      <c r="HN535" s="150"/>
      <c r="HO535" s="150"/>
      <c r="HP535" s="150"/>
      <c r="HQ535" s="150"/>
      <c r="HR535" s="150"/>
      <c r="HS535" s="150"/>
      <c r="HT535" s="150"/>
      <c r="HU535" s="150"/>
      <c r="HV535" s="150"/>
      <c r="HW535" s="150"/>
      <c r="HX535" s="150"/>
      <c r="HY535" s="150"/>
      <c r="HZ535" s="150"/>
      <c r="IA535" s="151"/>
      <c r="IB535" s="151"/>
      <c r="IC535" s="150"/>
      <c r="ID535" s="150"/>
      <c r="IE535" s="151"/>
      <c r="JF535" s="5"/>
      <c r="JO535" s="4"/>
      <c r="OD535" s="5"/>
    </row>
    <row r="536" spans="8:394" ht="18" customHeight="1" x14ac:dyDescent="0.2">
      <c r="H536" s="4"/>
      <c r="AX536" s="14"/>
      <c r="AY536" s="15"/>
      <c r="AZ536" s="15"/>
      <c r="BA536" s="15"/>
      <c r="BB536" s="15"/>
      <c r="BC536" s="15"/>
      <c r="BD536" s="15"/>
      <c r="BE536" s="15"/>
      <c r="BF536" s="15"/>
      <c r="BG536" s="15"/>
      <c r="BH536" s="15"/>
      <c r="BI536" s="15"/>
      <c r="BJ536" s="15"/>
      <c r="BK536" s="15"/>
      <c r="BL536" s="15"/>
      <c r="BM536" s="15"/>
      <c r="BN536" s="15"/>
      <c r="BO536" s="15"/>
      <c r="BP536" s="15"/>
      <c r="BQ536" s="15"/>
      <c r="BR536" s="15"/>
      <c r="BS536" s="15"/>
      <c r="BT536" s="15"/>
      <c r="BU536" s="15"/>
      <c r="BV536" s="15"/>
      <c r="BW536" s="15"/>
      <c r="BX536" s="15"/>
      <c r="BY536" s="15"/>
      <c r="BZ536" s="15"/>
      <c r="CA536" s="15"/>
      <c r="CB536" s="15"/>
      <c r="CC536" s="15"/>
      <c r="CD536" s="15"/>
      <c r="CE536" s="15"/>
      <c r="CF536" s="15"/>
      <c r="CG536" s="15"/>
      <c r="CH536" s="15"/>
      <c r="CI536" s="15"/>
      <c r="CJ536" s="15"/>
      <c r="CK536" s="15"/>
      <c r="CL536" s="15"/>
      <c r="CM536" s="15"/>
      <c r="CN536" s="15"/>
      <c r="CO536" s="15"/>
      <c r="CP536" s="15"/>
      <c r="CQ536" s="15"/>
      <c r="CR536" s="15"/>
      <c r="CS536" s="15"/>
      <c r="CT536" s="15"/>
      <c r="CU536" s="16"/>
      <c r="DW536" s="5"/>
      <c r="EQ536" s="4"/>
      <c r="GB536" s="149"/>
      <c r="GC536" s="150"/>
      <c r="GD536" s="150"/>
      <c r="GE536" s="149"/>
      <c r="GF536" s="149"/>
      <c r="GG536" s="150"/>
      <c r="GH536" s="150"/>
      <c r="GI536" s="150"/>
      <c r="GJ536" s="150"/>
      <c r="GK536" s="150"/>
      <c r="GL536" s="150"/>
      <c r="GM536" s="150"/>
      <c r="GN536" s="150"/>
      <c r="GO536" s="150"/>
      <c r="GP536" s="150"/>
      <c r="GQ536" s="150"/>
      <c r="GR536" s="150"/>
      <c r="GS536" s="150"/>
      <c r="GT536" s="150"/>
      <c r="GU536" s="150"/>
      <c r="GV536" s="150"/>
      <c r="GW536" s="150"/>
      <c r="GX536" s="150"/>
      <c r="GY536" s="150"/>
      <c r="GZ536" s="150"/>
      <c r="HA536" s="150"/>
      <c r="HB536" s="150"/>
      <c r="HC536" s="150"/>
      <c r="HD536" s="150"/>
      <c r="HE536" s="150"/>
      <c r="HF536" s="150"/>
      <c r="HG536" s="150"/>
      <c r="HH536" s="150"/>
      <c r="HI536" s="150"/>
      <c r="HJ536" s="150"/>
      <c r="HK536" s="150"/>
      <c r="HL536" s="150"/>
      <c r="HM536" s="150"/>
      <c r="HN536" s="150"/>
      <c r="HO536" s="150"/>
      <c r="HP536" s="150"/>
      <c r="HQ536" s="150"/>
      <c r="HR536" s="150"/>
      <c r="HS536" s="150"/>
      <c r="HT536" s="150"/>
      <c r="HU536" s="150"/>
      <c r="HV536" s="150"/>
      <c r="HW536" s="150"/>
      <c r="HX536" s="150"/>
      <c r="HY536" s="150"/>
      <c r="HZ536" s="150"/>
      <c r="IA536" s="151"/>
      <c r="IB536" s="151"/>
      <c r="IC536" s="150"/>
      <c r="ID536" s="150"/>
      <c r="IE536" s="151"/>
      <c r="JF536" s="5"/>
      <c r="JO536" s="4"/>
      <c r="OD536" s="5"/>
    </row>
    <row r="537" spans="8:394" ht="18" customHeight="1" x14ac:dyDescent="0.2">
      <c r="H537" s="4"/>
      <c r="DW537" s="5"/>
      <c r="EQ537" s="4"/>
      <c r="GB537" s="149"/>
      <c r="GC537" s="150"/>
      <c r="GD537" s="150"/>
      <c r="GE537" s="149"/>
      <c r="GF537" s="149"/>
      <c r="GG537" s="150"/>
      <c r="GH537" s="150"/>
      <c r="GI537" s="150"/>
      <c r="GJ537" s="150"/>
      <c r="GK537" s="150"/>
      <c r="GL537" s="150"/>
      <c r="GM537" s="150"/>
      <c r="GN537" s="150"/>
      <c r="GO537" s="150"/>
      <c r="GP537" s="150"/>
      <c r="GQ537" s="150"/>
      <c r="GR537" s="150"/>
      <c r="GS537" s="150"/>
      <c r="GT537" s="150"/>
      <c r="GU537" s="150"/>
      <c r="GV537" s="150"/>
      <c r="GW537" s="150"/>
      <c r="GX537" s="150"/>
      <c r="GY537" s="150"/>
      <c r="GZ537" s="150"/>
      <c r="HA537" s="150"/>
      <c r="HB537" s="150"/>
      <c r="HC537" s="150"/>
      <c r="HD537" s="150"/>
      <c r="HE537" s="150"/>
      <c r="HF537" s="150"/>
      <c r="HG537" s="150"/>
      <c r="HH537" s="150"/>
      <c r="HI537" s="150"/>
      <c r="HJ537" s="150"/>
      <c r="HK537" s="150"/>
      <c r="HL537" s="150"/>
      <c r="HM537" s="150"/>
      <c r="HN537" s="150"/>
      <c r="HO537" s="150"/>
      <c r="HP537" s="150"/>
      <c r="HQ537" s="150"/>
      <c r="HR537" s="150"/>
      <c r="HS537" s="150"/>
      <c r="HT537" s="150"/>
      <c r="HU537" s="150"/>
      <c r="HV537" s="150"/>
      <c r="HW537" s="150"/>
      <c r="HX537" s="150"/>
      <c r="HY537" s="150"/>
      <c r="HZ537" s="150"/>
      <c r="IA537" s="151"/>
      <c r="IB537" s="151"/>
      <c r="IC537" s="150"/>
      <c r="ID537" s="150"/>
      <c r="IE537" s="151"/>
      <c r="JF537" s="5"/>
      <c r="JO537" s="4"/>
      <c r="OD537" s="5"/>
    </row>
    <row r="538" spans="8:394" ht="18" customHeight="1" x14ac:dyDescent="0.2">
      <c r="H538" s="4"/>
      <c r="DW538" s="5"/>
      <c r="EQ538" s="4"/>
      <c r="GB538" s="149"/>
      <c r="GC538" s="150"/>
      <c r="GD538" s="150"/>
      <c r="GE538" s="149"/>
      <c r="GF538" s="149"/>
      <c r="GG538" s="146"/>
      <c r="GH538" s="148"/>
      <c r="GI538" s="150"/>
      <c r="GJ538" s="150"/>
      <c r="GK538" s="150"/>
      <c r="GL538" s="150"/>
      <c r="GM538" s="150"/>
      <c r="GN538" s="150"/>
      <c r="GO538" s="150"/>
      <c r="GP538" s="150"/>
      <c r="GQ538" s="150"/>
      <c r="GR538" s="150"/>
      <c r="GS538" s="150"/>
      <c r="GT538" s="150"/>
      <c r="GU538" s="150"/>
      <c r="GV538" s="150"/>
      <c r="GW538" s="150"/>
      <c r="GX538" s="150"/>
      <c r="GY538" s="150"/>
      <c r="GZ538" s="150"/>
      <c r="HA538" s="150"/>
      <c r="HB538" s="150"/>
      <c r="HC538" s="146"/>
      <c r="HD538" s="148"/>
      <c r="HE538" s="150"/>
      <c r="HF538" s="150"/>
      <c r="HG538" s="150"/>
      <c r="HH538" s="150"/>
      <c r="HI538" s="150"/>
      <c r="HJ538" s="150"/>
      <c r="HK538" s="150"/>
      <c r="HL538" s="150"/>
      <c r="HM538" s="150"/>
      <c r="HN538" s="150"/>
      <c r="HO538" s="150"/>
      <c r="HP538" s="150"/>
      <c r="HQ538" s="150"/>
      <c r="HR538" s="150"/>
      <c r="HS538" s="150"/>
      <c r="HT538" s="150"/>
      <c r="HU538" s="150"/>
      <c r="HV538" s="150"/>
      <c r="HW538" s="150"/>
      <c r="HX538" s="150"/>
      <c r="HY538" s="146"/>
      <c r="HZ538" s="148"/>
      <c r="IA538" s="151"/>
      <c r="IB538" s="151"/>
      <c r="IC538" s="150"/>
      <c r="ID538" s="150"/>
      <c r="IE538" s="151"/>
      <c r="JF538" s="5"/>
      <c r="JO538" s="4"/>
      <c r="OD538" s="5"/>
    </row>
    <row r="539" spans="8:394" ht="18" customHeight="1" x14ac:dyDescent="0.2">
      <c r="H539" s="4"/>
      <c r="DW539" s="5"/>
      <c r="EQ539" s="4"/>
      <c r="GB539" s="149"/>
      <c r="GC539" s="150"/>
      <c r="GD539" s="150"/>
      <c r="GE539" s="149"/>
      <c r="GF539" s="149"/>
      <c r="GG539" s="152"/>
      <c r="GH539" s="154"/>
      <c r="GI539" s="150"/>
      <c r="GJ539" s="150"/>
      <c r="GK539" s="150"/>
      <c r="GL539" s="150"/>
      <c r="GM539" s="150"/>
      <c r="GN539" s="150"/>
      <c r="GO539" s="150"/>
      <c r="GP539" s="150"/>
      <c r="GQ539" s="150"/>
      <c r="GR539" s="150"/>
      <c r="GS539" s="150"/>
      <c r="GT539" s="150"/>
      <c r="GU539" s="150"/>
      <c r="GV539" s="150"/>
      <c r="GW539" s="150"/>
      <c r="GX539" s="150"/>
      <c r="GY539" s="150"/>
      <c r="GZ539" s="150"/>
      <c r="HA539" s="150"/>
      <c r="HB539" s="150"/>
      <c r="HC539" s="152"/>
      <c r="HD539" s="154"/>
      <c r="HE539" s="150"/>
      <c r="HF539" s="150"/>
      <c r="HG539" s="150"/>
      <c r="HH539" s="150"/>
      <c r="HI539" s="150"/>
      <c r="HJ539" s="150"/>
      <c r="HK539" s="150"/>
      <c r="HL539" s="150"/>
      <c r="HM539" s="150"/>
      <c r="HN539" s="150"/>
      <c r="HO539" s="150"/>
      <c r="HP539" s="150"/>
      <c r="HQ539" s="150"/>
      <c r="HR539" s="150"/>
      <c r="HS539" s="150"/>
      <c r="HT539" s="150"/>
      <c r="HU539" s="150"/>
      <c r="HV539" s="150"/>
      <c r="HW539" s="150"/>
      <c r="HX539" s="150"/>
      <c r="HY539" s="152"/>
      <c r="HZ539" s="154"/>
      <c r="IA539" s="151"/>
      <c r="IB539" s="151"/>
      <c r="IC539" s="150"/>
      <c r="ID539" s="150"/>
      <c r="IE539" s="151"/>
      <c r="JF539" s="5"/>
      <c r="JO539" s="4"/>
      <c r="OD539" s="5"/>
    </row>
    <row r="540" spans="8:394" ht="18" customHeight="1" x14ac:dyDescent="0.2">
      <c r="H540" s="4"/>
      <c r="DW540" s="5"/>
      <c r="EQ540" s="4"/>
      <c r="GB540" s="149"/>
      <c r="GC540" s="150"/>
      <c r="GD540" s="150"/>
      <c r="GE540" s="149"/>
      <c r="GF540" s="152"/>
      <c r="GG540" s="153"/>
      <c r="GH540" s="153"/>
      <c r="GI540" s="153"/>
      <c r="GJ540" s="153"/>
      <c r="GK540" s="153"/>
      <c r="GL540" s="153"/>
      <c r="GM540" s="153"/>
      <c r="GN540" s="153"/>
      <c r="GO540" s="153"/>
      <c r="GP540" s="153"/>
      <c r="GQ540" s="153"/>
      <c r="GR540" s="153"/>
      <c r="GS540" s="153"/>
      <c r="GT540" s="153"/>
      <c r="GU540" s="153"/>
      <c r="GV540" s="153"/>
      <c r="GW540" s="153"/>
      <c r="GX540" s="153"/>
      <c r="GY540" s="153"/>
      <c r="GZ540" s="153"/>
      <c r="HA540" s="153"/>
      <c r="HB540" s="153"/>
      <c r="HC540" s="153"/>
      <c r="HD540" s="153"/>
      <c r="HE540" s="153"/>
      <c r="HF540" s="153"/>
      <c r="HG540" s="153"/>
      <c r="HH540" s="153"/>
      <c r="HI540" s="153"/>
      <c r="HJ540" s="153"/>
      <c r="HK540" s="153"/>
      <c r="HL540" s="153"/>
      <c r="HM540" s="153"/>
      <c r="HN540" s="153"/>
      <c r="HO540" s="153"/>
      <c r="HP540" s="153"/>
      <c r="HQ540" s="153"/>
      <c r="HR540" s="153"/>
      <c r="HS540" s="153"/>
      <c r="HT540" s="153"/>
      <c r="HU540" s="153"/>
      <c r="HV540" s="153"/>
      <c r="HW540" s="153"/>
      <c r="HX540" s="153"/>
      <c r="HY540" s="153"/>
      <c r="HZ540" s="153"/>
      <c r="IA540" s="154"/>
      <c r="IB540" s="151"/>
      <c r="IC540" s="150"/>
      <c r="ID540" s="150"/>
      <c r="IE540" s="151"/>
      <c r="JF540" s="5"/>
      <c r="JO540" s="4"/>
      <c r="OD540" s="5"/>
    </row>
    <row r="541" spans="8:394" ht="18" customHeight="1" x14ac:dyDescent="0.2">
      <c r="H541" s="4"/>
      <c r="DW541" s="5"/>
      <c r="EQ541" s="4"/>
      <c r="GB541" s="149"/>
      <c r="GC541" s="150"/>
      <c r="GD541" s="150"/>
      <c r="GE541" s="152"/>
      <c r="GF541" s="153"/>
      <c r="GG541" s="153"/>
      <c r="GH541" s="153"/>
      <c r="GI541" s="153"/>
      <c r="GJ541" s="153"/>
      <c r="GK541" s="153"/>
      <c r="GL541" s="153"/>
      <c r="GM541" s="153"/>
      <c r="GN541" s="153"/>
      <c r="GO541" s="153"/>
      <c r="GP541" s="153"/>
      <c r="GQ541" s="153"/>
      <c r="GR541" s="153"/>
      <c r="GS541" s="153"/>
      <c r="GT541" s="153"/>
      <c r="GU541" s="153"/>
      <c r="GV541" s="153"/>
      <c r="GW541" s="153"/>
      <c r="GX541" s="153"/>
      <c r="GY541" s="153"/>
      <c r="GZ541" s="153"/>
      <c r="HA541" s="153"/>
      <c r="HB541" s="153"/>
      <c r="HC541" s="153"/>
      <c r="HD541" s="153"/>
      <c r="HE541" s="153"/>
      <c r="HF541" s="153"/>
      <c r="HG541" s="153"/>
      <c r="HH541" s="153"/>
      <c r="HI541" s="153"/>
      <c r="HJ541" s="153"/>
      <c r="HK541" s="153"/>
      <c r="HL541" s="153"/>
      <c r="HM541" s="153"/>
      <c r="HN541" s="153"/>
      <c r="HO541" s="153"/>
      <c r="HP541" s="153"/>
      <c r="HQ541" s="153"/>
      <c r="HR541" s="153"/>
      <c r="HS541" s="153"/>
      <c r="HT541" s="153"/>
      <c r="HU541" s="153"/>
      <c r="HV541" s="153"/>
      <c r="HW541" s="153"/>
      <c r="HX541" s="153"/>
      <c r="HY541" s="153"/>
      <c r="HZ541" s="153"/>
      <c r="IA541" s="153"/>
      <c r="IB541" s="154"/>
      <c r="IC541" s="150"/>
      <c r="ID541" s="150"/>
      <c r="IE541" s="151"/>
      <c r="JF541" s="5"/>
      <c r="JO541" s="4"/>
      <c r="OD541" s="5"/>
    </row>
    <row r="542" spans="8:394" ht="18" customHeight="1" x14ac:dyDescent="0.2">
      <c r="H542" s="4"/>
      <c r="DW542" s="5"/>
      <c r="EQ542" s="4"/>
      <c r="GB542" s="149"/>
      <c r="GC542" s="150"/>
      <c r="GD542" s="150"/>
      <c r="GE542" s="150"/>
      <c r="GF542" s="150"/>
      <c r="GG542" s="150"/>
      <c r="GH542" s="150"/>
      <c r="GI542" s="150"/>
      <c r="GJ542" s="150"/>
      <c r="GK542" s="150"/>
      <c r="GL542" s="150"/>
      <c r="GM542" s="150"/>
      <c r="GN542" s="150"/>
      <c r="GO542" s="150"/>
      <c r="GP542" s="150"/>
      <c r="GQ542" s="150"/>
      <c r="GR542" s="150"/>
      <c r="GS542" s="150"/>
      <c r="GT542" s="150"/>
      <c r="GU542" s="150"/>
      <c r="GV542" s="150"/>
      <c r="GW542" s="150"/>
      <c r="GX542" s="150"/>
      <c r="GY542" s="150"/>
      <c r="GZ542" s="150"/>
      <c r="HA542" s="150"/>
      <c r="HB542" s="150"/>
      <c r="HC542" s="150"/>
      <c r="HD542" s="150"/>
      <c r="HE542" s="150"/>
      <c r="HF542" s="150"/>
      <c r="HG542" s="150"/>
      <c r="HH542" s="150"/>
      <c r="HI542" s="150"/>
      <c r="HJ542" s="150"/>
      <c r="HK542" s="150"/>
      <c r="HL542" s="150"/>
      <c r="HM542" s="150"/>
      <c r="HN542" s="150"/>
      <c r="HO542" s="150"/>
      <c r="HP542" s="150"/>
      <c r="HQ542" s="150"/>
      <c r="HR542" s="150"/>
      <c r="HS542" s="150"/>
      <c r="HT542" s="150"/>
      <c r="HU542" s="150"/>
      <c r="HV542" s="150"/>
      <c r="HW542" s="150"/>
      <c r="HX542" s="150"/>
      <c r="HY542" s="150"/>
      <c r="HZ542" s="150"/>
      <c r="IA542" s="150"/>
      <c r="IB542" s="150"/>
      <c r="IC542" s="150"/>
      <c r="ID542" s="150"/>
      <c r="IE542" s="151"/>
      <c r="JF542" s="5"/>
      <c r="JO542" s="4"/>
      <c r="OD542" s="5"/>
    </row>
    <row r="543" spans="8:394" ht="18" customHeight="1" x14ac:dyDescent="0.2">
      <c r="H543" s="4"/>
      <c r="DW543" s="5"/>
      <c r="EQ543" s="4"/>
      <c r="GB543" s="149"/>
      <c r="GC543" s="150"/>
      <c r="GD543" s="150"/>
      <c r="GE543" s="150"/>
      <c r="GF543" s="150"/>
      <c r="GG543" s="150"/>
      <c r="GH543" s="150"/>
      <c r="GI543" s="150"/>
      <c r="GJ543" s="150"/>
      <c r="GK543" s="150"/>
      <c r="GL543" s="150"/>
      <c r="GM543" s="150"/>
      <c r="GN543" s="150"/>
      <c r="GO543" s="150"/>
      <c r="GP543" s="150"/>
      <c r="GQ543" s="150"/>
      <c r="GR543" s="150"/>
      <c r="GS543" s="150"/>
      <c r="GT543" s="150"/>
      <c r="GU543" s="150"/>
      <c r="GV543" s="150"/>
      <c r="GW543" s="150"/>
      <c r="GX543" s="150"/>
      <c r="GY543" s="150"/>
      <c r="GZ543" s="150"/>
      <c r="HA543" s="150"/>
      <c r="HB543" s="150"/>
      <c r="HC543" s="150"/>
      <c r="HD543" s="150"/>
      <c r="HE543" s="150"/>
      <c r="HF543" s="150"/>
      <c r="HG543" s="150"/>
      <c r="HH543" s="150"/>
      <c r="HI543" s="150"/>
      <c r="HJ543" s="150"/>
      <c r="HK543" s="150"/>
      <c r="HL543" s="150"/>
      <c r="HM543" s="150"/>
      <c r="HN543" s="150"/>
      <c r="HO543" s="150"/>
      <c r="HP543" s="150"/>
      <c r="HQ543" s="150"/>
      <c r="HR543" s="150"/>
      <c r="HS543" s="150"/>
      <c r="HT543" s="150"/>
      <c r="HU543" s="150"/>
      <c r="HV543" s="150"/>
      <c r="HW543" s="150"/>
      <c r="HX543" s="150"/>
      <c r="HY543" s="150"/>
      <c r="HZ543" s="150"/>
      <c r="IA543" s="150"/>
      <c r="IB543" s="150"/>
      <c r="IC543" s="150"/>
      <c r="ID543" s="150"/>
      <c r="IE543" s="151"/>
      <c r="JF543" s="5"/>
      <c r="JO543" s="4"/>
      <c r="OD543" s="5"/>
    </row>
    <row r="544" spans="8:394" ht="18" customHeight="1" x14ac:dyDescent="0.2">
      <c r="H544" s="4"/>
      <c r="DW544" s="5"/>
      <c r="EQ544" s="4"/>
      <c r="GB544" s="152"/>
      <c r="GC544" s="153"/>
      <c r="GD544" s="153"/>
      <c r="GE544" s="153"/>
      <c r="GF544" s="153"/>
      <c r="GG544" s="153"/>
      <c r="GH544" s="153"/>
      <c r="GI544" s="153"/>
      <c r="GJ544" s="153"/>
      <c r="GK544" s="153"/>
      <c r="GL544" s="153"/>
      <c r="GM544" s="153"/>
      <c r="GN544" s="153"/>
      <c r="GO544" s="153"/>
      <c r="GP544" s="153"/>
      <c r="GQ544" s="153"/>
      <c r="GR544" s="153"/>
      <c r="GS544" s="153"/>
      <c r="GT544" s="153"/>
      <c r="GU544" s="153"/>
      <c r="GV544" s="153"/>
      <c r="GW544" s="153"/>
      <c r="GX544" s="153"/>
      <c r="GY544" s="153"/>
      <c r="GZ544" s="153"/>
      <c r="HA544" s="153"/>
      <c r="HB544" s="153"/>
      <c r="HC544" s="153"/>
      <c r="HD544" s="153"/>
      <c r="HE544" s="153"/>
      <c r="HF544" s="153"/>
      <c r="HG544" s="153"/>
      <c r="HH544" s="153"/>
      <c r="HI544" s="153"/>
      <c r="HJ544" s="153"/>
      <c r="HK544" s="153"/>
      <c r="HL544" s="153"/>
      <c r="HM544" s="153"/>
      <c r="HN544" s="153"/>
      <c r="HO544" s="153"/>
      <c r="HP544" s="153"/>
      <c r="HQ544" s="153"/>
      <c r="HR544" s="153"/>
      <c r="HS544" s="153"/>
      <c r="HT544" s="153"/>
      <c r="HU544" s="153"/>
      <c r="HV544" s="153"/>
      <c r="HW544" s="153"/>
      <c r="HX544" s="153"/>
      <c r="HY544" s="153"/>
      <c r="HZ544" s="153"/>
      <c r="IA544" s="153"/>
      <c r="IB544" s="153"/>
      <c r="IC544" s="153"/>
      <c r="ID544" s="153"/>
      <c r="IE544" s="154"/>
      <c r="JF544" s="5"/>
      <c r="JO544" s="4"/>
      <c r="OD544" s="5"/>
    </row>
    <row r="545" spans="8:394" ht="18" customHeight="1" x14ac:dyDescent="0.2">
      <c r="H545" s="4"/>
      <c r="DW545" s="5"/>
      <c r="EQ545" s="4"/>
      <c r="JF545" s="5"/>
      <c r="JO545" s="4"/>
      <c r="OD545" s="5"/>
    </row>
    <row r="546" spans="8:394" ht="18" customHeight="1" x14ac:dyDescent="0.2">
      <c r="H546" s="4"/>
      <c r="DW546" s="5"/>
      <c r="EQ546" s="4"/>
      <c r="JF546" s="5"/>
      <c r="JO546" s="4"/>
      <c r="OD546" s="5"/>
    </row>
    <row r="547" spans="8:394" ht="18" customHeight="1" x14ac:dyDescent="0.2">
      <c r="H547" s="4"/>
      <c r="DW547" s="5"/>
      <c r="EQ547" s="4"/>
      <c r="JF547" s="5"/>
      <c r="JO547" s="4"/>
      <c r="OD547" s="5"/>
    </row>
    <row r="548" spans="8:394" ht="18" customHeight="1" x14ac:dyDescent="0.2">
      <c r="H548" s="4"/>
      <c r="DW548" s="5"/>
      <c r="EQ548" s="4"/>
      <c r="JF548" s="5"/>
      <c r="JO548" s="4"/>
      <c r="OD548" s="5"/>
    </row>
    <row r="549" spans="8:394" ht="18" customHeight="1" thickBot="1" x14ac:dyDescent="0.25">
      <c r="H549" s="6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/>
      <c r="CA549" s="7"/>
      <c r="CB549" s="7"/>
      <c r="CC549" s="7"/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/>
      <c r="CQ549" s="7"/>
      <c r="CR549" s="7"/>
      <c r="CS549" s="7"/>
      <c r="CT549" s="7"/>
      <c r="CU549" s="7"/>
      <c r="CV549" s="7"/>
      <c r="CW549" s="7"/>
      <c r="CX549" s="7"/>
      <c r="CY549" s="7"/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8"/>
      <c r="EQ549" s="4"/>
      <c r="JF549" s="5"/>
      <c r="JO549" s="4"/>
      <c r="OD549" s="5"/>
    </row>
    <row r="550" spans="8:394" ht="18" customHeight="1" thickBot="1" x14ac:dyDescent="0.25">
      <c r="EQ550" s="6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/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7"/>
      <c r="IZ550" s="7"/>
      <c r="JA550" s="7"/>
      <c r="JB550" s="7"/>
      <c r="JC550" s="7"/>
      <c r="JD550" s="7"/>
      <c r="JE550" s="7"/>
      <c r="JF550" s="8"/>
      <c r="JO550" s="6"/>
      <c r="JP550" s="7"/>
      <c r="JQ550" s="7"/>
      <c r="JR550" s="7"/>
      <c r="JS550" s="7"/>
      <c r="JT550" s="7"/>
      <c r="JU550" s="7"/>
      <c r="JV550" s="7"/>
      <c r="JW550" s="7"/>
      <c r="JX550" s="7"/>
      <c r="JY550" s="7"/>
      <c r="JZ550" s="7"/>
      <c r="KA550" s="7"/>
      <c r="KB550" s="7"/>
      <c r="KC550" s="7"/>
      <c r="KD550" s="7"/>
      <c r="KE550" s="7"/>
      <c r="KF550" s="7"/>
      <c r="KG550" s="7"/>
      <c r="KH550" s="7"/>
      <c r="KI550" s="7"/>
      <c r="KJ550" s="7"/>
      <c r="KK550" s="7"/>
      <c r="KL550" s="7"/>
      <c r="KM550" s="7"/>
      <c r="KN550" s="7"/>
      <c r="KO550" s="7"/>
      <c r="KP550" s="7"/>
      <c r="KQ550" s="7"/>
      <c r="KR550" s="7"/>
      <c r="KS550" s="7"/>
      <c r="KT550" s="7"/>
      <c r="KU550" s="7"/>
      <c r="KV550" s="7"/>
      <c r="KW550" s="7"/>
      <c r="KX550" s="7"/>
      <c r="KY550" s="7"/>
      <c r="KZ550" s="7"/>
      <c r="LA550" s="7"/>
      <c r="LB550" s="7"/>
      <c r="LC550" s="7"/>
      <c r="LD550" s="7"/>
      <c r="LE550" s="7"/>
      <c r="LF550" s="7"/>
      <c r="LG550" s="7"/>
      <c r="LH550" s="7"/>
      <c r="LI550" s="7"/>
      <c r="LJ550" s="7"/>
      <c r="LK550" s="7"/>
      <c r="LL550" s="7"/>
      <c r="LM550" s="7"/>
      <c r="LN550" s="7"/>
      <c r="LO550" s="7"/>
      <c r="LP550" s="7"/>
      <c r="LQ550" s="7"/>
      <c r="LR550" s="7"/>
      <c r="LS550" s="7"/>
      <c r="LT550" s="7"/>
      <c r="LU550" s="7"/>
      <c r="LV550" s="7"/>
      <c r="LW550" s="7"/>
      <c r="LX550" s="7"/>
      <c r="LY550" s="7"/>
      <c r="LZ550" s="7"/>
      <c r="MA550" s="7"/>
      <c r="MB550" s="7"/>
      <c r="MC550" s="7"/>
      <c r="MD550" s="7"/>
      <c r="ME550" s="7"/>
      <c r="MF550" s="7"/>
      <c r="MG550" s="7"/>
      <c r="MH550" s="7"/>
      <c r="MI550" s="7"/>
      <c r="MJ550" s="7"/>
      <c r="MK550" s="7"/>
      <c r="ML550" s="7"/>
      <c r="MM550" s="7"/>
      <c r="MN550" s="7"/>
      <c r="MO550" s="7"/>
      <c r="MP550" s="7"/>
      <c r="MQ550" s="7"/>
      <c r="MR550" s="7"/>
      <c r="MS550" s="7"/>
      <c r="MT550" s="7"/>
      <c r="MU550" s="7"/>
      <c r="MV550" s="7"/>
      <c r="MW550" s="7"/>
      <c r="MX550" s="7"/>
      <c r="MY550" s="7"/>
      <c r="MZ550" s="7"/>
      <c r="NA550" s="7"/>
      <c r="NB550" s="7"/>
      <c r="NC550" s="7"/>
      <c r="ND550" s="7"/>
      <c r="NE550" s="7"/>
      <c r="NF550" s="7"/>
      <c r="NG550" s="7"/>
      <c r="NH550" s="7"/>
      <c r="NI550" s="7"/>
      <c r="NJ550" s="7"/>
      <c r="NK550" s="7"/>
      <c r="NL550" s="7"/>
      <c r="NM550" s="7"/>
      <c r="NN550" s="7"/>
      <c r="NO550" s="7"/>
      <c r="NP550" s="7"/>
      <c r="NQ550" s="7"/>
      <c r="NR550" s="7"/>
      <c r="NS550" s="7"/>
      <c r="NT550" s="7"/>
      <c r="NU550" s="7"/>
      <c r="NV550" s="7"/>
      <c r="NW550" s="7"/>
      <c r="NX550" s="7"/>
      <c r="NY550" s="7"/>
      <c r="NZ550" s="7"/>
      <c r="OA550" s="7"/>
      <c r="OB550" s="7"/>
      <c r="OC550" s="7"/>
      <c r="OD550" s="8"/>
    </row>
    <row r="555" spans="8:394" ht="18" customHeight="1" thickBot="1" x14ac:dyDescent="0.25"/>
    <row r="556" spans="8:394" ht="18" customHeight="1" x14ac:dyDescent="0.2">
      <c r="H556" s="1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3"/>
    </row>
    <row r="557" spans="8:394" ht="18" customHeight="1" x14ac:dyDescent="0.2">
      <c r="H557" s="4"/>
      <c r="DW557" s="5"/>
      <c r="FC557" s="17"/>
      <c r="HL557" s="17"/>
    </row>
    <row r="558" spans="8:394" ht="18" customHeight="1" x14ac:dyDescent="0.2">
      <c r="H558" s="4"/>
      <c r="DW558" s="5"/>
      <c r="FC558" s="18"/>
      <c r="HL558" s="18"/>
    </row>
    <row r="559" spans="8:394" ht="18" customHeight="1" x14ac:dyDescent="0.2">
      <c r="H559" s="4"/>
      <c r="DW559" s="5"/>
      <c r="FC559" s="18"/>
      <c r="HL559" s="18"/>
    </row>
    <row r="560" spans="8:394" ht="18" customHeight="1" x14ac:dyDescent="0.2">
      <c r="H560" s="4"/>
      <c r="DW560" s="5"/>
      <c r="FC560" s="18"/>
      <c r="HL560" s="18"/>
    </row>
    <row r="561" spans="8:221" ht="18" customHeight="1" x14ac:dyDescent="0.2">
      <c r="H561" s="4"/>
      <c r="DW561" s="5"/>
      <c r="FC561" s="18"/>
      <c r="HL561" s="18"/>
    </row>
    <row r="562" spans="8:221" ht="18" customHeight="1" x14ac:dyDescent="0.2">
      <c r="H562" s="4"/>
      <c r="DW562" s="5"/>
      <c r="FC562" s="18"/>
      <c r="HL562" s="18"/>
    </row>
    <row r="563" spans="8:221" ht="18" customHeight="1" x14ac:dyDescent="0.2">
      <c r="H563" s="4"/>
      <c r="DW563" s="5"/>
      <c r="FB563" s="9"/>
      <c r="FC563" s="10"/>
      <c r="FD563" s="10"/>
      <c r="FE563" s="10"/>
      <c r="FF563" s="10"/>
      <c r="FG563" s="10"/>
      <c r="FH563" s="10"/>
      <c r="FI563" s="10"/>
      <c r="FJ563" s="10"/>
      <c r="FK563" s="10"/>
      <c r="FL563" s="10"/>
      <c r="FM563" s="10"/>
      <c r="FN563" s="10"/>
      <c r="FO563" s="10"/>
      <c r="FP563" s="10"/>
      <c r="FQ563" s="10"/>
      <c r="FR563" s="10"/>
      <c r="FS563" s="10"/>
      <c r="FT563" s="10"/>
      <c r="FU563" s="10"/>
      <c r="FV563" s="10"/>
      <c r="FW563" s="10"/>
      <c r="FX563" s="10"/>
      <c r="FY563" s="10"/>
      <c r="FZ563" s="10"/>
      <c r="GA563" s="10"/>
      <c r="GB563" s="10"/>
      <c r="GC563" s="10"/>
      <c r="GD563" s="10"/>
      <c r="GE563" s="10"/>
      <c r="GF563" s="10"/>
      <c r="GG563" s="10"/>
      <c r="GH563" s="10"/>
      <c r="GI563" s="10"/>
      <c r="GJ563" s="10"/>
      <c r="GK563" s="10"/>
      <c r="GL563" s="10"/>
      <c r="GM563" s="10"/>
      <c r="GN563" s="10"/>
      <c r="GO563" s="10"/>
      <c r="GP563" s="10"/>
      <c r="GQ563" s="10"/>
      <c r="GR563" s="10"/>
      <c r="GS563" s="10"/>
      <c r="GT563" s="10"/>
      <c r="GU563" s="10"/>
      <c r="GV563" s="10"/>
      <c r="GW563" s="10"/>
      <c r="GX563" s="10"/>
      <c r="GY563" s="10"/>
      <c r="GZ563" s="10"/>
      <c r="HA563" s="10"/>
      <c r="HB563" s="10"/>
      <c r="HC563" s="10"/>
      <c r="HD563" s="10"/>
      <c r="HE563" s="10"/>
      <c r="HF563" s="10"/>
      <c r="HG563" s="10"/>
      <c r="HH563" s="10"/>
      <c r="HI563" s="10"/>
      <c r="HJ563" s="10"/>
      <c r="HK563" s="10"/>
      <c r="HL563" s="10"/>
      <c r="HM563" s="11"/>
    </row>
    <row r="564" spans="8:221" ht="18" customHeight="1" x14ac:dyDescent="0.2">
      <c r="H564" s="4"/>
      <c r="DW564" s="5"/>
      <c r="FB564" s="14"/>
      <c r="FC564" s="15"/>
      <c r="FD564" s="15"/>
      <c r="FE564" s="15"/>
      <c r="FF564" s="15"/>
      <c r="FG564" s="15"/>
      <c r="FH564" s="15"/>
      <c r="FI564" s="15"/>
      <c r="FJ564" s="15"/>
      <c r="FK564" s="15"/>
      <c r="FL564" s="15"/>
      <c r="FM564" s="15"/>
      <c r="FN564" s="15"/>
      <c r="FO564" s="15"/>
      <c r="FP564" s="15"/>
      <c r="FQ564" s="15"/>
      <c r="FR564" s="15"/>
      <c r="FS564" s="15"/>
      <c r="FT564" s="15"/>
      <c r="FU564" s="15"/>
      <c r="FV564" s="15"/>
      <c r="FW564" s="15"/>
      <c r="FX564" s="15"/>
      <c r="FY564" s="15"/>
      <c r="FZ564" s="15"/>
      <c r="GA564" s="15"/>
      <c r="GB564" s="15"/>
      <c r="GC564" s="15"/>
      <c r="GD564" s="15"/>
      <c r="GE564" s="15"/>
      <c r="GF564" s="15"/>
      <c r="GG564" s="15"/>
      <c r="GH564" s="15"/>
      <c r="GI564" s="15"/>
      <c r="GJ564" s="15"/>
      <c r="GK564" s="15"/>
      <c r="GL564" s="15"/>
      <c r="GM564" s="15"/>
      <c r="GN564" s="15"/>
      <c r="GO564" s="15"/>
      <c r="GP564" s="15"/>
      <c r="GQ564" s="15"/>
      <c r="GR564" s="15"/>
      <c r="GS564" s="15"/>
      <c r="GT564" s="15"/>
      <c r="GU564" s="15"/>
      <c r="GV564" s="15"/>
      <c r="GW564" s="15"/>
      <c r="GX564" s="15"/>
      <c r="GY564" s="15"/>
      <c r="GZ564" s="15"/>
      <c r="HA564" s="15"/>
      <c r="HB564" s="15"/>
      <c r="HC564" s="15"/>
      <c r="HD564" s="15"/>
      <c r="HE564" s="15"/>
      <c r="HF564" s="15"/>
      <c r="HG564" s="15"/>
      <c r="HH564" s="15"/>
      <c r="HI564" s="15"/>
      <c r="HJ564" s="15"/>
      <c r="HK564" s="15"/>
      <c r="HL564" s="15"/>
      <c r="HM564" s="16"/>
    </row>
    <row r="565" spans="8:221" ht="18" customHeight="1" x14ac:dyDescent="0.2">
      <c r="H565" s="4"/>
      <c r="DW565" s="5"/>
      <c r="FC565" s="12"/>
      <c r="FD565" s="13"/>
      <c r="FY565" s="18"/>
      <c r="FZ565" s="12"/>
      <c r="GK565" s="13"/>
      <c r="GS565" s="13"/>
      <c r="GT565" s="18"/>
      <c r="GU565" s="12"/>
      <c r="HK565" s="12"/>
      <c r="HL565" s="13"/>
    </row>
    <row r="566" spans="8:221" ht="18" customHeight="1" x14ac:dyDescent="0.2">
      <c r="H566" s="4"/>
      <c r="DW566" s="5"/>
      <c r="FC566" s="12"/>
      <c r="FD566" s="13"/>
      <c r="FY566" s="18"/>
      <c r="FZ566" s="12"/>
      <c r="GK566" s="13"/>
      <c r="GS566" s="13"/>
      <c r="GT566" s="18"/>
      <c r="GU566" s="12"/>
      <c r="HK566" s="12"/>
      <c r="HL566" s="13"/>
    </row>
    <row r="567" spans="8:221" ht="18" customHeight="1" x14ac:dyDescent="0.2">
      <c r="H567" s="4"/>
      <c r="DW567" s="5"/>
      <c r="FC567" s="12"/>
      <c r="FD567" s="13"/>
      <c r="FY567" s="18"/>
      <c r="FZ567" s="12"/>
      <c r="GK567" s="13"/>
      <c r="GS567" s="13"/>
      <c r="GT567" s="18"/>
      <c r="GU567" s="12"/>
      <c r="HK567" s="12"/>
      <c r="HL567" s="13"/>
    </row>
    <row r="568" spans="8:221" ht="18" customHeight="1" x14ac:dyDescent="0.2">
      <c r="H568" s="4"/>
      <c r="DW568" s="5"/>
      <c r="FC568" s="12"/>
      <c r="FD568" s="13"/>
      <c r="FY568" s="18"/>
      <c r="FZ568" s="12"/>
      <c r="GK568" s="13"/>
      <c r="GS568" s="13"/>
      <c r="GT568" s="18"/>
      <c r="GU568" s="12"/>
      <c r="HK568" s="12"/>
      <c r="HL568" s="13"/>
    </row>
    <row r="569" spans="8:221" ht="18" customHeight="1" x14ac:dyDescent="0.2">
      <c r="H569" s="4"/>
      <c r="DW569" s="5"/>
      <c r="FC569" s="12"/>
      <c r="FD569" s="13"/>
      <c r="FY569" s="18"/>
      <c r="FZ569" s="12"/>
      <c r="GK569" s="13"/>
      <c r="GS569" s="13"/>
      <c r="GT569" s="18"/>
      <c r="GU569" s="12"/>
      <c r="HK569" s="12"/>
      <c r="HL569" s="13"/>
    </row>
    <row r="570" spans="8:221" ht="18" customHeight="1" x14ac:dyDescent="0.2">
      <c r="H570" s="4"/>
      <c r="DW570" s="5"/>
      <c r="FC570" s="12"/>
      <c r="FD570" s="13"/>
      <c r="FY570" s="18"/>
      <c r="FZ570" s="12"/>
      <c r="GK570" s="13"/>
      <c r="GS570" s="13"/>
      <c r="GT570" s="18"/>
      <c r="GU570" s="12"/>
      <c r="HK570" s="12"/>
      <c r="HL570" s="13"/>
    </row>
    <row r="571" spans="8:221" ht="18" customHeight="1" x14ac:dyDescent="0.2">
      <c r="H571" s="4"/>
      <c r="DW571" s="5"/>
      <c r="FC571" s="12"/>
      <c r="FD571" s="13"/>
      <c r="FY571" s="18"/>
      <c r="FZ571" s="12"/>
      <c r="GK571" s="13"/>
      <c r="GS571" s="13"/>
      <c r="GT571" s="18"/>
      <c r="GU571" s="12"/>
      <c r="HK571" s="12"/>
      <c r="HL571" s="13"/>
    </row>
    <row r="572" spans="8:221" ht="18" customHeight="1" x14ac:dyDescent="0.2">
      <c r="H572" s="4"/>
      <c r="DW572" s="5"/>
      <c r="FC572" s="12"/>
      <c r="FD572" s="13"/>
      <c r="FY572" s="18"/>
      <c r="FZ572" s="12"/>
      <c r="GK572" s="13"/>
      <c r="GS572" s="13"/>
      <c r="GT572" s="18"/>
      <c r="GU572" s="12"/>
      <c r="HK572" s="12"/>
      <c r="HL572" s="13"/>
    </row>
    <row r="573" spans="8:221" ht="18" customHeight="1" x14ac:dyDescent="0.2">
      <c r="H573" s="4"/>
      <c r="DW573" s="5"/>
      <c r="FC573" s="12"/>
      <c r="FD573" s="13"/>
      <c r="FY573" s="18"/>
      <c r="FZ573" s="12"/>
      <c r="GK573" s="13"/>
      <c r="GS573" s="13"/>
      <c r="GT573" s="18"/>
      <c r="GU573" s="12"/>
      <c r="HK573" s="12"/>
      <c r="HL573" s="13"/>
    </row>
    <row r="574" spans="8:221" ht="18" customHeight="1" x14ac:dyDescent="0.2">
      <c r="H574" s="4"/>
      <c r="DW574" s="5"/>
      <c r="FC574" s="12"/>
      <c r="FD574" s="13"/>
      <c r="FY574" s="18"/>
      <c r="FZ574" s="12"/>
      <c r="GK574" s="13"/>
      <c r="GS574" s="13"/>
      <c r="GT574" s="18"/>
      <c r="GU574" s="12"/>
      <c r="HK574" s="12"/>
      <c r="HL574" s="13"/>
    </row>
    <row r="575" spans="8:221" ht="18" customHeight="1" x14ac:dyDescent="0.2">
      <c r="H575" s="4"/>
      <c r="DW575" s="5"/>
      <c r="FC575" s="12"/>
      <c r="FD575" s="13"/>
      <c r="FY575" s="18"/>
      <c r="FZ575" s="12"/>
      <c r="GK575" s="13"/>
      <c r="GS575" s="13"/>
      <c r="GT575" s="18"/>
      <c r="GU575" s="12"/>
      <c r="HK575" s="12"/>
      <c r="HL575" s="13"/>
    </row>
    <row r="576" spans="8:221" ht="18" customHeight="1" x14ac:dyDescent="0.2">
      <c r="H576" s="4"/>
      <c r="DW576" s="5"/>
      <c r="FC576" s="12"/>
      <c r="FD576" s="13"/>
      <c r="FY576" s="18"/>
      <c r="FZ576" s="12"/>
      <c r="GK576" s="13"/>
      <c r="GS576" s="13"/>
      <c r="GT576" s="18"/>
      <c r="GU576" s="12"/>
      <c r="HK576" s="12"/>
      <c r="HL576" s="13"/>
    </row>
    <row r="577" spans="8:252" ht="18" customHeight="1" x14ac:dyDescent="0.2">
      <c r="H577" s="4"/>
      <c r="DW577" s="5"/>
      <c r="FC577" s="12"/>
      <c r="FD577" s="13"/>
      <c r="FY577" s="18"/>
      <c r="FZ577" s="12"/>
      <c r="GK577" s="13"/>
      <c r="GS577" s="13"/>
      <c r="GT577" s="18"/>
      <c r="GU577" s="12"/>
      <c r="HK577" s="12"/>
      <c r="HL577" s="13"/>
      <c r="ID577" s="9"/>
      <c r="IE577" s="11"/>
    </row>
    <row r="578" spans="8:252" ht="18" customHeight="1" x14ac:dyDescent="0.2">
      <c r="H578" s="4"/>
      <c r="DW578" s="5"/>
      <c r="FC578" s="12"/>
      <c r="FD578" s="13"/>
      <c r="FY578" s="18"/>
      <c r="FZ578" s="12"/>
      <c r="GK578" s="13"/>
      <c r="GS578" s="13"/>
      <c r="GT578" s="18"/>
      <c r="GU578" s="12"/>
      <c r="HK578" s="12"/>
      <c r="HL578" s="13"/>
      <c r="ID578" s="12"/>
      <c r="IE578" s="13"/>
    </row>
    <row r="579" spans="8:252" ht="18" customHeight="1" x14ac:dyDescent="0.2">
      <c r="H579" s="4"/>
      <c r="DW579" s="5"/>
      <c r="FC579" s="12"/>
      <c r="FD579" s="13"/>
      <c r="FY579" s="18"/>
      <c r="FZ579" s="12"/>
      <c r="GK579" s="13"/>
      <c r="GS579" s="13"/>
      <c r="GT579" s="18"/>
      <c r="GU579" s="12"/>
      <c r="HK579" s="12"/>
      <c r="HL579" s="13"/>
      <c r="ID579" s="12"/>
      <c r="IE579" s="13"/>
    </row>
    <row r="580" spans="8:252" ht="18" customHeight="1" x14ac:dyDescent="0.2">
      <c r="H580" s="4"/>
      <c r="DW580" s="5"/>
      <c r="FC580" s="12"/>
      <c r="FD580" s="13"/>
      <c r="FY580" s="18"/>
      <c r="FZ580" s="12"/>
      <c r="GK580" s="13"/>
      <c r="GS580" s="13"/>
      <c r="GT580" s="18"/>
      <c r="GU580" s="12"/>
      <c r="HK580" s="12"/>
      <c r="HL580" s="13"/>
      <c r="ID580" s="12"/>
      <c r="IE580" s="13"/>
    </row>
    <row r="581" spans="8:252" ht="18" customHeight="1" x14ac:dyDescent="0.2">
      <c r="H581" s="4"/>
      <c r="DW581" s="5"/>
      <c r="FC581" s="12"/>
      <c r="FD581" s="13"/>
      <c r="FY581" s="18"/>
      <c r="FZ581" s="12"/>
      <c r="GK581" s="13"/>
      <c r="GS581" s="13"/>
      <c r="GT581" s="18"/>
      <c r="GU581" s="12"/>
      <c r="HK581" s="12"/>
      <c r="HL581" s="13"/>
      <c r="ID581" s="12"/>
      <c r="IE581" s="13"/>
    </row>
    <row r="582" spans="8:252" ht="18" customHeight="1" x14ac:dyDescent="0.2">
      <c r="H582" s="4"/>
      <c r="DW582" s="5"/>
      <c r="FC582" s="12"/>
      <c r="FD582" s="13"/>
      <c r="FY582" s="18"/>
      <c r="FZ582" s="12"/>
      <c r="GK582" s="13"/>
      <c r="GS582" s="13"/>
      <c r="GT582" s="18"/>
      <c r="GU582" s="12"/>
      <c r="HK582" s="12"/>
      <c r="HL582" s="13"/>
      <c r="ID582" s="12"/>
      <c r="IE582" s="13"/>
    </row>
    <row r="583" spans="8:252" ht="18" customHeight="1" x14ac:dyDescent="0.2">
      <c r="H583" s="4"/>
      <c r="S583" s="9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  <c r="BB583" s="10"/>
      <c r="BC583" s="10"/>
      <c r="BD583" s="10"/>
      <c r="BE583" s="10"/>
      <c r="BF583" s="10"/>
      <c r="BG583" s="10"/>
      <c r="BH583" s="10"/>
      <c r="BI583" s="10"/>
      <c r="BJ583" s="10"/>
      <c r="BK583" s="10"/>
      <c r="BL583" s="10"/>
      <c r="BM583" s="10"/>
      <c r="BN583" s="10"/>
      <c r="BO583" s="11"/>
      <c r="DW583" s="5"/>
      <c r="FC583" s="12"/>
      <c r="FD583" s="13"/>
      <c r="FY583" s="18"/>
      <c r="FZ583" s="12"/>
      <c r="GK583" s="13"/>
      <c r="GS583" s="13"/>
      <c r="GT583" s="18"/>
      <c r="GU583" s="12"/>
      <c r="HK583" s="12"/>
      <c r="HL583" s="13"/>
      <c r="ID583" s="12"/>
      <c r="IE583" s="13"/>
      <c r="IG583" s="17"/>
    </row>
    <row r="584" spans="8:252" ht="18" customHeight="1" x14ac:dyDescent="0.2">
      <c r="H584" s="4"/>
      <c r="S584" s="12"/>
      <c r="BO584" s="13"/>
      <c r="DW584" s="5"/>
      <c r="FC584" s="12"/>
      <c r="FD584" s="13"/>
      <c r="FY584" s="18"/>
      <c r="FZ584" s="12"/>
      <c r="GK584" s="13"/>
      <c r="GS584" s="13"/>
      <c r="GT584" s="18"/>
      <c r="GU584" s="12"/>
      <c r="HK584" s="12"/>
      <c r="HL584" s="13"/>
      <c r="ID584" s="12"/>
      <c r="IE584" s="13"/>
      <c r="IG584" s="18"/>
    </row>
    <row r="585" spans="8:252" ht="18" customHeight="1" x14ac:dyDescent="0.2">
      <c r="H585" s="4"/>
      <c r="S585" s="12"/>
      <c r="U585" s="9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1"/>
      <c r="AU585" s="10"/>
      <c r="AV585" s="9"/>
      <c r="AW585" s="10"/>
      <c r="AX585" s="10"/>
      <c r="AY585" s="10"/>
      <c r="AZ585" s="11"/>
      <c r="BA585" s="10"/>
      <c r="BB585" s="10"/>
      <c r="BC585" s="10"/>
      <c r="BD585" s="10"/>
      <c r="BE585" s="11"/>
      <c r="BF585" s="9"/>
      <c r="BG585" s="10"/>
      <c r="BH585" s="10"/>
      <c r="BI585" s="10"/>
      <c r="BJ585" s="10"/>
      <c r="BK585" s="10"/>
      <c r="BL585" s="10"/>
      <c r="BM585" s="11"/>
      <c r="BO585" s="13"/>
      <c r="DW585" s="5"/>
      <c r="FC585" s="12"/>
      <c r="FD585" s="13"/>
      <c r="FY585" s="18"/>
      <c r="FZ585" s="12"/>
      <c r="GK585" s="13"/>
      <c r="GS585" s="13"/>
      <c r="GT585" s="18"/>
      <c r="GU585" s="12"/>
      <c r="HK585" s="12"/>
      <c r="HL585" s="13"/>
      <c r="ID585" s="12"/>
      <c r="IE585" s="13"/>
      <c r="IG585" s="18"/>
    </row>
    <row r="586" spans="8:252" ht="18" customHeight="1" x14ac:dyDescent="0.2">
      <c r="H586" s="4"/>
      <c r="S586" s="12"/>
      <c r="U586" s="12"/>
      <c r="AT586" s="13"/>
      <c r="AV586" s="12"/>
      <c r="AZ586" s="13"/>
      <c r="BE586" s="13"/>
      <c r="BF586" s="12"/>
      <c r="BM586" s="13"/>
      <c r="BO586" s="13"/>
      <c r="DW586" s="5"/>
      <c r="FC586" s="12"/>
      <c r="FD586" s="13"/>
      <c r="FY586" s="18"/>
      <c r="FZ586" s="12"/>
      <c r="GK586" s="13"/>
      <c r="GS586" s="13"/>
      <c r="GT586" s="18"/>
      <c r="GU586" s="12"/>
      <c r="HK586" s="12"/>
      <c r="HL586" s="13"/>
      <c r="ID586" s="12"/>
      <c r="IE586" s="13"/>
      <c r="IG586" s="18"/>
    </row>
    <row r="587" spans="8:252" ht="18" customHeight="1" x14ac:dyDescent="0.2">
      <c r="H587" s="4"/>
      <c r="S587" s="12"/>
      <c r="U587" s="12"/>
      <c r="AT587" s="13"/>
      <c r="AV587" s="12"/>
      <c r="AZ587" s="13"/>
      <c r="BE587" s="13"/>
      <c r="BF587" s="12"/>
      <c r="BM587" s="13"/>
      <c r="BO587" s="13"/>
      <c r="DW587" s="5"/>
      <c r="FC587" s="12"/>
      <c r="FD587" s="13"/>
      <c r="FY587" s="18"/>
      <c r="FZ587" s="12"/>
      <c r="GK587" s="13"/>
      <c r="GS587" s="13"/>
      <c r="GT587" s="18"/>
      <c r="GU587" s="12"/>
      <c r="HK587" s="12"/>
      <c r="HL587" s="13"/>
      <c r="ID587" s="12"/>
      <c r="IE587" s="13"/>
      <c r="IG587" s="18"/>
    </row>
    <row r="588" spans="8:252" ht="18" customHeight="1" x14ac:dyDescent="0.2">
      <c r="H588" s="4"/>
      <c r="S588" s="12"/>
      <c r="U588" s="12"/>
      <c r="AT588" s="13"/>
      <c r="AV588" s="12"/>
      <c r="AZ588" s="13"/>
      <c r="BE588" s="13"/>
      <c r="BF588" s="12"/>
      <c r="BM588" s="13"/>
      <c r="BO588" s="13"/>
      <c r="DW588" s="5"/>
      <c r="FC588" s="12"/>
      <c r="FD588" s="13"/>
      <c r="FE588" s="15"/>
      <c r="FF588" s="15"/>
      <c r="FG588" s="15"/>
      <c r="FH588" s="15"/>
      <c r="FI588" s="15"/>
      <c r="FJ588" s="15"/>
      <c r="FK588" s="15"/>
      <c r="FL588" s="15"/>
      <c r="FM588" s="15"/>
      <c r="FN588" s="15"/>
      <c r="FO588" s="15"/>
      <c r="FP588" s="15"/>
      <c r="FQ588" s="15"/>
      <c r="FR588" s="15"/>
      <c r="FS588" s="15"/>
      <c r="FT588" s="15"/>
      <c r="FU588" s="15"/>
      <c r="FV588" s="15"/>
      <c r="FW588" s="15"/>
      <c r="FX588" s="15"/>
      <c r="FY588" s="19"/>
      <c r="FZ588" s="14"/>
      <c r="GA588" s="15"/>
      <c r="GB588" s="15"/>
      <c r="GC588" s="15"/>
      <c r="GD588" s="15"/>
      <c r="GE588" s="15"/>
      <c r="GF588" s="15"/>
      <c r="GG588" s="15"/>
      <c r="GH588" s="15"/>
      <c r="GI588" s="15"/>
      <c r="GJ588" s="15"/>
      <c r="GK588" s="16"/>
      <c r="GL588" s="15"/>
      <c r="GM588" s="15"/>
      <c r="GN588" s="15"/>
      <c r="GO588" s="15"/>
      <c r="GP588" s="15"/>
      <c r="GQ588" s="15"/>
      <c r="GR588" s="15"/>
      <c r="GS588" s="16"/>
      <c r="GT588" s="19"/>
      <c r="GU588" s="14"/>
      <c r="GV588" s="15"/>
      <c r="GW588" s="15"/>
      <c r="GX588" s="15"/>
      <c r="GY588" s="15"/>
      <c r="GZ588" s="15"/>
      <c r="HA588" s="15"/>
      <c r="HB588" s="15"/>
      <c r="HC588" s="15"/>
      <c r="HD588" s="15"/>
      <c r="HE588" s="15"/>
      <c r="HF588" s="15"/>
      <c r="HG588" s="15"/>
      <c r="HH588" s="15"/>
      <c r="HI588" s="15"/>
      <c r="HJ588" s="15"/>
      <c r="HK588" s="12"/>
      <c r="HL588" s="13"/>
      <c r="ID588" s="12"/>
      <c r="IE588" s="13"/>
      <c r="IG588" s="18"/>
    </row>
    <row r="589" spans="8:252" ht="18" customHeight="1" x14ac:dyDescent="0.2">
      <c r="H589" s="4"/>
      <c r="S589" s="12"/>
      <c r="U589" s="12"/>
      <c r="AT589" s="13"/>
      <c r="AV589" s="14"/>
      <c r="AW589" s="15"/>
      <c r="AX589" s="15"/>
      <c r="AY589" s="15"/>
      <c r="AZ589" s="16"/>
      <c r="BA589" s="15"/>
      <c r="BB589" s="15"/>
      <c r="BC589" s="15"/>
      <c r="BD589" s="15"/>
      <c r="BE589" s="16"/>
      <c r="BF589" s="12"/>
      <c r="BM589" s="13"/>
      <c r="BO589" s="13"/>
      <c r="DW589" s="5"/>
      <c r="FC589" s="12"/>
      <c r="FD589" s="13"/>
      <c r="FE589" s="10"/>
      <c r="FF589" s="10"/>
      <c r="FG589" s="10"/>
      <c r="FH589" s="10"/>
      <c r="FI589" s="10"/>
      <c r="FJ589" s="10"/>
      <c r="FK589" s="10"/>
      <c r="FL589" s="10"/>
      <c r="FM589" s="10"/>
      <c r="FN589" s="10"/>
      <c r="FO589" s="10"/>
      <c r="FP589" s="10"/>
      <c r="FQ589" s="10"/>
      <c r="FR589" s="10"/>
      <c r="FS589" s="10"/>
      <c r="FT589" s="10"/>
      <c r="FU589" s="10"/>
      <c r="FV589" s="10"/>
      <c r="FW589" s="10"/>
      <c r="FX589" s="10"/>
      <c r="FY589" s="10"/>
      <c r="FZ589" s="10"/>
      <c r="GA589" s="10"/>
      <c r="GB589" s="10"/>
      <c r="GC589" s="10"/>
      <c r="GD589" s="10"/>
      <c r="GE589" s="10"/>
      <c r="GF589" s="10"/>
      <c r="GG589" s="10"/>
      <c r="GH589" s="10"/>
      <c r="GI589" s="10"/>
      <c r="GJ589" s="10"/>
      <c r="GK589" s="10"/>
      <c r="GL589" s="10"/>
      <c r="GM589" s="10"/>
      <c r="GN589" s="10"/>
      <c r="GO589" s="10"/>
      <c r="GP589" s="10"/>
      <c r="GQ589" s="10"/>
      <c r="GR589" s="10"/>
      <c r="GS589" s="10"/>
      <c r="GT589" s="10"/>
      <c r="GU589" s="10"/>
      <c r="GV589" s="10"/>
      <c r="GW589" s="10"/>
      <c r="GX589" s="10"/>
      <c r="GY589" s="10"/>
      <c r="GZ589" s="10"/>
      <c r="HA589" s="10"/>
      <c r="HB589" s="10"/>
      <c r="HC589" s="10"/>
      <c r="HD589" s="10"/>
      <c r="HE589" s="10"/>
      <c r="HF589" s="10"/>
      <c r="HG589" s="10"/>
      <c r="HH589" s="10"/>
      <c r="HI589" s="10"/>
      <c r="HJ589" s="10"/>
      <c r="HK589" s="12"/>
      <c r="HL589" s="13"/>
      <c r="HM589" s="10"/>
      <c r="HN589" s="10"/>
      <c r="HO589" s="10"/>
      <c r="HP589" s="10"/>
      <c r="HQ589" s="10"/>
      <c r="HR589" s="10"/>
      <c r="HS589" s="10"/>
      <c r="HT589" s="10"/>
      <c r="HU589" s="10"/>
      <c r="HV589" s="10"/>
      <c r="HW589" s="10"/>
      <c r="HX589" s="10"/>
      <c r="HY589" s="10"/>
      <c r="HZ589" s="10"/>
      <c r="IA589" s="10"/>
      <c r="IB589" s="10"/>
      <c r="IC589" s="10"/>
      <c r="ID589" s="10"/>
      <c r="IE589" s="10"/>
      <c r="IF589" s="10"/>
      <c r="IG589" s="11"/>
    </row>
    <row r="590" spans="8:252" ht="18" customHeight="1" x14ac:dyDescent="0.2">
      <c r="H590" s="4"/>
      <c r="S590" s="12"/>
      <c r="U590" s="12"/>
      <c r="AT590" s="13"/>
      <c r="AV590" s="12"/>
      <c r="BF590" s="12"/>
      <c r="BM590" s="13"/>
      <c r="BO590" s="13"/>
      <c r="DW590" s="5"/>
      <c r="FC590" s="12"/>
      <c r="FD590" s="13"/>
      <c r="HK590" s="12"/>
      <c r="HL590" s="13"/>
      <c r="IG590" s="13"/>
    </row>
    <row r="591" spans="8:252" ht="18" customHeight="1" x14ac:dyDescent="0.2">
      <c r="H591" s="4"/>
      <c r="S591" s="12"/>
      <c r="U591" s="12"/>
      <c r="AT591" s="13"/>
      <c r="AV591" s="12"/>
      <c r="BF591" s="12"/>
      <c r="BM591" s="13"/>
      <c r="BO591" s="13"/>
      <c r="DW591" s="5"/>
      <c r="FC591" s="12"/>
      <c r="FD591" s="13"/>
      <c r="HK591" s="12"/>
      <c r="HL591" s="13"/>
      <c r="IG591" s="13"/>
    </row>
    <row r="592" spans="8:252" ht="18" customHeight="1" thickBot="1" x14ac:dyDescent="0.25">
      <c r="H592" s="4"/>
      <c r="S592" s="12"/>
      <c r="U592" s="12"/>
      <c r="AT592" s="13"/>
      <c r="AV592" s="12"/>
      <c r="BF592" s="12"/>
      <c r="BM592" s="13"/>
      <c r="BO592" s="13"/>
      <c r="DW592" s="5"/>
      <c r="ER592" s="7"/>
      <c r="ES592" s="7"/>
      <c r="ET592" s="7"/>
      <c r="EU592" s="7"/>
      <c r="EV592" s="7"/>
      <c r="EW592" s="7"/>
      <c r="EX592" s="7"/>
      <c r="EY592" s="7"/>
      <c r="EZ592" s="7"/>
      <c r="FA592" s="7"/>
      <c r="FB592" s="7"/>
      <c r="FC592" s="12"/>
      <c r="FD592" s="13"/>
      <c r="FE592" s="7"/>
      <c r="FF592" s="7"/>
      <c r="FG592" s="7"/>
      <c r="FH592" s="7"/>
      <c r="FI592" s="7"/>
      <c r="FJ592" s="7"/>
      <c r="FK592" s="7"/>
      <c r="FL592" s="7"/>
      <c r="FM592" s="7"/>
      <c r="FN592" s="7"/>
      <c r="FO592" s="7"/>
      <c r="FP592" s="7"/>
      <c r="FQ592" s="7"/>
      <c r="FR592" s="7"/>
      <c r="FS592" s="7"/>
      <c r="FT592" s="7"/>
      <c r="FU592" s="7"/>
      <c r="FV592" s="7"/>
      <c r="FW592" s="7"/>
      <c r="FX592" s="7"/>
      <c r="FY592" s="7"/>
      <c r="FZ592" s="7"/>
      <c r="GA592" s="7"/>
      <c r="GB592" s="7"/>
      <c r="GC592" s="7"/>
      <c r="GD592" s="7"/>
      <c r="GE592" s="7"/>
      <c r="GF592" s="7"/>
      <c r="GG592" s="7"/>
      <c r="GH592" s="7"/>
      <c r="GI592" s="7"/>
      <c r="GJ592" s="7"/>
      <c r="GK592" s="7"/>
      <c r="GL592" s="7"/>
      <c r="GM592" s="7"/>
      <c r="GN592" s="7"/>
      <c r="GO592" s="7"/>
      <c r="GP592" s="7"/>
      <c r="GQ592" s="7"/>
      <c r="GR592" s="7"/>
      <c r="GS592" s="7"/>
      <c r="GT592" s="7"/>
      <c r="GU592" s="7"/>
      <c r="GV592" s="7"/>
      <c r="GW592" s="7"/>
      <c r="GX592" s="7"/>
      <c r="GY592" s="7"/>
      <c r="GZ592" s="7"/>
      <c r="HA592" s="7"/>
      <c r="HB592" s="7"/>
      <c r="HC592" s="7"/>
      <c r="HD592" s="7"/>
      <c r="HE592" s="7"/>
      <c r="HF592" s="7"/>
      <c r="HG592" s="7"/>
      <c r="HH592" s="7"/>
      <c r="HI592" s="7"/>
      <c r="HJ592" s="7"/>
      <c r="HK592" s="12"/>
      <c r="HL592" s="13"/>
      <c r="HM592" s="7"/>
      <c r="HN592" s="7"/>
      <c r="HO592" s="7"/>
      <c r="HP592" s="7"/>
      <c r="HQ592" s="7"/>
      <c r="HR592" s="7"/>
      <c r="HS592" s="7"/>
      <c r="HT592" s="7"/>
      <c r="HU592" s="7"/>
      <c r="HV592" s="7"/>
      <c r="HW592" s="7"/>
      <c r="HX592" s="7"/>
      <c r="HY592" s="7"/>
      <c r="HZ592" s="7"/>
      <c r="IA592" s="7"/>
      <c r="IB592" s="7"/>
      <c r="IC592" s="7"/>
      <c r="ID592" s="7"/>
      <c r="IE592" s="7"/>
      <c r="IF592" s="7"/>
      <c r="IG592" s="180"/>
      <c r="IH592" s="7"/>
      <c r="II592" s="7"/>
      <c r="IJ592" s="7"/>
      <c r="IK592" s="7"/>
      <c r="IL592" s="7"/>
      <c r="IM592" s="7"/>
      <c r="IN592" s="7"/>
      <c r="IO592" s="7"/>
      <c r="IP592" s="7"/>
      <c r="IQ592" s="7"/>
      <c r="IR592" s="7"/>
    </row>
    <row r="593" spans="8:220" ht="18" customHeight="1" x14ac:dyDescent="0.2">
      <c r="H593" s="4"/>
      <c r="S593" s="12"/>
      <c r="U593" s="12"/>
      <c r="AT593" s="13"/>
      <c r="AV593" s="12"/>
      <c r="BF593" s="12"/>
      <c r="BM593" s="13"/>
      <c r="BO593" s="13"/>
      <c r="BQ593" s="15"/>
      <c r="BR593" s="15"/>
      <c r="BS593" s="15"/>
      <c r="BT593" s="15"/>
      <c r="BU593" s="15"/>
      <c r="BV593" s="15"/>
      <c r="BW593" s="15"/>
      <c r="BX593" s="15"/>
      <c r="BY593" s="15"/>
      <c r="BZ593" s="15"/>
      <c r="CA593" s="15"/>
      <c r="CB593" s="15"/>
      <c r="CC593" s="15"/>
      <c r="CD593" s="15"/>
      <c r="DW593" s="5"/>
      <c r="FC593" s="12"/>
      <c r="FD593" s="13"/>
      <c r="HK593" s="12"/>
      <c r="HL593" s="13"/>
    </row>
    <row r="594" spans="8:220" ht="18" customHeight="1" x14ac:dyDescent="0.2">
      <c r="H594" s="4"/>
      <c r="S594" s="12"/>
      <c r="U594" s="12"/>
      <c r="AT594" s="13"/>
      <c r="AV594" s="14"/>
      <c r="AW594" s="15"/>
      <c r="AX594" s="15"/>
      <c r="AY594" s="15"/>
      <c r="AZ594" s="15"/>
      <c r="BA594" s="15"/>
      <c r="BB594" s="15"/>
      <c r="BC594" s="15"/>
      <c r="BD594" s="15"/>
      <c r="BE594" s="15"/>
      <c r="BF594" s="14"/>
      <c r="BG594" s="15"/>
      <c r="BH594" s="15"/>
      <c r="BI594" s="15"/>
      <c r="BJ594" s="15"/>
      <c r="BK594" s="15"/>
      <c r="BL594" s="15"/>
      <c r="BM594" s="16"/>
      <c r="BP594" s="10"/>
      <c r="BU594" s="20"/>
      <c r="BV594" s="21"/>
      <c r="BW594" s="21"/>
      <c r="BX594" s="21"/>
      <c r="BY594" s="21"/>
      <c r="BZ594" s="22"/>
      <c r="CD594" s="11"/>
      <c r="DW594" s="5"/>
      <c r="FC594" s="12"/>
      <c r="FD594" s="13"/>
      <c r="HK594" s="12"/>
      <c r="HL594" s="13"/>
    </row>
    <row r="595" spans="8:220" ht="18" customHeight="1" x14ac:dyDescent="0.2">
      <c r="H595" s="4"/>
      <c r="S595" s="12"/>
      <c r="U595" s="12"/>
      <c r="AT595" s="13"/>
      <c r="AV595" s="15"/>
      <c r="AW595" s="15"/>
      <c r="AX595" s="100"/>
      <c r="AY595" s="100"/>
      <c r="AZ595" s="100"/>
      <c r="BA595" s="100"/>
      <c r="BB595" s="100"/>
      <c r="BC595" s="15"/>
      <c r="BD595" s="15"/>
      <c r="BE595" s="15"/>
      <c r="BF595" s="15"/>
      <c r="BG595" s="15"/>
      <c r="BH595" s="15"/>
      <c r="BI595" s="15"/>
      <c r="BJ595" s="15"/>
      <c r="BK595" s="15"/>
      <c r="BL595" s="15"/>
      <c r="BM595" s="15"/>
      <c r="BN595" s="15"/>
      <c r="BO595" s="15"/>
      <c r="BQ595" s="15"/>
      <c r="BR595" s="15"/>
      <c r="BS595" s="15"/>
      <c r="BT595" s="15"/>
      <c r="BU595" s="20"/>
      <c r="BV595" s="21"/>
      <c r="BW595" s="21"/>
      <c r="BX595" s="21"/>
      <c r="BY595" s="21"/>
      <c r="BZ595" s="22"/>
      <c r="CD595" s="13"/>
      <c r="DW595" s="5"/>
      <c r="FC595" s="12"/>
      <c r="FD595" s="13"/>
      <c r="HK595" s="12"/>
      <c r="HL595" s="13"/>
    </row>
    <row r="596" spans="8:220" ht="18" customHeight="1" x14ac:dyDescent="0.2">
      <c r="H596" s="4"/>
      <c r="S596" s="12"/>
      <c r="U596" s="12"/>
      <c r="AT596" s="13"/>
      <c r="AV596" s="9"/>
      <c r="AW596" s="10"/>
      <c r="AX596" s="10"/>
      <c r="AY596" s="10"/>
      <c r="AZ596" s="10"/>
      <c r="BA596" s="10"/>
      <c r="BB596" s="10"/>
      <c r="BC596" s="10"/>
      <c r="BD596" s="10"/>
      <c r="BE596" t="s">
        <v>45</v>
      </c>
      <c r="BF596" s="10"/>
      <c r="BG596" s="10"/>
      <c r="BH596" s="10"/>
      <c r="BI596" s="10"/>
      <c r="BJ596" s="10"/>
      <c r="BK596" s="10"/>
      <c r="BL596" s="10"/>
      <c r="BM596" s="10"/>
      <c r="BN596" s="10"/>
      <c r="BO596" s="10"/>
      <c r="BP596" s="10"/>
      <c r="BQ596" s="10"/>
      <c r="BR596" s="10"/>
      <c r="BS596" s="10"/>
      <c r="BT596" s="10"/>
      <c r="BU596" s="10"/>
      <c r="BV596" s="10"/>
      <c r="BW596" s="10"/>
      <c r="BX596" s="10"/>
      <c r="BY596" s="10"/>
      <c r="BZ596" s="10"/>
      <c r="CA596" s="10"/>
      <c r="CB596" s="11"/>
      <c r="CD596" s="13"/>
      <c r="DW596" s="5"/>
      <c r="FC596" s="14"/>
      <c r="FD596" s="16"/>
      <c r="HK596" s="14"/>
      <c r="HL596" s="16"/>
    </row>
    <row r="597" spans="8:220" ht="18" customHeight="1" x14ac:dyDescent="0.2">
      <c r="H597" s="4"/>
      <c r="S597" s="12"/>
      <c r="U597" s="12"/>
      <c r="AT597" s="13"/>
      <c r="AV597" s="12"/>
      <c r="CB597" s="13"/>
      <c r="CD597" s="13"/>
      <c r="DW597" s="5"/>
    </row>
    <row r="598" spans="8:220" ht="18" customHeight="1" x14ac:dyDescent="0.2">
      <c r="H598" s="4"/>
      <c r="S598" s="12"/>
      <c r="U598" s="12"/>
      <c r="AT598" s="13"/>
      <c r="AV598" s="12"/>
      <c r="CB598" s="13"/>
      <c r="CD598" s="13"/>
      <c r="DW598" s="5"/>
    </row>
    <row r="599" spans="8:220" ht="18" customHeight="1" x14ac:dyDescent="0.2">
      <c r="H599" s="4"/>
      <c r="S599" s="12"/>
      <c r="U599" s="12"/>
      <c r="AT599" s="13"/>
      <c r="AU599" s="127"/>
      <c r="AV599" s="12"/>
      <c r="CB599" s="13"/>
      <c r="CD599" s="13"/>
      <c r="DW599" s="5"/>
    </row>
    <row r="600" spans="8:220" ht="18" customHeight="1" x14ac:dyDescent="0.2">
      <c r="H600" s="4"/>
      <c r="S600" s="12"/>
      <c r="U600" s="12"/>
      <c r="AT600" s="13"/>
      <c r="AU600" s="127"/>
      <c r="AV600" s="12"/>
      <c r="CB600" s="13"/>
      <c r="CD600" s="13"/>
      <c r="DW600" s="5"/>
    </row>
    <row r="601" spans="8:220" ht="18" customHeight="1" x14ac:dyDescent="0.2">
      <c r="H601" s="4"/>
      <c r="S601" s="12"/>
      <c r="U601" s="12"/>
      <c r="AT601" s="13"/>
      <c r="AU601" s="127"/>
      <c r="AV601" s="12"/>
      <c r="BY601" s="9"/>
      <c r="BZ601" s="10"/>
      <c r="CA601" s="10"/>
      <c r="CB601" s="11"/>
      <c r="CD601" s="13"/>
      <c r="DW601" s="5"/>
    </row>
    <row r="602" spans="8:220" ht="18" customHeight="1" x14ac:dyDescent="0.2">
      <c r="H602" s="4"/>
      <c r="S602" s="12"/>
      <c r="U602" s="12"/>
      <c r="AT602" s="13"/>
      <c r="AU602" s="127"/>
      <c r="AV602" s="12"/>
      <c r="BY602" s="12"/>
      <c r="CB602" s="13"/>
      <c r="CD602" s="13"/>
      <c r="DW602" s="5"/>
    </row>
    <row r="603" spans="8:220" ht="18" customHeight="1" x14ac:dyDescent="0.2">
      <c r="H603" s="4"/>
      <c r="S603" s="12"/>
      <c r="U603" s="12"/>
      <c r="AT603" s="13"/>
      <c r="AU603" s="127"/>
      <c r="AV603" s="12"/>
      <c r="BS603" s="9"/>
      <c r="BT603" s="10"/>
      <c r="BU603" s="10"/>
      <c r="BV603" s="11"/>
      <c r="BY603" s="12"/>
      <c r="CB603" s="13"/>
      <c r="CD603" s="13"/>
      <c r="DW603" s="5"/>
    </row>
    <row r="604" spans="8:220" ht="18" customHeight="1" x14ac:dyDescent="0.2">
      <c r="H604" s="4"/>
      <c r="S604" s="12"/>
      <c r="U604" s="12"/>
      <c r="AT604" s="13"/>
      <c r="AU604" s="127"/>
      <c r="AV604" s="12"/>
      <c r="BS604" s="12"/>
      <c r="BV604" s="13"/>
      <c r="BY604" s="12"/>
      <c r="CB604" s="13"/>
      <c r="CD604" s="13"/>
      <c r="DW604" s="5"/>
    </row>
    <row r="605" spans="8:220" ht="18" customHeight="1" x14ac:dyDescent="0.2">
      <c r="H605" s="4"/>
      <c r="S605" s="12"/>
      <c r="U605" s="14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6"/>
      <c r="AV605" s="14"/>
      <c r="AW605" s="15"/>
      <c r="AX605" s="15"/>
      <c r="AY605" s="15"/>
      <c r="AZ605" s="15"/>
      <c r="BA605" s="15"/>
      <c r="BB605" s="15"/>
      <c r="BC605" s="15"/>
      <c r="BD605" s="15"/>
      <c r="BS605" s="12"/>
      <c r="BV605" s="13"/>
      <c r="BY605" s="12"/>
      <c r="CB605" s="13"/>
      <c r="CD605" s="13"/>
      <c r="DV605" s="9"/>
      <c r="DW605" s="11"/>
    </row>
    <row r="606" spans="8:220" ht="18" customHeight="1" x14ac:dyDescent="0.2">
      <c r="H606" s="4"/>
      <c r="S606" s="12"/>
      <c r="Y606" s="127"/>
      <c r="Z606" s="127"/>
      <c r="AA606" s="127"/>
      <c r="AB606" s="127"/>
      <c r="AC606" s="127"/>
      <c r="AW606" s="127"/>
      <c r="AX606" s="127"/>
      <c r="AY606" s="127"/>
      <c r="AZ606" s="127"/>
      <c r="BA606" s="127"/>
      <c r="BB606" s="127"/>
      <c r="BE606" s="12"/>
      <c r="BS606" s="14"/>
      <c r="BT606" s="15"/>
      <c r="BU606" s="15"/>
      <c r="BV606" s="16"/>
      <c r="BY606" s="12"/>
      <c r="CB606" s="13"/>
      <c r="CD606" s="13"/>
      <c r="DV606" s="12"/>
      <c r="DW606" s="13"/>
    </row>
    <row r="607" spans="8:220" ht="18" customHeight="1" x14ac:dyDescent="0.2">
      <c r="H607" s="4"/>
      <c r="S607" s="12"/>
      <c r="U607" s="9"/>
      <c r="V607" s="10"/>
      <c r="W607" s="10"/>
      <c r="X607" s="10"/>
      <c r="Y607" s="10"/>
      <c r="Z607" s="10"/>
      <c r="AA607" s="10"/>
      <c r="AB607" s="10"/>
      <c r="AC607" s="10"/>
      <c r="AD607" s="11"/>
      <c r="AF607" s="9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  <c r="BB607" s="10"/>
      <c r="BC607" s="11"/>
      <c r="BE607" s="12"/>
      <c r="BY607" s="12"/>
      <c r="CB607" s="13"/>
      <c r="CD607" s="13"/>
      <c r="CH607" s="9"/>
      <c r="CI607" s="10"/>
      <c r="CJ607" s="10"/>
      <c r="CK607" s="10"/>
      <c r="CL607" s="10"/>
      <c r="CM607" s="11"/>
      <c r="CN607" s="10"/>
      <c r="CO607" s="10"/>
      <c r="CP607" s="10"/>
      <c r="CQ607" s="10"/>
      <c r="CR607" s="10"/>
      <c r="CS607" s="10"/>
      <c r="CT607" s="10"/>
      <c r="CU607" s="10"/>
      <c r="CV607" s="10"/>
      <c r="CW607" s="10"/>
      <c r="CX607" s="10"/>
      <c r="CY607" s="10"/>
      <c r="CZ607" s="10"/>
      <c r="DA607" s="10"/>
      <c r="DB607" s="10"/>
      <c r="DC607" s="10"/>
      <c r="DD607" s="10"/>
      <c r="DE607" s="10"/>
      <c r="DF607" s="11"/>
      <c r="DV607" s="12"/>
      <c r="DW607" s="13"/>
    </row>
    <row r="608" spans="8:220" ht="18" customHeight="1" x14ac:dyDescent="0.2">
      <c r="H608" s="4"/>
      <c r="S608" s="12"/>
      <c r="U608" s="12"/>
      <c r="AD608" s="13"/>
      <c r="AF608" s="12"/>
      <c r="BC608" s="13"/>
      <c r="BE608" s="12"/>
      <c r="BY608" s="14"/>
      <c r="BZ608" s="15"/>
      <c r="CA608" s="15"/>
      <c r="CB608" s="16"/>
      <c r="CD608" s="13"/>
      <c r="CH608" s="12"/>
      <c r="CM608" s="13"/>
      <c r="DF608" s="13"/>
      <c r="DV608" s="12"/>
      <c r="DW608" s="13"/>
    </row>
    <row r="609" spans="8:127" ht="18" customHeight="1" x14ac:dyDescent="0.2">
      <c r="H609" s="4"/>
      <c r="S609" s="12"/>
      <c r="U609" s="12"/>
      <c r="AD609" s="13"/>
      <c r="AF609" s="12"/>
      <c r="BC609" s="13"/>
      <c r="BE609" s="14"/>
      <c r="BF609" s="15"/>
      <c r="CB609" s="13"/>
      <c r="CD609" s="13"/>
      <c r="CH609" s="12"/>
      <c r="CM609" s="13"/>
      <c r="DF609" s="13"/>
      <c r="DV609" s="12"/>
      <c r="DW609" s="13"/>
    </row>
    <row r="610" spans="8:127" ht="18" customHeight="1" x14ac:dyDescent="0.2">
      <c r="H610" s="4"/>
      <c r="S610" s="12"/>
      <c r="U610" s="12"/>
      <c r="AD610" s="13"/>
      <c r="AF610" s="12"/>
      <c r="BC610" s="13"/>
      <c r="BE610" s="9"/>
      <c r="BF610" s="10"/>
      <c r="BG610" s="11"/>
      <c r="CB610" s="13"/>
      <c r="CD610" s="13"/>
      <c r="CH610" s="12"/>
      <c r="CM610" s="13"/>
      <c r="DF610" s="13"/>
      <c r="DV610" s="12"/>
      <c r="DW610" s="13"/>
    </row>
    <row r="611" spans="8:127" ht="18" customHeight="1" x14ac:dyDescent="0.2">
      <c r="H611" s="4"/>
      <c r="S611" s="12"/>
      <c r="U611" s="14"/>
      <c r="V611" s="15"/>
      <c r="W611" s="15"/>
      <c r="X611" s="15"/>
      <c r="Y611" s="15"/>
      <c r="Z611" s="15"/>
      <c r="AA611" s="15"/>
      <c r="AB611" s="15"/>
      <c r="AC611" s="15"/>
      <c r="AD611" s="16"/>
      <c r="AF611" s="12"/>
      <c r="BC611" s="13"/>
      <c r="BE611" s="12"/>
      <c r="BG611" s="13"/>
      <c r="CB611" s="13"/>
      <c r="CD611" s="13"/>
      <c r="CH611" s="12"/>
      <c r="CM611" s="13"/>
      <c r="DF611" s="13"/>
      <c r="DV611" s="12"/>
      <c r="DW611" s="13"/>
    </row>
    <row r="612" spans="8:127" ht="18" customHeight="1" x14ac:dyDescent="0.2">
      <c r="H612" s="4"/>
      <c r="S612" s="12"/>
      <c r="U612" s="12"/>
      <c r="Z612" s="12"/>
      <c r="AD612" s="13"/>
      <c r="AF612" s="12"/>
      <c r="BC612" s="13"/>
      <c r="BE612" s="14"/>
      <c r="BF612" s="15"/>
      <c r="BG612" s="16"/>
      <c r="CB612" s="13"/>
      <c r="CD612" s="13"/>
      <c r="CE612" s="12"/>
      <c r="CH612" s="12"/>
      <c r="CM612" s="13"/>
      <c r="DF612" s="13"/>
      <c r="DV612" s="12"/>
      <c r="DW612" s="13"/>
    </row>
    <row r="613" spans="8:127" ht="18" customHeight="1" x14ac:dyDescent="0.2">
      <c r="H613" s="4"/>
      <c r="S613" s="12"/>
      <c r="U613" s="12"/>
      <c r="Z613" s="12"/>
      <c r="AD613" s="13"/>
      <c r="AF613" s="12"/>
      <c r="BC613" s="13"/>
      <c r="BE613" s="9"/>
      <c r="BF613" s="10"/>
      <c r="BG613" s="10"/>
      <c r="BH613" s="10"/>
      <c r="BI613" s="10"/>
      <c r="BJ613" s="11"/>
      <c r="CB613" s="13"/>
      <c r="CD613" s="13"/>
      <c r="CH613" s="12"/>
      <c r="CM613" s="13"/>
      <c r="DF613" s="13"/>
      <c r="DV613" s="12"/>
      <c r="DW613" s="13"/>
    </row>
    <row r="614" spans="8:127" ht="18" customHeight="1" x14ac:dyDescent="0.2">
      <c r="H614" s="4"/>
      <c r="S614" s="12"/>
      <c r="U614" s="12"/>
      <c r="Z614" s="12"/>
      <c r="AD614" s="13"/>
      <c r="AF614" s="12"/>
      <c r="BC614" s="13"/>
      <c r="BE614" s="9"/>
      <c r="BF614" s="11"/>
      <c r="BG614" s="10"/>
      <c r="BH614" s="10"/>
      <c r="BI614" s="10"/>
      <c r="BJ614" s="11"/>
      <c r="CB614" s="13"/>
      <c r="CD614" s="13"/>
      <c r="CH614" s="12"/>
      <c r="CM614" s="13"/>
      <c r="DF614" s="13"/>
      <c r="DV614" s="12"/>
      <c r="DW614" s="13"/>
    </row>
    <row r="615" spans="8:127" ht="18" customHeight="1" x14ac:dyDescent="0.2">
      <c r="H615" s="4"/>
      <c r="S615" s="12"/>
      <c r="U615" s="12"/>
      <c r="Z615" s="12"/>
      <c r="AD615" s="13"/>
      <c r="AF615" s="12"/>
      <c r="BC615" s="13"/>
      <c r="BE615" s="12"/>
      <c r="BF615" s="13"/>
      <c r="BJ615" s="13"/>
      <c r="BZ615" s="9"/>
      <c r="CA615" s="10"/>
      <c r="CB615" s="11"/>
      <c r="CD615" s="13"/>
      <c r="CH615" s="12"/>
      <c r="CM615" s="13"/>
      <c r="DF615" s="13"/>
      <c r="DV615" s="12"/>
      <c r="DW615" s="13"/>
    </row>
    <row r="616" spans="8:127" ht="18" customHeight="1" x14ac:dyDescent="0.2">
      <c r="H616" s="4"/>
      <c r="S616" s="12"/>
      <c r="U616" s="14"/>
      <c r="V616" s="15"/>
      <c r="W616" s="15"/>
      <c r="X616" s="15"/>
      <c r="Y616" s="15"/>
      <c r="Z616" s="14"/>
      <c r="AA616" s="15"/>
      <c r="AB616" s="15"/>
      <c r="AC616" s="15"/>
      <c r="AD616" s="13"/>
      <c r="AF616" s="12"/>
      <c r="BC616" s="13"/>
      <c r="BE616" s="12"/>
      <c r="BF616" s="13"/>
      <c r="BJ616" s="13"/>
      <c r="BZ616" s="12"/>
      <c r="CB616" s="17"/>
      <c r="CD616" s="13"/>
      <c r="CH616" s="12"/>
      <c r="CM616" s="13"/>
      <c r="DF616" s="13"/>
      <c r="DV616" s="12"/>
      <c r="DW616" s="13"/>
    </row>
    <row r="617" spans="8:127" ht="18" customHeight="1" x14ac:dyDescent="0.2">
      <c r="H617" s="4"/>
      <c r="S617" s="12"/>
      <c r="AC617" s="10"/>
      <c r="AD617" s="10"/>
      <c r="AE617" s="11"/>
      <c r="BC617" s="13"/>
      <c r="BE617" s="12"/>
      <c r="BF617" s="13"/>
      <c r="BJ617" s="13"/>
      <c r="BZ617" s="12"/>
      <c r="CB617" s="18"/>
      <c r="CD617" s="13"/>
      <c r="CH617" s="14"/>
      <c r="CI617" s="15"/>
      <c r="CJ617" s="15"/>
      <c r="CK617" s="15"/>
      <c r="CL617" s="15"/>
      <c r="CM617" s="16"/>
      <c r="CN617" s="15"/>
      <c r="CO617" s="15"/>
      <c r="CP617" s="15"/>
      <c r="CQ617" s="15"/>
      <c r="CR617" s="15"/>
      <c r="CS617" s="15"/>
      <c r="CT617" s="15"/>
      <c r="CU617" s="15"/>
      <c r="CV617" s="15"/>
      <c r="CW617" s="15"/>
      <c r="CX617" s="15"/>
      <c r="CY617" s="15"/>
      <c r="CZ617" s="15"/>
      <c r="DA617" s="15"/>
      <c r="DB617" s="15"/>
      <c r="DC617" s="15"/>
      <c r="DD617" s="15"/>
      <c r="DE617" s="15"/>
      <c r="DF617" s="16"/>
      <c r="DV617" s="12"/>
      <c r="DW617" s="13"/>
    </row>
    <row r="618" spans="8:127" ht="18" customHeight="1" x14ac:dyDescent="0.2">
      <c r="H618" s="4"/>
      <c r="S618" s="14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E618" s="13"/>
      <c r="BC618" s="13"/>
      <c r="BE618" s="12"/>
      <c r="BF618" s="13"/>
      <c r="BG618" s="15"/>
      <c r="BH618" s="15"/>
      <c r="BI618" s="15"/>
      <c r="BJ618" s="16"/>
      <c r="BZ618" s="12"/>
      <c r="CB618" s="18"/>
      <c r="CD618" s="13"/>
      <c r="DV618" s="12"/>
      <c r="DW618" s="13"/>
    </row>
    <row r="619" spans="8:127" ht="18" customHeight="1" x14ac:dyDescent="0.2">
      <c r="H619" s="4"/>
      <c r="AD619" s="14"/>
      <c r="AE619" s="16"/>
      <c r="BC619" s="13"/>
      <c r="BE619" s="12"/>
      <c r="BF619" s="13"/>
      <c r="BG619" s="10"/>
      <c r="BH619" s="10"/>
      <c r="BI619" s="10"/>
      <c r="BJ619" s="11"/>
      <c r="BZ619" s="12"/>
      <c r="CB619" s="18"/>
      <c r="CD619" s="13"/>
      <c r="DV619" s="12"/>
      <c r="DW619" s="13"/>
    </row>
    <row r="620" spans="8:127" ht="18" customHeight="1" x14ac:dyDescent="0.2">
      <c r="H620" s="4"/>
      <c r="AC620" s="13"/>
      <c r="AD620" s="18"/>
      <c r="AE620" s="12"/>
      <c r="AF620" s="12"/>
      <c r="BC620" s="13"/>
      <c r="BE620" s="12"/>
      <c r="BF620" s="13"/>
      <c r="BJ620" s="13"/>
      <c r="BZ620" s="12"/>
      <c r="CB620" s="18"/>
      <c r="CD620" s="13"/>
      <c r="DV620" s="14"/>
      <c r="DW620" s="16"/>
    </row>
    <row r="621" spans="8:127" ht="18" customHeight="1" x14ac:dyDescent="0.2">
      <c r="H621" s="4"/>
      <c r="AC621" s="13"/>
      <c r="AD621" s="18"/>
      <c r="AE621" s="12"/>
      <c r="AF621" s="12"/>
      <c r="BC621" s="13"/>
      <c r="BE621" s="12"/>
      <c r="BF621" s="13"/>
      <c r="BJ621" s="13"/>
      <c r="BZ621" s="12"/>
      <c r="CB621" s="19"/>
      <c r="CD621" s="13"/>
      <c r="DW621" s="5"/>
    </row>
    <row r="622" spans="8:127" ht="18" customHeight="1" x14ac:dyDescent="0.2">
      <c r="H622" s="4"/>
      <c r="AC622" s="13"/>
      <c r="AD622" s="18"/>
      <c r="AE622" s="12"/>
      <c r="AF622" s="12"/>
      <c r="BC622" s="13"/>
      <c r="BE622" s="12"/>
      <c r="BF622" s="13"/>
      <c r="BJ622" s="13"/>
      <c r="BZ622" s="14"/>
      <c r="CA622" s="15"/>
      <c r="CB622" s="16"/>
      <c r="CD622" s="13"/>
      <c r="DW622" s="5"/>
    </row>
    <row r="623" spans="8:127" ht="18" customHeight="1" x14ac:dyDescent="0.2">
      <c r="H623" s="4"/>
      <c r="AD623" s="18"/>
      <c r="AE623" s="12"/>
      <c r="AF623" s="12"/>
      <c r="BC623" s="13"/>
      <c r="BE623" s="12"/>
      <c r="BF623" s="13"/>
      <c r="BJ623" s="13"/>
      <c r="CB623" s="13"/>
      <c r="CD623" s="13"/>
      <c r="DW623" s="5"/>
    </row>
    <row r="624" spans="8:127" ht="18" customHeight="1" x14ac:dyDescent="0.2">
      <c r="H624" s="4"/>
      <c r="AC624" s="13"/>
      <c r="AD624" s="18"/>
      <c r="AE624" s="12"/>
      <c r="AF624" s="12"/>
      <c r="BC624" s="13"/>
      <c r="BE624" s="20"/>
      <c r="BF624" s="21"/>
      <c r="BG624" s="21"/>
      <c r="BH624" s="21"/>
      <c r="BI624" s="21"/>
      <c r="BJ624" s="22"/>
      <c r="CB624" s="13"/>
      <c r="CD624" s="13"/>
      <c r="DW624" s="5"/>
    </row>
    <row r="625" spans="8:127" ht="18" customHeight="1" x14ac:dyDescent="0.2">
      <c r="H625" s="4"/>
      <c r="AC625" s="13"/>
      <c r="AD625" s="19"/>
      <c r="AE625" s="14"/>
      <c r="AF625" s="12"/>
      <c r="BC625" s="13"/>
      <c r="BE625" s="12"/>
      <c r="BG625" s="13"/>
      <c r="CB625" s="13"/>
      <c r="CD625" s="13"/>
      <c r="DW625" s="5"/>
    </row>
    <row r="626" spans="8:127" ht="18" customHeight="1" x14ac:dyDescent="0.2">
      <c r="H626" s="4"/>
      <c r="AC626" s="13"/>
      <c r="AF626" s="14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15"/>
      <c r="AZ626" s="15"/>
      <c r="BA626" s="15"/>
      <c r="BB626" s="15"/>
      <c r="BC626" s="16"/>
      <c r="BE626" s="12"/>
      <c r="BG626" s="13"/>
      <c r="CB626" s="13"/>
      <c r="CD626" s="13"/>
      <c r="DW626" s="5"/>
    </row>
    <row r="627" spans="8:127" ht="18" customHeight="1" x14ac:dyDescent="0.2">
      <c r="H627" s="4"/>
      <c r="AC627" s="13"/>
      <c r="BE627" s="14"/>
      <c r="BF627" s="15"/>
      <c r="BG627" s="16"/>
      <c r="CB627" s="13"/>
      <c r="CD627" s="13"/>
      <c r="DW627" s="5"/>
    </row>
    <row r="628" spans="8:127" ht="18" customHeight="1" x14ac:dyDescent="0.2">
      <c r="H628" s="4"/>
      <c r="AC628" s="13"/>
      <c r="AF628" s="9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74"/>
      <c r="BA628" s="85"/>
      <c r="BB628" s="85"/>
      <c r="BC628" s="75"/>
      <c r="BE628" s="12"/>
      <c r="CB628" s="13"/>
      <c r="CC628" s="12"/>
      <c r="CE628" s="14"/>
      <c r="CF628" s="15"/>
      <c r="CG628" s="15"/>
      <c r="CH628" s="15"/>
      <c r="CI628" s="15"/>
      <c r="CJ628" s="15"/>
      <c r="CK628" s="15"/>
      <c r="CL628" s="15"/>
      <c r="CM628" s="15"/>
      <c r="CN628" s="15"/>
      <c r="CO628" s="15"/>
      <c r="CP628" s="15"/>
      <c r="CQ628" s="15"/>
      <c r="CR628" s="15"/>
      <c r="CS628" s="15"/>
      <c r="CT628" s="15"/>
      <c r="CU628" s="15"/>
      <c r="DW628" s="5"/>
    </row>
    <row r="629" spans="8:127" ht="18" customHeight="1" x14ac:dyDescent="0.2">
      <c r="H629" s="4"/>
      <c r="AD629" s="12"/>
      <c r="AF629" s="12"/>
      <c r="AZ629" s="86"/>
      <c r="BA629" s="87"/>
      <c r="BB629" s="87"/>
      <c r="BC629" s="88"/>
      <c r="BE629" s="12"/>
      <c r="CB629" s="13"/>
      <c r="CC629" s="17"/>
      <c r="CD629" s="17"/>
      <c r="CU629" s="13"/>
      <c r="DW629" s="5"/>
    </row>
    <row r="630" spans="8:127" ht="18" customHeight="1" x14ac:dyDescent="0.2">
      <c r="H630" s="4"/>
      <c r="AD630" s="12"/>
      <c r="AF630" s="12"/>
      <c r="AZ630" s="86"/>
      <c r="BA630" s="87"/>
      <c r="BB630" s="87"/>
      <c r="BC630" s="88"/>
      <c r="BE630" s="12"/>
      <c r="CB630" s="13"/>
      <c r="CC630" s="18"/>
      <c r="CD630" s="18"/>
      <c r="CE630" s="9"/>
      <c r="CF630" s="10"/>
      <c r="CG630" s="10"/>
      <c r="CH630" s="10"/>
      <c r="CI630" s="10"/>
      <c r="CJ630" s="10"/>
      <c r="CK630" s="10"/>
      <c r="CL630" s="10"/>
      <c r="CM630" s="10"/>
      <c r="CN630" s="10"/>
      <c r="CO630" s="10"/>
      <c r="CP630" s="10"/>
      <c r="CQ630" s="10"/>
      <c r="CR630" s="10"/>
      <c r="CS630" s="10"/>
      <c r="CT630" s="11"/>
      <c r="CU630" s="13"/>
      <c r="DW630" s="5"/>
    </row>
    <row r="631" spans="8:127" ht="18" customHeight="1" x14ac:dyDescent="0.2">
      <c r="H631" s="4"/>
      <c r="AD631" s="12"/>
      <c r="AF631" s="12"/>
      <c r="AZ631" s="76"/>
      <c r="BA631" s="89"/>
      <c r="BB631" s="89"/>
      <c r="BC631" s="77"/>
      <c r="BE631" s="12"/>
      <c r="CB631" s="13"/>
      <c r="CC631" s="18"/>
      <c r="CD631" s="18"/>
      <c r="CE631" s="12"/>
      <c r="CT631" s="13"/>
      <c r="CU631" s="13"/>
      <c r="DW631" s="5"/>
    </row>
    <row r="632" spans="8:127" ht="18" customHeight="1" x14ac:dyDescent="0.2">
      <c r="H632" s="4"/>
      <c r="AD632" s="12"/>
      <c r="AF632" s="12"/>
      <c r="AJ632" s="9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33"/>
      <c r="BA632" s="134"/>
      <c r="BB632" s="134"/>
      <c r="BC632" s="143"/>
      <c r="BD632" s="10"/>
      <c r="CB632" s="13"/>
      <c r="CC632" s="19"/>
      <c r="CD632" s="19"/>
      <c r="CE632" s="12"/>
      <c r="CT632" s="13"/>
      <c r="CU632" s="13"/>
      <c r="DW632" s="5"/>
    </row>
    <row r="633" spans="8:127" ht="18" customHeight="1" x14ac:dyDescent="0.2">
      <c r="H633" s="4"/>
      <c r="AD633" s="17"/>
      <c r="AE633" s="17"/>
      <c r="AF633" s="12"/>
      <c r="AJ633" s="12"/>
      <c r="CB633" s="13"/>
      <c r="CC633" s="12"/>
      <c r="CE633" s="12"/>
      <c r="CT633" s="13"/>
      <c r="CU633" s="13"/>
      <c r="DW633" s="5"/>
    </row>
    <row r="634" spans="8:127" ht="18" customHeight="1" x14ac:dyDescent="0.2">
      <c r="H634" s="4"/>
      <c r="AD634" s="18"/>
      <c r="AE634" s="18"/>
      <c r="AF634" s="12"/>
      <c r="AG634" s="9"/>
      <c r="AH634" s="11"/>
      <c r="AJ634" s="12"/>
      <c r="CB634" s="13"/>
      <c r="CD634" s="13"/>
      <c r="CE634" s="12"/>
      <c r="CI634" s="9"/>
      <c r="CJ634" s="10"/>
      <c r="CK634" s="10"/>
      <c r="CL634" s="10"/>
      <c r="CM634" s="10"/>
      <c r="CN634" s="10"/>
      <c r="CO634" s="10"/>
      <c r="CP634" s="11"/>
      <c r="CT634" s="13"/>
      <c r="CU634" s="13"/>
      <c r="CV634" s="9"/>
      <c r="CW634" s="10"/>
      <c r="CX634" s="10"/>
      <c r="CY634" s="10"/>
      <c r="CZ634" s="10"/>
      <c r="DA634" s="10"/>
      <c r="DB634" s="10"/>
      <c r="DC634" s="10"/>
      <c r="DD634" s="10"/>
      <c r="DE634" s="10"/>
      <c r="DF634" s="10"/>
      <c r="DG634" s="10"/>
      <c r="DH634" s="10"/>
      <c r="DI634" s="10"/>
      <c r="DJ634" s="10"/>
      <c r="DK634" s="10"/>
      <c r="DL634" s="10"/>
      <c r="DM634" s="10"/>
      <c r="DN634" s="10"/>
      <c r="DO634" s="10"/>
      <c r="DP634" s="10"/>
      <c r="DQ634" s="10"/>
      <c r="DR634" s="10"/>
      <c r="DS634" s="10"/>
      <c r="DT634" s="10"/>
      <c r="DU634" s="10"/>
      <c r="DV634" s="9"/>
      <c r="DW634" s="11"/>
    </row>
    <row r="635" spans="8:127" ht="18" customHeight="1" x14ac:dyDescent="0.2">
      <c r="H635" s="4"/>
      <c r="AD635" s="18"/>
      <c r="AE635" s="18"/>
      <c r="AF635" s="12"/>
      <c r="AG635" s="12"/>
      <c r="AH635" s="13"/>
      <c r="AJ635" s="12"/>
      <c r="CB635" s="13"/>
      <c r="CC635" s="12"/>
      <c r="CE635" s="12"/>
      <c r="CI635" s="12"/>
      <c r="CP635" s="13"/>
      <c r="CT635" s="13"/>
      <c r="CU635" s="13"/>
      <c r="CV635" s="12"/>
      <c r="DV635" s="12"/>
      <c r="DW635" s="13"/>
    </row>
    <row r="636" spans="8:127" ht="18" customHeight="1" x14ac:dyDescent="0.2">
      <c r="H636" s="4"/>
      <c r="AD636" s="18"/>
      <c r="AE636" s="18"/>
      <c r="AF636" s="12"/>
      <c r="AG636" s="12"/>
      <c r="AH636" s="13"/>
      <c r="AJ636" s="12"/>
      <c r="CB636" s="13"/>
      <c r="CD636" s="13"/>
      <c r="CE636" s="12"/>
      <c r="CI636" s="12"/>
      <c r="CP636" s="13"/>
      <c r="CT636" s="13"/>
      <c r="CU636" s="13"/>
      <c r="CV636" s="12"/>
      <c r="DV636" s="12"/>
      <c r="DW636" s="13"/>
    </row>
    <row r="637" spans="8:127" ht="18" customHeight="1" x14ac:dyDescent="0.2">
      <c r="H637" s="4"/>
      <c r="AD637" s="18"/>
      <c r="AE637" s="18"/>
      <c r="AF637" s="12"/>
      <c r="AG637" s="14"/>
      <c r="AH637" s="16"/>
      <c r="AJ637" s="12"/>
      <c r="CB637" s="13"/>
      <c r="CD637" s="13"/>
      <c r="CE637" s="12"/>
      <c r="CI637" s="12"/>
      <c r="CP637" s="13"/>
      <c r="CT637" s="13"/>
      <c r="CU637" s="13"/>
      <c r="CV637" s="12"/>
      <c r="DV637" s="12"/>
      <c r="DW637" s="13"/>
    </row>
    <row r="638" spans="8:127" ht="18" customHeight="1" x14ac:dyDescent="0.2">
      <c r="H638" s="4"/>
      <c r="AD638" s="19"/>
      <c r="AE638" s="19"/>
      <c r="AF638" s="12"/>
      <c r="AJ638" s="12"/>
      <c r="CB638" s="13"/>
      <c r="CD638" s="13"/>
      <c r="CE638" s="12"/>
      <c r="CI638" s="12"/>
      <c r="CP638" s="13"/>
      <c r="CT638" s="13"/>
      <c r="CU638" s="13"/>
      <c r="CV638" s="12"/>
      <c r="DV638" s="12"/>
      <c r="DW638" s="13"/>
    </row>
    <row r="639" spans="8:127" ht="18" customHeight="1" x14ac:dyDescent="0.2">
      <c r="H639" s="4"/>
      <c r="AD639" s="12"/>
      <c r="AF639" s="12"/>
      <c r="AJ639" s="14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Y639" s="15"/>
      <c r="AZ639" s="15"/>
      <c r="BA639" s="15"/>
      <c r="BB639" s="15"/>
      <c r="BC639" s="15"/>
      <c r="BD639" s="15"/>
      <c r="BE639" s="15"/>
      <c r="BF639" s="15"/>
      <c r="BG639" s="15"/>
      <c r="BH639" s="15"/>
      <c r="BI639" s="15"/>
      <c r="BJ639" s="15"/>
      <c r="BK639" s="15"/>
      <c r="BL639" s="15"/>
      <c r="BM639" s="15"/>
      <c r="BN639" s="15"/>
      <c r="BO639" s="15"/>
      <c r="BP639" s="15"/>
      <c r="BQ639" s="15"/>
      <c r="BR639" s="15"/>
      <c r="BS639" s="15"/>
      <c r="BT639" s="15"/>
      <c r="BU639" s="15"/>
      <c r="BV639" s="15"/>
      <c r="BW639" s="15"/>
      <c r="BX639" s="15"/>
      <c r="BY639" s="15"/>
      <c r="BZ639" s="15"/>
      <c r="CA639" s="15"/>
      <c r="CB639" s="16"/>
      <c r="CD639" s="13"/>
      <c r="CE639" s="12"/>
      <c r="CI639" s="12"/>
      <c r="CP639" s="13"/>
      <c r="CT639" s="13"/>
      <c r="CU639" s="13"/>
      <c r="CV639" s="12"/>
      <c r="DV639" s="12"/>
      <c r="DW639" s="13"/>
    </row>
    <row r="640" spans="8:127" ht="18" customHeight="1" x14ac:dyDescent="0.2">
      <c r="H640" s="4"/>
      <c r="AD640" s="12"/>
      <c r="AF640" s="12"/>
      <c r="AW640" s="9"/>
      <c r="AX640" s="10"/>
      <c r="AY640" s="10"/>
      <c r="AZ640" s="10"/>
      <c r="BA640" s="10"/>
      <c r="BB640" s="10"/>
      <c r="BC640" s="10"/>
      <c r="BD640" s="10"/>
      <c r="BE640" s="10"/>
      <c r="BF640" s="10"/>
      <c r="BG640" s="10"/>
      <c r="BH640" s="10"/>
      <c r="BI640" s="10"/>
      <c r="BJ640" s="20"/>
      <c r="BK640" s="21"/>
      <c r="BL640" s="21"/>
      <c r="BM640" s="21"/>
      <c r="BN640" s="21"/>
      <c r="BO640" s="22"/>
      <c r="BV640" s="127"/>
      <c r="BW640" s="127"/>
      <c r="BX640" s="127"/>
      <c r="BY640" s="127"/>
      <c r="BZ640" s="127"/>
      <c r="CA640" s="127"/>
      <c r="CD640" s="13"/>
      <c r="CE640" s="12"/>
      <c r="CI640" s="12"/>
      <c r="CP640" s="13"/>
      <c r="CT640" s="13"/>
      <c r="CU640" s="13"/>
      <c r="CV640" s="12"/>
      <c r="DV640" s="12"/>
      <c r="DW640" s="13"/>
    </row>
    <row r="641" spans="8:127" ht="18" customHeight="1" x14ac:dyDescent="0.2">
      <c r="H641" s="4"/>
      <c r="AD641" s="12"/>
      <c r="AF641" s="12"/>
      <c r="AW641" s="12"/>
      <c r="BJ641" s="9"/>
      <c r="BK641" s="10"/>
      <c r="BL641" s="10"/>
      <c r="BM641" s="10"/>
      <c r="BN641" s="10"/>
      <c r="BO641" s="11"/>
      <c r="BV641" s="127"/>
      <c r="BW641" s="127"/>
      <c r="BX641" s="127"/>
      <c r="BY641" s="127"/>
      <c r="BZ641" s="127"/>
      <c r="CA641" s="127"/>
      <c r="CD641" s="13"/>
      <c r="CE641" s="12"/>
      <c r="CI641" s="12"/>
      <c r="CP641" s="13"/>
      <c r="CT641" s="13"/>
      <c r="CU641" s="13"/>
      <c r="CV641" s="14"/>
      <c r="CW641" s="15"/>
      <c r="CX641" s="15"/>
      <c r="CY641" s="15"/>
      <c r="CZ641" s="15"/>
      <c r="DA641" s="15"/>
      <c r="DB641" s="15"/>
      <c r="DC641" s="15"/>
      <c r="DD641" s="15"/>
      <c r="DE641" s="15"/>
      <c r="DF641" s="15"/>
      <c r="DG641" s="15"/>
      <c r="DH641" s="15"/>
      <c r="DI641" s="15"/>
      <c r="DJ641" s="15"/>
      <c r="DK641" s="15"/>
      <c r="DL641" s="15"/>
      <c r="DM641" s="15"/>
      <c r="DN641" s="15"/>
      <c r="DO641" s="15"/>
      <c r="DP641" s="15"/>
      <c r="DQ641" s="15"/>
      <c r="DR641" s="15"/>
      <c r="DS641" s="15"/>
      <c r="DT641" s="15"/>
      <c r="DU641" s="15"/>
      <c r="DV641" s="14"/>
      <c r="DW641" s="16"/>
    </row>
    <row r="642" spans="8:127" ht="18" customHeight="1" x14ac:dyDescent="0.2">
      <c r="H642" s="4"/>
      <c r="AD642" s="12"/>
      <c r="AF642" s="12"/>
      <c r="AW642" s="12"/>
      <c r="AY642" s="9"/>
      <c r="AZ642" s="10"/>
      <c r="BA642" s="10"/>
      <c r="BB642" s="10"/>
      <c r="BC642" s="10"/>
      <c r="BD642" s="10"/>
      <c r="BE642" s="10"/>
      <c r="BF642" s="10"/>
      <c r="BG642" s="10"/>
      <c r="BH642" s="10"/>
      <c r="BI642" s="10"/>
      <c r="BJ642" s="10"/>
      <c r="BK642" s="10"/>
      <c r="BL642" s="10"/>
      <c r="BM642" s="10"/>
      <c r="BN642" s="10"/>
      <c r="BO642" s="10"/>
      <c r="BP642" s="10"/>
      <c r="BQ642" s="10"/>
      <c r="BR642" s="10"/>
      <c r="BS642" s="10"/>
      <c r="BT642" s="10"/>
      <c r="BU642" s="10"/>
      <c r="BV642" s="10"/>
      <c r="BW642" s="10"/>
      <c r="BX642" s="10"/>
      <c r="BY642" s="10"/>
      <c r="BZ642" s="10"/>
      <c r="CA642" s="10"/>
      <c r="CB642" s="10"/>
      <c r="CC642" s="10"/>
      <c r="CD642" s="10"/>
      <c r="CE642" s="10"/>
      <c r="CF642" s="10"/>
      <c r="CG642" s="10"/>
      <c r="CH642" s="10"/>
      <c r="CI642" s="10"/>
      <c r="CJ642" s="10"/>
      <c r="CK642" s="10"/>
      <c r="CL642" s="10"/>
      <c r="CM642" s="10"/>
      <c r="CN642" s="10"/>
      <c r="CO642" s="10"/>
      <c r="CP642" s="10"/>
      <c r="CQ642" s="10"/>
      <c r="CR642" s="10"/>
      <c r="CS642" s="10"/>
      <c r="CT642" s="11"/>
      <c r="CU642" s="13"/>
      <c r="DW642" s="5"/>
    </row>
    <row r="643" spans="8:127" ht="18" customHeight="1" x14ac:dyDescent="0.2">
      <c r="H643" s="4"/>
      <c r="AD643" s="12"/>
      <c r="AF643" s="14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2"/>
      <c r="AY643" s="12"/>
      <c r="CT643" s="13"/>
      <c r="CU643" s="13"/>
      <c r="DW643" s="5"/>
    </row>
    <row r="644" spans="8:127" ht="18" customHeight="1" x14ac:dyDescent="0.2">
      <c r="H644" s="4"/>
      <c r="AD644" s="12"/>
      <c r="AX644" s="13"/>
      <c r="AY644" s="12"/>
      <c r="CT644" s="13"/>
      <c r="CU644" s="13"/>
      <c r="DW644" s="5"/>
    </row>
    <row r="645" spans="8:127" ht="18" customHeight="1" x14ac:dyDescent="0.2">
      <c r="H645" s="4"/>
      <c r="AD645" s="14"/>
      <c r="AE645" s="15"/>
      <c r="AF645" s="15"/>
      <c r="AG645" s="15"/>
      <c r="AH645" s="15"/>
      <c r="AI645" s="15"/>
      <c r="AJ645" s="15"/>
      <c r="AK645" s="15"/>
      <c r="AL645" s="15"/>
      <c r="AM645" s="15"/>
      <c r="AO645" s="15"/>
      <c r="AP645" s="15"/>
      <c r="AR645" s="15"/>
      <c r="AT645" s="15"/>
      <c r="AU645" s="15"/>
      <c r="AV645" s="15"/>
      <c r="AW645" s="15"/>
      <c r="AX645" s="15"/>
      <c r="AY645" s="12"/>
      <c r="CT645" s="13"/>
      <c r="CU645" s="13"/>
      <c r="DW645" s="5"/>
    </row>
    <row r="646" spans="8:127" ht="18" customHeight="1" x14ac:dyDescent="0.2">
      <c r="H646" s="4"/>
      <c r="AN646" s="10"/>
      <c r="AQ646" s="10"/>
      <c r="AS646" s="10"/>
      <c r="AV646" s="10"/>
      <c r="AX646" s="12"/>
      <c r="AY646" s="12"/>
      <c r="CT646" s="13"/>
      <c r="CU646" s="13"/>
      <c r="DW646" s="5"/>
    </row>
    <row r="647" spans="8:127" ht="18" customHeight="1" x14ac:dyDescent="0.2">
      <c r="H647" s="4"/>
      <c r="AX647" s="12"/>
      <c r="AY647" s="12"/>
      <c r="CT647" s="13"/>
      <c r="CU647" s="13"/>
      <c r="DW647" s="5"/>
    </row>
    <row r="648" spans="8:127" ht="18" customHeight="1" x14ac:dyDescent="0.2">
      <c r="H648" s="4"/>
      <c r="AX648" s="12"/>
      <c r="AY648" s="12"/>
      <c r="CT648" s="13"/>
      <c r="CU648" s="13"/>
      <c r="DW648" s="5"/>
    </row>
    <row r="649" spans="8:127" ht="18" customHeight="1" x14ac:dyDescent="0.2">
      <c r="H649" s="4"/>
      <c r="AX649" s="12"/>
      <c r="AY649" s="12"/>
      <c r="CT649" s="13"/>
      <c r="CU649" s="13"/>
      <c r="DW649" s="5"/>
    </row>
    <row r="650" spans="8:127" ht="18" customHeight="1" x14ac:dyDescent="0.2">
      <c r="H650" s="4"/>
      <c r="AX650" s="12"/>
      <c r="AY650" s="12"/>
      <c r="CT650" s="13"/>
      <c r="CU650" s="13"/>
      <c r="DW650" s="5"/>
    </row>
    <row r="651" spans="8:127" ht="18" customHeight="1" x14ac:dyDescent="0.2">
      <c r="H651" s="4"/>
      <c r="AX651" s="12"/>
      <c r="AY651" s="12"/>
      <c r="CT651" s="13"/>
      <c r="CU651" s="13"/>
      <c r="DW651" s="5"/>
    </row>
    <row r="652" spans="8:127" ht="18" customHeight="1" x14ac:dyDescent="0.2">
      <c r="H652" s="4"/>
      <c r="AX652" s="12"/>
      <c r="AY652" s="12"/>
      <c r="CT652" s="13"/>
      <c r="CU652" s="13"/>
      <c r="DW652" s="5"/>
    </row>
    <row r="653" spans="8:127" ht="18" customHeight="1" x14ac:dyDescent="0.2">
      <c r="H653" s="4"/>
      <c r="AX653" s="12"/>
      <c r="AY653" s="12"/>
      <c r="CT653" s="13"/>
      <c r="CU653" s="13"/>
      <c r="DW653" s="5"/>
    </row>
    <row r="654" spans="8:127" ht="18" customHeight="1" x14ac:dyDescent="0.2">
      <c r="H654" s="4"/>
      <c r="AX654" s="12"/>
      <c r="AY654" s="12"/>
      <c r="CT654" s="13"/>
      <c r="CU654" s="13"/>
      <c r="DW654" s="5"/>
    </row>
    <row r="655" spans="8:127" ht="18" customHeight="1" x14ac:dyDescent="0.2">
      <c r="H655" s="4"/>
      <c r="AX655" s="12"/>
      <c r="AY655" s="12"/>
      <c r="CT655" s="13"/>
      <c r="CU655" s="13"/>
      <c r="DW655" s="5"/>
    </row>
    <row r="656" spans="8:127" ht="18" customHeight="1" x14ac:dyDescent="0.2">
      <c r="H656" s="4"/>
      <c r="AX656" s="12"/>
      <c r="AY656" s="12"/>
      <c r="CT656" s="13"/>
      <c r="CU656" s="13"/>
      <c r="DW656" s="5"/>
    </row>
    <row r="657" spans="8:127" ht="18" customHeight="1" x14ac:dyDescent="0.2">
      <c r="H657" s="4"/>
      <c r="AX657" s="12"/>
      <c r="AY657" s="12"/>
      <c r="CT657" s="13"/>
      <c r="CU657" s="13"/>
      <c r="DW657" s="5"/>
    </row>
    <row r="658" spans="8:127" ht="18" customHeight="1" x14ac:dyDescent="0.2">
      <c r="H658" s="4"/>
      <c r="AX658" s="12"/>
      <c r="AY658" s="12"/>
      <c r="CT658" s="13"/>
      <c r="CU658" s="13"/>
      <c r="DW658" s="5"/>
    </row>
    <row r="659" spans="8:127" ht="18" customHeight="1" x14ac:dyDescent="0.2">
      <c r="H659" s="4"/>
      <c r="AX659" s="12"/>
      <c r="AY659" s="12"/>
      <c r="CT659" s="13"/>
      <c r="CU659" s="13"/>
      <c r="DW659" s="5"/>
    </row>
    <row r="660" spans="8:127" ht="18" customHeight="1" x14ac:dyDescent="0.2">
      <c r="H660" s="4"/>
      <c r="AX660" s="12"/>
      <c r="AY660" s="12"/>
      <c r="CT660" s="13"/>
      <c r="CU660" s="13"/>
      <c r="DW660" s="5"/>
    </row>
    <row r="661" spans="8:127" ht="18" customHeight="1" x14ac:dyDescent="0.2">
      <c r="H661" s="4"/>
      <c r="AX661" s="12"/>
      <c r="AY661" s="14"/>
      <c r="AZ661" s="15"/>
      <c r="BA661" s="15"/>
      <c r="BB661" s="15"/>
      <c r="BC661" s="15"/>
      <c r="BD661" s="15"/>
      <c r="BE661" s="15"/>
      <c r="BF661" s="15"/>
      <c r="BG661" s="15"/>
      <c r="BH661" s="15"/>
      <c r="BI661" s="15"/>
      <c r="BJ661" s="15"/>
      <c r="BK661" s="15"/>
      <c r="BL661" s="15"/>
      <c r="BM661" s="15"/>
      <c r="BN661" s="15"/>
      <c r="BO661" s="15"/>
      <c r="BP661" s="15"/>
      <c r="BQ661" s="15"/>
      <c r="BR661" s="15"/>
      <c r="BS661" s="15"/>
      <c r="BT661" s="15"/>
      <c r="BU661" s="15"/>
      <c r="BV661" s="15"/>
      <c r="BW661" s="15"/>
      <c r="BX661" s="15"/>
      <c r="BY661" s="15"/>
      <c r="BZ661" s="15"/>
      <c r="CA661" s="15"/>
      <c r="CB661" s="15"/>
      <c r="CC661" s="15"/>
      <c r="CD661" s="15"/>
      <c r="CE661" s="15"/>
      <c r="CF661" s="15"/>
      <c r="CG661" s="15"/>
      <c r="CH661" s="15"/>
      <c r="CI661" s="15"/>
      <c r="CJ661" s="15"/>
      <c r="CK661" s="15"/>
      <c r="CL661" s="15"/>
      <c r="CM661" s="15"/>
      <c r="CN661" s="15"/>
      <c r="CO661" s="15"/>
      <c r="CP661" s="15"/>
      <c r="CQ661" s="15"/>
      <c r="CR661" s="15"/>
      <c r="CS661" s="15"/>
      <c r="CT661" s="16"/>
      <c r="CU661" s="13"/>
      <c r="DW661" s="5"/>
    </row>
    <row r="662" spans="8:127" ht="18" customHeight="1" x14ac:dyDescent="0.2">
      <c r="H662" s="4"/>
      <c r="AX662" s="14"/>
      <c r="AY662" s="15"/>
      <c r="AZ662" s="15"/>
      <c r="BA662" s="15"/>
      <c r="BB662" s="15"/>
      <c r="BC662" s="15"/>
      <c r="BD662" s="15"/>
      <c r="BE662" s="15"/>
      <c r="BF662" s="15"/>
      <c r="BG662" s="15"/>
      <c r="BH662" s="15"/>
      <c r="BI662" s="15"/>
      <c r="BJ662" s="15"/>
      <c r="BK662" s="15"/>
      <c r="BL662" s="15"/>
      <c r="BM662" s="15"/>
      <c r="BN662" s="15"/>
      <c r="BO662" s="15"/>
      <c r="BP662" s="15"/>
      <c r="BQ662" s="15"/>
      <c r="BR662" s="15"/>
      <c r="BS662" s="15"/>
      <c r="BT662" s="15"/>
      <c r="BU662" s="15"/>
      <c r="BV662" s="15"/>
      <c r="BW662" s="15"/>
      <c r="BX662" s="15"/>
      <c r="BY662" s="15"/>
      <c r="BZ662" s="15"/>
      <c r="CA662" s="15"/>
      <c r="CB662" s="15"/>
      <c r="CC662" s="15"/>
      <c r="CD662" s="15"/>
      <c r="CE662" s="15"/>
      <c r="CF662" s="15"/>
      <c r="CG662" s="15"/>
      <c r="CH662" s="15"/>
      <c r="CI662" s="15"/>
      <c r="CJ662" s="15"/>
      <c r="CK662" s="15"/>
      <c r="CL662" s="15"/>
      <c r="CM662" s="15"/>
      <c r="CN662" s="15"/>
      <c r="CO662" s="15"/>
      <c r="CP662" s="15"/>
      <c r="CQ662" s="15"/>
      <c r="CR662" s="15"/>
      <c r="CS662" s="15"/>
      <c r="CT662" s="15"/>
      <c r="CU662" s="16"/>
      <c r="DW662" s="5"/>
    </row>
    <row r="663" spans="8:127" ht="18" customHeight="1" x14ac:dyDescent="0.2">
      <c r="H663" s="4"/>
      <c r="DW663" s="5"/>
    </row>
    <row r="664" spans="8:127" ht="18" customHeight="1" x14ac:dyDescent="0.2">
      <c r="H664" s="4"/>
      <c r="DW664" s="5"/>
    </row>
    <row r="665" spans="8:127" ht="18" customHeight="1" x14ac:dyDescent="0.2">
      <c r="H665" s="4"/>
      <c r="DW665" s="5"/>
    </row>
    <row r="666" spans="8:127" ht="18" customHeight="1" x14ac:dyDescent="0.2">
      <c r="H666" s="4"/>
      <c r="DW666" s="5"/>
    </row>
    <row r="667" spans="8:127" ht="18" customHeight="1" x14ac:dyDescent="0.2">
      <c r="H667" s="4"/>
      <c r="DW667" s="5"/>
    </row>
    <row r="668" spans="8:127" ht="18" customHeight="1" x14ac:dyDescent="0.2">
      <c r="H668" s="4"/>
      <c r="DW668" s="5"/>
    </row>
    <row r="669" spans="8:127" ht="18" customHeight="1" x14ac:dyDescent="0.2">
      <c r="H669" s="4"/>
      <c r="DW669" s="5"/>
    </row>
    <row r="670" spans="8:127" ht="18" customHeight="1" x14ac:dyDescent="0.2">
      <c r="H670" s="4"/>
      <c r="DW670" s="5"/>
    </row>
    <row r="671" spans="8:127" ht="18" customHeight="1" x14ac:dyDescent="0.2">
      <c r="H671" s="4"/>
      <c r="DW671" s="5"/>
    </row>
    <row r="672" spans="8:127" ht="18" customHeight="1" x14ac:dyDescent="0.2">
      <c r="H672" s="4"/>
      <c r="DW672" s="5"/>
    </row>
    <row r="673" spans="8:127" ht="18" customHeight="1" x14ac:dyDescent="0.2">
      <c r="H673" s="4"/>
      <c r="DW673" s="5"/>
    </row>
    <row r="674" spans="8:127" ht="18" customHeight="1" x14ac:dyDescent="0.2">
      <c r="H674" s="4"/>
      <c r="DW674" s="5"/>
    </row>
    <row r="675" spans="8:127" ht="18" customHeight="1" thickBot="1" x14ac:dyDescent="0.25">
      <c r="H675" s="6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  <c r="BL675" s="7"/>
      <c r="BM675" s="7"/>
      <c r="BN675" s="7"/>
      <c r="BO675" s="7"/>
      <c r="BP675" s="7"/>
      <c r="BQ675" s="7"/>
      <c r="BR675" s="7"/>
      <c r="BS675" s="7"/>
      <c r="BT675" s="7"/>
      <c r="BU675" s="7"/>
      <c r="BV675" s="7"/>
      <c r="BW675" s="7"/>
      <c r="BX675" s="7"/>
      <c r="BY675" s="7"/>
      <c r="BZ675" s="7"/>
      <c r="CA675" s="7"/>
      <c r="CB675" s="7"/>
      <c r="CC675" s="7"/>
      <c r="CD675" s="7"/>
      <c r="CE675" s="7"/>
      <c r="CF675" s="7"/>
      <c r="CG675" s="7"/>
      <c r="CH675" s="7"/>
      <c r="CI675" s="7"/>
      <c r="CJ675" s="7"/>
      <c r="CK675" s="7"/>
      <c r="CL675" s="7"/>
      <c r="CM675" s="7"/>
      <c r="CN675" s="7"/>
      <c r="CO675" s="7"/>
      <c r="CP675" s="7"/>
      <c r="CQ675" s="7"/>
      <c r="CR675" s="7"/>
      <c r="CS675" s="7"/>
      <c r="CT675" s="7"/>
      <c r="CU675" s="7"/>
      <c r="CV675" s="7"/>
      <c r="CW675" s="7"/>
      <c r="CX675" s="7"/>
      <c r="CY675" s="7"/>
      <c r="CZ675" s="7"/>
      <c r="DA675" s="7"/>
      <c r="DB675" s="7"/>
      <c r="DC675" s="7"/>
      <c r="DD675" s="7"/>
      <c r="DE675" s="7"/>
      <c r="DF675" s="7"/>
      <c r="DG675" s="7"/>
      <c r="DH675" s="7"/>
      <c r="DI675" s="7"/>
      <c r="DJ675" s="7"/>
      <c r="DK675" s="7"/>
      <c r="DL675" s="7"/>
      <c r="DM675" s="7"/>
      <c r="DN675" s="7"/>
      <c r="DO675" s="7"/>
      <c r="DP675" s="7"/>
      <c r="DQ675" s="7"/>
      <c r="DR675" s="7"/>
      <c r="DS675" s="7"/>
      <c r="DT675" s="7"/>
      <c r="DU675" s="7"/>
      <c r="DV675" s="7"/>
      <c r="DW675" s="8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54EC3-A040-2C48-8B06-B13E8C7DACA2}">
  <sheetPr codeName="Sheet4"/>
  <dimension ref="H5:PR494"/>
  <sheetViews>
    <sheetView topLeftCell="HV380" zoomScale="34" zoomScaleNormal="40" workbookViewId="0">
      <selection activeCell="KY452" sqref="KY452"/>
    </sheetView>
  </sheetViews>
  <sheetFormatPr baseColWidth="10" defaultColWidth="3" defaultRowHeight="18" customHeight="1" x14ac:dyDescent="0.2"/>
  <cols>
    <col min="18" max="18" width="3" customWidth="1"/>
    <col min="66" max="66" width="3" customWidth="1"/>
    <col min="77" max="77" width="3" customWidth="1"/>
    <col min="103" max="103" width="3" customWidth="1"/>
  </cols>
  <sheetData>
    <row r="5" spans="8:127" ht="18" customHeight="1" thickBot="1" x14ac:dyDescent="0.25"/>
    <row r="6" spans="8:127" ht="18" customHeight="1" x14ac:dyDescent="0.2">
      <c r="H6" s="1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3"/>
    </row>
    <row r="7" spans="8:127" ht="18" customHeight="1" x14ac:dyDescent="0.2">
      <c r="H7" s="4"/>
      <c r="DW7" s="5"/>
    </row>
    <row r="8" spans="8:127" ht="18" customHeight="1" x14ac:dyDescent="0.2">
      <c r="H8" s="4"/>
      <c r="DW8" s="5"/>
    </row>
    <row r="9" spans="8:127" ht="18" customHeight="1" x14ac:dyDescent="0.2">
      <c r="H9" s="4"/>
      <c r="DW9" s="5"/>
    </row>
    <row r="10" spans="8:127" ht="18" customHeight="1" x14ac:dyDescent="0.2">
      <c r="H10" s="4"/>
      <c r="DW10" s="5"/>
    </row>
    <row r="11" spans="8:127" ht="18" customHeight="1" x14ac:dyDescent="0.2">
      <c r="H11" s="4"/>
      <c r="DW11" s="5"/>
    </row>
    <row r="12" spans="8:127" ht="18" customHeight="1" x14ac:dyDescent="0.2">
      <c r="H12" s="4"/>
      <c r="DW12" s="5"/>
    </row>
    <row r="13" spans="8:127" ht="18" customHeight="1" x14ac:dyDescent="0.2">
      <c r="H13" s="4"/>
      <c r="DW13" s="5"/>
    </row>
    <row r="14" spans="8:127" ht="18" customHeight="1" x14ac:dyDescent="0.2">
      <c r="H14" s="4"/>
      <c r="DW14" s="5"/>
    </row>
    <row r="15" spans="8:127" ht="18" customHeight="1" x14ac:dyDescent="0.2">
      <c r="H15" s="4"/>
      <c r="DW15" s="5"/>
    </row>
    <row r="16" spans="8:127" ht="18" customHeight="1" x14ac:dyDescent="0.2">
      <c r="H16" s="4"/>
      <c r="DW16" s="5"/>
    </row>
    <row r="17" spans="8:283" ht="18" customHeight="1" x14ac:dyDescent="0.2">
      <c r="H17" s="4"/>
      <c r="DW17" s="5"/>
    </row>
    <row r="18" spans="8:283" ht="18" customHeight="1" x14ac:dyDescent="0.2">
      <c r="H18" s="4"/>
      <c r="DW18" s="5"/>
      <c r="FJ18" s="15"/>
      <c r="FK18" s="15"/>
      <c r="FL18" s="15"/>
      <c r="FM18" s="15"/>
      <c r="IK18" s="15"/>
      <c r="IL18" s="15"/>
      <c r="IM18" s="15"/>
      <c r="IN18" s="15"/>
    </row>
    <row r="19" spans="8:283" ht="18" customHeight="1" x14ac:dyDescent="0.2">
      <c r="H19" s="4"/>
      <c r="DW19" s="5"/>
      <c r="EM19" s="40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4"/>
      <c r="HN19" s="40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4"/>
    </row>
    <row r="20" spans="8:283" ht="18" customHeight="1" x14ac:dyDescent="0.2">
      <c r="H20" s="4"/>
      <c r="DW20" s="5"/>
      <c r="EM20" s="42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5"/>
      <c r="HN20" s="42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  <c r="IW20" s="43"/>
      <c r="IX20" s="43"/>
      <c r="IY20" s="43"/>
      <c r="IZ20" s="43"/>
      <c r="JA20" s="43"/>
      <c r="JB20" s="43"/>
      <c r="JC20" s="43"/>
      <c r="JD20" s="43"/>
      <c r="JE20" s="43"/>
      <c r="JF20" s="43"/>
      <c r="JG20" s="43"/>
      <c r="JH20" s="43"/>
      <c r="JI20" s="43"/>
      <c r="JJ20" s="45"/>
    </row>
    <row r="21" spans="8:283" ht="18" customHeight="1" x14ac:dyDescent="0.2">
      <c r="H21" s="4"/>
      <c r="DW21" s="5"/>
      <c r="EM21" s="42"/>
      <c r="EN21" s="43"/>
      <c r="EO21" s="9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1"/>
      <c r="FO21" s="11"/>
      <c r="FP21" s="10"/>
      <c r="FQ21" s="10"/>
      <c r="FR21" s="10"/>
      <c r="FS21" s="10"/>
      <c r="FT21" s="11"/>
      <c r="FU21" s="10"/>
      <c r="FV21" s="10"/>
      <c r="FW21" s="10"/>
      <c r="FX21" s="10"/>
      <c r="FY21" s="11"/>
      <c r="FZ21" s="43"/>
      <c r="GA21" s="45"/>
      <c r="HN21" s="42"/>
      <c r="HO21" s="43"/>
      <c r="HP21" s="9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1"/>
      <c r="IP21" s="11"/>
      <c r="IQ21" s="10"/>
      <c r="IR21" s="10"/>
      <c r="IS21" s="10"/>
      <c r="IT21" s="10"/>
      <c r="IU21" s="11"/>
      <c r="IV21" s="10"/>
      <c r="IW21" s="10"/>
      <c r="IX21" s="10"/>
      <c r="IY21" s="10"/>
      <c r="IZ21" s="11"/>
      <c r="JA21" s="9"/>
      <c r="JB21" s="10"/>
      <c r="JC21" s="10"/>
      <c r="JD21" s="10"/>
      <c r="JE21" s="10"/>
      <c r="JF21" s="10"/>
      <c r="JG21" s="10"/>
      <c r="JH21" s="11"/>
      <c r="JI21" s="43"/>
      <c r="JJ21" s="45"/>
    </row>
    <row r="22" spans="8:283" ht="18" customHeight="1" x14ac:dyDescent="0.2">
      <c r="H22" s="4"/>
      <c r="DW22" s="5"/>
      <c r="EM22" s="42"/>
      <c r="EN22" s="43"/>
      <c r="EO22" s="12"/>
      <c r="FN22" s="13"/>
      <c r="FO22" s="13"/>
      <c r="FT22" s="13"/>
      <c r="FY22" s="13"/>
      <c r="FZ22" s="43"/>
      <c r="GA22" s="45"/>
      <c r="HN22" s="42"/>
      <c r="HO22" s="43"/>
      <c r="HP22" s="12"/>
      <c r="IO22" s="13"/>
      <c r="IP22" s="13"/>
      <c r="IU22" s="13"/>
      <c r="IZ22" s="13"/>
      <c r="JA22" s="12"/>
      <c r="JH22" s="13"/>
      <c r="JI22" s="43"/>
      <c r="JJ22" s="45"/>
    </row>
    <row r="23" spans="8:283" ht="18" customHeight="1" x14ac:dyDescent="0.2">
      <c r="H23" s="4"/>
      <c r="DW23" s="5"/>
      <c r="EM23" s="42"/>
      <c r="EN23" s="43"/>
      <c r="EO23" s="12"/>
      <c r="FN23" s="13"/>
      <c r="FO23" s="13"/>
      <c r="FT23" s="13"/>
      <c r="FY23" s="13"/>
      <c r="FZ23" s="43"/>
      <c r="GA23" s="45"/>
      <c r="HN23" s="42"/>
      <c r="HO23" s="43"/>
      <c r="HP23" s="12"/>
      <c r="IO23" s="13"/>
      <c r="IP23" s="13"/>
      <c r="IU23" s="13"/>
      <c r="IZ23" s="13"/>
      <c r="JA23" s="12"/>
      <c r="JH23" s="13"/>
      <c r="JI23" s="43"/>
      <c r="JJ23" s="45"/>
    </row>
    <row r="24" spans="8:283" ht="18" customHeight="1" x14ac:dyDescent="0.2">
      <c r="H24" s="4"/>
      <c r="DW24" s="5"/>
      <c r="EM24" s="42"/>
      <c r="EN24" s="43"/>
      <c r="EO24" s="12"/>
      <c r="FN24" s="13"/>
      <c r="FO24" s="13"/>
      <c r="FT24" s="13"/>
      <c r="FY24" s="13"/>
      <c r="FZ24" s="43"/>
      <c r="GA24" s="45"/>
      <c r="HN24" s="42"/>
      <c r="HO24" s="43"/>
      <c r="HP24" s="12"/>
      <c r="IO24" s="13"/>
      <c r="IP24" s="13"/>
      <c r="IU24" s="13"/>
      <c r="IZ24" s="13"/>
      <c r="JA24" s="12"/>
      <c r="JH24" s="13"/>
      <c r="JI24" s="43"/>
      <c r="JJ24" s="45"/>
    </row>
    <row r="25" spans="8:283" ht="18" customHeight="1" x14ac:dyDescent="0.2">
      <c r="H25" s="4"/>
      <c r="DW25" s="5"/>
      <c r="EM25" s="42"/>
      <c r="EN25" s="43"/>
      <c r="EO25" s="12"/>
      <c r="FN25" s="13"/>
      <c r="FO25" s="13"/>
      <c r="FP25" s="15"/>
      <c r="FQ25" s="15"/>
      <c r="FR25" s="15"/>
      <c r="FS25" s="15"/>
      <c r="FT25" s="16"/>
      <c r="FU25" s="15"/>
      <c r="FV25" s="15"/>
      <c r="FW25" s="15"/>
      <c r="FX25" s="15"/>
      <c r="FY25" s="16"/>
      <c r="FZ25" s="43"/>
      <c r="GA25" s="45"/>
      <c r="HN25" s="42"/>
      <c r="HO25" s="43"/>
      <c r="HP25" s="12"/>
      <c r="IO25" s="13"/>
      <c r="IP25" s="13"/>
      <c r="IQ25" s="15"/>
      <c r="IR25" s="15"/>
      <c r="IS25" s="15"/>
      <c r="IT25" s="15"/>
      <c r="IU25" s="16"/>
      <c r="IV25" s="15"/>
      <c r="IW25" s="15"/>
      <c r="IX25" s="15"/>
      <c r="IY25" s="15"/>
      <c r="IZ25" s="16"/>
      <c r="JA25" s="12"/>
      <c r="JH25" s="13"/>
      <c r="JI25" s="43"/>
      <c r="JJ25" s="45"/>
    </row>
    <row r="26" spans="8:283" ht="18" customHeight="1" x14ac:dyDescent="0.2">
      <c r="H26" s="4"/>
      <c r="DW26" s="5"/>
      <c r="EM26" s="42"/>
      <c r="EN26" s="43"/>
      <c r="EO26" s="12"/>
      <c r="FN26" s="13"/>
      <c r="FO26" s="13"/>
      <c r="FY26" s="11"/>
      <c r="FZ26" s="43"/>
      <c r="GA26" s="45"/>
      <c r="HN26" s="42"/>
      <c r="HO26" s="43"/>
      <c r="HP26" s="12"/>
      <c r="IO26" s="13"/>
      <c r="IP26" s="13"/>
      <c r="JA26" s="12"/>
      <c r="JH26" s="13"/>
      <c r="JI26" s="43"/>
      <c r="JJ26" s="45"/>
    </row>
    <row r="27" spans="8:283" ht="18" customHeight="1" x14ac:dyDescent="0.2">
      <c r="H27" s="4"/>
      <c r="DW27" s="5"/>
      <c r="EM27" s="42"/>
      <c r="EN27" s="43"/>
      <c r="EO27" s="12"/>
      <c r="FN27" s="13"/>
      <c r="FO27" s="13"/>
      <c r="FY27" s="13"/>
      <c r="FZ27" s="43"/>
      <c r="GA27" s="45"/>
      <c r="HN27" s="42"/>
      <c r="HO27" s="43"/>
      <c r="HP27" s="12"/>
      <c r="IO27" s="13"/>
      <c r="IP27" s="13"/>
      <c r="JA27" s="12"/>
      <c r="JH27" s="13"/>
      <c r="JI27" s="43"/>
      <c r="JJ27" s="45"/>
    </row>
    <row r="28" spans="8:283" ht="18" customHeight="1" x14ac:dyDescent="0.2">
      <c r="H28" s="4"/>
      <c r="DW28" s="5"/>
      <c r="EM28" s="42"/>
      <c r="EN28" s="43"/>
      <c r="EO28" s="12"/>
      <c r="FN28" s="13"/>
      <c r="FO28" s="13"/>
      <c r="FY28" s="13"/>
      <c r="FZ28" s="43"/>
      <c r="GA28" s="45"/>
      <c r="HN28" s="42"/>
      <c r="HO28" s="43"/>
      <c r="HP28" s="12"/>
      <c r="IO28" s="13"/>
      <c r="IP28" s="13"/>
      <c r="JA28" s="12"/>
      <c r="JH28" s="13"/>
      <c r="JI28" s="43"/>
      <c r="JJ28" s="45"/>
    </row>
    <row r="29" spans="8:283" ht="18" customHeight="1" x14ac:dyDescent="0.2">
      <c r="H29" s="4"/>
      <c r="DW29" s="5"/>
      <c r="EM29" s="42"/>
      <c r="EN29" s="43"/>
      <c r="EO29" s="12"/>
      <c r="FN29" s="13"/>
      <c r="FO29" s="13"/>
      <c r="FY29" s="13"/>
      <c r="FZ29" s="43"/>
      <c r="GA29" s="45"/>
      <c r="GC29" s="15"/>
      <c r="GE29" s="15"/>
      <c r="GG29" s="15"/>
      <c r="GI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HN29" s="42"/>
      <c r="HO29" s="43"/>
      <c r="HP29" s="12"/>
      <c r="IO29" s="13"/>
      <c r="IP29" s="13"/>
      <c r="JA29" s="12"/>
      <c r="JH29" s="13"/>
      <c r="JI29" s="43"/>
      <c r="JJ29" s="4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</row>
    <row r="30" spans="8:283" ht="18" customHeight="1" x14ac:dyDescent="0.2">
      <c r="H30" s="4"/>
      <c r="DW30" s="5"/>
      <c r="EM30" s="42"/>
      <c r="EN30" s="43"/>
      <c r="EO30" s="12"/>
      <c r="FN30" s="13"/>
      <c r="FO30" s="13"/>
      <c r="FY30" s="16"/>
      <c r="FZ30" s="42"/>
      <c r="GA30" s="43"/>
      <c r="GB30" s="41"/>
      <c r="GC30" s="43"/>
      <c r="GD30" s="41"/>
      <c r="GE30" s="43"/>
      <c r="GF30" s="41"/>
      <c r="GG30" s="43"/>
      <c r="GH30" s="41"/>
      <c r="GI30" s="43"/>
      <c r="GJ30" s="41"/>
      <c r="GK30" s="43"/>
      <c r="GL30" s="43"/>
      <c r="GM30" s="123"/>
      <c r="GN30" s="109"/>
      <c r="GO30" s="109"/>
      <c r="GP30" s="109"/>
      <c r="GQ30" s="109"/>
      <c r="GR30" s="124"/>
      <c r="GS30" s="43"/>
      <c r="GT30" s="43"/>
      <c r="GU30" s="43"/>
      <c r="GV30" s="44"/>
      <c r="HN30" s="42"/>
      <c r="HO30" s="43"/>
      <c r="HP30" s="12"/>
      <c r="IO30" s="13"/>
      <c r="IP30" s="13"/>
      <c r="IY30" s="15"/>
      <c r="IZ30" s="15"/>
      <c r="JA30" s="14"/>
      <c r="JB30" s="15"/>
      <c r="JC30" s="15"/>
      <c r="JD30" s="15"/>
      <c r="JE30" s="15"/>
      <c r="JF30" s="15"/>
      <c r="JG30" s="15"/>
      <c r="JH30" s="16"/>
      <c r="JI30" s="42"/>
      <c r="JJ30" s="43"/>
      <c r="JK30" s="41"/>
      <c r="JL30" s="43"/>
      <c r="JM30" s="43"/>
      <c r="JN30" s="123"/>
      <c r="JO30" s="109"/>
      <c r="JP30" s="109"/>
      <c r="JQ30" s="109"/>
      <c r="JR30" s="109"/>
      <c r="JS30" s="124"/>
      <c r="JT30" s="43"/>
      <c r="JU30" s="43"/>
      <c r="JV30" s="43"/>
      <c r="JW30" s="44"/>
    </row>
    <row r="31" spans="8:283" ht="18" customHeight="1" x14ac:dyDescent="0.2">
      <c r="H31" s="4"/>
      <c r="DW31" s="5"/>
      <c r="EM31" s="42"/>
      <c r="EN31" s="43"/>
      <c r="EO31" s="12"/>
      <c r="FN31" s="13"/>
      <c r="FO31" s="13"/>
      <c r="FP31" s="10"/>
      <c r="FQ31" s="10"/>
      <c r="FR31" s="92"/>
      <c r="FS31" s="92"/>
      <c r="FT31" s="92"/>
      <c r="FU31" s="92"/>
      <c r="FV31" s="92"/>
      <c r="FW31" s="10"/>
      <c r="FX31" s="10"/>
      <c r="FY31" s="15"/>
      <c r="FZ31" s="46"/>
      <c r="GA31" s="47"/>
      <c r="GB31" s="43"/>
      <c r="GC31" s="47"/>
      <c r="GD31" s="43"/>
      <c r="GE31" s="47"/>
      <c r="GF31" s="43"/>
      <c r="GG31" s="47"/>
      <c r="GH31" s="43"/>
      <c r="GI31" s="47"/>
      <c r="GJ31" s="43"/>
      <c r="GK31" s="47"/>
      <c r="GL31" s="47"/>
      <c r="GM31" s="123"/>
      <c r="GN31" s="109"/>
      <c r="GO31" s="109"/>
      <c r="GP31" s="109"/>
      <c r="GQ31" s="109"/>
      <c r="GR31" s="124"/>
      <c r="GS31" s="43"/>
      <c r="GT31" s="43"/>
      <c r="GU31" s="43"/>
      <c r="GV31" s="45"/>
      <c r="HN31" s="42"/>
      <c r="HO31" s="43"/>
      <c r="HP31" s="12"/>
      <c r="IO31" s="13"/>
      <c r="IP31" s="13"/>
      <c r="IQ31" s="10"/>
      <c r="IR31" s="92"/>
      <c r="IS31" s="92"/>
      <c r="IT31" s="92"/>
      <c r="IU31" s="92"/>
      <c r="IV31" s="92"/>
      <c r="IW31" s="10"/>
      <c r="IX31" s="10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46"/>
      <c r="JJ31" s="47"/>
      <c r="JK31" s="43"/>
      <c r="JL31" s="47"/>
      <c r="JM31" s="47"/>
      <c r="JN31" s="123"/>
      <c r="JO31" s="109"/>
      <c r="JP31" s="109"/>
      <c r="JQ31" s="109"/>
      <c r="JR31" s="109"/>
      <c r="JS31" s="124"/>
      <c r="JT31" s="43"/>
      <c r="JU31" s="43"/>
      <c r="JV31" s="43"/>
      <c r="JW31" s="45"/>
    </row>
    <row r="32" spans="8:283" ht="18" customHeight="1" x14ac:dyDescent="0.2">
      <c r="H32" s="4"/>
      <c r="DW32" s="5"/>
      <c r="EM32" s="42"/>
      <c r="EN32" s="43"/>
      <c r="EO32" s="12"/>
      <c r="FN32" s="13"/>
      <c r="FO32" s="13"/>
      <c r="FP32" s="10"/>
      <c r="FQ32" s="10"/>
      <c r="FR32" s="10"/>
      <c r="FS32" s="10"/>
      <c r="FT32" s="10"/>
      <c r="FU32" s="10"/>
      <c r="FV32" s="10"/>
      <c r="FW32" s="10"/>
      <c r="FX32" s="10"/>
      <c r="FY32" t="s">
        <v>45</v>
      </c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1"/>
      <c r="GU32" s="43"/>
      <c r="GV32" s="45"/>
      <c r="HN32" s="42"/>
      <c r="HO32" s="43"/>
      <c r="HP32" s="12"/>
      <c r="IO32" s="13"/>
      <c r="IP32" s="13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1"/>
      <c r="JV32" s="43"/>
      <c r="JW32" s="45"/>
    </row>
    <row r="33" spans="8:283" ht="18" customHeight="1" x14ac:dyDescent="0.2">
      <c r="H33" s="4"/>
      <c r="AL33" s="15"/>
      <c r="AM33" s="15"/>
      <c r="AN33" s="15"/>
      <c r="AO33" s="15"/>
      <c r="AP33" s="15"/>
      <c r="AQ33" s="15"/>
      <c r="AR33" s="15"/>
      <c r="AS33" s="15"/>
      <c r="DW33" s="5"/>
      <c r="EM33" s="42"/>
      <c r="EN33" s="43"/>
      <c r="EO33" s="12"/>
      <c r="FN33" s="13"/>
      <c r="FO33" s="13"/>
      <c r="GT33" s="13"/>
      <c r="GU33" s="43"/>
      <c r="GV33" s="45"/>
      <c r="HN33" s="42"/>
      <c r="HO33" s="43"/>
      <c r="HP33" s="12"/>
      <c r="IO33" s="13"/>
      <c r="IP33" s="13"/>
      <c r="JU33" s="13"/>
      <c r="JV33" s="43"/>
      <c r="JW33" s="45"/>
    </row>
    <row r="34" spans="8:283" ht="18" customHeight="1" x14ac:dyDescent="0.2">
      <c r="H34" s="4"/>
      <c r="S34" s="40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3"/>
      <c r="AM34" s="123"/>
      <c r="AN34" s="109"/>
      <c r="AO34" s="109"/>
      <c r="AP34" s="109"/>
      <c r="AQ34" s="109"/>
      <c r="AR34" s="124"/>
      <c r="AS34" s="43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4"/>
      <c r="DW34" s="5"/>
      <c r="EM34" s="42"/>
      <c r="EN34" s="43"/>
      <c r="EO34" s="12"/>
      <c r="FN34" s="13"/>
      <c r="FO34" s="90"/>
      <c r="GT34" s="13"/>
      <c r="GU34" s="43"/>
      <c r="GV34" s="45"/>
      <c r="HN34" s="42"/>
      <c r="HO34" s="43"/>
      <c r="HP34" s="12"/>
      <c r="IO34" s="13"/>
      <c r="IP34" s="90"/>
      <c r="JU34" s="13"/>
      <c r="JV34" s="43"/>
      <c r="JW34" s="45"/>
    </row>
    <row r="35" spans="8:283" ht="18" customHeight="1" x14ac:dyDescent="0.2">
      <c r="H35" s="4"/>
      <c r="S35" s="42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7"/>
      <c r="AM35" s="123"/>
      <c r="AN35" s="109"/>
      <c r="AO35" s="109"/>
      <c r="AP35" s="109"/>
      <c r="AQ35" s="109"/>
      <c r="AR35" s="124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5"/>
      <c r="DW35" s="5"/>
      <c r="EM35" s="42"/>
      <c r="EN35" s="43"/>
      <c r="EO35" s="12"/>
      <c r="FN35" s="13"/>
      <c r="FO35" s="90"/>
      <c r="GT35" s="13"/>
      <c r="GU35" s="43"/>
      <c r="GV35" s="45"/>
      <c r="HN35" s="42"/>
      <c r="HO35" s="43"/>
      <c r="HP35" s="12"/>
      <c r="IO35" s="13"/>
      <c r="IP35" s="90"/>
      <c r="JU35" s="13"/>
      <c r="JV35" s="43"/>
      <c r="JW35" s="45"/>
    </row>
    <row r="36" spans="8:283" ht="18" customHeight="1" x14ac:dyDescent="0.2">
      <c r="H36" s="4"/>
      <c r="S36" s="42"/>
      <c r="T36" s="43"/>
      <c r="U36" s="9"/>
      <c r="V36" s="10"/>
      <c r="W36" s="10"/>
      <c r="X36" s="10"/>
      <c r="Y36" s="9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1"/>
      <c r="AK36" s="10"/>
      <c r="AL36" s="10"/>
      <c r="AM36" s="10"/>
      <c r="AN36" s="10"/>
      <c r="AO36" s="10"/>
      <c r="AP36" s="10"/>
      <c r="AQ36" s="10"/>
      <c r="AR36" s="10"/>
      <c r="AS36" s="10"/>
      <c r="AT36" s="11"/>
      <c r="AU36" s="10"/>
      <c r="AV36" s="9"/>
      <c r="AW36" s="10"/>
      <c r="AX36" s="10"/>
      <c r="AY36" s="10"/>
      <c r="AZ36" s="11"/>
      <c r="BA36" s="10"/>
      <c r="BB36" s="10"/>
      <c r="BC36" s="10"/>
      <c r="BD36" s="10"/>
      <c r="BE36" s="11"/>
      <c r="BF36" s="9"/>
      <c r="BG36" s="10"/>
      <c r="BH36" s="10"/>
      <c r="BI36" s="10"/>
      <c r="BJ36" s="10"/>
      <c r="BK36" s="10"/>
      <c r="BL36" s="10"/>
      <c r="BM36" s="11"/>
      <c r="BN36" s="43"/>
      <c r="BO36" s="45"/>
      <c r="DW36" s="5"/>
      <c r="EM36" s="42"/>
      <c r="EN36" s="43"/>
      <c r="EO36" s="12"/>
      <c r="FN36" s="13"/>
      <c r="FO36" s="90"/>
      <c r="GT36" s="13"/>
      <c r="GU36" s="43"/>
      <c r="GV36" s="45"/>
      <c r="HN36" s="42"/>
      <c r="HO36" s="43"/>
      <c r="HP36" s="12"/>
      <c r="IO36" s="13"/>
      <c r="IP36" s="90"/>
      <c r="JU36" s="13"/>
      <c r="JV36" s="43"/>
      <c r="JW36" s="45"/>
    </row>
    <row r="37" spans="8:283" ht="18" customHeight="1" x14ac:dyDescent="0.2">
      <c r="H37" s="4"/>
      <c r="S37" s="42"/>
      <c r="T37" s="43"/>
      <c r="U37" s="12"/>
      <c r="Y37" s="12"/>
      <c r="AJ37" s="13"/>
      <c r="AT37" s="13"/>
      <c r="AV37" s="12"/>
      <c r="AZ37" s="13"/>
      <c r="BE37" s="13"/>
      <c r="BF37" s="12"/>
      <c r="BM37" s="13"/>
      <c r="BN37" s="43"/>
      <c r="BO37" s="45"/>
      <c r="DW37" s="5"/>
      <c r="EM37" s="42"/>
      <c r="EN37" s="43"/>
      <c r="EO37" s="12"/>
      <c r="FN37" s="13"/>
      <c r="FO37" s="90"/>
      <c r="GT37" s="13"/>
      <c r="GU37" s="43"/>
      <c r="GV37" s="45"/>
      <c r="HN37" s="42"/>
      <c r="HO37" s="43"/>
      <c r="HP37" s="12"/>
      <c r="IO37" s="13"/>
      <c r="IP37" s="90"/>
      <c r="JU37" s="13"/>
      <c r="JV37" s="43"/>
      <c r="JW37" s="45"/>
    </row>
    <row r="38" spans="8:283" ht="18" customHeight="1" x14ac:dyDescent="0.2">
      <c r="H38" s="4"/>
      <c r="S38" s="42"/>
      <c r="T38" s="43"/>
      <c r="U38" s="12"/>
      <c r="Y38" s="12"/>
      <c r="AJ38" s="13"/>
      <c r="AT38" s="13"/>
      <c r="AV38" s="12"/>
      <c r="AZ38" s="13"/>
      <c r="BE38" s="13"/>
      <c r="BF38" s="12"/>
      <c r="BM38" s="13"/>
      <c r="BN38" s="43"/>
      <c r="BO38" s="45"/>
      <c r="DW38" s="5"/>
      <c r="EM38" s="42"/>
      <c r="EN38" s="43"/>
      <c r="EO38" s="12"/>
      <c r="FN38" s="13"/>
      <c r="FO38" s="90"/>
      <c r="GT38" s="13"/>
      <c r="GU38" s="43"/>
      <c r="GV38" s="45"/>
      <c r="HN38" s="42"/>
      <c r="HO38" s="43"/>
      <c r="HP38" s="12"/>
      <c r="IO38" s="13"/>
      <c r="IP38" s="90"/>
      <c r="JU38" s="13"/>
      <c r="JV38" s="43"/>
      <c r="JW38" s="45"/>
    </row>
    <row r="39" spans="8:283" ht="18" customHeight="1" x14ac:dyDescent="0.2">
      <c r="H39" s="4"/>
      <c r="S39" s="42"/>
      <c r="T39" s="43"/>
      <c r="U39" s="12"/>
      <c r="Y39" s="12"/>
      <c r="AJ39" s="13"/>
      <c r="AT39" s="13"/>
      <c r="AV39" s="12"/>
      <c r="AZ39" s="13"/>
      <c r="BE39" s="13"/>
      <c r="BF39" s="12"/>
      <c r="BM39" s="13"/>
      <c r="BN39" s="43"/>
      <c r="BO39" s="45"/>
      <c r="DW39" s="5"/>
      <c r="EM39" s="42"/>
      <c r="EN39" s="43"/>
      <c r="EO39" s="12"/>
      <c r="FN39" s="13"/>
      <c r="FO39" s="90"/>
      <c r="GT39" s="13"/>
      <c r="GU39" s="43"/>
      <c r="GV39" s="45"/>
      <c r="HN39" s="42"/>
      <c r="HO39" s="43"/>
      <c r="HP39" s="12"/>
      <c r="IO39" s="13"/>
      <c r="IP39" s="90"/>
      <c r="JU39" s="13"/>
      <c r="JV39" s="43"/>
      <c r="JW39" s="45"/>
    </row>
    <row r="40" spans="8:283" ht="18" customHeight="1" x14ac:dyDescent="0.2">
      <c r="H40" s="4"/>
      <c r="S40" s="42"/>
      <c r="T40" s="43"/>
      <c r="U40" s="12"/>
      <c r="Y40" s="12"/>
      <c r="AJ40" s="13"/>
      <c r="AT40" s="13"/>
      <c r="AV40" s="14"/>
      <c r="AW40" s="15"/>
      <c r="AX40" s="15"/>
      <c r="AY40" s="15"/>
      <c r="AZ40" s="16"/>
      <c r="BA40" s="15"/>
      <c r="BB40" s="15"/>
      <c r="BC40" s="15"/>
      <c r="BD40" s="15"/>
      <c r="BE40" s="16"/>
      <c r="BF40" s="12"/>
      <c r="BM40" s="13"/>
      <c r="BN40" s="43"/>
      <c r="BO40" s="45"/>
      <c r="DW40" s="5"/>
      <c r="EM40" s="42"/>
      <c r="EN40" s="43"/>
      <c r="EO40" s="14"/>
      <c r="EP40" s="15"/>
      <c r="EQ40" s="15"/>
      <c r="ER40" s="15"/>
      <c r="ES40" s="15"/>
      <c r="ET40" s="15"/>
      <c r="EU40" s="15"/>
      <c r="EV40" s="15"/>
      <c r="EW40" s="15"/>
      <c r="EX40" s="15"/>
      <c r="EY40" s="15"/>
      <c r="EZ40" s="15"/>
      <c r="FA40" s="15"/>
      <c r="FB40" s="15"/>
      <c r="FC40" s="15"/>
      <c r="FD40" s="15"/>
      <c r="FE40" s="15"/>
      <c r="FF40" s="15"/>
      <c r="FG40" s="15"/>
      <c r="FH40" s="15"/>
      <c r="FI40" s="15"/>
      <c r="FJ40" s="15"/>
      <c r="FK40" s="15"/>
      <c r="FL40" s="15"/>
      <c r="FM40" s="15"/>
      <c r="FN40" s="16"/>
      <c r="FO40" s="13"/>
      <c r="FX40" s="15"/>
      <c r="GT40" s="13"/>
      <c r="GU40" s="43"/>
      <c r="GV40" s="45"/>
      <c r="HN40" s="42"/>
      <c r="HO40" s="43"/>
      <c r="HP40" s="14"/>
      <c r="HQ40" s="15"/>
      <c r="HR40" s="15"/>
      <c r="HS40" s="15"/>
      <c r="HT40" s="15"/>
      <c r="HU40" s="15"/>
      <c r="HV40" s="15"/>
      <c r="HW40" s="15"/>
      <c r="HX40" s="15"/>
      <c r="HY40" s="15"/>
      <c r="HZ40" s="15"/>
      <c r="IA40" s="15"/>
      <c r="IB40" s="15"/>
      <c r="IC40" s="15"/>
      <c r="ID40" s="15"/>
      <c r="IE40" s="15"/>
      <c r="IF40" s="15"/>
      <c r="IG40" s="15"/>
      <c r="IH40" s="15"/>
      <c r="II40" s="15"/>
      <c r="IJ40" s="15"/>
      <c r="IK40" s="15"/>
      <c r="IL40" s="15"/>
      <c r="IM40" s="15"/>
      <c r="IN40" s="15"/>
      <c r="IO40" s="16"/>
      <c r="IP40" s="13"/>
      <c r="JU40" s="13"/>
      <c r="JV40" s="43"/>
      <c r="JW40" s="45"/>
    </row>
    <row r="41" spans="8:283" ht="18" customHeight="1" x14ac:dyDescent="0.2">
      <c r="H41" s="4"/>
      <c r="S41" s="42"/>
      <c r="T41" s="43"/>
      <c r="U41" s="12"/>
      <c r="Y41" s="12"/>
      <c r="AJ41" s="13"/>
      <c r="AT41" s="13"/>
      <c r="AV41" s="12"/>
      <c r="BF41" s="12"/>
      <c r="BM41" s="13"/>
      <c r="BN41" s="43"/>
      <c r="BO41" s="45"/>
      <c r="DW41" s="5"/>
      <c r="EM41" s="42"/>
      <c r="EN41" s="43"/>
      <c r="EO41" s="14"/>
      <c r="EP41" s="100"/>
      <c r="EQ41" s="100"/>
      <c r="ER41" s="100"/>
      <c r="ES41" s="100"/>
      <c r="ET41" s="100"/>
      <c r="EU41" s="15"/>
      <c r="EV41" s="15"/>
      <c r="EW41" s="15"/>
      <c r="EX41" s="15"/>
      <c r="EY41" s="15"/>
      <c r="EZ41" s="15"/>
      <c r="FA41" s="15"/>
      <c r="FB41" s="15"/>
      <c r="FC41" s="15"/>
      <c r="FD41" s="15"/>
      <c r="FE41" s="15"/>
      <c r="FF41" s="15"/>
      <c r="FG41" s="15"/>
      <c r="FH41" s="15"/>
      <c r="FI41" s="15"/>
      <c r="FJ41" s="15"/>
      <c r="FK41" s="15"/>
      <c r="FL41" s="15"/>
      <c r="FM41" s="15"/>
      <c r="FN41" s="15"/>
      <c r="FO41" s="16"/>
      <c r="FP41" s="207"/>
      <c r="FQ41" s="207"/>
      <c r="FR41" s="207"/>
      <c r="FS41" s="207"/>
      <c r="FT41" s="207"/>
      <c r="FU41" s="207"/>
      <c r="FV41" s="207"/>
      <c r="FW41" s="207"/>
      <c r="FX41" s="209"/>
      <c r="GT41" s="13"/>
      <c r="GU41" s="43"/>
      <c r="GV41" s="45"/>
      <c r="HN41" s="42"/>
      <c r="HO41" s="43"/>
      <c r="HP41" s="14"/>
      <c r="HQ41" s="100"/>
      <c r="HR41" s="100"/>
      <c r="HS41" s="100"/>
      <c r="HT41" s="100"/>
      <c r="HU41" s="100"/>
      <c r="HV41" s="15"/>
      <c r="HW41" s="15"/>
      <c r="HX41" s="15"/>
      <c r="HY41" s="15"/>
      <c r="HZ41" s="15"/>
      <c r="IA41" s="15"/>
      <c r="IB41" s="15"/>
      <c r="IC41" s="15"/>
      <c r="ID41" s="15"/>
      <c r="IE41" s="15"/>
      <c r="IF41" s="15"/>
      <c r="IG41" s="15"/>
      <c r="IH41" s="15"/>
      <c r="II41" s="15"/>
      <c r="IJ41" s="15"/>
      <c r="IK41" s="15"/>
      <c r="IL41" s="15"/>
      <c r="IM41" s="15"/>
      <c r="IN41" s="15"/>
      <c r="IO41" s="15"/>
      <c r="IP41" s="16"/>
      <c r="JU41" s="13"/>
      <c r="JV41" s="43"/>
      <c r="JW41" s="45"/>
    </row>
    <row r="42" spans="8:283" ht="18" customHeight="1" x14ac:dyDescent="0.2">
      <c r="H42" s="4"/>
      <c r="S42" s="42"/>
      <c r="T42" s="43"/>
      <c r="U42" s="12"/>
      <c r="Y42" s="12"/>
      <c r="AJ42" s="13"/>
      <c r="AT42" s="13"/>
      <c r="AV42" s="12"/>
      <c r="BF42" s="12"/>
      <c r="BM42" s="13"/>
      <c r="BN42" s="43"/>
      <c r="BO42" s="45"/>
      <c r="DW42" s="5"/>
      <c r="EM42" s="42"/>
      <c r="EN42" s="43"/>
      <c r="EO42" s="12"/>
      <c r="EY42" s="9"/>
      <c r="EZ42" s="10"/>
      <c r="FA42" s="10"/>
      <c r="FB42" s="10"/>
      <c r="FC42" s="10"/>
      <c r="FD42" s="10"/>
      <c r="FE42" s="10"/>
      <c r="FF42" s="11"/>
      <c r="FH42" s="12"/>
      <c r="FW42" s="13"/>
      <c r="FX42" s="49"/>
      <c r="FY42" s="12"/>
      <c r="GT42" s="13"/>
      <c r="GU42" s="43"/>
      <c r="GV42" s="45"/>
      <c r="HN42" s="42"/>
      <c r="HO42" s="43"/>
      <c r="HP42" s="12"/>
      <c r="HZ42" s="9"/>
      <c r="IA42" s="10"/>
      <c r="IB42" s="10"/>
      <c r="IC42" s="10"/>
      <c r="ID42" s="10"/>
      <c r="IE42" s="10"/>
      <c r="IF42" s="10"/>
      <c r="IG42" s="11"/>
      <c r="II42" s="12"/>
      <c r="IM42" s="12"/>
      <c r="IY42" s="204"/>
      <c r="JU42" s="13"/>
      <c r="JV42" s="43"/>
      <c r="JW42" s="45"/>
    </row>
    <row r="43" spans="8:283" ht="18" customHeight="1" x14ac:dyDescent="0.2">
      <c r="H43" s="4"/>
      <c r="S43" s="42"/>
      <c r="T43" s="43"/>
      <c r="U43" s="12"/>
      <c r="Y43" s="12"/>
      <c r="AJ43" s="13"/>
      <c r="AT43" s="13"/>
      <c r="AV43" s="12"/>
      <c r="BF43" s="12"/>
      <c r="BM43" s="13"/>
      <c r="BN43" s="43"/>
      <c r="BO43" s="45"/>
      <c r="DW43" s="5"/>
      <c r="EM43" s="42"/>
      <c r="EN43" s="43"/>
      <c r="EO43" s="12"/>
      <c r="EY43" s="12"/>
      <c r="FF43" s="13"/>
      <c r="FH43" s="9"/>
      <c r="FI43" s="11"/>
      <c r="FW43" s="13"/>
      <c r="FX43" s="208"/>
      <c r="GT43" s="13"/>
      <c r="GU43" s="43"/>
      <c r="GV43" s="45"/>
      <c r="HN43" s="42"/>
      <c r="HO43" s="43"/>
      <c r="HP43" s="12"/>
      <c r="HZ43" s="12"/>
      <c r="IG43" s="13"/>
      <c r="II43" s="12"/>
      <c r="IM43" s="12"/>
      <c r="IY43" s="205"/>
      <c r="JU43" s="13"/>
      <c r="JV43" s="43"/>
      <c r="JW43" s="45"/>
    </row>
    <row r="44" spans="8:283" ht="18" customHeight="1" x14ac:dyDescent="0.2">
      <c r="H44" s="4"/>
      <c r="S44" s="42"/>
      <c r="T44" s="43"/>
      <c r="U44" s="12"/>
      <c r="Y44" s="12"/>
      <c r="AJ44" s="13"/>
      <c r="AT44" s="13"/>
      <c r="AV44" s="12"/>
      <c r="BF44" s="12"/>
      <c r="BM44" s="13"/>
      <c r="BN44" s="43"/>
      <c r="BO44" s="4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DW44" s="5"/>
      <c r="EM44" s="42"/>
      <c r="EN44" s="43"/>
      <c r="EO44" s="12"/>
      <c r="EY44" s="12"/>
      <c r="FF44" s="13"/>
      <c r="FH44" s="12"/>
      <c r="FI44" s="13"/>
      <c r="FW44" s="13"/>
      <c r="FX44" s="208"/>
      <c r="FY44" s="9"/>
      <c r="FZ44" s="10"/>
      <c r="GA44" s="10"/>
      <c r="GB44" s="10"/>
      <c r="GC44" s="10"/>
      <c r="GD44" s="11"/>
      <c r="GT44" s="13"/>
      <c r="GU44" s="43"/>
      <c r="GV44" s="45"/>
      <c r="HN44" s="42"/>
      <c r="HO44" s="43"/>
      <c r="HP44" s="12"/>
      <c r="HZ44" s="12"/>
      <c r="IG44" s="13"/>
      <c r="II44" s="12"/>
      <c r="IM44" s="12"/>
      <c r="IY44" s="205"/>
      <c r="IZ44" s="10"/>
      <c r="JA44" s="10"/>
      <c r="JB44" s="10"/>
      <c r="JC44" s="10"/>
      <c r="JD44" s="10"/>
      <c r="JE44" s="11"/>
      <c r="JU44" s="13"/>
      <c r="JV44" s="43"/>
      <c r="JW44" s="45"/>
    </row>
    <row r="45" spans="8:283" ht="18" customHeight="1" x14ac:dyDescent="0.2">
      <c r="H45" s="4"/>
      <c r="S45" s="42"/>
      <c r="T45" s="43"/>
      <c r="U45" s="12"/>
      <c r="Y45" s="12"/>
      <c r="AJ45" s="13"/>
      <c r="AT45" s="13"/>
      <c r="AV45" s="14"/>
      <c r="AW45" s="15"/>
      <c r="AX45" s="15"/>
      <c r="AY45" s="15"/>
      <c r="AZ45" s="15"/>
      <c r="BA45" s="15"/>
      <c r="BB45" s="15"/>
      <c r="BC45" s="15"/>
      <c r="BD45" s="15"/>
      <c r="BE45" s="15"/>
      <c r="BF45" s="14"/>
      <c r="BG45" s="15"/>
      <c r="BH45" s="15"/>
      <c r="BI45" s="15"/>
      <c r="BJ45" s="15"/>
      <c r="BK45" s="15"/>
      <c r="BL45" s="15"/>
      <c r="BM45" s="16"/>
      <c r="BN45" s="42"/>
      <c r="BO45" s="43"/>
      <c r="BP45" s="41"/>
      <c r="BQ45" s="43"/>
      <c r="BR45" s="43"/>
      <c r="BS45" s="123"/>
      <c r="BT45" s="109"/>
      <c r="BU45" s="109"/>
      <c r="BV45" s="109"/>
      <c r="BW45" s="109"/>
      <c r="BX45" s="124"/>
      <c r="BY45" s="43"/>
      <c r="BZ45" s="43"/>
      <c r="CA45" s="43"/>
      <c r="CB45" s="44"/>
      <c r="DW45" s="5"/>
      <c r="EM45" s="42"/>
      <c r="EN45" s="43"/>
      <c r="EO45" s="12"/>
      <c r="EY45" s="12"/>
      <c r="FF45" s="13"/>
      <c r="FH45" s="12"/>
      <c r="FI45" s="13"/>
      <c r="FW45" s="13"/>
      <c r="FX45" s="208"/>
      <c r="FY45" s="12"/>
      <c r="GD45" s="13"/>
      <c r="GT45" s="13"/>
      <c r="GU45" s="43"/>
      <c r="GV45" s="45"/>
      <c r="HN45" s="42"/>
      <c r="HO45" s="43"/>
      <c r="HP45" s="12"/>
      <c r="HZ45" s="12"/>
      <c r="IG45" s="13"/>
      <c r="II45" s="12"/>
      <c r="IJ45" s="32"/>
      <c r="IK45" s="32"/>
      <c r="IM45" s="12"/>
      <c r="IY45" s="205"/>
      <c r="JE45" s="13"/>
      <c r="JU45" s="13"/>
      <c r="JV45" s="43"/>
      <c r="JW45" s="45"/>
    </row>
    <row r="46" spans="8:283" ht="18" customHeight="1" x14ac:dyDescent="0.2">
      <c r="H46" s="4"/>
      <c r="S46" s="42"/>
      <c r="T46" s="43"/>
      <c r="U46" s="12"/>
      <c r="Y46" s="12"/>
      <c r="AJ46" s="13"/>
      <c r="AT46" s="13"/>
      <c r="AX46" s="127"/>
      <c r="AY46" s="127"/>
      <c r="AZ46" s="127"/>
      <c r="BA46" s="127"/>
      <c r="BB46" s="127"/>
      <c r="BE46" s="15"/>
      <c r="BF46" s="15"/>
      <c r="BG46" s="15"/>
      <c r="BH46" s="15"/>
      <c r="BI46" s="15"/>
      <c r="BJ46" s="15"/>
      <c r="BK46" s="15"/>
      <c r="BL46" s="15"/>
      <c r="BM46" s="15"/>
      <c r="BN46" s="46"/>
      <c r="BO46" s="47"/>
      <c r="BP46" s="43"/>
      <c r="BQ46" s="47"/>
      <c r="BR46" s="47"/>
      <c r="BS46" s="123"/>
      <c r="BT46" s="109"/>
      <c r="BU46" s="109"/>
      <c r="BV46" s="109"/>
      <c r="BW46" s="109"/>
      <c r="BX46" s="124"/>
      <c r="BY46" s="43"/>
      <c r="BZ46" s="43"/>
      <c r="CA46" s="43"/>
      <c r="CB46" s="45"/>
      <c r="DW46" s="5"/>
      <c r="EM46" s="42"/>
      <c r="EN46" s="43"/>
      <c r="EO46" s="12"/>
      <c r="EY46" s="12"/>
      <c r="FF46" s="13"/>
      <c r="FH46" s="12"/>
      <c r="FI46" s="13"/>
      <c r="FL46" s="9"/>
      <c r="FM46" s="10"/>
      <c r="FN46" s="10"/>
      <c r="FO46" s="10"/>
      <c r="FP46" s="10"/>
      <c r="FQ46" s="10"/>
      <c r="FR46" s="10"/>
      <c r="FS46" s="11"/>
      <c r="FW46" s="13"/>
      <c r="FX46" s="208"/>
      <c r="FY46" s="12"/>
      <c r="GD46" s="13"/>
      <c r="GT46" s="13"/>
      <c r="GU46" s="43"/>
      <c r="GV46" s="45"/>
      <c r="HN46" s="42"/>
      <c r="HO46" s="43"/>
      <c r="HP46" s="12"/>
      <c r="HZ46" s="12"/>
      <c r="IG46" s="13"/>
      <c r="II46" s="12"/>
      <c r="IJ46" s="32"/>
      <c r="IK46" s="32"/>
      <c r="IM46" s="12"/>
      <c r="IY46" s="205"/>
      <c r="JE46" s="13"/>
      <c r="JU46" s="13"/>
      <c r="JV46" s="43"/>
      <c r="JW46" s="45"/>
    </row>
    <row r="47" spans="8:283" ht="18" customHeight="1" x14ac:dyDescent="0.2">
      <c r="H47" s="4"/>
      <c r="S47" s="42"/>
      <c r="T47" s="43"/>
      <c r="U47" s="12"/>
      <c r="Y47" s="14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6"/>
      <c r="AT47" s="13"/>
      <c r="AU47" s="52"/>
      <c r="AV47" s="52"/>
      <c r="AW47" s="52"/>
      <c r="AX47" s="52"/>
      <c r="AY47" s="52"/>
      <c r="AZ47" s="52"/>
      <c r="BA47" s="52"/>
      <c r="BB47" s="52"/>
      <c r="BC47" s="52"/>
      <c r="BD47" s="17"/>
      <c r="BE47" t="s">
        <v>45</v>
      </c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1"/>
      <c r="CA47" s="43"/>
      <c r="CB47" s="45"/>
      <c r="DW47" s="5"/>
      <c r="EM47" s="42"/>
      <c r="EN47" s="43"/>
      <c r="EO47" s="9"/>
      <c r="EP47" s="10"/>
      <c r="EQ47" s="10"/>
      <c r="ER47" s="10"/>
      <c r="ES47" s="10"/>
      <c r="ET47" s="9"/>
      <c r="EU47" s="10"/>
      <c r="EV47" s="10"/>
      <c r="EW47" s="10"/>
      <c r="EX47" s="11"/>
      <c r="EY47" s="12"/>
      <c r="FF47" s="13"/>
      <c r="FH47" s="12"/>
      <c r="FI47" s="13"/>
      <c r="FL47" s="12"/>
      <c r="FS47" s="13"/>
      <c r="FW47" s="13"/>
      <c r="FX47" s="208"/>
      <c r="FY47" s="12"/>
      <c r="GD47" s="13"/>
      <c r="GT47" s="13"/>
      <c r="GU47" s="43"/>
      <c r="GV47" s="45"/>
      <c r="HN47" s="42"/>
      <c r="HO47" s="43"/>
      <c r="HP47" s="9"/>
      <c r="HQ47" s="10"/>
      <c r="HR47" s="10"/>
      <c r="HS47" s="10"/>
      <c r="HT47" s="10"/>
      <c r="HU47" s="9"/>
      <c r="HV47" s="10"/>
      <c r="HW47" s="10"/>
      <c r="HX47" s="10"/>
      <c r="HY47" s="11"/>
      <c r="HZ47" s="12"/>
      <c r="IG47" s="13"/>
      <c r="II47" s="12"/>
      <c r="IM47" s="12"/>
      <c r="IY47" s="205"/>
      <c r="JE47" s="13"/>
      <c r="JU47" s="13"/>
      <c r="JV47" s="43"/>
      <c r="JW47" s="45"/>
    </row>
    <row r="48" spans="8:283" ht="18" customHeight="1" x14ac:dyDescent="0.2">
      <c r="H48" s="4"/>
      <c r="S48" s="42"/>
      <c r="T48" s="43"/>
      <c r="U48" s="12"/>
      <c r="AT48" s="13"/>
      <c r="AU48" s="51"/>
      <c r="AV48" s="51"/>
      <c r="AW48" s="51"/>
      <c r="AX48" s="51"/>
      <c r="AY48" s="51"/>
      <c r="AZ48" s="51"/>
      <c r="BA48" s="51"/>
      <c r="BB48" s="51"/>
      <c r="BC48" s="51"/>
      <c r="BD48" s="18"/>
      <c r="BZ48" s="13"/>
      <c r="CA48" s="43"/>
      <c r="CB48" s="45"/>
      <c r="DW48" s="5"/>
      <c r="EM48" s="42"/>
      <c r="EN48" s="43"/>
      <c r="EO48" s="12"/>
      <c r="ET48" s="12"/>
      <c r="EX48" s="13"/>
      <c r="EY48" s="12"/>
      <c r="FF48" s="13"/>
      <c r="FH48" s="14"/>
      <c r="FI48" s="35"/>
      <c r="FJ48" s="32"/>
      <c r="FL48" s="12"/>
      <c r="FS48" s="13"/>
      <c r="FW48" s="13"/>
      <c r="FX48" s="208"/>
      <c r="FY48" s="12"/>
      <c r="GD48" s="13"/>
      <c r="GT48" s="13"/>
      <c r="GU48" s="43"/>
      <c r="GV48" s="45"/>
      <c r="HN48" s="42"/>
      <c r="HO48" s="43"/>
      <c r="HP48" s="12"/>
      <c r="HU48" s="12"/>
      <c r="HY48" s="13"/>
      <c r="HZ48" s="12"/>
      <c r="IG48" s="13"/>
      <c r="II48" s="12"/>
      <c r="IM48" s="12"/>
      <c r="IY48" s="205"/>
      <c r="JE48" s="13"/>
      <c r="JU48" s="13"/>
      <c r="JV48" s="43"/>
      <c r="JW48" s="45"/>
    </row>
    <row r="49" spans="8:285" ht="18" customHeight="1" x14ac:dyDescent="0.2">
      <c r="H49" s="4"/>
      <c r="S49" s="125"/>
      <c r="T49" s="125"/>
      <c r="U49" s="12"/>
      <c r="AT49" s="13"/>
      <c r="AU49" s="51"/>
      <c r="AV49" s="51"/>
      <c r="AW49" s="51"/>
      <c r="AX49" s="51"/>
      <c r="AY49" s="51"/>
      <c r="AZ49" s="51"/>
      <c r="BA49" s="51"/>
      <c r="BB49" s="51"/>
      <c r="BC49" s="51"/>
      <c r="BD49" s="18"/>
      <c r="BZ49" s="13"/>
      <c r="CA49" s="43"/>
      <c r="CB49" s="45"/>
      <c r="DW49" s="5"/>
      <c r="EM49" s="42"/>
      <c r="EN49" s="43"/>
      <c r="EO49" s="12"/>
      <c r="ET49" s="12"/>
      <c r="EX49" s="13"/>
      <c r="EY49" s="12"/>
      <c r="FF49" s="13"/>
      <c r="FH49" s="12"/>
      <c r="FI49" s="32"/>
      <c r="FJ49" s="32"/>
      <c r="FL49" s="12"/>
      <c r="FS49" s="13"/>
      <c r="FW49" s="13"/>
      <c r="FX49" s="208"/>
      <c r="FY49" s="12"/>
      <c r="GD49" s="13"/>
      <c r="GT49" s="13"/>
      <c r="GU49" s="43"/>
      <c r="GV49" s="45"/>
      <c r="HN49" s="42"/>
      <c r="HO49" s="43"/>
      <c r="HP49" s="12"/>
      <c r="HU49" s="12"/>
      <c r="HY49" s="13"/>
      <c r="HZ49" s="12"/>
      <c r="IG49" s="13"/>
      <c r="II49" s="9"/>
      <c r="IJ49" s="11"/>
      <c r="IM49" s="12"/>
      <c r="IU49" s="15"/>
      <c r="IV49" s="15"/>
      <c r="IW49" s="15"/>
      <c r="IX49" s="15"/>
      <c r="IY49" s="205"/>
      <c r="JE49" s="13"/>
      <c r="JU49" s="13"/>
      <c r="JV49" s="43"/>
      <c r="JW49" s="45"/>
    </row>
    <row r="50" spans="8:285" ht="18" customHeight="1" x14ac:dyDescent="0.2">
      <c r="H50" s="4"/>
      <c r="S50" s="108"/>
      <c r="T50" s="108"/>
      <c r="U50" s="12"/>
      <c r="AT50" s="13"/>
      <c r="AU50" s="51"/>
      <c r="AV50" s="51"/>
      <c r="AW50" s="51"/>
      <c r="AX50" s="51"/>
      <c r="AY50" s="51"/>
      <c r="AZ50" s="51"/>
      <c r="BA50" s="51"/>
      <c r="BB50" s="51"/>
      <c r="BC50" s="51"/>
      <c r="BD50" s="18"/>
      <c r="BZ50" s="13"/>
      <c r="CA50" s="43"/>
      <c r="CB50" s="45"/>
      <c r="DW50" s="5"/>
      <c r="EM50" s="42"/>
      <c r="EN50" s="43"/>
      <c r="EO50" s="12"/>
      <c r="ET50" s="12"/>
      <c r="EX50" s="13"/>
      <c r="EY50" s="12"/>
      <c r="FF50" s="13"/>
      <c r="FH50" s="9"/>
      <c r="FI50" s="11"/>
      <c r="FL50" s="12"/>
      <c r="FS50" s="13"/>
      <c r="FW50" s="13"/>
      <c r="FX50" s="208"/>
      <c r="FY50" s="12"/>
      <c r="GD50" s="13"/>
      <c r="GT50" s="13"/>
      <c r="GU50" s="43"/>
      <c r="GV50" s="45"/>
      <c r="HN50" s="42"/>
      <c r="HO50" s="43"/>
      <c r="HP50" s="12"/>
      <c r="HU50" s="12"/>
      <c r="HY50" s="13"/>
      <c r="HZ50" s="12"/>
      <c r="IG50" s="13"/>
      <c r="II50" s="12"/>
      <c r="IJ50" s="13"/>
      <c r="IM50" s="12"/>
      <c r="IT50" s="13"/>
      <c r="IY50" s="205"/>
      <c r="JE50" s="13"/>
      <c r="JU50" s="13"/>
      <c r="JV50" s="43"/>
      <c r="JW50" s="45"/>
    </row>
    <row r="51" spans="8:285" ht="18" customHeight="1" x14ac:dyDescent="0.2">
      <c r="H51" s="4"/>
      <c r="S51" s="108"/>
      <c r="T51" s="108"/>
      <c r="U51" s="12"/>
      <c r="AT51" s="13"/>
      <c r="AU51" s="51"/>
      <c r="AV51" s="51"/>
      <c r="AW51" s="51"/>
      <c r="AX51" s="51"/>
      <c r="AY51" s="51"/>
      <c r="AZ51" s="51"/>
      <c r="BA51" s="51"/>
      <c r="BB51" s="51"/>
      <c r="BC51" s="51"/>
      <c r="BD51" s="18"/>
      <c r="BW51" s="9"/>
      <c r="BX51" s="10"/>
      <c r="BY51" s="10"/>
      <c r="BZ51" s="11"/>
      <c r="CA51" s="43"/>
      <c r="CB51" s="45"/>
      <c r="DW51" s="5"/>
      <c r="EM51" s="42"/>
      <c r="EN51" s="43"/>
      <c r="EO51" s="14"/>
      <c r="EP51" s="15"/>
      <c r="EQ51" s="15"/>
      <c r="ER51" s="15"/>
      <c r="ES51" s="15"/>
      <c r="ET51" s="14"/>
      <c r="EU51" s="15"/>
      <c r="EV51" s="15"/>
      <c r="EW51" s="15"/>
      <c r="EX51" s="16"/>
      <c r="EY51" s="14"/>
      <c r="EZ51" s="15"/>
      <c r="FA51" s="15"/>
      <c r="FB51" s="15"/>
      <c r="FC51" s="15"/>
      <c r="FD51" s="15"/>
      <c r="FE51" s="15"/>
      <c r="FF51" s="16"/>
      <c r="FG51" s="15"/>
      <c r="FH51" s="12"/>
      <c r="FI51" s="13"/>
      <c r="FL51" s="12"/>
      <c r="FS51" s="13"/>
      <c r="FW51" s="13"/>
      <c r="FX51" s="208"/>
      <c r="FY51" s="12"/>
      <c r="GD51" s="13"/>
      <c r="GT51" s="13"/>
      <c r="GU51" s="43"/>
      <c r="GV51" s="45"/>
      <c r="GW51" s="146"/>
      <c r="GX51" s="147"/>
      <c r="HN51" s="42"/>
      <c r="HO51" s="43"/>
      <c r="HP51" s="14"/>
      <c r="HQ51" s="15"/>
      <c r="HR51" s="15"/>
      <c r="HS51" s="15"/>
      <c r="HT51" s="15"/>
      <c r="HU51" s="14"/>
      <c r="HV51" s="15"/>
      <c r="HW51" s="15"/>
      <c r="HX51" s="15"/>
      <c r="HY51" s="16"/>
      <c r="HZ51" s="14"/>
      <c r="IA51" s="15"/>
      <c r="IB51" s="15"/>
      <c r="IC51" s="15"/>
      <c r="ID51" s="15"/>
      <c r="IE51" s="15"/>
      <c r="IF51" s="15"/>
      <c r="IG51" s="16"/>
      <c r="IH51" s="15"/>
      <c r="II51" s="12"/>
      <c r="IJ51" s="13"/>
      <c r="IM51" s="12"/>
      <c r="IT51" s="13"/>
      <c r="IY51" s="205"/>
      <c r="JE51" s="13"/>
      <c r="JU51" s="13"/>
      <c r="JV51" s="43"/>
      <c r="JW51" s="45"/>
      <c r="JX51" s="146"/>
      <c r="JY51" s="147"/>
    </row>
    <row r="52" spans="8:285" ht="18" customHeight="1" x14ac:dyDescent="0.2">
      <c r="H52" s="4"/>
      <c r="S52" s="108"/>
      <c r="T52" s="108"/>
      <c r="U52" s="12"/>
      <c r="AT52" s="13"/>
      <c r="AU52" s="51"/>
      <c r="AV52" s="51"/>
      <c r="AW52" s="51"/>
      <c r="AX52" s="51"/>
      <c r="AY52" s="51"/>
      <c r="AZ52" s="51"/>
      <c r="BA52" s="51"/>
      <c r="BB52" s="51"/>
      <c r="BC52" s="51"/>
      <c r="BD52" s="18"/>
      <c r="BW52" s="12"/>
      <c r="BZ52" s="13"/>
      <c r="CA52" s="43"/>
      <c r="CB52" s="45"/>
      <c r="DW52" s="5"/>
      <c r="EM52" s="42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1"/>
      <c r="FB52" s="41"/>
      <c r="FC52" s="41"/>
      <c r="FD52" s="41"/>
      <c r="FE52" s="41"/>
      <c r="FF52" s="41"/>
      <c r="FG52" s="41"/>
      <c r="FH52" s="12"/>
      <c r="FI52" s="13"/>
      <c r="FL52" s="12"/>
      <c r="FS52" s="13"/>
      <c r="FW52" s="13"/>
      <c r="FX52" s="208"/>
      <c r="FY52" s="12"/>
      <c r="GD52" s="13"/>
      <c r="GT52" s="13"/>
      <c r="GU52" s="43"/>
      <c r="GV52" s="45"/>
      <c r="GW52" s="149"/>
      <c r="GX52" s="150"/>
      <c r="HN52" s="42"/>
      <c r="HO52" s="43"/>
      <c r="HP52" s="43"/>
      <c r="HQ52" s="43"/>
      <c r="HR52" s="43"/>
      <c r="HS52" s="43"/>
      <c r="HT52" s="43"/>
      <c r="HU52" s="43"/>
      <c r="HV52" s="43"/>
      <c r="HW52" s="43"/>
      <c r="HX52" s="43"/>
      <c r="HY52" s="43"/>
      <c r="HZ52" s="43"/>
      <c r="IA52" s="43"/>
      <c r="IB52" s="41"/>
      <c r="IC52" s="41"/>
      <c r="ID52" s="41"/>
      <c r="IE52" s="41"/>
      <c r="IF52" s="41"/>
      <c r="IG52" s="41"/>
      <c r="IH52" s="41"/>
      <c r="II52" s="12"/>
      <c r="IJ52" s="13"/>
      <c r="IM52" s="12"/>
      <c r="IT52" s="13"/>
      <c r="IY52" s="205"/>
      <c r="JE52" s="13"/>
      <c r="JU52" s="13"/>
      <c r="JV52" s="43"/>
      <c r="JW52" s="45"/>
      <c r="JX52" s="149"/>
      <c r="JY52" s="150"/>
    </row>
    <row r="53" spans="8:285" ht="18" customHeight="1" x14ac:dyDescent="0.2">
      <c r="H53" s="4"/>
      <c r="S53" s="108"/>
      <c r="T53" s="108"/>
      <c r="U53" s="12"/>
      <c r="AB53" s="9"/>
      <c r="AC53" s="10"/>
      <c r="AD53" s="10"/>
      <c r="AE53" s="10"/>
      <c r="AF53" s="10"/>
      <c r="AG53" s="10"/>
      <c r="AH53" s="10"/>
      <c r="AI53" s="10"/>
      <c r="AJ53" s="10"/>
      <c r="AK53" s="11"/>
      <c r="AT53" s="13"/>
      <c r="AU53" s="51"/>
      <c r="AV53" s="51"/>
      <c r="AW53" s="51"/>
      <c r="AX53" s="51"/>
      <c r="AY53" s="51"/>
      <c r="AZ53" s="51"/>
      <c r="BA53" s="51"/>
      <c r="BB53" s="51"/>
      <c r="BC53" s="51"/>
      <c r="BD53" s="18"/>
      <c r="BQ53" s="9"/>
      <c r="BR53" s="10"/>
      <c r="BS53" s="10"/>
      <c r="BT53" s="11"/>
      <c r="BW53" s="12"/>
      <c r="BZ53" s="13"/>
      <c r="CA53" s="43"/>
      <c r="CB53" s="45"/>
      <c r="DW53" s="5"/>
      <c r="EM53" s="46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3"/>
      <c r="EY53" s="47"/>
      <c r="EZ53" s="43"/>
      <c r="FA53" s="43"/>
      <c r="FB53" s="43"/>
      <c r="FC53" s="43"/>
      <c r="FD53" s="43"/>
      <c r="FE53" s="43"/>
      <c r="FF53" s="43"/>
      <c r="FG53" s="43"/>
      <c r="FH53" s="12"/>
      <c r="FI53" s="13"/>
      <c r="FL53" s="12"/>
      <c r="FS53" s="13"/>
      <c r="FW53" s="13"/>
      <c r="FX53" s="208"/>
      <c r="FY53" s="12"/>
      <c r="GD53" s="13"/>
      <c r="GT53" s="13"/>
      <c r="GU53" s="43"/>
      <c r="GV53" s="45"/>
      <c r="GW53" s="184"/>
      <c r="GX53" s="185"/>
      <c r="HN53" s="46"/>
      <c r="HO53" s="47"/>
      <c r="HP53" s="47"/>
      <c r="HQ53" s="47"/>
      <c r="HR53" s="47"/>
      <c r="HS53" s="47"/>
      <c r="HT53" s="47"/>
      <c r="HU53" s="47"/>
      <c r="HV53" s="47"/>
      <c r="HW53" s="47"/>
      <c r="HX53" s="47"/>
      <c r="HY53" s="43"/>
      <c r="HZ53" s="47"/>
      <c r="IA53" s="43"/>
      <c r="IB53" s="43"/>
      <c r="IC53" s="43"/>
      <c r="ID53" s="43"/>
      <c r="IE53" s="43"/>
      <c r="IF53" s="43"/>
      <c r="IG53" s="43"/>
      <c r="IH53" s="43"/>
      <c r="II53" s="12"/>
      <c r="IJ53" s="13"/>
      <c r="IM53" s="12"/>
      <c r="IT53" s="13"/>
      <c r="IY53" s="205"/>
      <c r="JE53" s="13"/>
      <c r="JU53" s="13"/>
      <c r="JV53" s="43"/>
      <c r="JW53" s="45"/>
      <c r="JX53" s="184"/>
      <c r="JY53" s="185"/>
    </row>
    <row r="54" spans="8:285" ht="18" customHeight="1" x14ac:dyDescent="0.2">
      <c r="H54" s="4"/>
      <c r="S54" s="126"/>
      <c r="T54" s="126"/>
      <c r="U54" s="12"/>
      <c r="AB54" s="12"/>
      <c r="AK54" s="13"/>
      <c r="AT54" s="13"/>
      <c r="AU54" s="51"/>
      <c r="AV54" s="51"/>
      <c r="AW54" s="51"/>
      <c r="AX54" s="51"/>
      <c r="AY54" s="51"/>
      <c r="AZ54" s="51"/>
      <c r="BA54" s="51"/>
      <c r="BB54" s="51"/>
      <c r="BC54" s="51"/>
      <c r="BD54" s="18"/>
      <c r="BQ54" s="12"/>
      <c r="BT54" s="13"/>
      <c r="BW54" s="12"/>
      <c r="BZ54" s="13"/>
      <c r="CA54" s="43"/>
      <c r="CB54" s="45"/>
      <c r="DW54" s="5"/>
      <c r="EV54" s="10"/>
      <c r="EW54" s="10"/>
      <c r="EX54" s="10"/>
      <c r="EY54" s="10"/>
      <c r="EZ54" s="10"/>
      <c r="FA54" s="10"/>
      <c r="FB54" s="10"/>
      <c r="FC54" s="10"/>
      <c r="FD54" s="10"/>
      <c r="FE54" s="11"/>
      <c r="FF54" s="42"/>
      <c r="FG54" s="43"/>
      <c r="FH54" s="12"/>
      <c r="FI54" s="13"/>
      <c r="FL54" s="12"/>
      <c r="FS54" s="13"/>
      <c r="FW54" s="13"/>
      <c r="FX54" s="208"/>
      <c r="FY54" s="12"/>
      <c r="GD54" s="13"/>
      <c r="GT54" s="13"/>
      <c r="GU54" s="43"/>
      <c r="GV54" s="45"/>
      <c r="GW54" s="170"/>
      <c r="GX54" s="171"/>
      <c r="HW54" s="10"/>
      <c r="HX54" s="10"/>
      <c r="HY54" s="10"/>
      <c r="HZ54" s="10"/>
      <c r="IA54" s="10"/>
      <c r="IB54" s="10"/>
      <c r="IC54" s="10"/>
      <c r="ID54" s="10"/>
      <c r="IE54" s="10"/>
      <c r="IF54" s="11"/>
      <c r="IG54" s="42"/>
      <c r="IH54" s="43"/>
      <c r="II54" s="14"/>
      <c r="IJ54" s="16"/>
      <c r="IM54" s="12"/>
      <c r="IT54" s="13"/>
      <c r="IY54" s="205"/>
      <c r="JE54" s="13"/>
      <c r="JU54" s="13"/>
      <c r="JV54" s="43"/>
      <c r="JW54" s="45"/>
      <c r="JX54" s="170"/>
      <c r="JY54" s="171"/>
    </row>
    <row r="55" spans="8:285" ht="18" customHeight="1" x14ac:dyDescent="0.2">
      <c r="H55" s="4"/>
      <c r="S55" s="42"/>
      <c r="T55" s="43"/>
      <c r="U55" s="14"/>
      <c r="V55" s="15"/>
      <c r="W55" s="15"/>
      <c r="X55" s="15"/>
      <c r="Y55" s="15"/>
      <c r="Z55" s="15"/>
      <c r="AA55" s="15"/>
      <c r="AB55" s="14"/>
      <c r="AC55" s="15"/>
      <c r="AD55" s="15"/>
      <c r="AE55" s="15"/>
      <c r="AF55" s="15"/>
      <c r="AG55" s="15"/>
      <c r="AH55" s="15"/>
      <c r="AI55" s="15"/>
      <c r="AJ55" s="15"/>
      <c r="AK55" s="16"/>
      <c r="AL55" s="15"/>
      <c r="AM55" s="15"/>
      <c r="AN55" s="15"/>
      <c r="AO55" s="15"/>
      <c r="AP55" s="15"/>
      <c r="AQ55" s="15"/>
      <c r="AR55" s="15"/>
      <c r="AS55" s="15"/>
      <c r="AT55" s="16"/>
      <c r="AU55" s="54"/>
      <c r="AV55" s="54"/>
      <c r="AW55" s="54"/>
      <c r="AX55" s="54"/>
      <c r="AY55" s="54"/>
      <c r="AZ55" s="54"/>
      <c r="BA55" s="54"/>
      <c r="BB55" s="54"/>
      <c r="BC55" s="54"/>
      <c r="BD55" s="19"/>
      <c r="BQ55" s="12"/>
      <c r="BT55" s="13"/>
      <c r="BW55" s="12"/>
      <c r="BZ55" s="13"/>
      <c r="CA55" s="43"/>
      <c r="CB55" s="45"/>
      <c r="CL55" s="17"/>
      <c r="DV55" s="9"/>
      <c r="DW55" s="11"/>
      <c r="FF55" s="42"/>
      <c r="FG55" s="43"/>
      <c r="FH55" s="14"/>
      <c r="FI55" s="16"/>
      <c r="FL55" s="12"/>
      <c r="FS55" s="13"/>
      <c r="FW55" s="13"/>
      <c r="FX55" s="208"/>
      <c r="FY55" s="14"/>
      <c r="FZ55" s="15"/>
      <c r="GA55" s="15"/>
      <c r="GB55" s="15"/>
      <c r="GC55" s="15"/>
      <c r="GD55" s="16"/>
      <c r="GT55" s="13"/>
      <c r="GU55" s="43"/>
      <c r="GV55" s="45"/>
      <c r="GW55" s="149"/>
      <c r="GX55" s="150"/>
      <c r="IG55" s="42"/>
      <c r="IH55" s="43"/>
      <c r="II55" s="12"/>
      <c r="IM55" s="12"/>
      <c r="IT55" s="13"/>
      <c r="IY55" s="205"/>
      <c r="IZ55" s="15"/>
      <c r="JA55" s="15"/>
      <c r="JB55" s="15"/>
      <c r="JC55" s="15"/>
      <c r="JD55" s="15"/>
      <c r="JE55" s="16"/>
      <c r="JU55" s="13"/>
      <c r="JV55" s="43"/>
      <c r="JW55" s="45"/>
      <c r="JX55" s="149"/>
      <c r="JY55" s="150"/>
    </row>
    <row r="56" spans="8:285" ht="18" customHeight="1" x14ac:dyDescent="0.2">
      <c r="H56" s="4"/>
      <c r="S56" s="42"/>
      <c r="T56" s="43"/>
      <c r="U56" s="12"/>
      <c r="V56" s="127"/>
      <c r="W56" s="127"/>
      <c r="X56" s="127"/>
      <c r="Y56" s="127"/>
      <c r="Z56" s="127"/>
      <c r="AW56" s="127"/>
      <c r="AX56" s="127"/>
      <c r="AY56" s="127"/>
      <c r="AZ56" s="127"/>
      <c r="BA56" s="127"/>
      <c r="BB56" s="127"/>
      <c r="BE56" s="12"/>
      <c r="BQ56" s="14"/>
      <c r="BR56" s="15"/>
      <c r="BS56" s="15"/>
      <c r="BT56" s="16"/>
      <c r="BW56" s="12"/>
      <c r="BZ56" s="13"/>
      <c r="CA56" s="43"/>
      <c r="CB56" s="45"/>
      <c r="CL56" s="18"/>
      <c r="DV56" s="12"/>
      <c r="DW56" s="13"/>
      <c r="FF56" s="42"/>
      <c r="FG56" s="43"/>
      <c r="FH56" s="12"/>
      <c r="FL56" s="12"/>
      <c r="FS56" s="13"/>
      <c r="FW56" s="13"/>
      <c r="FX56" s="208"/>
      <c r="GT56" s="13"/>
      <c r="GU56" s="43"/>
      <c r="GV56" s="45"/>
      <c r="GW56" s="149"/>
      <c r="GX56" s="150"/>
      <c r="IG56" s="42"/>
      <c r="IH56" s="43"/>
      <c r="II56" s="9"/>
      <c r="IJ56" s="11"/>
      <c r="IM56" s="12"/>
      <c r="IT56" s="13"/>
      <c r="IY56" s="205"/>
      <c r="JU56" s="13"/>
      <c r="JV56" s="43"/>
      <c r="JW56" s="45"/>
      <c r="JX56" s="149"/>
      <c r="JY56" s="150"/>
    </row>
    <row r="57" spans="8:285" ht="18" customHeight="1" x14ac:dyDescent="0.2">
      <c r="H57" s="4"/>
      <c r="S57" s="42"/>
      <c r="T57" s="43"/>
      <c r="U57" s="9"/>
      <c r="V57" s="10"/>
      <c r="W57" s="10"/>
      <c r="X57" s="10"/>
      <c r="Y57" s="10"/>
      <c r="Z57" s="10"/>
      <c r="AA57" s="10"/>
      <c r="AB57" s="10"/>
      <c r="AC57" s="10"/>
      <c r="AD57" s="11"/>
      <c r="AF57" s="9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1"/>
      <c r="BE57" s="12"/>
      <c r="BW57" s="12"/>
      <c r="BZ57" s="13"/>
      <c r="CA57" s="43"/>
      <c r="CB57" s="45"/>
      <c r="CG57" s="16"/>
      <c r="CH57" s="181"/>
      <c r="CI57" s="10"/>
      <c r="CJ57" s="10"/>
      <c r="CK57" s="10"/>
      <c r="CL57" s="9"/>
      <c r="CM57" s="10"/>
      <c r="CN57" s="10"/>
      <c r="CO57" s="11"/>
      <c r="CP57" s="9"/>
      <c r="CQ57" s="10"/>
      <c r="CR57" s="10"/>
      <c r="CS57" s="10"/>
      <c r="CT57" s="10"/>
      <c r="CU57" s="10"/>
      <c r="CV57" s="10"/>
      <c r="CW57" s="10"/>
      <c r="CX57" s="10"/>
      <c r="CY57" s="10"/>
      <c r="CZ57" s="11"/>
      <c r="DA57" s="10"/>
      <c r="DB57" s="10"/>
      <c r="DC57" s="10"/>
      <c r="DD57" s="10"/>
      <c r="DE57" s="11"/>
      <c r="DF57" s="182"/>
      <c r="DV57" s="12"/>
      <c r="DW57" s="13"/>
      <c r="FF57" s="42"/>
      <c r="FG57" s="43"/>
      <c r="FH57" s="12"/>
      <c r="FL57" s="12"/>
      <c r="FS57" s="13"/>
      <c r="FW57" s="13"/>
      <c r="FX57" s="208"/>
      <c r="GT57" s="13"/>
      <c r="GU57" s="43"/>
      <c r="GV57" s="45"/>
      <c r="GW57" s="149"/>
      <c r="GX57" s="150"/>
      <c r="IG57" s="42"/>
      <c r="IH57" s="43"/>
      <c r="II57" s="12"/>
      <c r="IJ57" s="13"/>
      <c r="IM57" s="12"/>
      <c r="IT57" s="13"/>
      <c r="IY57" s="205"/>
      <c r="JU57" s="13"/>
      <c r="JV57" s="43"/>
      <c r="JW57" s="45"/>
      <c r="JX57" s="149"/>
      <c r="JY57" s="150"/>
    </row>
    <row r="58" spans="8:285" ht="18" customHeight="1" x14ac:dyDescent="0.2">
      <c r="H58" s="4"/>
      <c r="S58" s="42"/>
      <c r="T58" s="43"/>
      <c r="U58" s="12"/>
      <c r="AD58" s="13"/>
      <c r="AF58" s="9"/>
      <c r="AG58" s="10"/>
      <c r="AH58" s="11"/>
      <c r="BC58" s="13"/>
      <c r="BE58" s="12"/>
      <c r="BW58" s="14"/>
      <c r="BX58" s="15"/>
      <c r="BY58" s="15"/>
      <c r="BZ58" s="16"/>
      <c r="CA58" s="43"/>
      <c r="CB58" s="45"/>
      <c r="CF58" s="16"/>
      <c r="CG58" s="181"/>
      <c r="CL58" s="170"/>
      <c r="CM58" s="171"/>
      <c r="CN58" s="171"/>
      <c r="CO58" s="172"/>
      <c r="CP58" s="12"/>
      <c r="CQ58" s="171"/>
      <c r="CR58" s="171"/>
      <c r="CS58" s="171"/>
      <c r="CT58" s="171"/>
      <c r="CV58" s="171"/>
      <c r="CW58" s="171"/>
      <c r="CX58" s="171"/>
      <c r="CY58" s="171"/>
      <c r="CZ58" s="13"/>
      <c r="DF58" s="144"/>
      <c r="DV58" s="12"/>
      <c r="DW58" s="13"/>
      <c r="FF58" s="42"/>
      <c r="FG58" s="43"/>
      <c r="FH58" s="12"/>
      <c r="FL58" s="12"/>
      <c r="FS58" s="13"/>
      <c r="FW58" s="13"/>
      <c r="FX58" s="208"/>
      <c r="GT58" s="13"/>
      <c r="GU58" s="43"/>
      <c r="GV58" s="45"/>
      <c r="GW58" s="149"/>
      <c r="GX58" s="150"/>
      <c r="IG58" s="42"/>
      <c r="IH58" s="43"/>
      <c r="II58" s="12"/>
      <c r="IJ58" s="13"/>
      <c r="IM58" s="12"/>
      <c r="IT58" s="13"/>
      <c r="IY58" s="205"/>
      <c r="JU58" s="13"/>
      <c r="JV58" s="43"/>
      <c r="JW58" s="45"/>
      <c r="JX58" s="149"/>
      <c r="JY58" s="150"/>
    </row>
    <row r="59" spans="8:285" ht="18" customHeight="1" x14ac:dyDescent="0.2">
      <c r="H59" s="4"/>
      <c r="S59" s="42"/>
      <c r="T59" s="43"/>
      <c r="U59" s="12"/>
      <c r="AD59" s="13"/>
      <c r="AF59" s="12"/>
      <c r="AH59" s="13"/>
      <c r="BC59" s="13"/>
      <c r="BE59" s="14"/>
      <c r="BF59" s="15"/>
      <c r="BZ59" s="13"/>
      <c r="CA59" s="43"/>
      <c r="CB59" s="45"/>
      <c r="CF59" s="12"/>
      <c r="CL59" s="170"/>
      <c r="CM59" s="171"/>
      <c r="CN59" s="171"/>
      <c r="CO59" s="172"/>
      <c r="CP59" s="9"/>
      <c r="CQ59" s="10"/>
      <c r="CR59" s="10"/>
      <c r="CS59" s="10"/>
      <c r="CT59" s="10"/>
      <c r="CU59" s="10"/>
      <c r="CV59" s="10"/>
      <c r="CW59" s="10"/>
      <c r="CX59" s="10"/>
      <c r="CY59" s="10"/>
      <c r="CZ59" s="11"/>
      <c r="DB59" s="171"/>
      <c r="DC59" s="171"/>
      <c r="DF59" s="13"/>
      <c r="DV59" s="12"/>
      <c r="DW59" s="13"/>
      <c r="FF59" s="42"/>
      <c r="FG59" s="43"/>
      <c r="FH59" s="12"/>
      <c r="FL59" s="12"/>
      <c r="FS59" s="13"/>
      <c r="FW59" s="13"/>
      <c r="FX59" s="208"/>
      <c r="GT59" s="13"/>
      <c r="GU59" s="43"/>
      <c r="GV59" s="45"/>
      <c r="GW59" s="149"/>
      <c r="GX59" s="150"/>
      <c r="IG59" s="42"/>
      <c r="IH59" s="43"/>
      <c r="II59" s="12"/>
      <c r="IJ59" s="13"/>
      <c r="IM59" s="12"/>
      <c r="IT59" s="13"/>
      <c r="IY59" s="205"/>
      <c r="JU59" s="13"/>
      <c r="JV59" s="43"/>
      <c r="JW59" s="45"/>
      <c r="JX59" s="149"/>
      <c r="JY59" s="150"/>
    </row>
    <row r="60" spans="8:285" ht="18" customHeight="1" x14ac:dyDescent="0.2">
      <c r="H60" s="4"/>
      <c r="S60" s="42"/>
      <c r="T60" s="43"/>
      <c r="U60" s="12"/>
      <c r="AD60" s="13"/>
      <c r="AF60" s="12"/>
      <c r="AH60" s="13"/>
      <c r="BC60" s="13"/>
      <c r="BE60" s="9"/>
      <c r="BF60" s="10"/>
      <c r="BG60" s="11"/>
      <c r="BZ60" s="13"/>
      <c r="CA60" s="43"/>
      <c r="CB60" s="45"/>
      <c r="CF60" s="12"/>
      <c r="CL60" s="170"/>
      <c r="CM60" s="171"/>
      <c r="CN60" s="171"/>
      <c r="CO60" s="172"/>
      <c r="CP60" s="12"/>
      <c r="CZ60" s="13"/>
      <c r="DB60" s="171"/>
      <c r="DC60" s="171"/>
      <c r="DF60" s="13"/>
      <c r="DV60" s="12"/>
      <c r="DW60" s="13"/>
      <c r="FF60" s="42"/>
      <c r="FG60" s="43"/>
      <c r="FH60" s="12"/>
      <c r="FL60" s="12"/>
      <c r="FS60" s="13"/>
      <c r="FW60" s="13"/>
      <c r="FX60" s="208"/>
      <c r="GT60" s="13"/>
      <c r="GU60" s="43"/>
      <c r="GV60" s="45"/>
      <c r="GW60" s="149"/>
      <c r="GX60" s="150"/>
      <c r="IG60" s="42"/>
      <c r="IH60" s="43"/>
      <c r="II60" s="12"/>
      <c r="IJ60" s="13"/>
      <c r="IM60" s="12"/>
      <c r="IT60" s="13"/>
      <c r="IY60" s="205"/>
      <c r="JU60" s="13"/>
      <c r="JV60" s="43"/>
      <c r="JW60" s="45"/>
      <c r="JX60" s="149"/>
      <c r="JY60" s="150"/>
    </row>
    <row r="61" spans="8:285" ht="18" customHeight="1" x14ac:dyDescent="0.2">
      <c r="H61" s="4"/>
      <c r="S61" s="42"/>
      <c r="T61" s="43"/>
      <c r="U61" s="14"/>
      <c r="V61" s="15"/>
      <c r="W61" s="15"/>
      <c r="X61" s="15"/>
      <c r="Y61" s="15"/>
      <c r="Z61" s="15"/>
      <c r="AA61" s="15"/>
      <c r="AB61" s="15"/>
      <c r="AC61" s="15"/>
      <c r="AD61" s="16"/>
      <c r="AF61" s="12"/>
      <c r="AH61" s="13"/>
      <c r="BC61" s="13"/>
      <c r="BE61" s="12"/>
      <c r="BG61" s="13"/>
      <c r="BZ61" s="13"/>
      <c r="CA61" s="43"/>
      <c r="CB61" s="45"/>
      <c r="CF61" s="12"/>
      <c r="CL61" s="170"/>
      <c r="CM61" s="171"/>
      <c r="CN61" s="171"/>
      <c r="CO61" s="172"/>
      <c r="CP61" s="12"/>
      <c r="CZ61" s="13"/>
      <c r="DB61" s="171"/>
      <c r="DC61" s="171"/>
      <c r="DF61" s="13"/>
      <c r="DV61" s="12"/>
      <c r="DW61" s="13"/>
      <c r="FF61" s="42"/>
      <c r="FG61" s="43"/>
      <c r="FH61" s="12"/>
      <c r="FL61" s="12"/>
      <c r="FS61" s="13"/>
      <c r="FW61" s="13"/>
      <c r="FX61" s="208"/>
      <c r="GT61" s="13"/>
      <c r="GU61" s="43"/>
      <c r="GV61" s="45"/>
      <c r="GW61" s="149"/>
      <c r="GX61" s="150"/>
      <c r="IG61" s="42"/>
      <c r="IH61" s="43"/>
      <c r="II61" s="14"/>
      <c r="IJ61" s="16"/>
      <c r="IM61" s="14"/>
      <c r="IN61" s="15"/>
      <c r="IO61" s="15"/>
      <c r="IP61" s="15"/>
      <c r="IQ61" s="15"/>
      <c r="IR61" s="15"/>
      <c r="IS61" s="15"/>
      <c r="IT61" s="16"/>
      <c r="IY61" s="205"/>
      <c r="JU61" s="13"/>
      <c r="JV61" s="43"/>
      <c r="JW61" s="45"/>
      <c r="JX61" s="149"/>
      <c r="JY61" s="150"/>
    </row>
    <row r="62" spans="8:285" ht="18" customHeight="1" x14ac:dyDescent="0.2">
      <c r="H62" s="4"/>
      <c r="S62" s="42"/>
      <c r="T62" s="43"/>
      <c r="U62" s="12"/>
      <c r="Z62" s="12"/>
      <c r="AD62" s="13"/>
      <c r="AF62" s="12"/>
      <c r="AH62" s="13"/>
      <c r="BC62" s="13"/>
      <c r="BE62" s="14"/>
      <c r="BF62" s="15"/>
      <c r="BG62" s="16"/>
      <c r="BZ62" s="13"/>
      <c r="CA62" s="43"/>
      <c r="CB62" s="45"/>
      <c r="CC62" s="12"/>
      <c r="CF62" s="12"/>
      <c r="CL62" s="170"/>
      <c r="CM62" s="171"/>
      <c r="CN62" s="171"/>
      <c r="CO62" s="172"/>
      <c r="CP62" s="12"/>
      <c r="CZ62" s="13"/>
      <c r="DB62" s="171"/>
      <c r="DC62" s="171"/>
      <c r="DF62" s="13"/>
      <c r="DV62" s="12"/>
      <c r="DW62" s="13"/>
      <c r="FF62" s="42"/>
      <c r="FG62" s="43"/>
      <c r="FH62" s="12"/>
      <c r="FL62" s="12"/>
      <c r="FT62" s="10"/>
      <c r="FU62" s="10"/>
      <c r="FV62" s="10"/>
      <c r="FW62" s="10"/>
      <c r="FX62" s="10"/>
      <c r="GT62" s="13"/>
      <c r="GU62" s="43"/>
      <c r="GV62" s="45"/>
      <c r="GW62" s="149"/>
      <c r="GX62" s="150"/>
      <c r="IG62" s="42"/>
      <c r="IH62" s="43"/>
      <c r="II62" s="12"/>
      <c r="IY62" s="205"/>
      <c r="JU62" s="13"/>
      <c r="JV62" s="43"/>
      <c r="JW62" s="45"/>
      <c r="JX62" s="149"/>
      <c r="JY62" s="150"/>
    </row>
    <row r="63" spans="8:285" ht="18" customHeight="1" x14ac:dyDescent="0.2">
      <c r="H63" s="4"/>
      <c r="S63" s="42"/>
      <c r="T63" s="43"/>
      <c r="U63" s="12"/>
      <c r="Z63" s="12"/>
      <c r="AD63" s="13"/>
      <c r="AF63" s="12"/>
      <c r="AH63" s="13"/>
      <c r="BC63" s="13"/>
      <c r="BE63" s="157"/>
      <c r="BF63" s="158"/>
      <c r="BG63" s="158"/>
      <c r="BH63" s="158"/>
      <c r="BI63" s="158"/>
      <c r="BJ63" s="159"/>
      <c r="BZ63" s="13"/>
      <c r="CA63" s="43"/>
      <c r="CB63" s="45"/>
      <c r="CF63" s="12"/>
      <c r="CL63" s="170"/>
      <c r="CM63" s="171"/>
      <c r="CN63" s="171"/>
      <c r="CO63" s="172"/>
      <c r="CP63" s="12"/>
      <c r="CZ63" s="13"/>
      <c r="DB63" s="171"/>
      <c r="DC63" s="171"/>
      <c r="DF63" s="13"/>
      <c r="DV63" s="12"/>
      <c r="DW63" s="13"/>
      <c r="FF63" s="42"/>
      <c r="FG63" s="43"/>
      <c r="FH63" s="12"/>
      <c r="FJ63" s="97"/>
      <c r="FL63" s="12"/>
      <c r="GT63" s="13"/>
      <c r="GU63" s="43"/>
      <c r="GV63" s="45"/>
      <c r="GW63" s="149"/>
      <c r="GX63" s="150"/>
      <c r="IG63" s="42"/>
      <c r="IH63" s="43"/>
      <c r="II63" s="12"/>
      <c r="IO63" s="97"/>
      <c r="IP63" s="97"/>
      <c r="IQ63" s="97"/>
      <c r="IR63" s="97"/>
      <c r="IY63" s="205"/>
      <c r="JU63" s="13"/>
      <c r="JV63" s="43"/>
      <c r="JW63" s="45"/>
      <c r="JX63" s="149"/>
      <c r="JY63" s="150"/>
    </row>
    <row r="64" spans="8:285" ht="18" customHeight="1" x14ac:dyDescent="0.2">
      <c r="H64" s="4"/>
      <c r="S64" s="42"/>
      <c r="T64" s="43"/>
      <c r="U64" s="12"/>
      <c r="Z64" s="12"/>
      <c r="AD64" s="13"/>
      <c r="AF64" s="12"/>
      <c r="AH64" s="13"/>
      <c r="BC64" s="13"/>
      <c r="BE64" s="157"/>
      <c r="BF64" s="159"/>
      <c r="BG64" s="158"/>
      <c r="BH64" s="158"/>
      <c r="BI64" s="158"/>
      <c r="BJ64" s="159"/>
      <c r="BZ64" s="13"/>
      <c r="CA64" s="43"/>
      <c r="CB64" s="45"/>
      <c r="CF64" s="12"/>
      <c r="CL64" s="170"/>
      <c r="CM64" s="171"/>
      <c r="CN64" s="171"/>
      <c r="CO64" s="172"/>
      <c r="CP64" s="12"/>
      <c r="CZ64" s="13"/>
      <c r="DB64" s="171"/>
      <c r="DC64" s="171"/>
      <c r="DF64" s="13"/>
      <c r="DV64" s="12"/>
      <c r="DW64" s="13"/>
      <c r="FF64" s="42"/>
      <c r="FG64" s="43"/>
      <c r="FH64" s="12"/>
      <c r="FJ64" s="97"/>
      <c r="FL64" s="12"/>
      <c r="GT64" s="13"/>
      <c r="GU64" s="43"/>
      <c r="GV64" s="45"/>
      <c r="GW64" s="149"/>
      <c r="GX64" s="150"/>
      <c r="IG64" s="42"/>
      <c r="IH64" s="43"/>
      <c r="II64" s="12"/>
      <c r="IY64" s="205"/>
      <c r="JU64" s="13"/>
      <c r="JV64" s="43"/>
      <c r="JW64" s="45"/>
      <c r="JX64" s="149"/>
      <c r="JY64" s="150"/>
    </row>
    <row r="65" spans="8:285" ht="18" customHeight="1" x14ac:dyDescent="0.2">
      <c r="H65" s="4"/>
      <c r="S65" s="42"/>
      <c r="T65" s="43"/>
      <c r="U65" s="12"/>
      <c r="Z65" s="12"/>
      <c r="AD65" s="13"/>
      <c r="AF65" s="14"/>
      <c r="AG65" s="15"/>
      <c r="AH65" s="16"/>
      <c r="BC65" s="13"/>
      <c r="BE65" s="160"/>
      <c r="BF65" s="161"/>
      <c r="BG65" s="162"/>
      <c r="BH65" s="162"/>
      <c r="BI65" s="162"/>
      <c r="BJ65" s="161"/>
      <c r="BX65" s="9"/>
      <c r="BY65" s="10"/>
      <c r="BZ65" s="11"/>
      <c r="CA65" s="43"/>
      <c r="CB65" s="45"/>
      <c r="CF65" s="14"/>
      <c r="CL65" s="170"/>
      <c r="CM65" s="171"/>
      <c r="CN65" s="171"/>
      <c r="CO65" s="172"/>
      <c r="CP65" s="14"/>
      <c r="CQ65" s="15"/>
      <c r="CR65" s="15"/>
      <c r="CS65" s="15"/>
      <c r="CT65" s="15"/>
      <c r="CU65" s="15"/>
      <c r="CV65" s="15"/>
      <c r="CW65" s="15"/>
      <c r="CX65" s="15"/>
      <c r="CY65" s="15"/>
      <c r="CZ65" s="16"/>
      <c r="DB65" s="171"/>
      <c r="DC65" s="171"/>
      <c r="DF65" s="13"/>
      <c r="DV65" s="12"/>
      <c r="DW65" s="13"/>
      <c r="FF65" s="42"/>
      <c r="FG65" s="43"/>
      <c r="FH65" s="12"/>
      <c r="FJ65" s="97"/>
      <c r="FL65" s="12"/>
      <c r="GT65" s="13"/>
      <c r="GU65" s="43"/>
      <c r="GV65" s="45"/>
      <c r="GW65" s="149"/>
      <c r="GX65" s="150"/>
      <c r="IG65" s="42"/>
      <c r="IH65" s="43"/>
      <c r="II65" s="14"/>
      <c r="IJ65" s="15"/>
      <c r="IK65" s="15"/>
      <c r="IL65" s="15"/>
      <c r="IM65" s="15"/>
      <c r="IN65" s="15"/>
      <c r="IO65" s="15"/>
      <c r="IP65" s="15"/>
      <c r="IQ65" s="15"/>
      <c r="IR65" s="15"/>
      <c r="IS65" s="15"/>
      <c r="IT65" s="15"/>
      <c r="IU65" s="15"/>
      <c r="IV65" s="15"/>
      <c r="IW65" s="15"/>
      <c r="IX65" s="15"/>
      <c r="IY65" s="206"/>
      <c r="IZ65" s="15"/>
      <c r="JA65" s="15"/>
      <c r="JB65" s="15"/>
      <c r="JC65" s="15"/>
      <c r="JD65" s="15"/>
      <c r="JE65" s="15"/>
      <c r="JF65" s="15"/>
      <c r="JG65" s="15"/>
      <c r="JH65" s="15"/>
      <c r="JI65" s="15"/>
      <c r="JJ65" s="15"/>
      <c r="JK65" s="15"/>
      <c r="JL65" s="15"/>
      <c r="JM65" s="15"/>
      <c r="JN65" s="15"/>
      <c r="JO65" s="15"/>
      <c r="JP65" s="15"/>
      <c r="JQ65" s="15"/>
      <c r="JR65" s="15"/>
      <c r="JS65" s="15"/>
      <c r="JT65" s="15"/>
      <c r="JU65" s="16"/>
      <c r="JV65" s="43"/>
      <c r="JW65" s="45"/>
      <c r="JX65" s="149"/>
      <c r="JY65" s="150"/>
    </row>
    <row r="66" spans="8:285" ht="18" customHeight="1" x14ac:dyDescent="0.2">
      <c r="H66" s="4"/>
      <c r="S66" s="42"/>
      <c r="T66" s="43"/>
      <c r="U66" s="14"/>
      <c r="V66" s="15"/>
      <c r="W66" s="15"/>
      <c r="X66" s="15"/>
      <c r="Y66" s="15"/>
      <c r="Z66" s="14"/>
      <c r="AA66" s="15"/>
      <c r="AB66" s="15"/>
      <c r="AC66" s="15"/>
      <c r="AD66" s="16"/>
      <c r="AF66" s="14"/>
      <c r="BC66" s="13"/>
      <c r="BE66" s="160"/>
      <c r="BF66" s="161"/>
      <c r="BG66" s="162"/>
      <c r="BH66" s="162"/>
      <c r="BI66" s="162"/>
      <c r="BJ66" s="161"/>
      <c r="BX66" s="12"/>
      <c r="BZ66" s="176"/>
      <c r="CA66" s="43"/>
      <c r="CB66" s="45"/>
      <c r="CF66" s="11"/>
      <c r="CG66" s="181"/>
      <c r="CL66" s="170"/>
      <c r="CM66" s="171"/>
      <c r="CN66" s="171"/>
      <c r="CO66" s="172"/>
      <c r="CP66" s="12"/>
      <c r="CQ66" s="171"/>
      <c r="CR66" s="171"/>
      <c r="CS66" s="171"/>
      <c r="CT66" s="171"/>
      <c r="CV66" s="171"/>
      <c r="CW66" s="171"/>
      <c r="CX66" s="171"/>
      <c r="CY66" s="171"/>
      <c r="CZ66" s="13"/>
      <c r="DF66" s="145"/>
      <c r="DV66" s="12"/>
      <c r="DW66" s="13"/>
      <c r="FF66" s="42"/>
      <c r="FG66" s="43"/>
      <c r="FH66" s="12"/>
      <c r="FJ66" s="97"/>
      <c r="FL66" s="12"/>
      <c r="GT66" s="13"/>
      <c r="GU66" s="43"/>
      <c r="GV66" s="45"/>
      <c r="GW66" s="149"/>
      <c r="GX66" s="150"/>
      <c r="IG66" s="42"/>
      <c r="IH66" s="43"/>
      <c r="II66" s="43"/>
      <c r="IJ66" s="43"/>
      <c r="IK66" s="43"/>
      <c r="IL66" s="43"/>
      <c r="IM66" s="43"/>
      <c r="IN66" s="43"/>
      <c r="IO66" s="43"/>
      <c r="IP66" s="43"/>
      <c r="IQ66" s="43"/>
      <c r="IR66" s="43"/>
      <c r="IS66" s="43"/>
      <c r="IT66" s="43"/>
      <c r="IU66" s="43"/>
      <c r="IV66" s="43"/>
      <c r="IW66" s="43"/>
      <c r="IX66" s="43"/>
      <c r="IY66" s="43"/>
      <c r="IZ66" s="43"/>
      <c r="JA66" s="43"/>
      <c r="JB66" s="43"/>
      <c r="JC66" s="43"/>
      <c r="JD66" s="43"/>
      <c r="JE66" s="123"/>
      <c r="JF66" s="109"/>
      <c r="JG66" s="109"/>
      <c r="JH66" s="109"/>
      <c r="JI66" s="109"/>
      <c r="JJ66" s="124"/>
      <c r="JK66" s="43"/>
      <c r="JL66" s="43"/>
      <c r="JM66" s="43"/>
      <c r="JN66" s="43"/>
      <c r="JO66" s="127"/>
      <c r="JP66" s="127"/>
      <c r="JQ66" s="127"/>
      <c r="JR66" s="127"/>
      <c r="JS66" s="127"/>
      <c r="JT66" s="127"/>
      <c r="JU66" s="43"/>
      <c r="JV66" s="43"/>
      <c r="JW66" s="45"/>
      <c r="JX66" s="149"/>
      <c r="JY66" s="150"/>
    </row>
    <row r="67" spans="8:285" ht="18" customHeight="1" x14ac:dyDescent="0.2">
      <c r="H67" s="4"/>
      <c r="S67" s="42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1"/>
      <c r="AF67" s="41"/>
      <c r="AG67" s="41"/>
      <c r="AH67" s="44"/>
      <c r="BC67" s="13"/>
      <c r="BE67" s="160"/>
      <c r="BF67" s="161"/>
      <c r="BG67" s="162"/>
      <c r="BH67" s="162"/>
      <c r="BI67" s="162"/>
      <c r="BJ67" s="161"/>
      <c r="BX67" s="12"/>
      <c r="BZ67" s="177"/>
      <c r="CA67" s="43"/>
      <c r="CB67" s="45"/>
      <c r="CG67" s="11"/>
      <c r="CH67" s="181"/>
      <c r="CI67" s="15"/>
      <c r="CJ67" s="15"/>
      <c r="CK67" s="15"/>
      <c r="CL67" s="14"/>
      <c r="CM67" s="15"/>
      <c r="CN67" s="15"/>
      <c r="CO67" s="16"/>
      <c r="CP67" s="14"/>
      <c r="CQ67" s="15"/>
      <c r="CR67" s="15"/>
      <c r="CS67" s="15"/>
      <c r="CT67" s="15"/>
      <c r="CU67" s="15"/>
      <c r="CV67" s="15"/>
      <c r="CW67" s="15"/>
      <c r="CX67" s="15"/>
      <c r="CY67" s="15"/>
      <c r="CZ67" s="16"/>
      <c r="DA67" s="15"/>
      <c r="DB67" s="15"/>
      <c r="DC67" s="15"/>
      <c r="DD67" s="15"/>
      <c r="DE67" s="16"/>
      <c r="DF67" s="183"/>
      <c r="DV67" s="12"/>
      <c r="DW67" s="13"/>
      <c r="FF67" s="42"/>
      <c r="FG67" s="43"/>
      <c r="FH67" s="12"/>
      <c r="FL67" s="12"/>
      <c r="GT67" s="13"/>
      <c r="GU67" s="43"/>
      <c r="GV67" s="45"/>
      <c r="GW67" s="149"/>
      <c r="GX67" s="150"/>
      <c r="IG67" s="46"/>
      <c r="IH67" s="47"/>
      <c r="II67" s="47"/>
      <c r="IJ67" s="47"/>
      <c r="IK67" s="47"/>
      <c r="IL67" s="43"/>
      <c r="IM67" s="47"/>
      <c r="IN67" s="43"/>
      <c r="IO67" s="47"/>
      <c r="IP67" s="43"/>
      <c r="IQ67" s="43"/>
      <c r="IR67" s="43"/>
      <c r="IS67" s="43"/>
      <c r="IT67" s="43"/>
      <c r="IU67" s="43"/>
      <c r="IV67" s="43"/>
      <c r="IW67" s="43"/>
      <c r="IX67" s="43"/>
      <c r="IY67" s="43"/>
      <c r="IZ67" s="43"/>
      <c r="JA67" s="43"/>
      <c r="JB67" s="43"/>
      <c r="JC67" s="43"/>
      <c r="JD67" s="43"/>
      <c r="JE67" s="40"/>
      <c r="JF67" s="41"/>
      <c r="JG67" s="41"/>
      <c r="JH67" s="41"/>
      <c r="JI67" s="41"/>
      <c r="JJ67" s="44"/>
      <c r="JK67" s="43"/>
      <c r="JL67" s="43"/>
      <c r="JM67" s="43"/>
      <c r="JN67" s="43"/>
      <c r="JO67" s="127"/>
      <c r="JP67" s="127"/>
      <c r="JQ67" s="127"/>
      <c r="JR67" s="127"/>
      <c r="JS67" s="127"/>
      <c r="JT67" s="127"/>
      <c r="JU67" s="43"/>
      <c r="JV67" s="43"/>
      <c r="JW67" s="45"/>
      <c r="JX67" s="152"/>
      <c r="JY67" s="153"/>
    </row>
    <row r="68" spans="8:285" ht="18" customHeight="1" x14ac:dyDescent="0.2">
      <c r="H68" s="4"/>
      <c r="S68" s="46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3"/>
      <c r="AE68" s="43"/>
      <c r="AF68" s="43"/>
      <c r="AG68" s="43"/>
      <c r="AH68" s="45"/>
      <c r="BC68" s="13"/>
      <c r="BE68" s="160"/>
      <c r="BF68" s="161"/>
      <c r="BG68" s="163"/>
      <c r="BH68" s="163"/>
      <c r="BI68" s="163"/>
      <c r="BJ68" s="164"/>
      <c r="BX68" s="12"/>
      <c r="BZ68" s="177"/>
      <c r="CA68" s="43"/>
      <c r="CB68" s="45"/>
      <c r="CL68" s="18"/>
      <c r="DV68" s="12"/>
      <c r="DW68" s="13"/>
      <c r="FF68" s="42"/>
      <c r="FG68" s="43"/>
      <c r="FH68" s="12"/>
      <c r="FK68" s="13"/>
      <c r="FL68" s="12"/>
      <c r="GT68" s="13"/>
      <c r="GU68" s="43"/>
      <c r="GV68" s="45"/>
      <c r="GW68" s="149"/>
      <c r="GX68" s="150"/>
      <c r="ID68" s="146"/>
      <c r="IE68" s="147"/>
      <c r="IF68" s="146"/>
      <c r="IG68" s="168"/>
      <c r="IH68" s="146"/>
      <c r="II68" s="147"/>
      <c r="IJ68" s="147"/>
      <c r="IK68" s="147"/>
      <c r="IL68" s="147"/>
      <c r="IM68" s="147"/>
      <c r="IN68" s="147"/>
      <c r="IO68" s="147"/>
      <c r="IP68" s="147"/>
      <c r="IQ68" s="147"/>
      <c r="IR68" s="147"/>
      <c r="IS68" s="147"/>
      <c r="IT68" s="147"/>
      <c r="IU68" s="147"/>
      <c r="IV68" s="147"/>
      <c r="IW68" s="147"/>
      <c r="IX68" s="147"/>
      <c r="IY68" s="147"/>
      <c r="IZ68" s="147"/>
      <c r="JA68" s="147"/>
      <c r="JB68" s="147"/>
      <c r="JC68" s="147"/>
      <c r="JD68" s="147"/>
      <c r="JE68" s="147"/>
      <c r="JF68" s="147"/>
      <c r="JG68" s="148"/>
      <c r="JH68" s="147"/>
      <c r="JI68" s="147"/>
      <c r="JJ68" s="147"/>
      <c r="JK68" s="147"/>
      <c r="JL68" s="147"/>
      <c r="JM68" s="147"/>
      <c r="JN68" s="147"/>
      <c r="JO68" s="147"/>
      <c r="JP68" s="147"/>
      <c r="JQ68" s="147"/>
      <c r="JR68" s="147"/>
      <c r="JS68" s="147"/>
      <c r="JT68" s="147"/>
      <c r="JU68" s="147"/>
      <c r="JV68" s="147"/>
      <c r="JW68" s="147"/>
      <c r="JX68" s="146"/>
      <c r="JY68" s="147"/>
    </row>
    <row r="69" spans="8:285" ht="18" customHeight="1" x14ac:dyDescent="0.2">
      <c r="H69" s="4"/>
      <c r="AB69" s="10"/>
      <c r="AC69" s="10"/>
      <c r="AD69" s="10"/>
      <c r="AE69" s="10"/>
      <c r="AF69" s="11"/>
      <c r="AG69" s="46"/>
      <c r="AH69" s="48"/>
      <c r="BC69" s="13"/>
      <c r="BE69" s="160"/>
      <c r="BF69" s="161"/>
      <c r="BG69" s="158"/>
      <c r="BH69" s="158"/>
      <c r="BI69" s="158"/>
      <c r="BJ69" s="159"/>
      <c r="BX69" s="12"/>
      <c r="BZ69" s="177"/>
      <c r="CA69" s="43"/>
      <c r="CB69" s="45"/>
      <c r="CL69" s="19"/>
      <c r="DV69" s="12"/>
      <c r="DW69" s="13"/>
      <c r="FF69" s="42"/>
      <c r="FG69" s="43"/>
      <c r="FH69" s="14"/>
      <c r="FI69" s="15"/>
      <c r="FJ69" s="15"/>
      <c r="FK69" s="16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6"/>
      <c r="GU69" s="43"/>
      <c r="GV69" s="45"/>
      <c r="GW69" s="149"/>
      <c r="GX69" s="150"/>
      <c r="ID69" s="149"/>
      <c r="IE69" s="150"/>
      <c r="IF69" s="149"/>
      <c r="IG69" s="170"/>
      <c r="IH69" s="149"/>
      <c r="II69" s="150"/>
      <c r="IJ69" s="150"/>
      <c r="IK69" s="150"/>
      <c r="IL69" s="150"/>
      <c r="IM69" s="150"/>
      <c r="IN69" s="150"/>
      <c r="IO69" s="150"/>
      <c r="IP69" s="150"/>
      <c r="IQ69" s="150"/>
      <c r="IR69" s="150"/>
      <c r="IS69" s="150"/>
      <c r="IT69" s="150"/>
      <c r="IU69" s="150"/>
      <c r="IV69" s="150"/>
      <c r="IW69" s="150"/>
      <c r="IX69" s="150"/>
      <c r="IY69" s="150"/>
      <c r="IZ69" s="150"/>
      <c r="JA69" s="150"/>
      <c r="JB69" s="150"/>
      <c r="JC69" s="150"/>
      <c r="JD69" s="150"/>
      <c r="JE69" s="150"/>
      <c r="JF69" s="150"/>
      <c r="JG69" s="151"/>
      <c r="JH69" s="150"/>
      <c r="JI69" s="150"/>
      <c r="JJ69" s="150"/>
      <c r="JK69" s="150"/>
      <c r="JL69" s="150"/>
      <c r="JM69" s="150"/>
      <c r="JN69" s="150"/>
      <c r="JO69" s="150"/>
      <c r="JP69" s="150"/>
      <c r="JQ69" s="150"/>
      <c r="JR69" s="150"/>
      <c r="JS69" s="150"/>
      <c r="JT69" s="150"/>
      <c r="JU69" s="150"/>
      <c r="JV69" s="150"/>
      <c r="JW69" s="150"/>
      <c r="JX69" s="149"/>
      <c r="JY69" s="150"/>
    </row>
    <row r="70" spans="8:285" ht="18" customHeight="1" x14ac:dyDescent="0.2">
      <c r="H70" s="4"/>
      <c r="AF70" s="13"/>
      <c r="AG70" s="108"/>
      <c r="AH70" s="42"/>
      <c r="AI70" s="12"/>
      <c r="BC70" s="13"/>
      <c r="BE70" s="160"/>
      <c r="BF70" s="161"/>
      <c r="BG70" s="162"/>
      <c r="BH70" s="162"/>
      <c r="BI70" s="162"/>
      <c r="BJ70" s="161"/>
      <c r="BX70" s="12"/>
      <c r="BZ70" s="177"/>
      <c r="CA70" s="43"/>
      <c r="CB70" s="45"/>
      <c r="DV70" s="14"/>
      <c r="DW70" s="16"/>
      <c r="FF70" s="42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123"/>
      <c r="GE70" s="109"/>
      <c r="GF70" s="109"/>
      <c r="GG70" s="109"/>
      <c r="GH70" s="109"/>
      <c r="GI70" s="124"/>
      <c r="GJ70" s="43"/>
      <c r="GK70" s="43"/>
      <c r="GL70" s="43"/>
      <c r="GM70" s="43"/>
      <c r="GN70" s="127"/>
      <c r="GO70" s="127"/>
      <c r="GP70" s="127"/>
      <c r="GQ70" s="127"/>
      <c r="GR70" s="127"/>
      <c r="GS70" s="127"/>
      <c r="GT70" s="43"/>
      <c r="GU70" s="43"/>
      <c r="GV70" s="45"/>
      <c r="GW70" s="149"/>
      <c r="GX70" s="150"/>
    </row>
    <row r="71" spans="8:285" ht="18" customHeight="1" x14ac:dyDescent="0.2">
      <c r="H71" s="4"/>
      <c r="AF71" s="13"/>
      <c r="AG71" s="108"/>
      <c r="AH71" s="42"/>
      <c r="AI71" s="12"/>
      <c r="BC71" s="13"/>
      <c r="BE71" s="160"/>
      <c r="BF71" s="161"/>
      <c r="BG71" s="162"/>
      <c r="BH71" s="162"/>
      <c r="BI71" s="162"/>
      <c r="BJ71" s="161"/>
      <c r="BX71" s="12"/>
      <c r="BZ71" s="178"/>
      <c r="CA71" s="43"/>
      <c r="CB71" s="45"/>
      <c r="DW71" s="5"/>
      <c r="FF71" s="46"/>
      <c r="FG71" s="47"/>
      <c r="FH71" s="47"/>
      <c r="FI71" s="47"/>
      <c r="FJ71" s="47"/>
      <c r="FK71" s="43"/>
      <c r="FL71" s="47"/>
      <c r="FM71" s="43"/>
      <c r="FN71" s="47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0"/>
      <c r="GE71" s="41"/>
      <c r="GF71" s="41"/>
      <c r="GG71" s="41"/>
      <c r="GH71" s="41"/>
      <c r="GI71" s="44"/>
      <c r="GJ71" s="43"/>
      <c r="GK71" s="43"/>
      <c r="GL71" s="43"/>
      <c r="GM71" s="43"/>
      <c r="GN71" s="127"/>
      <c r="GO71" s="127"/>
      <c r="GP71" s="127"/>
      <c r="GQ71" s="127"/>
      <c r="GR71" s="127"/>
      <c r="GS71" s="127"/>
      <c r="GT71" s="43"/>
      <c r="GU71" s="43"/>
      <c r="GV71" s="45"/>
      <c r="GW71" s="152"/>
      <c r="GX71" s="153"/>
    </row>
    <row r="72" spans="8:285" ht="18" customHeight="1" x14ac:dyDescent="0.2">
      <c r="H72" s="4"/>
      <c r="AF72" s="13"/>
      <c r="AG72" s="108"/>
      <c r="AH72" s="42"/>
      <c r="AI72" s="12"/>
      <c r="BC72" s="13"/>
      <c r="BE72" s="160"/>
      <c r="BF72" s="161"/>
      <c r="BG72" s="162"/>
      <c r="BH72" s="162"/>
      <c r="BI72" s="162"/>
      <c r="BJ72" s="161"/>
      <c r="BX72" s="14"/>
      <c r="BY72" s="15"/>
      <c r="BZ72" s="16"/>
      <c r="CA72" s="43"/>
      <c r="CB72" s="45"/>
      <c r="DW72" s="5"/>
      <c r="FC72" s="146"/>
      <c r="FD72" s="147"/>
      <c r="FE72" s="146"/>
      <c r="FF72" s="168"/>
      <c r="FG72" s="146"/>
      <c r="FH72" s="147"/>
      <c r="FI72" s="147"/>
      <c r="FJ72" s="147"/>
      <c r="FK72" s="147"/>
      <c r="FL72" s="147"/>
      <c r="FM72" s="147"/>
      <c r="FN72" s="147"/>
      <c r="FO72" s="147"/>
      <c r="FP72" s="147"/>
      <c r="FQ72" s="147"/>
      <c r="FR72" s="147"/>
      <c r="FS72" s="147"/>
      <c r="FT72" s="147"/>
      <c r="FU72" s="147"/>
      <c r="FV72" s="147"/>
      <c r="FW72" s="147"/>
      <c r="FX72" s="147"/>
      <c r="FY72" s="147"/>
      <c r="FZ72" s="147"/>
      <c r="GA72" s="147"/>
      <c r="GB72" s="147"/>
      <c r="GC72" s="147"/>
      <c r="GD72" s="147"/>
      <c r="GE72" s="147"/>
      <c r="GF72" s="148"/>
      <c r="GG72" s="147"/>
      <c r="GH72" s="147"/>
      <c r="GI72" s="147"/>
      <c r="GJ72" s="147"/>
      <c r="GK72" s="147"/>
      <c r="GL72" s="147"/>
      <c r="GM72" s="147"/>
      <c r="GN72" s="147"/>
      <c r="GO72" s="147"/>
      <c r="GP72" s="147"/>
      <c r="GQ72" s="147"/>
      <c r="GR72" s="147"/>
      <c r="GS72" s="147"/>
      <c r="GT72" s="147"/>
      <c r="GU72" s="147"/>
      <c r="GV72" s="147"/>
      <c r="GW72" s="146"/>
      <c r="GX72" s="147"/>
    </row>
    <row r="73" spans="8:285" ht="18" customHeight="1" x14ac:dyDescent="0.2">
      <c r="H73" s="4"/>
      <c r="AG73" s="108"/>
      <c r="AH73" s="42"/>
      <c r="AI73" s="12"/>
      <c r="BC73" s="13"/>
      <c r="BE73" s="160"/>
      <c r="BF73" s="161"/>
      <c r="BG73" s="162"/>
      <c r="BH73" s="162"/>
      <c r="BI73" s="162"/>
      <c r="BJ73" s="161"/>
      <c r="BZ73" s="13"/>
      <c r="CA73" s="43"/>
      <c r="CB73" s="45"/>
      <c r="DW73" s="5"/>
      <c r="FC73" s="149"/>
      <c r="FD73" s="150"/>
      <c r="FE73" s="149"/>
      <c r="FF73" s="170"/>
      <c r="FG73" s="149"/>
      <c r="FH73" s="150"/>
      <c r="FI73" s="150"/>
      <c r="FJ73" s="150"/>
      <c r="FK73" s="150"/>
      <c r="FL73" s="150"/>
      <c r="FM73" s="150"/>
      <c r="FN73" s="150"/>
      <c r="FO73" s="150"/>
      <c r="FP73" s="150"/>
      <c r="FQ73" s="150"/>
      <c r="FR73" s="150"/>
      <c r="FS73" s="150"/>
      <c r="FT73" s="150"/>
      <c r="FU73" s="150"/>
      <c r="FV73" s="150"/>
      <c r="FW73" s="150"/>
      <c r="FX73" s="150"/>
      <c r="FY73" s="150"/>
      <c r="FZ73" s="150"/>
      <c r="GA73" s="150"/>
      <c r="GB73" s="150"/>
      <c r="GC73" s="150"/>
      <c r="GD73" s="150"/>
      <c r="GE73" s="150"/>
      <c r="GF73" s="151"/>
      <c r="GG73" s="150"/>
      <c r="GH73" s="150"/>
      <c r="GI73" s="150"/>
      <c r="GJ73" s="150"/>
      <c r="GK73" s="150"/>
      <c r="GL73" s="150"/>
      <c r="GM73" s="150"/>
      <c r="GN73" s="150"/>
      <c r="GO73" s="150"/>
      <c r="GP73" s="150"/>
      <c r="GQ73" s="150"/>
      <c r="GR73" s="150"/>
      <c r="GS73" s="150"/>
      <c r="GT73" s="150"/>
      <c r="GU73" s="150"/>
      <c r="GV73" s="150"/>
      <c r="GW73" s="149"/>
      <c r="GX73" s="150"/>
    </row>
    <row r="74" spans="8:285" ht="18" customHeight="1" x14ac:dyDescent="0.2">
      <c r="H74" s="4"/>
      <c r="AF74" s="13"/>
      <c r="AG74" s="108"/>
      <c r="AH74" s="42"/>
      <c r="AI74" s="12"/>
      <c r="BC74" s="13"/>
      <c r="BE74" s="165"/>
      <c r="BF74" s="166"/>
      <c r="BG74" s="166"/>
      <c r="BH74" s="166"/>
      <c r="BI74" s="166"/>
      <c r="BJ74" s="167"/>
      <c r="BZ74" s="13"/>
      <c r="CA74" s="43"/>
      <c r="CB74" s="45"/>
      <c r="DW74" s="5"/>
    </row>
    <row r="75" spans="8:285" ht="18" customHeight="1" x14ac:dyDescent="0.2">
      <c r="H75" s="4"/>
      <c r="AF75" s="13"/>
      <c r="AG75" s="126"/>
      <c r="AH75" s="46"/>
      <c r="AI75" s="12"/>
      <c r="BC75" s="13"/>
      <c r="BE75" s="12"/>
      <c r="BG75" s="13"/>
      <c r="BZ75" s="13"/>
      <c r="CA75" s="43"/>
      <c r="CB75" s="45"/>
      <c r="DW75" s="5"/>
    </row>
    <row r="76" spans="8:285" ht="18" customHeight="1" x14ac:dyDescent="0.2">
      <c r="H76" s="4"/>
      <c r="AF76" s="13"/>
      <c r="AG76" s="43"/>
      <c r="AH76" s="43"/>
      <c r="AI76" s="14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6"/>
      <c r="BE76" s="12"/>
      <c r="BG76" s="13"/>
      <c r="BZ76" s="13"/>
      <c r="CA76" s="43"/>
      <c r="CB76" s="45"/>
      <c r="CC76" s="146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8"/>
      <c r="DW76" s="5"/>
    </row>
    <row r="77" spans="8:285" ht="18" customHeight="1" x14ac:dyDescent="0.2">
      <c r="H77" s="4"/>
      <c r="AF77" s="13"/>
      <c r="AG77" s="42"/>
      <c r="AH77" s="43"/>
      <c r="AI77" s="12"/>
      <c r="BE77" s="14"/>
      <c r="BF77" s="15"/>
      <c r="BG77" s="16"/>
      <c r="BZ77" s="13"/>
      <c r="CA77" s="43"/>
      <c r="CB77" s="45"/>
      <c r="CC77" s="149"/>
      <c r="CD77" s="150"/>
      <c r="CE77" s="150"/>
      <c r="CF77" s="150"/>
      <c r="CG77" s="150"/>
      <c r="CH77" s="150"/>
      <c r="CI77" s="150"/>
      <c r="CJ77" s="150"/>
      <c r="CK77" s="150"/>
      <c r="CL77" s="150"/>
      <c r="CM77" s="150"/>
      <c r="CN77" s="150"/>
      <c r="CO77" s="150"/>
      <c r="CP77" s="150"/>
      <c r="CQ77" s="150"/>
      <c r="CR77" s="150"/>
      <c r="CS77" s="150"/>
      <c r="CT77" s="150"/>
      <c r="CU77" s="150"/>
      <c r="CV77" s="151"/>
      <c r="DW77" s="5"/>
    </row>
    <row r="78" spans="8:285" ht="18" customHeight="1" x14ac:dyDescent="0.2">
      <c r="H78" s="4"/>
      <c r="AF78" s="13"/>
      <c r="AG78" s="43"/>
      <c r="AH78" s="43"/>
      <c r="AI78" s="9"/>
      <c r="AJ78" s="10"/>
      <c r="AK78" s="10"/>
      <c r="AL78" s="10"/>
      <c r="AM78" s="9"/>
      <c r="AN78" s="10"/>
      <c r="AO78" s="10"/>
      <c r="AP78" s="10"/>
      <c r="AQ78" s="10"/>
      <c r="AR78" s="11"/>
      <c r="AS78" s="10"/>
      <c r="AT78" s="10"/>
      <c r="AU78" s="10"/>
      <c r="AV78" s="139"/>
      <c r="AW78" s="52"/>
      <c r="AX78" s="52"/>
      <c r="AY78" s="52"/>
      <c r="AZ78" s="52"/>
      <c r="BA78" s="52"/>
      <c r="BB78" s="52"/>
      <c r="BC78" s="52"/>
      <c r="BD78" s="18"/>
      <c r="BZ78" s="13"/>
      <c r="CA78" s="43"/>
      <c r="CB78" s="45"/>
      <c r="CC78" s="184"/>
      <c r="CD78" s="185"/>
      <c r="CE78" s="185"/>
      <c r="CF78" s="185"/>
      <c r="CG78" s="185"/>
      <c r="CH78" s="185"/>
      <c r="CI78" s="185"/>
      <c r="CJ78" s="185"/>
      <c r="CK78" s="185"/>
      <c r="CL78" s="185"/>
      <c r="CM78" s="185"/>
      <c r="CN78" s="185"/>
      <c r="CO78" s="185"/>
      <c r="CP78" s="185"/>
      <c r="CQ78" s="185"/>
      <c r="CR78" s="185"/>
      <c r="CS78" s="146"/>
      <c r="CT78" s="148"/>
      <c r="CU78" s="150"/>
      <c r="CV78" s="151"/>
      <c r="DW78" s="5"/>
    </row>
    <row r="79" spans="8:285" ht="18" customHeight="1" thickBot="1" x14ac:dyDescent="0.25">
      <c r="H79" s="4"/>
      <c r="AG79" s="42"/>
      <c r="AH79" s="43"/>
      <c r="AI79" s="12"/>
      <c r="AM79" s="14"/>
      <c r="AN79" s="15"/>
      <c r="AO79" s="15"/>
      <c r="AP79" s="15"/>
      <c r="AQ79" s="15"/>
      <c r="AR79" s="16"/>
      <c r="AV79" s="140"/>
      <c r="AW79" s="51"/>
      <c r="AX79" s="51"/>
      <c r="AY79" s="51"/>
      <c r="AZ79" s="51"/>
      <c r="BA79" s="51"/>
      <c r="BB79" s="51"/>
      <c r="BC79" s="51"/>
      <c r="BD79" s="18"/>
      <c r="BZ79" s="13"/>
      <c r="CA79" s="43"/>
      <c r="CB79" s="45"/>
      <c r="CC79" s="170"/>
      <c r="CD79" s="171"/>
      <c r="CE79" s="171"/>
      <c r="CF79" s="171"/>
      <c r="CG79" s="171"/>
      <c r="CH79" s="171"/>
      <c r="CI79" s="171"/>
      <c r="CJ79" s="171"/>
      <c r="CK79" s="171"/>
      <c r="CL79" s="171"/>
      <c r="CM79" s="171"/>
      <c r="CN79" s="171"/>
      <c r="CO79" s="171"/>
      <c r="CP79" s="171"/>
      <c r="CQ79" s="171"/>
      <c r="CR79" s="171"/>
      <c r="CS79" s="152"/>
      <c r="CT79" s="154"/>
      <c r="CU79" s="150"/>
      <c r="CV79" s="151"/>
      <c r="DW79" s="5"/>
      <c r="EA79" s="17"/>
      <c r="EB79" s="197"/>
      <c r="EC79" s="197"/>
      <c r="ED79" s="197"/>
      <c r="EE79" s="197"/>
      <c r="EF79" s="197"/>
      <c r="EG79" s="197"/>
      <c r="EH79" s="197"/>
      <c r="EI79" s="197"/>
      <c r="EJ79" s="197"/>
      <c r="EK79" s="197"/>
      <c r="EL79" s="197"/>
      <c r="EM79" s="197"/>
      <c r="EN79" s="197"/>
      <c r="EO79" s="197"/>
      <c r="EP79" s="197"/>
      <c r="EQ79" s="197"/>
      <c r="ER79" s="197"/>
      <c r="ES79" s="197"/>
      <c r="ET79" s="197"/>
      <c r="EU79" s="197"/>
      <c r="EV79" s="197"/>
      <c r="EW79" s="197"/>
      <c r="EX79" s="197"/>
      <c r="EY79" s="197"/>
      <c r="EZ79" s="197"/>
      <c r="FA79" s="197"/>
      <c r="FB79" s="197"/>
      <c r="FC79" s="197"/>
      <c r="FD79" s="197"/>
      <c r="FE79" s="197"/>
      <c r="FF79" s="197"/>
      <c r="FG79" s="197"/>
      <c r="FH79" s="197"/>
      <c r="FI79" s="197"/>
      <c r="FJ79" s="197"/>
      <c r="FK79" s="197"/>
      <c r="FL79" s="197"/>
      <c r="FM79" s="197"/>
      <c r="FN79" s="197"/>
      <c r="FO79" s="197"/>
      <c r="FP79" s="197"/>
      <c r="FQ79" s="197"/>
      <c r="FR79" s="197"/>
      <c r="FS79" s="197"/>
      <c r="FT79" s="197"/>
      <c r="FU79" s="197"/>
      <c r="FV79" s="197"/>
      <c r="FW79" s="197"/>
      <c r="FX79" s="197"/>
      <c r="FY79" s="197"/>
      <c r="FZ79" s="197"/>
      <c r="GA79" s="197"/>
      <c r="GB79" s="197"/>
      <c r="GC79" s="197"/>
      <c r="GD79" s="197"/>
      <c r="GE79" s="197"/>
      <c r="GF79" s="197"/>
      <c r="GG79" s="197"/>
      <c r="GH79" s="197"/>
      <c r="GI79" s="197"/>
      <c r="GJ79" s="17"/>
    </row>
    <row r="80" spans="8:285" ht="18" customHeight="1" thickTop="1" x14ac:dyDescent="0.2">
      <c r="H80" s="4"/>
      <c r="AG80" s="42"/>
      <c r="AH80" s="43"/>
      <c r="AI80" s="12"/>
      <c r="AV80" s="140"/>
      <c r="AW80" s="51"/>
      <c r="AX80" s="51"/>
      <c r="AY80" s="51"/>
      <c r="AZ80" s="51"/>
      <c r="BA80" s="51"/>
      <c r="BB80" s="51"/>
      <c r="BC80" s="51"/>
      <c r="BD80" s="18"/>
      <c r="BZ80" s="13"/>
      <c r="CA80" s="43"/>
      <c r="CB80" s="45"/>
      <c r="CC80" s="146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8"/>
      <c r="CS80" s="172"/>
      <c r="CT80" s="151"/>
      <c r="CU80" s="150"/>
      <c r="CV80" s="151"/>
      <c r="DW80" s="5"/>
      <c r="EA80" s="18"/>
      <c r="EB80" s="193"/>
      <c r="EC80" s="193"/>
      <c r="ED80" s="193"/>
      <c r="EE80" s="193"/>
      <c r="EF80" s="193"/>
      <c r="EG80" s="193"/>
      <c r="EH80" s="193"/>
      <c r="EI80" s="193"/>
      <c r="EJ80" s="193"/>
      <c r="EK80" s="193"/>
      <c r="EL80" s="193"/>
      <c r="EM80" s="193"/>
      <c r="EN80" s="193"/>
      <c r="EO80" s="193"/>
      <c r="EP80" s="193"/>
      <c r="EQ80" s="193"/>
      <c r="ER80" s="193"/>
      <c r="ES80" s="193"/>
      <c r="ET80" s="193"/>
      <c r="EU80" s="193"/>
      <c r="EV80" s="193"/>
      <c r="EW80" s="193"/>
      <c r="EX80" s="193"/>
      <c r="EY80" s="193"/>
      <c r="EZ80" s="193"/>
      <c r="FA80" s="193"/>
      <c r="FB80" s="193"/>
      <c r="FC80" s="193"/>
      <c r="FD80" s="193"/>
      <c r="FE80" s="193"/>
      <c r="FF80" s="193"/>
      <c r="FG80" s="193"/>
      <c r="FH80" s="193"/>
      <c r="FI80" s="193"/>
      <c r="FJ80" s="193"/>
      <c r="FK80" s="193"/>
      <c r="FL80" s="193"/>
      <c r="FM80" s="193"/>
      <c r="FN80" s="193"/>
      <c r="FO80" s="193"/>
      <c r="FP80" s="193"/>
      <c r="FQ80" s="193"/>
      <c r="FR80" s="193"/>
      <c r="FS80" s="193"/>
      <c r="FT80" s="193"/>
      <c r="FU80" s="193"/>
      <c r="FV80" s="193"/>
      <c r="FW80" s="193"/>
      <c r="FX80" s="193"/>
      <c r="FY80" s="193"/>
      <c r="FZ80" s="193"/>
      <c r="GA80" s="193"/>
      <c r="GB80" s="193"/>
      <c r="GC80" s="193"/>
      <c r="GD80" s="193"/>
      <c r="GE80" s="193"/>
      <c r="GF80" s="193"/>
      <c r="GG80" s="193"/>
      <c r="GH80" s="193"/>
      <c r="GI80" s="193"/>
      <c r="GJ80" s="18"/>
    </row>
    <row r="81" spans="8:193" ht="18" customHeight="1" x14ac:dyDescent="0.2">
      <c r="H81" s="4"/>
      <c r="AG81" s="42"/>
      <c r="AH81" s="43"/>
      <c r="AI81" s="12"/>
      <c r="AV81" s="140"/>
      <c r="AW81" s="51"/>
      <c r="AX81" s="51"/>
      <c r="AY81" s="51"/>
      <c r="AZ81" s="51"/>
      <c r="BA81" s="51"/>
      <c r="BB81" s="51"/>
      <c r="BC81" s="51"/>
      <c r="BD81" s="18"/>
      <c r="BZ81" s="13"/>
      <c r="CA81" s="43"/>
      <c r="CB81" s="45"/>
      <c r="CC81" s="149"/>
      <c r="CD81" s="150"/>
      <c r="CE81" s="150"/>
      <c r="CF81" s="150"/>
      <c r="CG81" s="150"/>
      <c r="CH81" s="150"/>
      <c r="CI81" s="150"/>
      <c r="CJ81" s="150"/>
      <c r="CK81" s="150"/>
      <c r="CL81" s="150"/>
      <c r="CM81" s="150"/>
      <c r="CN81" s="150"/>
      <c r="CO81" s="150"/>
      <c r="CP81" s="150"/>
      <c r="CQ81" s="150"/>
      <c r="CR81" s="151"/>
      <c r="CS81" s="172"/>
      <c r="CT81" s="151"/>
      <c r="CU81" s="150"/>
      <c r="CV81" s="151"/>
      <c r="DW81" s="5"/>
      <c r="EA81" s="18"/>
      <c r="GJ81" s="18"/>
    </row>
    <row r="82" spans="8:193" ht="18" customHeight="1" x14ac:dyDescent="0.2">
      <c r="H82" s="4"/>
      <c r="AG82" s="42"/>
      <c r="AH82" s="43"/>
      <c r="AI82" s="12"/>
      <c r="AM82" s="9"/>
      <c r="AN82" s="10"/>
      <c r="AO82" s="10"/>
      <c r="AP82" s="10"/>
      <c r="AQ82" s="10"/>
      <c r="AR82" s="10"/>
      <c r="AS82" s="10"/>
      <c r="AT82" s="10"/>
      <c r="AU82" s="10"/>
      <c r="AV82" s="139"/>
      <c r="AW82" s="52"/>
      <c r="AX82" s="52"/>
      <c r="AY82" s="52"/>
      <c r="AZ82" s="52"/>
      <c r="BA82" s="52"/>
      <c r="BB82" s="52"/>
      <c r="BC82" s="52"/>
      <c r="BD82" s="17"/>
      <c r="BZ82" s="13"/>
      <c r="CA82" s="43"/>
      <c r="CB82" s="45"/>
      <c r="CC82" s="149"/>
      <c r="CD82" s="150"/>
      <c r="CE82" s="150"/>
      <c r="CF82" s="150"/>
      <c r="CG82" s="150"/>
      <c r="CH82" s="150"/>
      <c r="CI82" s="150"/>
      <c r="CJ82" s="150"/>
      <c r="CK82" s="150"/>
      <c r="CL82" s="150"/>
      <c r="CM82" s="150"/>
      <c r="CN82" s="150"/>
      <c r="CO82" s="150"/>
      <c r="CP82" s="150"/>
      <c r="CQ82" s="150"/>
      <c r="CR82" s="151"/>
      <c r="CS82" s="172"/>
      <c r="CT82" s="151"/>
      <c r="CU82" s="150"/>
      <c r="CV82" s="151"/>
      <c r="DW82" s="5"/>
      <c r="EA82" s="18"/>
      <c r="EB82" s="9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1"/>
      <c r="GJ82" s="18"/>
    </row>
    <row r="83" spans="8:193" ht="18" customHeight="1" x14ac:dyDescent="0.2">
      <c r="H83" s="4"/>
      <c r="AG83" s="125"/>
      <c r="AH83" s="125"/>
      <c r="AI83" s="12"/>
      <c r="AM83" s="12"/>
      <c r="AV83" s="140"/>
      <c r="AW83" s="51"/>
      <c r="AX83" s="51"/>
      <c r="AY83" s="51"/>
      <c r="AZ83" s="51"/>
      <c r="BA83" s="51"/>
      <c r="BB83" s="51"/>
      <c r="BC83" s="51"/>
      <c r="BD83" s="18"/>
      <c r="BZ83" s="13"/>
      <c r="CA83" s="125"/>
      <c r="CB83" s="125"/>
      <c r="CC83" s="149"/>
      <c r="CD83" s="150"/>
      <c r="CE83" s="150"/>
      <c r="CF83" s="150"/>
      <c r="CG83" s="150"/>
      <c r="CH83" s="150"/>
      <c r="CI83" s="150"/>
      <c r="CJ83" s="150"/>
      <c r="CK83" s="150"/>
      <c r="CL83" s="150"/>
      <c r="CM83" s="150"/>
      <c r="CN83" s="150"/>
      <c r="CO83" s="150"/>
      <c r="CP83" s="150"/>
      <c r="CQ83" s="150"/>
      <c r="CR83" s="151"/>
      <c r="CS83" s="172"/>
      <c r="CT83" s="151"/>
      <c r="CU83" s="150"/>
      <c r="CV83" s="151"/>
      <c r="DW83" s="5"/>
      <c r="EA83" s="18"/>
      <c r="EB83" s="12"/>
      <c r="GI83" s="13"/>
      <c r="GJ83" s="18"/>
    </row>
    <row r="84" spans="8:193" ht="18" customHeight="1" x14ac:dyDescent="0.2">
      <c r="H84" s="4"/>
      <c r="AG84" s="108"/>
      <c r="AH84" s="108"/>
      <c r="AI84" s="12"/>
      <c r="AJ84" s="168"/>
      <c r="AK84" s="169"/>
      <c r="AM84" s="12"/>
      <c r="AV84" s="140"/>
      <c r="AW84" s="51"/>
      <c r="AX84" s="51"/>
      <c r="AY84" s="51"/>
      <c r="AZ84" s="51"/>
      <c r="BA84" s="51"/>
      <c r="BB84" s="51"/>
      <c r="BC84" s="51"/>
      <c r="BD84" s="18"/>
      <c r="BZ84" s="13"/>
      <c r="CA84" s="108"/>
      <c r="CB84" s="108"/>
      <c r="CC84" s="149"/>
      <c r="CD84" s="150"/>
      <c r="CE84" s="150"/>
      <c r="CF84" s="150"/>
      <c r="CG84" s="150"/>
      <c r="CH84" s="150"/>
      <c r="CI84" s="150"/>
      <c r="CJ84" s="150"/>
      <c r="CK84" s="150"/>
      <c r="CL84" s="150"/>
      <c r="CM84" s="150"/>
      <c r="CN84" s="150"/>
      <c r="CO84" s="150"/>
      <c r="CP84" s="150"/>
      <c r="CQ84" s="150"/>
      <c r="CR84" s="151"/>
      <c r="CS84" s="172"/>
      <c r="CT84" s="186"/>
      <c r="CU84" s="147"/>
      <c r="CV84" s="148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9"/>
      <c r="DW84" s="11"/>
      <c r="EA84" s="18"/>
      <c r="EB84" s="12"/>
      <c r="GI84" s="13"/>
      <c r="GJ84" s="18"/>
    </row>
    <row r="85" spans="8:193" ht="18" customHeight="1" x14ac:dyDescent="0.2">
      <c r="H85" s="4"/>
      <c r="AG85" s="108"/>
      <c r="AH85" s="108"/>
      <c r="AI85" s="12"/>
      <c r="AJ85" s="170"/>
      <c r="AK85" s="172"/>
      <c r="AM85" s="12"/>
      <c r="AV85" s="140"/>
      <c r="AW85" s="51"/>
      <c r="AX85" s="51"/>
      <c r="AY85" s="51"/>
      <c r="AZ85" s="51"/>
      <c r="BA85" s="51"/>
      <c r="BB85" s="51"/>
      <c r="BC85" s="51"/>
      <c r="BD85" s="18"/>
      <c r="BZ85" s="13"/>
      <c r="CA85" s="108"/>
      <c r="CB85" s="108"/>
      <c r="CC85" s="149"/>
      <c r="CD85" s="150"/>
      <c r="CE85" s="150"/>
      <c r="CF85" s="150"/>
      <c r="CG85" s="150"/>
      <c r="CH85" s="150"/>
      <c r="CI85" s="150"/>
      <c r="CJ85" s="150"/>
      <c r="CK85" s="150"/>
      <c r="CL85" s="150"/>
      <c r="CM85" s="150"/>
      <c r="CN85" s="150"/>
      <c r="CO85" s="150"/>
      <c r="CP85" s="150"/>
      <c r="CQ85" s="150"/>
      <c r="CR85" s="151"/>
      <c r="CS85" s="172"/>
      <c r="CT85" s="187"/>
      <c r="CU85" s="150"/>
      <c r="CV85" s="151"/>
      <c r="DV85" s="12"/>
      <c r="DW85" s="13"/>
      <c r="DZ85" s="20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2"/>
    </row>
    <row r="86" spans="8:193" ht="18" customHeight="1" x14ac:dyDescent="0.2">
      <c r="H86" s="4"/>
      <c r="AG86" s="108"/>
      <c r="AH86" s="108"/>
      <c r="AI86" s="12"/>
      <c r="AJ86" s="170"/>
      <c r="AK86" s="172"/>
      <c r="AM86" s="12"/>
      <c r="AV86" s="140"/>
      <c r="AW86" s="51"/>
      <c r="AX86" s="51"/>
      <c r="AY86" s="51"/>
      <c r="AZ86" s="51"/>
      <c r="BA86" s="51"/>
      <c r="BB86" s="51"/>
      <c r="BC86" s="51"/>
      <c r="BD86" s="18"/>
      <c r="BZ86" s="13"/>
      <c r="CA86" s="108"/>
      <c r="CB86" s="108"/>
      <c r="CC86" s="149"/>
      <c r="CD86" s="150"/>
      <c r="CE86" s="150"/>
      <c r="CF86" s="150"/>
      <c r="CG86" s="150"/>
      <c r="CH86" s="150"/>
      <c r="CI86" s="150"/>
      <c r="CJ86" s="150"/>
      <c r="CK86" s="150"/>
      <c r="CL86" s="150"/>
      <c r="CM86" s="150"/>
      <c r="CN86" s="150"/>
      <c r="CO86" s="150"/>
      <c r="CP86" s="150"/>
      <c r="CQ86" s="150"/>
      <c r="CR86" s="151"/>
      <c r="CS86" s="172"/>
      <c r="CT86" s="187"/>
      <c r="CU86" s="150"/>
      <c r="CV86" s="151"/>
      <c r="DV86" s="12"/>
      <c r="DW86" s="13"/>
      <c r="EA86" s="12"/>
      <c r="EB86" s="13"/>
      <c r="EL86" s="189"/>
      <c r="EW86" s="18"/>
      <c r="EX86" s="12"/>
      <c r="FH86" s="9"/>
      <c r="FI86" s="11"/>
      <c r="FQ86" s="13"/>
      <c r="FR86" s="18"/>
      <c r="FS86" s="12"/>
      <c r="GI86" s="12"/>
      <c r="GJ86" s="13"/>
    </row>
    <row r="87" spans="8:193" ht="18" customHeight="1" x14ac:dyDescent="0.2">
      <c r="H87" s="4"/>
      <c r="AG87" s="108"/>
      <c r="AH87" s="108"/>
      <c r="AI87" s="12"/>
      <c r="AJ87" s="173"/>
      <c r="AK87" s="174"/>
      <c r="AM87" s="12"/>
      <c r="AV87" s="140"/>
      <c r="AW87" s="51"/>
      <c r="AX87" s="51"/>
      <c r="AY87" s="51"/>
      <c r="AZ87" s="51"/>
      <c r="BA87" s="51"/>
      <c r="BB87" s="51"/>
      <c r="BC87" s="51"/>
      <c r="BD87" s="18"/>
      <c r="BZ87" s="13"/>
      <c r="CA87" s="108"/>
      <c r="CB87" s="108"/>
      <c r="CC87" s="149"/>
      <c r="CD87" s="150"/>
      <c r="CE87" s="150"/>
      <c r="CF87" s="150"/>
      <c r="CG87" s="150"/>
      <c r="CH87" s="150"/>
      <c r="CI87" s="150"/>
      <c r="CJ87" s="150"/>
      <c r="CK87" s="150"/>
      <c r="CL87" s="150"/>
      <c r="CM87" s="150"/>
      <c r="CN87" s="150"/>
      <c r="CO87" s="150"/>
      <c r="CP87" s="150"/>
      <c r="CQ87" s="150"/>
      <c r="CR87" s="151"/>
      <c r="CS87" s="172"/>
      <c r="CT87" s="187"/>
      <c r="CU87" s="150"/>
      <c r="CV87" s="151"/>
      <c r="DV87" s="12"/>
      <c r="DW87" s="13"/>
      <c r="EA87" s="12"/>
      <c r="EB87" s="13"/>
      <c r="EL87" s="190"/>
      <c r="EW87" s="18"/>
      <c r="EX87" s="12"/>
      <c r="FH87" s="12"/>
      <c r="FI87" s="13"/>
      <c r="FQ87" s="13"/>
      <c r="FR87" s="18"/>
      <c r="FS87" s="12"/>
      <c r="GI87" s="12"/>
      <c r="GJ87" s="13"/>
    </row>
    <row r="88" spans="8:193" ht="18" customHeight="1" x14ac:dyDescent="0.2">
      <c r="H88" s="4"/>
      <c r="AG88" s="126"/>
      <c r="AH88" s="126"/>
      <c r="AI88" s="12"/>
      <c r="AM88" s="12"/>
      <c r="AV88" s="140"/>
      <c r="AW88" s="51"/>
      <c r="AX88" s="51"/>
      <c r="AY88" s="51"/>
      <c r="AZ88" s="51"/>
      <c r="BA88" s="51"/>
      <c r="BB88" s="51"/>
      <c r="BC88" s="51"/>
      <c r="BD88" s="18"/>
      <c r="BZ88" s="13"/>
      <c r="CA88" s="126"/>
      <c r="CB88" s="126"/>
      <c r="CC88" s="149"/>
      <c r="CD88" s="150"/>
      <c r="CE88" s="150"/>
      <c r="CF88" s="150"/>
      <c r="CG88" s="150"/>
      <c r="CH88" s="150"/>
      <c r="CI88" s="150"/>
      <c r="CJ88" s="150"/>
      <c r="CK88" s="150"/>
      <c r="CL88" s="150"/>
      <c r="CM88" s="150"/>
      <c r="CN88" s="150"/>
      <c r="CO88" s="150"/>
      <c r="CP88" s="150"/>
      <c r="CQ88" s="150"/>
      <c r="CR88" s="151"/>
      <c r="CS88" s="172"/>
      <c r="CT88" s="187"/>
      <c r="CU88" s="150"/>
      <c r="CV88" s="151"/>
      <c r="DV88" s="12"/>
      <c r="DW88" s="13"/>
      <c r="EA88" s="12"/>
      <c r="EB88" s="13"/>
      <c r="EL88" s="190"/>
      <c r="EW88" s="18"/>
      <c r="EX88" s="12"/>
      <c r="FH88" s="12"/>
      <c r="FI88" s="13"/>
      <c r="FQ88" s="13"/>
      <c r="FR88" s="18"/>
      <c r="FS88" s="12"/>
      <c r="GI88" s="12"/>
      <c r="GJ88" s="13"/>
    </row>
    <row r="89" spans="8:193" ht="18" customHeight="1" x14ac:dyDescent="0.2">
      <c r="H89" s="4"/>
      <c r="AG89" s="42"/>
      <c r="AH89" s="43"/>
      <c r="AI89" s="12"/>
      <c r="AM89" s="14"/>
      <c r="AN89" s="15"/>
      <c r="AO89" s="15"/>
      <c r="AP89" s="15"/>
      <c r="AQ89" s="15"/>
      <c r="AR89" s="15"/>
      <c r="AS89" s="15"/>
      <c r="AT89" s="15"/>
      <c r="AU89" s="15"/>
      <c r="AV89" s="203"/>
      <c r="AW89" s="54"/>
      <c r="AX89" s="54"/>
      <c r="AY89" s="54"/>
      <c r="AZ89" s="54"/>
      <c r="BA89" s="54"/>
      <c r="BB89" s="54"/>
      <c r="BC89" s="54"/>
      <c r="BD89" s="19"/>
      <c r="BZ89" s="13"/>
      <c r="CA89" s="43"/>
      <c r="CB89" s="45"/>
      <c r="CC89" s="149"/>
      <c r="CD89" s="150"/>
      <c r="CE89" s="150"/>
      <c r="CF89" s="150"/>
      <c r="CG89" s="150"/>
      <c r="CH89" s="150"/>
      <c r="CI89" s="150"/>
      <c r="CJ89" s="150"/>
      <c r="CK89" s="150"/>
      <c r="CL89" s="150"/>
      <c r="CM89" s="150"/>
      <c r="CN89" s="150"/>
      <c r="CO89" s="150"/>
      <c r="CP89" s="150"/>
      <c r="CQ89" s="150"/>
      <c r="CR89" s="151"/>
      <c r="CS89" s="172"/>
      <c r="CT89" s="187"/>
      <c r="CU89" s="150"/>
      <c r="CV89" s="151"/>
      <c r="DV89" s="12"/>
      <c r="DW89" s="13"/>
      <c r="EA89" s="12"/>
      <c r="EB89" s="13"/>
      <c r="EL89" s="190"/>
      <c r="EW89" s="18"/>
      <c r="EX89" s="12"/>
      <c r="FH89" s="12"/>
      <c r="FI89" s="13"/>
      <c r="FQ89" s="13"/>
      <c r="FR89" s="18"/>
      <c r="FS89" s="12"/>
      <c r="GI89" s="12"/>
      <c r="GJ89" s="13"/>
    </row>
    <row r="90" spans="8:193" ht="18" customHeight="1" x14ac:dyDescent="0.2">
      <c r="H90" s="4"/>
      <c r="AG90" s="42"/>
      <c r="AH90" s="43"/>
      <c r="AI90" s="12"/>
      <c r="AV90" s="140"/>
      <c r="AW90" s="51"/>
      <c r="AX90" s="51"/>
      <c r="AY90" s="51"/>
      <c r="AZ90" s="51"/>
      <c r="BA90" s="51"/>
      <c r="BB90" s="51"/>
      <c r="BC90" s="51"/>
      <c r="BD90" s="18"/>
      <c r="BZ90" s="13"/>
      <c r="CA90" s="43"/>
      <c r="CB90" s="45"/>
      <c r="CC90" s="149"/>
      <c r="CD90" s="150"/>
      <c r="CE90" s="150"/>
      <c r="CF90" s="150"/>
      <c r="CG90" s="150"/>
      <c r="CH90" s="150"/>
      <c r="CI90" s="150"/>
      <c r="CJ90" s="150"/>
      <c r="CK90" s="150"/>
      <c r="CL90" s="150"/>
      <c r="CM90" s="150"/>
      <c r="CN90" s="150"/>
      <c r="CO90" s="150"/>
      <c r="CP90" s="150"/>
      <c r="CQ90" s="150"/>
      <c r="CR90" s="151"/>
      <c r="CS90" s="172"/>
      <c r="CT90" s="187"/>
      <c r="CU90" s="150"/>
      <c r="CV90" s="151"/>
      <c r="DV90" s="12"/>
      <c r="DW90" s="13"/>
      <c r="EA90" s="12"/>
      <c r="EB90" s="13"/>
      <c r="EL90" s="190"/>
      <c r="EW90" s="18"/>
      <c r="EX90" s="12"/>
      <c r="FH90" s="12"/>
      <c r="FI90" s="13"/>
      <c r="FQ90" s="13"/>
      <c r="FR90" s="18"/>
      <c r="FS90" s="12"/>
      <c r="GI90" s="12"/>
      <c r="GJ90" s="13"/>
    </row>
    <row r="91" spans="8:193" ht="18" customHeight="1" x14ac:dyDescent="0.2">
      <c r="H91" s="4"/>
      <c r="AG91" s="42"/>
      <c r="AH91" s="43"/>
      <c r="AI91" s="12"/>
      <c r="AV91" s="140"/>
      <c r="AW91" s="51"/>
      <c r="AX91" s="51"/>
      <c r="AY91" s="51"/>
      <c r="AZ91" s="51"/>
      <c r="BA91" s="51"/>
      <c r="BB91" s="51"/>
      <c r="BC91" s="51"/>
      <c r="BD91" s="18"/>
      <c r="BZ91" s="13"/>
      <c r="CA91" s="43"/>
      <c r="CB91" s="45"/>
      <c r="CC91" s="149"/>
      <c r="CD91" s="150"/>
      <c r="CE91" s="150"/>
      <c r="CF91" s="150"/>
      <c r="CG91" s="150"/>
      <c r="CH91" s="150"/>
      <c r="CI91" s="150"/>
      <c r="CJ91" s="150"/>
      <c r="CK91" s="150"/>
      <c r="CL91" s="150"/>
      <c r="CM91" s="150"/>
      <c r="CN91" s="150"/>
      <c r="CO91" s="150"/>
      <c r="CP91" s="150"/>
      <c r="CQ91" s="150"/>
      <c r="CR91" s="151"/>
      <c r="CS91" s="172"/>
      <c r="CT91" s="188"/>
      <c r="CU91" s="153"/>
      <c r="CV91" s="154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4"/>
      <c r="DW91" s="16"/>
      <c r="EA91" s="12"/>
      <c r="EB91" s="13"/>
      <c r="EL91" s="190"/>
      <c r="EW91" s="18"/>
      <c r="EX91" s="12"/>
      <c r="FH91" s="12"/>
      <c r="FI91" s="13"/>
      <c r="FQ91" s="13"/>
      <c r="FR91" s="18"/>
      <c r="FS91" s="12"/>
      <c r="GI91" s="12"/>
      <c r="GJ91" s="13"/>
    </row>
    <row r="92" spans="8:193" ht="18" customHeight="1" x14ac:dyDescent="0.2">
      <c r="H92" s="4"/>
      <c r="AG92" s="42"/>
      <c r="AH92" s="43"/>
      <c r="AI92" s="12"/>
      <c r="AM92" s="9"/>
      <c r="AN92" s="10"/>
      <c r="AO92" s="10"/>
      <c r="AP92" s="10"/>
      <c r="AQ92" s="10"/>
      <c r="AR92" s="11"/>
      <c r="AV92" s="140"/>
      <c r="AW92" s="51"/>
      <c r="AX92" s="51"/>
      <c r="AY92" s="51"/>
      <c r="AZ92" s="51"/>
      <c r="BA92" s="51"/>
      <c r="BB92" s="51"/>
      <c r="BC92" s="51"/>
      <c r="BD92" s="18"/>
      <c r="BZ92" s="13"/>
      <c r="CA92" s="43"/>
      <c r="CB92" s="45"/>
      <c r="CC92" s="149"/>
      <c r="CD92" s="150"/>
      <c r="CE92" s="150"/>
      <c r="CF92" s="150"/>
      <c r="CG92" s="150"/>
      <c r="CH92" s="150"/>
      <c r="CI92" s="150"/>
      <c r="CJ92" s="150"/>
      <c r="CK92" s="150"/>
      <c r="CL92" s="150"/>
      <c r="CM92" s="150"/>
      <c r="CN92" s="150"/>
      <c r="CO92" s="150"/>
      <c r="CP92" s="150"/>
      <c r="CQ92" s="150"/>
      <c r="CR92" s="151"/>
      <c r="CS92" s="172"/>
      <c r="CT92" s="151"/>
      <c r="CU92" s="150"/>
      <c r="CV92" s="151"/>
      <c r="DW92" s="5"/>
      <c r="EA92" s="12"/>
      <c r="EB92" s="13"/>
      <c r="EL92" s="191"/>
      <c r="EW92" s="18"/>
      <c r="EX92" s="12"/>
      <c r="FH92" s="12"/>
      <c r="FI92" s="13"/>
      <c r="FQ92" s="13"/>
      <c r="FR92" s="18"/>
      <c r="FS92" s="12"/>
      <c r="GI92" s="12"/>
      <c r="GJ92" s="13"/>
    </row>
    <row r="93" spans="8:193" ht="18" customHeight="1" x14ac:dyDescent="0.2">
      <c r="H93" s="4"/>
      <c r="AG93" s="42"/>
      <c r="AH93" s="43"/>
      <c r="AI93" s="14"/>
      <c r="AJ93" s="15"/>
      <c r="AK93" s="15"/>
      <c r="AL93" s="15"/>
      <c r="AM93" s="14"/>
      <c r="AN93" s="15"/>
      <c r="AO93" s="15"/>
      <c r="AP93" s="15"/>
      <c r="AQ93" s="15"/>
      <c r="AR93" s="16"/>
      <c r="AS93" s="15"/>
      <c r="AT93" s="15"/>
      <c r="AU93" s="15"/>
      <c r="AV93" s="203"/>
      <c r="AW93" s="54"/>
      <c r="AX93" s="54"/>
      <c r="AY93" s="54"/>
      <c r="AZ93" s="54"/>
      <c r="BA93" s="54"/>
      <c r="BB93" s="54"/>
      <c r="BC93" s="54"/>
      <c r="BD93" s="19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6"/>
      <c r="CA93" s="43"/>
      <c r="CB93" s="45"/>
      <c r="CC93" s="149"/>
      <c r="CD93" s="150"/>
      <c r="CE93" s="150"/>
      <c r="CF93" s="150"/>
      <c r="CG93" s="150"/>
      <c r="CH93" s="150"/>
      <c r="CI93" s="150"/>
      <c r="CJ93" s="150"/>
      <c r="CK93" s="150"/>
      <c r="CL93" s="150"/>
      <c r="CM93" s="150"/>
      <c r="CN93" s="150"/>
      <c r="CO93" s="150"/>
      <c r="CP93" s="150"/>
      <c r="CQ93" s="150"/>
      <c r="CR93" s="151"/>
      <c r="CS93" s="172"/>
      <c r="CT93" s="151"/>
      <c r="CU93" s="150"/>
      <c r="CV93" s="151"/>
      <c r="DW93" s="5"/>
      <c r="EA93" s="12"/>
      <c r="EB93" s="13"/>
      <c r="EL93" s="9"/>
      <c r="EM93" s="11"/>
      <c r="EW93" s="18"/>
      <c r="EX93" s="12"/>
      <c r="FH93" s="12"/>
      <c r="FI93" s="13"/>
      <c r="FQ93" s="13"/>
      <c r="FR93" s="18"/>
      <c r="FS93" s="12"/>
      <c r="GI93" s="12"/>
      <c r="GJ93" s="13"/>
    </row>
    <row r="94" spans="8:193" ht="18" customHeight="1" x14ac:dyDescent="0.2">
      <c r="H94" s="4"/>
      <c r="AG94" s="42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123"/>
      <c r="BK94" s="109"/>
      <c r="BL94" s="109"/>
      <c r="BM94" s="109"/>
      <c r="BN94" s="109"/>
      <c r="BO94" s="124"/>
      <c r="BP94" s="43"/>
      <c r="BQ94" s="43"/>
      <c r="BR94" s="43"/>
      <c r="BS94" s="43"/>
      <c r="BT94" s="127"/>
      <c r="BU94" s="127"/>
      <c r="BV94" s="127"/>
      <c r="BW94" s="127"/>
      <c r="BX94" s="127"/>
      <c r="BY94" s="127"/>
      <c r="BZ94" s="43"/>
      <c r="CA94" s="43"/>
      <c r="CB94" s="45"/>
      <c r="CC94" s="149"/>
      <c r="CD94" s="150"/>
      <c r="CE94" s="150"/>
      <c r="CF94" s="150"/>
      <c r="CG94" s="150"/>
      <c r="CH94" s="150"/>
      <c r="CI94" s="150"/>
      <c r="CJ94" s="150"/>
      <c r="CK94" s="150"/>
      <c r="CL94" s="150"/>
      <c r="CM94" s="150"/>
      <c r="CN94" s="150"/>
      <c r="CO94" s="150"/>
      <c r="CP94" s="150"/>
      <c r="CQ94" s="150"/>
      <c r="CR94" s="151"/>
      <c r="CS94" s="172"/>
      <c r="CT94" s="151"/>
      <c r="CU94" s="150"/>
      <c r="CV94" s="151"/>
      <c r="DW94" s="5"/>
      <c r="EA94" s="12"/>
      <c r="EB94" s="13"/>
      <c r="EI94" s="20"/>
      <c r="EJ94" s="21"/>
      <c r="EK94" s="21"/>
      <c r="EL94" s="20"/>
      <c r="EM94" s="22"/>
      <c r="EN94" s="21"/>
      <c r="EO94" s="21"/>
      <c r="EP94" s="22"/>
      <c r="EW94" s="18"/>
      <c r="EX94" s="12"/>
      <c r="FH94" s="12"/>
      <c r="FI94" s="13"/>
      <c r="FQ94" s="13"/>
      <c r="FR94" s="18"/>
      <c r="FS94" s="20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2"/>
      <c r="GI94" s="12"/>
      <c r="GJ94" s="13"/>
    </row>
    <row r="95" spans="8:193" ht="18" customHeight="1" x14ac:dyDescent="0.2">
      <c r="H95" s="4"/>
      <c r="AG95" s="46"/>
      <c r="AH95" s="47"/>
      <c r="AI95" s="47"/>
      <c r="AJ95" s="47"/>
      <c r="AK95" s="47"/>
      <c r="AL95" s="47"/>
      <c r="AM95" s="47"/>
      <c r="AN95" s="47"/>
      <c r="AO95" s="47"/>
      <c r="AP95" s="47"/>
      <c r="AQ95" s="43"/>
      <c r="AR95" s="47"/>
      <c r="AS95" s="43"/>
      <c r="AT95" s="47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0"/>
      <c r="BK95" s="41"/>
      <c r="BL95" s="41"/>
      <c r="BM95" s="41"/>
      <c r="BN95" s="41"/>
      <c r="BO95" s="44"/>
      <c r="BP95" s="43"/>
      <c r="BQ95" s="43"/>
      <c r="BR95" s="43"/>
      <c r="BS95" s="43"/>
      <c r="BT95" s="127"/>
      <c r="BU95" s="127"/>
      <c r="BV95" s="127"/>
      <c r="BW95" s="127"/>
      <c r="BX95" s="127"/>
      <c r="BY95" s="127"/>
      <c r="BZ95" s="43"/>
      <c r="CA95" s="43"/>
      <c r="CB95" s="45"/>
      <c r="CC95" s="152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  <c r="CP95" s="153"/>
      <c r="CQ95" s="153"/>
      <c r="CR95" s="154"/>
      <c r="CS95" s="172"/>
      <c r="CT95" s="151"/>
      <c r="CU95" s="150"/>
      <c r="CV95" s="151"/>
      <c r="DW95" s="5"/>
      <c r="EA95" s="12"/>
      <c r="EB95" s="13"/>
      <c r="EW95" s="18"/>
      <c r="EX95" s="12"/>
      <c r="FH95" s="12"/>
      <c r="FI95" s="13"/>
      <c r="FQ95" s="13"/>
      <c r="FR95" s="18"/>
      <c r="FS95" s="12"/>
      <c r="GI95" s="12"/>
      <c r="GJ95" s="13"/>
    </row>
    <row r="96" spans="8:193" ht="18" customHeight="1" thickBot="1" x14ac:dyDescent="0.25">
      <c r="H96" s="4"/>
      <c r="AQ96" s="10"/>
      <c r="AS96" s="146"/>
      <c r="AT96" s="147"/>
      <c r="AU96" s="146"/>
      <c r="AV96" s="168"/>
      <c r="AW96" s="146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8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6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8"/>
      <c r="CS96" s="172"/>
      <c r="CT96" s="151"/>
      <c r="CU96" s="150"/>
      <c r="CV96" s="151"/>
      <c r="DW96" s="5"/>
      <c r="EA96" s="12"/>
      <c r="EB96" s="13"/>
      <c r="EW96" s="18"/>
      <c r="EX96" s="12"/>
      <c r="FH96" s="12"/>
      <c r="FI96" s="13"/>
      <c r="FQ96" s="13"/>
      <c r="FR96" s="18"/>
      <c r="FS96" s="9"/>
      <c r="FT96" s="11"/>
      <c r="GG96" s="9"/>
      <c r="GH96" s="11"/>
      <c r="GI96" s="12"/>
      <c r="GJ96" s="13"/>
    </row>
    <row r="97" spans="8:210" ht="18" customHeight="1" thickTop="1" x14ac:dyDescent="0.2">
      <c r="H97" s="4"/>
      <c r="AS97" s="149"/>
      <c r="AT97" s="150"/>
      <c r="AU97" s="149"/>
      <c r="AV97" s="170"/>
      <c r="AW97" s="149"/>
      <c r="AX97" s="150"/>
      <c r="AY97" s="150"/>
      <c r="AZ97" s="150"/>
      <c r="BA97" s="150"/>
      <c r="BB97" s="150"/>
      <c r="BC97" s="150"/>
      <c r="BD97" s="150"/>
      <c r="BE97" s="150"/>
      <c r="BF97" s="150"/>
      <c r="BG97" s="150"/>
      <c r="BH97" s="150"/>
      <c r="BI97" s="150"/>
      <c r="BJ97" s="150"/>
      <c r="BK97" s="150"/>
      <c r="BL97" s="151"/>
      <c r="BM97" s="150"/>
      <c r="BN97" s="150"/>
      <c r="BO97" s="150"/>
      <c r="BP97" s="150"/>
      <c r="BQ97" s="150"/>
      <c r="BR97" s="150"/>
      <c r="BS97" s="150"/>
      <c r="BT97" s="150"/>
      <c r="BU97" s="150"/>
      <c r="BV97" s="150"/>
      <c r="BW97" s="150"/>
      <c r="BX97" s="150"/>
      <c r="BY97" s="150"/>
      <c r="BZ97" s="150"/>
      <c r="CA97" s="150"/>
      <c r="CB97" s="150"/>
      <c r="CC97" s="149"/>
      <c r="CD97" s="150"/>
      <c r="CE97" s="150"/>
      <c r="CF97" s="150"/>
      <c r="CG97" s="150"/>
      <c r="CH97" s="150"/>
      <c r="CI97" s="150"/>
      <c r="CJ97" s="150"/>
      <c r="CK97" s="150"/>
      <c r="CL97" s="150"/>
      <c r="CM97" s="150"/>
      <c r="CN97" s="150"/>
      <c r="CO97" s="150"/>
      <c r="CP97" s="150"/>
      <c r="CQ97" s="150"/>
      <c r="CR97" s="151"/>
      <c r="CS97" s="172"/>
      <c r="CT97" s="151"/>
      <c r="CU97" s="150"/>
      <c r="CV97" s="151"/>
      <c r="DW97" s="5"/>
      <c r="EA97" s="12"/>
      <c r="EB97" s="13"/>
      <c r="EP97" s="192"/>
      <c r="EQ97" s="193"/>
      <c r="ER97" s="201"/>
      <c r="ES97" s="193"/>
      <c r="ET97" s="193"/>
      <c r="EU97" s="194"/>
      <c r="EW97" s="24"/>
      <c r="EX97" s="12"/>
      <c r="FH97" s="12"/>
      <c r="FI97" s="13"/>
      <c r="FK97" s="192"/>
      <c r="FL97" s="193"/>
      <c r="FM97" s="201"/>
      <c r="FN97" s="193"/>
      <c r="FO97" s="193"/>
      <c r="FP97" s="194"/>
      <c r="FQ97" s="13"/>
      <c r="FR97" s="18"/>
      <c r="FS97" s="12"/>
      <c r="FT97" s="13"/>
      <c r="FX97" s="192"/>
      <c r="FY97" s="193"/>
      <c r="FZ97" s="201"/>
      <c r="GA97" s="193"/>
      <c r="GB97" s="193"/>
      <c r="GC97" s="194"/>
      <c r="GG97" s="12"/>
      <c r="GH97" s="13"/>
      <c r="GI97" s="12"/>
      <c r="GJ97" s="13"/>
    </row>
    <row r="98" spans="8:210" ht="18" customHeight="1" x14ac:dyDescent="0.2">
      <c r="H98" s="4"/>
      <c r="AS98" s="149"/>
      <c r="AT98" s="150"/>
      <c r="AU98" s="149"/>
      <c r="AV98" s="170"/>
      <c r="AW98" s="149"/>
      <c r="AX98" s="150"/>
      <c r="AY98" s="150"/>
      <c r="AZ98" s="150"/>
      <c r="BA98" s="150"/>
      <c r="BB98" s="150"/>
      <c r="BC98" s="150"/>
      <c r="BD98" s="150"/>
      <c r="BE98" s="150"/>
      <c r="BF98" s="150"/>
      <c r="BG98" s="150"/>
      <c r="BH98" s="150"/>
      <c r="BI98" s="150"/>
      <c r="BJ98" s="150"/>
      <c r="BK98" s="150"/>
      <c r="BL98" s="151"/>
      <c r="BM98" s="150"/>
      <c r="BN98" s="150"/>
      <c r="BO98" s="150"/>
      <c r="BP98" s="150"/>
      <c r="BQ98" s="150"/>
      <c r="BR98" s="150"/>
      <c r="BS98" s="150"/>
      <c r="BT98" s="150"/>
      <c r="BU98" s="150"/>
      <c r="BV98" s="150"/>
      <c r="BW98" s="150"/>
      <c r="BX98" s="150"/>
      <c r="BY98" s="150"/>
      <c r="BZ98" s="150"/>
      <c r="CA98" s="150"/>
      <c r="CB98" s="150"/>
      <c r="CC98" s="149"/>
      <c r="CD98" s="150"/>
      <c r="CE98" s="150"/>
      <c r="CF98" s="150"/>
      <c r="CG98" s="150"/>
      <c r="CH98" s="150"/>
      <c r="CI98" s="150"/>
      <c r="CJ98" s="150"/>
      <c r="CK98" s="150"/>
      <c r="CL98" s="150"/>
      <c r="CM98" s="150"/>
      <c r="CN98" s="150"/>
      <c r="CO98" s="150"/>
      <c r="CP98" s="150"/>
      <c r="CQ98" s="150"/>
      <c r="CR98" s="151"/>
      <c r="CS98" s="172"/>
      <c r="CT98" s="151"/>
      <c r="CU98" s="150"/>
      <c r="CV98" s="151"/>
      <c r="DW98" s="5"/>
      <c r="EA98" s="12"/>
      <c r="EB98" s="13"/>
      <c r="EP98" s="195"/>
      <c r="ER98" s="13"/>
      <c r="EU98" s="190"/>
      <c r="EW98" s="24"/>
      <c r="EX98" s="12"/>
      <c r="EY98" s="9"/>
      <c r="EZ98" s="10"/>
      <c r="FA98" s="10"/>
      <c r="FB98" s="10"/>
      <c r="FC98" s="11"/>
      <c r="FH98" s="12"/>
      <c r="FI98" s="13"/>
      <c r="FK98" s="195"/>
      <c r="FM98" s="13"/>
      <c r="FP98" s="190"/>
      <c r="FQ98" s="13"/>
      <c r="FR98" s="18"/>
      <c r="FS98" s="12"/>
      <c r="FT98" s="13"/>
      <c r="FX98" s="195"/>
      <c r="FZ98" s="13"/>
      <c r="GC98" s="190"/>
      <c r="GG98" s="12"/>
      <c r="GH98" s="13"/>
      <c r="GI98" s="12"/>
      <c r="GJ98" s="13"/>
      <c r="HA98" s="9"/>
      <c r="HB98" s="11"/>
    </row>
    <row r="99" spans="8:210" ht="18" customHeight="1" x14ac:dyDescent="0.2">
      <c r="H99" s="4"/>
      <c r="AS99" s="149"/>
      <c r="AT99" s="150"/>
      <c r="AU99" s="149"/>
      <c r="AV99" s="170"/>
      <c r="AW99" s="149"/>
      <c r="AX99" s="150"/>
      <c r="AY99" s="150"/>
      <c r="AZ99" s="150"/>
      <c r="BA99" s="150"/>
      <c r="BB99" s="150"/>
      <c r="BC99" s="150"/>
      <c r="BD99" s="150"/>
      <c r="BE99" s="150"/>
      <c r="BF99" s="150"/>
      <c r="BG99" s="150"/>
      <c r="BH99" s="150"/>
      <c r="BI99" s="150"/>
      <c r="BJ99" s="150"/>
      <c r="BK99" s="150"/>
      <c r="BL99" s="151"/>
      <c r="BM99" s="150"/>
      <c r="BN99" s="150"/>
      <c r="BO99" s="150"/>
      <c r="BP99" s="150"/>
      <c r="BQ99" s="150"/>
      <c r="BR99" s="150"/>
      <c r="BS99" s="150"/>
      <c r="BT99" s="150"/>
      <c r="BU99" s="150"/>
      <c r="BV99" s="150"/>
      <c r="BW99" s="150"/>
      <c r="BX99" s="150"/>
      <c r="BY99" s="150"/>
      <c r="BZ99" s="150"/>
      <c r="CA99" s="150"/>
      <c r="CB99" s="150"/>
      <c r="CC99" s="149"/>
      <c r="CD99" s="150"/>
      <c r="CE99" s="150"/>
      <c r="CF99" s="150"/>
      <c r="CG99" s="150"/>
      <c r="CH99" s="150"/>
      <c r="CI99" s="150"/>
      <c r="CJ99" s="150"/>
      <c r="CK99" s="150"/>
      <c r="CL99" s="150"/>
      <c r="CM99" s="150"/>
      <c r="CN99" s="150"/>
      <c r="CO99" s="150"/>
      <c r="CP99" s="150"/>
      <c r="CQ99" s="150"/>
      <c r="CR99" s="151"/>
      <c r="CS99" s="172"/>
      <c r="CT99" s="151"/>
      <c r="CU99" s="150"/>
      <c r="CV99" s="151"/>
      <c r="DW99" s="5"/>
      <c r="EA99" s="12"/>
      <c r="EB99" s="13"/>
      <c r="EP99" s="202"/>
      <c r="EQ99" s="15"/>
      <c r="ER99" s="16"/>
      <c r="EU99" s="190"/>
      <c r="EW99" s="24"/>
      <c r="EX99" s="12"/>
      <c r="EY99" s="12"/>
      <c r="FC99" s="13"/>
      <c r="FH99" s="12"/>
      <c r="FI99" s="13"/>
      <c r="FK99" s="202"/>
      <c r="FL99" s="15"/>
      <c r="FM99" s="16"/>
      <c r="FP99" s="190"/>
      <c r="FQ99" s="13"/>
      <c r="FR99" s="18"/>
      <c r="FS99" s="14"/>
      <c r="FT99" s="16"/>
      <c r="FX99" s="202"/>
      <c r="FY99" s="15"/>
      <c r="FZ99" s="16"/>
      <c r="GC99" s="190"/>
      <c r="GG99" s="14"/>
      <c r="GH99" s="16"/>
      <c r="GI99" s="12"/>
      <c r="GJ99" s="13"/>
      <c r="HA99" s="12"/>
      <c r="HB99" s="13"/>
    </row>
    <row r="100" spans="8:210" ht="18" customHeight="1" x14ac:dyDescent="0.2">
      <c r="H100" s="4"/>
      <c r="AS100" s="149"/>
      <c r="AT100" s="150"/>
      <c r="AU100" s="149"/>
      <c r="AV100" s="170"/>
      <c r="AW100" s="149"/>
      <c r="AX100" s="150"/>
      <c r="AY100" s="150"/>
      <c r="AZ100" s="150"/>
      <c r="BA100" s="150"/>
      <c r="BB100" s="150"/>
      <c r="BC100" s="150"/>
      <c r="BD100" s="150"/>
      <c r="BE100" s="150"/>
      <c r="BF100" s="150"/>
      <c r="BG100" s="150"/>
      <c r="BH100" s="150"/>
      <c r="BI100" s="150"/>
      <c r="BJ100" s="150"/>
      <c r="BK100" s="150"/>
      <c r="BL100" s="151"/>
      <c r="BM100" s="150"/>
      <c r="BN100" s="150"/>
      <c r="BO100" s="150"/>
      <c r="BP100" s="150"/>
      <c r="BQ100" s="150"/>
      <c r="BR100" s="150"/>
      <c r="BS100" s="150"/>
      <c r="BT100" s="150"/>
      <c r="BU100" s="150"/>
      <c r="BV100" s="150"/>
      <c r="BW100" s="150"/>
      <c r="BX100" s="150"/>
      <c r="BY100" s="150"/>
      <c r="BZ100" s="150"/>
      <c r="CA100" s="150"/>
      <c r="CB100" s="150"/>
      <c r="CC100" s="149"/>
      <c r="CD100" s="150"/>
      <c r="CE100" s="150"/>
      <c r="CF100" s="150"/>
      <c r="CG100" s="150"/>
      <c r="CH100" s="150"/>
      <c r="CI100" s="150"/>
      <c r="CJ100" s="150"/>
      <c r="CK100" s="150"/>
      <c r="CL100" s="150"/>
      <c r="CM100" s="150"/>
      <c r="CN100" s="150"/>
      <c r="CO100" s="150"/>
      <c r="CP100" s="150"/>
      <c r="CQ100" s="150"/>
      <c r="CR100" s="151"/>
      <c r="CS100" s="172"/>
      <c r="CT100" s="151"/>
      <c r="CU100" s="150"/>
      <c r="CV100" s="151"/>
      <c r="DW100" s="5"/>
      <c r="EA100" s="12"/>
      <c r="EB100" s="13"/>
      <c r="EP100" s="195"/>
      <c r="ES100" s="9"/>
      <c r="ET100" s="10"/>
      <c r="EU100" s="189"/>
      <c r="EW100" s="24"/>
      <c r="EX100" s="12"/>
      <c r="EY100" s="12"/>
      <c r="FC100" s="13"/>
      <c r="FH100" s="12"/>
      <c r="FI100" s="13"/>
      <c r="FK100" s="195"/>
      <c r="FN100" s="9"/>
      <c r="FO100" s="10"/>
      <c r="FP100" s="189"/>
      <c r="FQ100" s="13"/>
      <c r="FR100" s="18"/>
      <c r="FS100" s="12"/>
      <c r="FX100" s="195"/>
      <c r="GA100" s="9"/>
      <c r="GB100" s="10"/>
      <c r="GC100" s="189"/>
      <c r="GI100" s="12"/>
      <c r="GJ100" s="13"/>
      <c r="HA100" s="12"/>
      <c r="HB100" s="13"/>
    </row>
    <row r="101" spans="8:210" ht="18" customHeight="1" x14ac:dyDescent="0.2">
      <c r="H101" s="4"/>
      <c r="AS101" s="149"/>
      <c r="AT101" s="150"/>
      <c r="AU101" s="149"/>
      <c r="AV101" s="170"/>
      <c r="AW101" s="149"/>
      <c r="AX101" s="150"/>
      <c r="AY101" s="150"/>
      <c r="AZ101" s="150"/>
      <c r="BA101" s="150"/>
      <c r="BB101" s="150"/>
      <c r="BC101" s="150"/>
      <c r="BD101" s="150"/>
      <c r="BE101" s="150"/>
      <c r="BF101" s="150"/>
      <c r="BG101" s="150"/>
      <c r="BH101" s="150"/>
      <c r="BI101" s="150"/>
      <c r="BJ101" s="150"/>
      <c r="BK101" s="150"/>
      <c r="BL101" s="151"/>
      <c r="BM101" s="150"/>
      <c r="BN101" s="150"/>
      <c r="BO101" s="150"/>
      <c r="BP101" s="150"/>
      <c r="BQ101" s="150"/>
      <c r="BR101" s="150"/>
      <c r="BS101" s="150"/>
      <c r="BT101" s="150"/>
      <c r="BU101" s="150"/>
      <c r="BV101" s="150"/>
      <c r="BW101" s="150"/>
      <c r="BX101" s="150"/>
      <c r="BY101" s="150"/>
      <c r="BZ101" s="150"/>
      <c r="CA101" s="150"/>
      <c r="CB101" s="150"/>
      <c r="CC101" s="149"/>
      <c r="CD101" s="150"/>
      <c r="CE101" s="150"/>
      <c r="CF101" s="150"/>
      <c r="CG101" s="150"/>
      <c r="CH101" s="150"/>
      <c r="CI101" s="150"/>
      <c r="CJ101" s="150"/>
      <c r="CK101" s="150"/>
      <c r="CL101" s="150"/>
      <c r="CM101" s="150"/>
      <c r="CN101" s="150"/>
      <c r="CO101" s="150"/>
      <c r="CP101" s="150"/>
      <c r="CQ101" s="150"/>
      <c r="CR101" s="151"/>
      <c r="CS101" s="172"/>
      <c r="CT101" s="151"/>
      <c r="CU101" s="150"/>
      <c r="CV101" s="151"/>
      <c r="DW101" s="5"/>
      <c r="EA101" s="12"/>
      <c r="EB101" s="13"/>
      <c r="EP101" s="195"/>
      <c r="ES101" s="12"/>
      <c r="EU101" s="190"/>
      <c r="EW101" s="24"/>
      <c r="EX101" s="12"/>
      <c r="EY101" s="14"/>
      <c r="EZ101" s="15"/>
      <c r="FA101" s="15"/>
      <c r="FB101" s="15"/>
      <c r="FC101" s="16"/>
      <c r="FH101" s="12"/>
      <c r="FI101" s="13"/>
      <c r="FK101" s="195"/>
      <c r="FN101" s="12"/>
      <c r="FP101" s="190"/>
      <c r="FQ101" s="13"/>
      <c r="FR101" s="18"/>
      <c r="FS101" s="12"/>
      <c r="FX101" s="195"/>
      <c r="GA101" s="12"/>
      <c r="GC101" s="190"/>
      <c r="GI101" s="12"/>
      <c r="GJ101" s="13"/>
      <c r="HA101" s="12"/>
      <c r="HB101" s="13"/>
    </row>
    <row r="102" spans="8:210" ht="18" customHeight="1" thickBot="1" x14ac:dyDescent="0.25">
      <c r="H102" s="4"/>
      <c r="AS102" s="149"/>
      <c r="AT102" s="150"/>
      <c r="AU102" s="149"/>
      <c r="AV102" s="170"/>
      <c r="AW102" s="149"/>
      <c r="AX102" s="150"/>
      <c r="AY102" s="150"/>
      <c r="AZ102" s="150"/>
      <c r="BA102" s="150"/>
      <c r="BB102" s="150"/>
      <c r="BC102" s="150"/>
      <c r="BD102" s="150"/>
      <c r="BE102" s="150"/>
      <c r="BF102" s="150"/>
      <c r="BG102" s="150"/>
      <c r="BH102" s="150"/>
      <c r="BI102" s="150"/>
      <c r="BJ102" s="150"/>
      <c r="BK102" s="150"/>
      <c r="BL102" s="151"/>
      <c r="BM102" s="150"/>
      <c r="BN102" s="150"/>
      <c r="BO102" s="150"/>
      <c r="BP102" s="150"/>
      <c r="BQ102" s="150"/>
      <c r="BR102" s="150"/>
      <c r="BS102" s="150"/>
      <c r="BT102" s="150"/>
      <c r="BU102" s="150"/>
      <c r="BV102" s="150"/>
      <c r="BW102" s="150"/>
      <c r="BX102" s="150"/>
      <c r="BY102" s="150"/>
      <c r="BZ102" s="150"/>
      <c r="CA102" s="150"/>
      <c r="CB102" s="150"/>
      <c r="CC102" s="149"/>
      <c r="CD102" s="150"/>
      <c r="CE102" s="150"/>
      <c r="CF102" s="150"/>
      <c r="CG102" s="150"/>
      <c r="CH102" s="150"/>
      <c r="CI102" s="150"/>
      <c r="CJ102" s="150"/>
      <c r="CK102" s="150"/>
      <c r="CL102" s="150"/>
      <c r="CM102" s="150"/>
      <c r="CN102" s="150"/>
      <c r="CO102" s="150"/>
      <c r="CP102" s="150"/>
      <c r="CQ102" s="150"/>
      <c r="CR102" s="151"/>
      <c r="CS102" s="172"/>
      <c r="CT102" s="151"/>
      <c r="CU102" s="150"/>
      <c r="CV102" s="151"/>
      <c r="DW102" s="5"/>
      <c r="EA102" s="12"/>
      <c r="EB102" s="13"/>
      <c r="EP102" s="196"/>
      <c r="EQ102" s="197"/>
      <c r="ER102" s="197"/>
      <c r="ES102" s="199"/>
      <c r="ET102" s="197"/>
      <c r="EU102" s="198"/>
      <c r="EW102" s="24"/>
      <c r="EX102" s="199"/>
      <c r="EY102" s="197"/>
      <c r="EZ102" s="197"/>
      <c r="FA102" s="197"/>
      <c r="FB102" s="197"/>
      <c r="FC102" s="197"/>
      <c r="FD102" s="197"/>
      <c r="FE102" s="197"/>
      <c r="FF102" s="197"/>
      <c r="FG102" s="200"/>
      <c r="FH102" s="12"/>
      <c r="FI102" s="13"/>
      <c r="FK102" s="196"/>
      <c r="FL102" s="197"/>
      <c r="FM102" s="197"/>
      <c r="FN102" s="199"/>
      <c r="FO102" s="197"/>
      <c r="FP102" s="198"/>
      <c r="FQ102" s="13"/>
      <c r="FR102" s="18"/>
      <c r="FS102" s="12"/>
      <c r="FX102" s="196"/>
      <c r="FY102" s="197"/>
      <c r="FZ102" s="197"/>
      <c r="GA102" s="199"/>
      <c r="GB102" s="197"/>
      <c r="GC102" s="198"/>
      <c r="GI102" s="12"/>
      <c r="GJ102" s="13"/>
      <c r="HA102" s="12"/>
      <c r="HB102" s="13"/>
    </row>
    <row r="103" spans="8:210" ht="18" customHeight="1" thickTop="1" thickBot="1" x14ac:dyDescent="0.25">
      <c r="H103" s="4"/>
      <c r="AS103" s="149"/>
      <c r="AT103" s="150"/>
      <c r="AU103" s="149"/>
      <c r="AV103" s="170"/>
      <c r="AW103" s="149"/>
      <c r="AX103" s="150"/>
      <c r="AY103" s="150"/>
      <c r="AZ103" s="150"/>
      <c r="BA103" s="150"/>
      <c r="BB103" s="150"/>
      <c r="BC103" s="150"/>
      <c r="BD103" s="150"/>
      <c r="BE103" s="150"/>
      <c r="BF103" s="150"/>
      <c r="BG103" s="150"/>
      <c r="BH103" s="150"/>
      <c r="BI103" s="150"/>
      <c r="BJ103" s="150"/>
      <c r="BK103" s="150"/>
      <c r="BL103" s="151"/>
      <c r="BM103" s="150"/>
      <c r="BN103" s="150"/>
      <c r="BO103" s="150"/>
      <c r="BP103" s="150"/>
      <c r="BQ103" s="150"/>
      <c r="BR103" s="150"/>
      <c r="BS103" s="150"/>
      <c r="BT103" s="150"/>
      <c r="BU103" s="150"/>
      <c r="BV103" s="150"/>
      <c r="BW103" s="150"/>
      <c r="BX103" s="150"/>
      <c r="BY103" s="150"/>
      <c r="BZ103" s="150"/>
      <c r="CA103" s="150"/>
      <c r="CB103" s="150"/>
      <c r="CC103" s="149"/>
      <c r="CD103" s="150"/>
      <c r="CE103" s="150"/>
      <c r="CF103" s="150"/>
      <c r="CG103" s="150"/>
      <c r="CH103" s="150"/>
      <c r="CI103" s="150"/>
      <c r="CJ103" s="150"/>
      <c r="CK103" s="150"/>
      <c r="CL103" s="150"/>
      <c r="CM103" s="150"/>
      <c r="CN103" s="150"/>
      <c r="CO103" s="150"/>
      <c r="CP103" s="150"/>
      <c r="CQ103" s="150"/>
      <c r="CR103" s="151"/>
      <c r="CS103" s="172"/>
      <c r="CT103" s="151"/>
      <c r="CU103" s="150"/>
      <c r="CV103" s="151"/>
      <c r="DW103" s="5"/>
      <c r="EA103" s="12"/>
      <c r="EB103" s="13"/>
      <c r="EW103" s="24"/>
      <c r="EX103" s="12"/>
      <c r="FH103" s="12"/>
      <c r="FI103" s="13"/>
      <c r="FQ103" s="13"/>
      <c r="FR103" s="18"/>
      <c r="FS103" s="199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200"/>
      <c r="GI103" s="12"/>
      <c r="GJ103" s="13"/>
      <c r="HA103" s="12"/>
      <c r="HB103" s="13"/>
    </row>
    <row r="104" spans="8:210" ht="18" customHeight="1" thickTop="1" x14ac:dyDescent="0.2">
      <c r="H104" s="4"/>
      <c r="AS104" s="149"/>
      <c r="AT104" s="150"/>
      <c r="AU104" s="149"/>
      <c r="AV104" s="170"/>
      <c r="AW104" s="149"/>
      <c r="AX104" s="150"/>
      <c r="AY104" s="150"/>
      <c r="AZ104" s="150"/>
      <c r="BA104" s="150"/>
      <c r="BB104" s="150"/>
      <c r="BC104" s="150"/>
      <c r="BD104" s="150"/>
      <c r="BE104" s="150"/>
      <c r="BF104" s="150"/>
      <c r="BG104" s="150"/>
      <c r="BH104" s="150"/>
      <c r="BI104" s="150"/>
      <c r="BJ104" s="150"/>
      <c r="BK104" s="150"/>
      <c r="BL104" s="151"/>
      <c r="BM104" s="150"/>
      <c r="BN104" s="150"/>
      <c r="BO104" s="150"/>
      <c r="BP104" s="150"/>
      <c r="BQ104" s="150"/>
      <c r="BR104" s="150"/>
      <c r="BS104" s="150"/>
      <c r="BT104" s="150"/>
      <c r="BU104" s="150"/>
      <c r="BV104" s="150"/>
      <c r="BW104" s="150"/>
      <c r="BX104" s="150"/>
      <c r="BY104" s="150"/>
      <c r="BZ104" s="150"/>
      <c r="CA104" s="150"/>
      <c r="CB104" s="150"/>
      <c r="CC104" s="149"/>
      <c r="CD104" s="150"/>
      <c r="CE104" s="150"/>
      <c r="CF104" s="150"/>
      <c r="CG104" s="150"/>
      <c r="CH104" s="150"/>
      <c r="CI104" s="150"/>
      <c r="CJ104" s="150"/>
      <c r="CK104" s="150"/>
      <c r="CL104" s="150"/>
      <c r="CM104" s="150"/>
      <c r="CN104" s="150"/>
      <c r="CO104" s="150"/>
      <c r="CP104" s="150"/>
      <c r="CQ104" s="150"/>
      <c r="CR104" s="151"/>
      <c r="CS104" s="172"/>
      <c r="CT104" s="151"/>
      <c r="CU104" s="150"/>
      <c r="CV104" s="151"/>
      <c r="DW104" s="5"/>
      <c r="EA104" s="12"/>
      <c r="EB104" s="13"/>
      <c r="EW104" s="24"/>
      <c r="EX104" s="12"/>
      <c r="EZ104" s="20"/>
      <c r="FA104" s="21"/>
      <c r="FB104" s="22"/>
      <c r="FH104" s="12"/>
      <c r="FI104" s="13"/>
      <c r="FQ104" s="13"/>
      <c r="FR104" s="18"/>
      <c r="FS104" s="12"/>
      <c r="FW104" s="12"/>
      <c r="GD104" s="13"/>
      <c r="GH104" s="13"/>
      <c r="GI104" s="12"/>
      <c r="GJ104" s="13"/>
      <c r="HA104" s="17"/>
      <c r="HB104" s="13"/>
    </row>
    <row r="105" spans="8:210" ht="18" customHeight="1" x14ac:dyDescent="0.2">
      <c r="H105" s="4"/>
      <c r="AS105" s="149"/>
      <c r="AT105" s="150"/>
      <c r="AU105" s="149"/>
      <c r="AV105" s="170"/>
      <c r="AW105" s="149"/>
      <c r="AX105" s="150"/>
      <c r="AY105" s="150"/>
      <c r="AZ105" s="150"/>
      <c r="BA105" s="150"/>
      <c r="BB105" s="150"/>
      <c r="BC105" s="150"/>
      <c r="BD105" s="150"/>
      <c r="BE105" s="150"/>
      <c r="BF105" s="150"/>
      <c r="BG105" s="150"/>
      <c r="BH105" s="150"/>
      <c r="BI105" s="150"/>
      <c r="BJ105" s="150"/>
      <c r="BK105" s="150"/>
      <c r="BL105" s="151"/>
      <c r="BM105" s="150"/>
      <c r="BN105" s="150"/>
      <c r="BO105" s="150"/>
      <c r="BP105" s="150"/>
      <c r="BQ105" s="150"/>
      <c r="BR105" s="150"/>
      <c r="BS105" s="150"/>
      <c r="BT105" s="150"/>
      <c r="BU105" s="150"/>
      <c r="BV105" s="150"/>
      <c r="BW105" s="150"/>
      <c r="BX105" s="150"/>
      <c r="BY105" s="150"/>
      <c r="BZ105" s="150"/>
      <c r="CA105" s="150"/>
      <c r="CB105" s="150"/>
      <c r="CC105" s="149"/>
      <c r="CD105" s="150"/>
      <c r="CE105" s="150"/>
      <c r="CF105" s="150"/>
      <c r="CG105" s="150"/>
      <c r="CH105" s="150"/>
      <c r="CI105" s="150"/>
      <c r="CJ105" s="150"/>
      <c r="CK105" s="150"/>
      <c r="CL105" s="150"/>
      <c r="CM105" s="150"/>
      <c r="CN105" s="150"/>
      <c r="CO105" s="150"/>
      <c r="CP105" s="150"/>
      <c r="CQ105" s="150"/>
      <c r="CR105" s="151"/>
      <c r="CS105" s="172"/>
      <c r="CT105" s="151"/>
      <c r="CU105" s="150"/>
      <c r="CV105" s="151"/>
      <c r="DW105" s="5"/>
      <c r="EA105" s="12"/>
      <c r="EB105" s="13"/>
      <c r="EW105" s="24"/>
      <c r="EX105" s="12"/>
      <c r="FA105" s="131"/>
      <c r="FH105" s="12"/>
      <c r="FI105" s="13"/>
      <c r="FQ105" s="13"/>
      <c r="FR105" s="12"/>
      <c r="FS105" s="12"/>
      <c r="FW105" s="12"/>
      <c r="GD105" s="13"/>
      <c r="GE105" s="9"/>
      <c r="GF105" s="10"/>
      <c r="GG105" s="10"/>
      <c r="GH105" s="11"/>
      <c r="GI105" s="12"/>
      <c r="GJ105" s="13"/>
      <c r="HA105" s="18"/>
      <c r="HB105" s="13"/>
    </row>
    <row r="106" spans="8:210" ht="18" customHeight="1" x14ac:dyDescent="0.2">
      <c r="H106" s="4"/>
      <c r="AS106" s="149"/>
      <c r="AT106" s="150"/>
      <c r="AU106" s="149"/>
      <c r="AV106" s="170"/>
      <c r="AW106" s="149"/>
      <c r="AX106" s="150"/>
      <c r="AY106" s="150"/>
      <c r="AZ106" s="150"/>
      <c r="BA106" s="150"/>
      <c r="BB106" s="150"/>
      <c r="BC106" s="150"/>
      <c r="BD106" s="150"/>
      <c r="BE106" s="150"/>
      <c r="BF106" s="150"/>
      <c r="BG106" s="150"/>
      <c r="BH106" s="150"/>
      <c r="BI106" s="150"/>
      <c r="BJ106" s="150"/>
      <c r="BK106" s="150"/>
      <c r="BL106" s="151"/>
      <c r="BM106" s="150"/>
      <c r="BN106" s="150"/>
      <c r="BO106" s="150"/>
      <c r="BP106" s="150"/>
      <c r="BQ106" s="150"/>
      <c r="BR106" s="150"/>
      <c r="BS106" s="150"/>
      <c r="BT106" s="150"/>
      <c r="BU106" s="150"/>
      <c r="BV106" s="150"/>
      <c r="BW106" s="150"/>
      <c r="BX106" s="150"/>
      <c r="BY106" s="150"/>
      <c r="BZ106" s="150"/>
      <c r="CA106" s="150"/>
      <c r="CB106" s="150"/>
      <c r="CC106" s="149"/>
      <c r="CD106" s="150"/>
      <c r="CE106" s="150"/>
      <c r="CF106" s="150"/>
      <c r="CG106" s="150"/>
      <c r="CH106" s="150"/>
      <c r="CI106" s="150"/>
      <c r="CJ106" s="150"/>
      <c r="CK106" s="150"/>
      <c r="CL106" s="150"/>
      <c r="CM106" s="150"/>
      <c r="CN106" s="150"/>
      <c r="CO106" s="150"/>
      <c r="CP106" s="150"/>
      <c r="CQ106" s="150"/>
      <c r="CR106" s="151"/>
      <c r="CS106" s="172"/>
      <c r="CT106" s="151"/>
      <c r="CU106" s="150"/>
      <c r="CV106" s="151"/>
      <c r="DW106" s="5"/>
      <c r="EA106" s="12"/>
      <c r="EB106" s="13"/>
      <c r="EC106" s="9"/>
      <c r="ED106" s="10"/>
      <c r="EE106" s="10"/>
      <c r="EF106" s="10"/>
      <c r="EG106" s="10"/>
      <c r="EH106" s="10"/>
      <c r="EI106" s="10"/>
      <c r="EJ106" s="10"/>
      <c r="EK106" s="10"/>
      <c r="EL106" s="10"/>
      <c r="EM106" s="10"/>
      <c r="EN106" s="11"/>
      <c r="EW106" s="24"/>
      <c r="EX106" s="12"/>
      <c r="FH106" s="12"/>
      <c r="FI106" s="13"/>
      <c r="FQ106" s="13"/>
      <c r="FR106" s="12"/>
      <c r="FS106" s="12"/>
      <c r="FW106" s="12"/>
      <c r="GD106" s="13"/>
      <c r="GE106" s="14"/>
      <c r="GF106" s="15"/>
      <c r="GG106" s="15"/>
      <c r="GH106" s="16"/>
      <c r="GI106" s="12"/>
      <c r="GJ106" s="13"/>
      <c r="GL106" s="131"/>
      <c r="GW106" s="131"/>
      <c r="HA106" s="18"/>
      <c r="HB106" s="13"/>
    </row>
    <row r="107" spans="8:210" ht="18" customHeight="1" x14ac:dyDescent="0.2">
      <c r="H107" s="4"/>
      <c r="AS107" s="149"/>
      <c r="AT107" s="150"/>
      <c r="AU107" s="149"/>
      <c r="AV107" s="170"/>
      <c r="AW107" s="149"/>
      <c r="AX107" s="150"/>
      <c r="AY107" s="150"/>
      <c r="AZ107" s="150"/>
      <c r="BA107" s="150"/>
      <c r="BB107" s="150"/>
      <c r="BC107" s="150"/>
      <c r="BD107" s="150"/>
      <c r="BE107" s="150"/>
      <c r="BF107" s="150"/>
      <c r="BG107" s="150"/>
      <c r="BH107" s="150"/>
      <c r="BI107" s="150"/>
      <c r="BJ107" s="150"/>
      <c r="BK107" s="150"/>
      <c r="BL107" s="151"/>
      <c r="BM107" s="150"/>
      <c r="BN107" s="150"/>
      <c r="BO107" s="150"/>
      <c r="BP107" s="150"/>
      <c r="BQ107" s="150"/>
      <c r="BR107" s="150"/>
      <c r="BS107" s="150"/>
      <c r="BT107" s="150"/>
      <c r="BU107" s="150"/>
      <c r="BV107" s="150"/>
      <c r="BW107" s="150"/>
      <c r="BX107" s="150"/>
      <c r="BY107" s="150"/>
      <c r="BZ107" s="150"/>
      <c r="CA107" s="150"/>
      <c r="CB107" s="150"/>
      <c r="CC107" s="149"/>
      <c r="CD107" s="150"/>
      <c r="CE107" s="150"/>
      <c r="CF107" s="150"/>
      <c r="CG107" s="150"/>
      <c r="CH107" s="150"/>
      <c r="CI107" s="150"/>
      <c r="CJ107" s="150"/>
      <c r="CK107" s="150"/>
      <c r="CL107" s="150"/>
      <c r="CM107" s="150"/>
      <c r="CN107" s="150"/>
      <c r="CO107" s="150"/>
      <c r="CP107" s="150"/>
      <c r="CQ107" s="150"/>
      <c r="CR107" s="151"/>
      <c r="CS107" s="172"/>
      <c r="CT107" s="151"/>
      <c r="CU107" s="150"/>
      <c r="CV107" s="151"/>
      <c r="DW107" s="5"/>
      <c r="EA107" s="12"/>
      <c r="EC107" s="9"/>
      <c r="ED107" s="10"/>
      <c r="EE107" s="10"/>
      <c r="EF107" s="10"/>
      <c r="EG107" s="10"/>
      <c r="EH107" s="10"/>
      <c r="EI107" s="10"/>
      <c r="EJ107" s="10"/>
      <c r="EK107" s="10"/>
      <c r="EL107" s="10"/>
      <c r="EM107" s="10"/>
      <c r="EN107" s="11"/>
      <c r="EW107" s="24"/>
      <c r="EX107" s="12"/>
      <c r="FD107" s="9"/>
      <c r="FE107" s="11"/>
      <c r="FH107" s="12"/>
      <c r="FI107" s="13"/>
      <c r="FQ107" s="13"/>
      <c r="FR107" s="12"/>
      <c r="FS107" s="12"/>
      <c r="FW107" s="12"/>
      <c r="GD107" s="13"/>
      <c r="GE107" s="9"/>
      <c r="GF107" s="10"/>
      <c r="GG107" s="10"/>
      <c r="GH107" s="11"/>
      <c r="GI107" s="12"/>
      <c r="GJ107" s="13"/>
      <c r="GL107" s="9"/>
      <c r="GM107" s="10"/>
      <c r="GN107" s="10"/>
      <c r="GO107" s="10"/>
      <c r="GP107" s="10"/>
      <c r="GQ107" s="10"/>
      <c r="GR107" s="10"/>
      <c r="GS107" s="10"/>
      <c r="GT107" s="10"/>
      <c r="GU107" s="10"/>
      <c r="GV107" s="10"/>
      <c r="GW107" s="11"/>
      <c r="HA107" s="18"/>
      <c r="HB107" s="13"/>
    </row>
    <row r="108" spans="8:210" ht="18" customHeight="1" x14ac:dyDescent="0.2">
      <c r="H108" s="4"/>
      <c r="AS108" s="149"/>
      <c r="AT108" s="150"/>
      <c r="AU108" s="149"/>
      <c r="AV108" s="170"/>
      <c r="AW108" s="149"/>
      <c r="AX108" s="150"/>
      <c r="AY108" s="150"/>
      <c r="AZ108" s="150"/>
      <c r="BA108" s="150"/>
      <c r="BB108" s="150"/>
      <c r="BC108" s="150"/>
      <c r="BD108" s="150"/>
      <c r="BE108" s="150"/>
      <c r="BF108" s="150"/>
      <c r="BG108" s="150"/>
      <c r="BH108" s="150"/>
      <c r="BI108" s="150"/>
      <c r="BJ108" s="150"/>
      <c r="BK108" s="150"/>
      <c r="BL108" s="151"/>
      <c r="BM108" s="150"/>
      <c r="BN108" s="150"/>
      <c r="BO108" s="150"/>
      <c r="BP108" s="150"/>
      <c r="BQ108" s="150"/>
      <c r="BR108" s="150"/>
      <c r="BS108" s="150"/>
      <c r="BT108" s="150"/>
      <c r="BU108" s="150"/>
      <c r="BV108" s="150"/>
      <c r="BW108" s="150"/>
      <c r="BX108" s="150"/>
      <c r="BY108" s="150"/>
      <c r="BZ108" s="150"/>
      <c r="CA108" s="150"/>
      <c r="CB108" s="150"/>
      <c r="CC108" s="149"/>
      <c r="CD108" s="150"/>
      <c r="CE108" s="150"/>
      <c r="CF108" s="150"/>
      <c r="CG108" s="150"/>
      <c r="CH108" s="150"/>
      <c r="CI108" s="150"/>
      <c r="CJ108" s="150"/>
      <c r="CK108" s="150"/>
      <c r="CL108" s="150"/>
      <c r="CM108" s="150"/>
      <c r="CN108" s="150"/>
      <c r="CO108" s="150"/>
      <c r="CP108" s="150"/>
      <c r="CQ108" s="150"/>
      <c r="CR108" s="151"/>
      <c r="CS108" s="172"/>
      <c r="CT108" s="151"/>
      <c r="CU108" s="150"/>
      <c r="CV108" s="151"/>
      <c r="DW108" s="5"/>
      <c r="EA108" s="12"/>
      <c r="EC108" s="12"/>
      <c r="EN108" s="13"/>
      <c r="EW108" s="24"/>
      <c r="EX108" s="12"/>
      <c r="FD108" s="12"/>
      <c r="FE108" s="13"/>
      <c r="FH108" s="12"/>
      <c r="FI108" s="13"/>
      <c r="FQ108" s="13"/>
      <c r="FR108" s="12"/>
      <c r="FS108" s="12"/>
      <c r="FW108" s="12"/>
      <c r="GD108" s="13"/>
      <c r="GE108" s="14"/>
      <c r="GF108" s="15"/>
      <c r="GG108" s="15"/>
      <c r="GH108" s="16"/>
      <c r="GI108" s="12"/>
      <c r="GJ108" s="13"/>
      <c r="GL108" s="12"/>
      <c r="GM108" s="9"/>
      <c r="GN108" s="10"/>
      <c r="GO108" s="10"/>
      <c r="GP108" s="10"/>
      <c r="GQ108" s="10"/>
      <c r="GR108" s="10"/>
      <c r="GS108" s="10"/>
      <c r="GT108" s="10"/>
      <c r="GU108" s="10"/>
      <c r="GV108" s="11"/>
      <c r="GW108" s="13"/>
      <c r="HA108" s="18"/>
      <c r="HB108" s="13"/>
    </row>
    <row r="109" spans="8:210" ht="18" customHeight="1" x14ac:dyDescent="0.2">
      <c r="H109" s="4"/>
      <c r="AS109" s="149"/>
      <c r="AT109" s="150"/>
      <c r="AU109" s="149"/>
      <c r="AV109" s="170"/>
      <c r="AW109" s="149"/>
      <c r="AX109" s="150"/>
      <c r="AY109" s="150"/>
      <c r="AZ109" s="150"/>
      <c r="BA109" s="150"/>
      <c r="BB109" s="150"/>
      <c r="BC109" s="150"/>
      <c r="BD109" s="150"/>
      <c r="BE109" s="150"/>
      <c r="BF109" s="150"/>
      <c r="BG109" s="150"/>
      <c r="BH109" s="150"/>
      <c r="BI109" s="150"/>
      <c r="BJ109" s="150"/>
      <c r="BK109" s="150"/>
      <c r="BL109" s="151"/>
      <c r="BM109" s="150"/>
      <c r="BN109" s="150"/>
      <c r="BO109" s="150"/>
      <c r="BP109" s="150"/>
      <c r="BQ109" s="150"/>
      <c r="BR109" s="150"/>
      <c r="BS109" s="150"/>
      <c r="BT109" s="150"/>
      <c r="BU109" s="150"/>
      <c r="BV109" s="150"/>
      <c r="BW109" s="150"/>
      <c r="BX109" s="150"/>
      <c r="BY109" s="150"/>
      <c r="BZ109" s="150"/>
      <c r="CA109" s="150"/>
      <c r="CB109" s="150"/>
      <c r="CC109" s="149"/>
      <c r="CD109" s="150"/>
      <c r="CE109" s="150"/>
      <c r="CF109" s="150"/>
      <c r="CG109" s="150"/>
      <c r="CH109" s="150"/>
      <c r="CI109" s="150"/>
      <c r="CJ109" s="150"/>
      <c r="CK109" s="150"/>
      <c r="CL109" s="150"/>
      <c r="CM109" s="150"/>
      <c r="CN109" s="150"/>
      <c r="CO109" s="150"/>
      <c r="CP109" s="150"/>
      <c r="CQ109" s="150"/>
      <c r="CR109" s="151"/>
      <c r="CS109" s="172"/>
      <c r="CT109" s="151"/>
      <c r="CU109" s="150"/>
      <c r="CV109" s="151"/>
      <c r="DW109" s="5"/>
      <c r="EA109" s="12"/>
      <c r="EC109" s="14"/>
      <c r="ED109" s="20"/>
      <c r="EE109" s="21"/>
      <c r="EF109" s="21"/>
      <c r="EG109" s="21"/>
      <c r="EH109" s="21"/>
      <c r="EI109" s="21"/>
      <c r="EJ109" s="21"/>
      <c r="EK109" s="21"/>
      <c r="EL109" s="21"/>
      <c r="EM109" s="22"/>
      <c r="EN109" s="16"/>
      <c r="EO109" s="15"/>
      <c r="EP109" s="15"/>
      <c r="EQ109" s="15"/>
      <c r="ER109" s="15"/>
      <c r="ES109" s="15"/>
      <c r="ET109" s="15"/>
      <c r="EU109" s="15"/>
      <c r="EV109" s="15"/>
      <c r="EW109" s="25"/>
      <c r="EX109" s="14"/>
      <c r="EY109" s="15"/>
      <c r="EZ109" s="15"/>
      <c r="FA109" s="15"/>
      <c r="FB109" s="15"/>
      <c r="FC109" s="15"/>
      <c r="FD109" s="14"/>
      <c r="FE109" s="16"/>
      <c r="FF109" s="15"/>
      <c r="FG109" s="15"/>
      <c r="FH109" s="14"/>
      <c r="FI109" s="16"/>
      <c r="FJ109" s="15"/>
      <c r="FK109" s="15"/>
      <c r="FL109" s="15"/>
      <c r="FM109" s="15"/>
      <c r="FN109" s="15"/>
      <c r="FO109" s="15"/>
      <c r="FP109" s="15"/>
      <c r="FQ109" s="16"/>
      <c r="FR109" s="14"/>
      <c r="FS109" s="20"/>
      <c r="FT109" s="21"/>
      <c r="FU109" s="21"/>
      <c r="FV109" s="22"/>
      <c r="FW109" s="14"/>
      <c r="FX109" s="15"/>
      <c r="FY109" s="15"/>
      <c r="FZ109" s="15"/>
      <c r="GA109" s="15"/>
      <c r="GB109" s="15"/>
      <c r="GC109" s="15"/>
      <c r="GD109" s="16"/>
      <c r="GE109" s="15"/>
      <c r="GF109" s="15"/>
      <c r="GG109" s="15"/>
      <c r="GH109" s="16"/>
      <c r="GI109" s="12"/>
      <c r="GJ109" s="13"/>
      <c r="GL109" s="14"/>
      <c r="GM109" s="14"/>
      <c r="GN109" s="15"/>
      <c r="GO109" s="15"/>
      <c r="GP109" s="15"/>
      <c r="GQ109" s="15"/>
      <c r="GR109" s="15"/>
      <c r="GS109" s="15"/>
      <c r="GT109" s="15"/>
      <c r="GU109" s="15"/>
      <c r="GV109" s="16"/>
      <c r="GW109" s="16"/>
      <c r="HA109" s="19"/>
      <c r="HB109" s="13"/>
    </row>
    <row r="110" spans="8:210" ht="18" customHeight="1" x14ac:dyDescent="0.2">
      <c r="H110" s="4"/>
      <c r="AS110" s="149"/>
      <c r="AT110" s="150"/>
      <c r="AU110" s="149"/>
      <c r="AV110" s="170"/>
      <c r="AW110" s="149"/>
      <c r="AX110" s="150"/>
      <c r="AY110" s="150"/>
      <c r="AZ110" s="150"/>
      <c r="BA110" s="150"/>
      <c r="BB110" s="150"/>
      <c r="BC110" s="150"/>
      <c r="BD110" s="150"/>
      <c r="BE110" s="150"/>
      <c r="BF110" s="150"/>
      <c r="BG110" s="150"/>
      <c r="BH110" s="150"/>
      <c r="BI110" s="150"/>
      <c r="BJ110" s="150"/>
      <c r="BK110" s="150"/>
      <c r="BL110" s="151"/>
      <c r="BM110" s="150"/>
      <c r="BN110" s="150"/>
      <c r="BO110" s="150"/>
      <c r="BP110" s="150"/>
      <c r="BQ110" s="150"/>
      <c r="BR110" s="150"/>
      <c r="BS110" s="150"/>
      <c r="BT110" s="150"/>
      <c r="BU110" s="150"/>
      <c r="BV110" s="150"/>
      <c r="BW110" s="150"/>
      <c r="BX110" s="150"/>
      <c r="BY110" s="150"/>
      <c r="BZ110" s="150"/>
      <c r="CA110" s="150"/>
      <c r="CB110" s="150"/>
      <c r="CC110" s="149"/>
      <c r="CD110" s="150"/>
      <c r="CE110" s="150"/>
      <c r="CF110" s="150"/>
      <c r="CG110" s="150"/>
      <c r="CH110" s="150"/>
      <c r="CI110" s="150"/>
      <c r="CJ110" s="150"/>
      <c r="CK110" s="150"/>
      <c r="CL110" s="150"/>
      <c r="CM110" s="150"/>
      <c r="CN110" s="150"/>
      <c r="CO110" s="150"/>
      <c r="CP110" s="150"/>
      <c r="CQ110" s="150"/>
      <c r="CR110" s="151"/>
      <c r="CS110" s="172"/>
      <c r="CT110" s="151"/>
      <c r="CU110" s="150"/>
      <c r="CV110" s="151"/>
      <c r="DW110" s="5"/>
      <c r="EA110" s="12"/>
      <c r="EB110" s="13"/>
      <c r="EO110" s="10"/>
      <c r="EP110" s="10"/>
      <c r="EQ110" s="10"/>
      <c r="ER110" s="10"/>
      <c r="ES110" s="10"/>
      <c r="ET110" s="10"/>
      <c r="EU110" s="10"/>
      <c r="EV110" s="10"/>
      <c r="EW110" s="10"/>
      <c r="EX110" s="10"/>
      <c r="EY110" s="10"/>
      <c r="EZ110" s="10"/>
      <c r="FA110" s="10"/>
      <c r="FB110" s="10"/>
      <c r="FC110" s="10"/>
      <c r="FD110" s="10"/>
      <c r="FE110" s="10"/>
      <c r="FF110" s="10"/>
      <c r="FG110" s="10"/>
      <c r="FH110" s="10"/>
      <c r="FI110" s="10"/>
      <c r="FJ110" s="10"/>
      <c r="FK110" s="10"/>
      <c r="FL110" s="10"/>
      <c r="FM110" s="10"/>
      <c r="FN110" s="10"/>
      <c r="FO110" s="10"/>
      <c r="FP110" s="10"/>
      <c r="FQ110" s="10"/>
      <c r="FR110" s="10"/>
      <c r="GI110" s="12"/>
      <c r="GJ110" s="13"/>
      <c r="GK110" s="9"/>
      <c r="GL110" s="10"/>
      <c r="GM110" s="10"/>
      <c r="GN110" s="10"/>
      <c r="GO110" s="10"/>
      <c r="GP110" s="10"/>
      <c r="GQ110" s="10"/>
      <c r="GR110" s="10"/>
      <c r="GS110" s="10"/>
      <c r="GT110" s="10"/>
      <c r="GU110" s="10"/>
      <c r="GV110" s="10"/>
      <c r="GW110" s="10"/>
      <c r="GX110" s="10"/>
      <c r="GY110" s="10"/>
      <c r="GZ110" s="10"/>
      <c r="HA110" s="11"/>
      <c r="HB110" s="13"/>
    </row>
    <row r="111" spans="8:210" ht="18" customHeight="1" x14ac:dyDescent="0.2">
      <c r="H111" s="4"/>
      <c r="AS111" s="149"/>
      <c r="AT111" s="150"/>
      <c r="AU111" s="149"/>
      <c r="AV111" s="170"/>
      <c r="AW111" s="152"/>
      <c r="AX111" s="153"/>
      <c r="AY111" s="153"/>
      <c r="AZ111" s="153"/>
      <c r="BA111" s="153"/>
      <c r="BB111" s="153"/>
      <c r="BC111" s="153"/>
      <c r="BD111" s="153"/>
      <c r="BE111" s="153"/>
      <c r="BF111" s="153"/>
      <c r="BG111" s="153"/>
      <c r="BH111" s="153"/>
      <c r="BI111" s="153"/>
      <c r="BJ111" s="153"/>
      <c r="BK111" s="153"/>
      <c r="BL111" s="154"/>
      <c r="BM111" s="153"/>
      <c r="BN111" s="153"/>
      <c r="BO111" s="153"/>
      <c r="BP111" s="153"/>
      <c r="BQ111" s="153"/>
      <c r="BR111" s="153"/>
      <c r="BS111" s="153"/>
      <c r="BT111" s="150"/>
      <c r="BU111" s="150"/>
      <c r="BV111" s="153"/>
      <c r="BW111" s="153"/>
      <c r="BX111" s="153"/>
      <c r="BY111" s="153"/>
      <c r="BZ111" s="153"/>
      <c r="CA111" s="153"/>
      <c r="CB111" s="153"/>
      <c r="CC111" s="152"/>
      <c r="CD111" s="153"/>
      <c r="CE111" s="153"/>
      <c r="CF111" s="153"/>
      <c r="CG111" s="153"/>
      <c r="CH111" s="153"/>
      <c r="CI111" s="153"/>
      <c r="CJ111" s="153"/>
      <c r="CK111" s="153"/>
      <c r="CL111" s="153"/>
      <c r="CM111" s="153"/>
      <c r="CN111" s="153"/>
      <c r="CO111" s="153"/>
      <c r="CP111" s="153"/>
      <c r="CQ111" s="153"/>
      <c r="CR111" s="154"/>
      <c r="CS111" s="172"/>
      <c r="CT111" s="151"/>
      <c r="CU111" s="150"/>
      <c r="CV111" s="151"/>
      <c r="DW111" s="5"/>
      <c r="EA111" s="12"/>
      <c r="EB111" s="13"/>
      <c r="GI111" s="12"/>
      <c r="GK111" s="12"/>
      <c r="HA111" s="13"/>
      <c r="HB111" s="13"/>
    </row>
    <row r="112" spans="8:210" ht="18" customHeight="1" x14ac:dyDescent="0.2">
      <c r="H112" s="4"/>
      <c r="AS112" s="149"/>
      <c r="AT112" s="150"/>
      <c r="AU112" s="146"/>
      <c r="AV112" s="148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75"/>
      <c r="BI112" s="175"/>
      <c r="BJ112" s="175"/>
      <c r="BK112" s="175"/>
      <c r="BL112" s="175"/>
      <c r="BM112" s="175"/>
      <c r="BN112" s="175"/>
      <c r="BO112" s="175"/>
      <c r="BP112" s="175"/>
      <c r="BQ112" s="175"/>
      <c r="BR112" s="175"/>
      <c r="BS112" s="175"/>
      <c r="BT112" s="146"/>
      <c r="BU112" s="148"/>
      <c r="BV112" s="175"/>
      <c r="BW112" s="175"/>
      <c r="BX112" s="175"/>
      <c r="BY112" s="175"/>
      <c r="BZ112" s="175"/>
      <c r="CA112" s="175"/>
      <c r="CB112" s="175"/>
      <c r="CC112" s="175"/>
      <c r="CD112" s="175"/>
      <c r="CE112" s="175"/>
      <c r="CF112" s="175"/>
      <c r="CG112" s="175"/>
      <c r="CH112" s="175"/>
      <c r="CI112" s="175"/>
      <c r="CJ112" s="175"/>
      <c r="CK112" s="175"/>
      <c r="CL112" s="175"/>
      <c r="CM112" s="175"/>
      <c r="CN112" s="175"/>
      <c r="CO112" s="175"/>
      <c r="CP112" s="175"/>
      <c r="CQ112" s="175"/>
      <c r="CR112" s="175"/>
      <c r="CS112" s="146"/>
      <c r="CT112" s="148"/>
      <c r="CU112" s="150"/>
      <c r="CV112" s="151"/>
      <c r="DW112" s="5"/>
      <c r="EA112" s="12"/>
      <c r="EB112" s="13"/>
      <c r="GI112" s="12"/>
      <c r="GK112" s="12"/>
      <c r="HA112" s="13"/>
      <c r="HB112" s="13"/>
    </row>
    <row r="113" spans="8:217" ht="18" customHeight="1" thickBot="1" x14ac:dyDescent="0.25">
      <c r="H113" s="4"/>
      <c r="AS113" s="149"/>
      <c r="AT113" s="150"/>
      <c r="AU113" s="152"/>
      <c r="AV113" s="154"/>
      <c r="AW113" s="153"/>
      <c r="AX113" s="153"/>
      <c r="AY113" s="153"/>
      <c r="AZ113" s="153"/>
      <c r="BA113" s="153"/>
      <c r="BB113" s="153"/>
      <c r="BC113" s="153"/>
      <c r="BD113" s="153"/>
      <c r="BE113" s="153"/>
      <c r="BF113" s="153"/>
      <c r="BG113" s="153"/>
      <c r="BH113" s="153"/>
      <c r="BI113" s="153"/>
      <c r="BJ113" s="153"/>
      <c r="BK113" s="153"/>
      <c r="BL113" s="153"/>
      <c r="BM113" s="153"/>
      <c r="BN113" s="153"/>
      <c r="BO113" s="153"/>
      <c r="BP113" s="153"/>
      <c r="BQ113" s="153"/>
      <c r="BR113" s="153"/>
      <c r="BS113" s="153"/>
      <c r="BT113" s="152"/>
      <c r="BU113" s="154"/>
      <c r="BV113" s="153"/>
      <c r="BW113" s="153"/>
      <c r="BX113" s="153"/>
      <c r="BY113" s="153"/>
      <c r="BZ113" s="153"/>
      <c r="CA113" s="153"/>
      <c r="CB113" s="153"/>
      <c r="CC113" s="153"/>
      <c r="CD113" s="153"/>
      <c r="CE113" s="153"/>
      <c r="CF113" s="153"/>
      <c r="CG113" s="153"/>
      <c r="CH113" s="153"/>
      <c r="CI113" s="153"/>
      <c r="CJ113" s="153"/>
      <c r="CK113" s="153"/>
      <c r="CL113" s="153"/>
      <c r="CM113" s="153"/>
      <c r="CN113" s="153"/>
      <c r="CO113" s="153"/>
      <c r="CP113" s="153"/>
      <c r="CQ113" s="153"/>
      <c r="CR113" s="153"/>
      <c r="CS113" s="152"/>
      <c r="CT113" s="154"/>
      <c r="CU113" s="150"/>
      <c r="CV113" s="151"/>
      <c r="DW113" s="5"/>
      <c r="DY113" s="7"/>
      <c r="DZ113" s="7"/>
      <c r="EA113" s="12"/>
      <c r="EB113" s="13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12"/>
      <c r="GK113" s="179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180"/>
      <c r="HB113" s="180"/>
      <c r="HC113" s="7"/>
      <c r="HD113" s="7"/>
      <c r="HE113" s="7"/>
      <c r="HF113" s="7"/>
      <c r="HG113" s="7"/>
      <c r="HH113" s="7"/>
      <c r="HI113" s="7"/>
    </row>
    <row r="114" spans="8:217" ht="18" customHeight="1" x14ac:dyDescent="0.2">
      <c r="H114" s="4"/>
      <c r="AS114" s="149"/>
      <c r="AT114" s="150"/>
      <c r="AU114" s="150"/>
      <c r="AV114" s="150"/>
      <c r="AW114" s="150"/>
      <c r="AX114" s="150"/>
      <c r="AY114" s="150"/>
      <c r="AZ114" s="150"/>
      <c r="BA114" s="150"/>
      <c r="BB114" s="150"/>
      <c r="BC114" s="150"/>
      <c r="BD114" s="150"/>
      <c r="BE114" s="150"/>
      <c r="BF114" s="150"/>
      <c r="BG114" s="150"/>
      <c r="BH114" s="150"/>
      <c r="BI114" s="150"/>
      <c r="BJ114" s="150"/>
      <c r="BK114" s="150"/>
      <c r="BL114" s="150"/>
      <c r="BM114" s="150"/>
      <c r="BN114" s="150"/>
      <c r="BO114" s="150"/>
      <c r="BP114" s="150"/>
      <c r="BQ114" s="150"/>
      <c r="BR114" s="150"/>
      <c r="BS114" s="150"/>
      <c r="BT114" s="150"/>
      <c r="BU114" s="150"/>
      <c r="BV114" s="150"/>
      <c r="BW114" s="150"/>
      <c r="BX114" s="150"/>
      <c r="BY114" s="150"/>
      <c r="BZ114" s="150"/>
      <c r="CA114" s="150"/>
      <c r="CB114" s="150"/>
      <c r="CC114" s="150"/>
      <c r="CD114" s="150"/>
      <c r="CE114" s="150"/>
      <c r="CF114" s="150"/>
      <c r="CG114" s="150"/>
      <c r="CH114" s="150"/>
      <c r="CI114" s="150"/>
      <c r="CJ114" s="150"/>
      <c r="CK114" s="150"/>
      <c r="CL114" s="150"/>
      <c r="CM114" s="150"/>
      <c r="CN114" s="150"/>
      <c r="CO114" s="150"/>
      <c r="CP114" s="150"/>
      <c r="CQ114" s="150"/>
      <c r="CR114" s="150"/>
      <c r="CS114" s="150"/>
      <c r="CT114" s="150"/>
      <c r="CU114" s="150"/>
      <c r="CV114" s="151"/>
      <c r="DW114" s="5"/>
      <c r="EA114" s="12"/>
      <c r="EB114" s="13"/>
      <c r="GI114" s="12"/>
      <c r="GJ114" s="13"/>
    </row>
    <row r="115" spans="8:217" ht="18" customHeight="1" x14ac:dyDescent="0.2">
      <c r="H115" s="4"/>
      <c r="AS115" s="152"/>
      <c r="AT115" s="153"/>
      <c r="AU115" s="153"/>
      <c r="AV115" s="153"/>
      <c r="AW115" s="153"/>
      <c r="AX115" s="153"/>
      <c r="AY115" s="153"/>
      <c r="AZ115" s="153"/>
      <c r="BA115" s="153"/>
      <c r="BB115" s="153"/>
      <c r="BC115" s="153"/>
      <c r="BD115" s="153"/>
      <c r="BE115" s="153"/>
      <c r="BF115" s="153"/>
      <c r="BG115" s="153"/>
      <c r="BH115" s="153"/>
      <c r="BI115" s="153"/>
      <c r="BJ115" s="153"/>
      <c r="BK115" s="153"/>
      <c r="BL115" s="153"/>
      <c r="BM115" s="153"/>
      <c r="BN115" s="153"/>
      <c r="BO115" s="153"/>
      <c r="BP115" s="153"/>
      <c r="BQ115" s="153"/>
      <c r="BR115" s="153"/>
      <c r="BS115" s="153"/>
      <c r="BT115" s="153"/>
      <c r="BU115" s="153"/>
      <c r="BV115" s="153"/>
      <c r="BW115" s="153"/>
      <c r="BX115" s="153"/>
      <c r="BY115" s="153"/>
      <c r="BZ115" s="153"/>
      <c r="CA115" s="153"/>
      <c r="CB115" s="153"/>
      <c r="CC115" s="153"/>
      <c r="CD115" s="153"/>
      <c r="CE115" s="153"/>
      <c r="CF115" s="153"/>
      <c r="CG115" s="153"/>
      <c r="CH115" s="153"/>
      <c r="CI115" s="153"/>
      <c r="CJ115" s="153"/>
      <c r="CK115" s="153"/>
      <c r="CL115" s="153"/>
      <c r="CM115" s="153"/>
      <c r="CN115" s="153"/>
      <c r="CO115" s="153"/>
      <c r="CP115" s="153"/>
      <c r="CQ115" s="153"/>
      <c r="CR115" s="153"/>
      <c r="CS115" s="153"/>
      <c r="CT115" s="153"/>
      <c r="CU115" s="153"/>
      <c r="CV115" s="154"/>
      <c r="DW115" s="5"/>
      <c r="EA115" s="12"/>
      <c r="EB115" s="13"/>
      <c r="GI115" s="12"/>
      <c r="GJ115" s="13"/>
    </row>
    <row r="116" spans="8:217" ht="18" customHeight="1" x14ac:dyDescent="0.2">
      <c r="H116" s="4"/>
      <c r="DW116" s="5"/>
      <c r="EA116" s="12"/>
      <c r="EB116" s="13"/>
      <c r="GI116" s="12"/>
      <c r="GJ116" s="13"/>
    </row>
    <row r="117" spans="8:217" ht="18" customHeight="1" x14ac:dyDescent="0.2">
      <c r="H117" s="4"/>
      <c r="DW117" s="5"/>
      <c r="EA117" s="14"/>
      <c r="EB117" s="16"/>
      <c r="GI117" s="14"/>
      <c r="GJ117" s="16"/>
    </row>
    <row r="118" spans="8:217" ht="18" customHeight="1" x14ac:dyDescent="0.2">
      <c r="H118" s="4"/>
      <c r="DW118" s="5"/>
    </row>
    <row r="119" spans="8:217" ht="18" customHeight="1" x14ac:dyDescent="0.2">
      <c r="H119" s="4"/>
      <c r="DW119" s="5"/>
    </row>
    <row r="120" spans="8:217" ht="18" customHeight="1" x14ac:dyDescent="0.2">
      <c r="H120" s="4"/>
      <c r="DW120" s="5"/>
    </row>
    <row r="121" spans="8:217" ht="18" customHeight="1" x14ac:dyDescent="0.2">
      <c r="H121" s="4"/>
      <c r="DW121" s="5"/>
    </row>
    <row r="122" spans="8:217" ht="18" customHeight="1" x14ac:dyDescent="0.2">
      <c r="H122" s="4"/>
      <c r="DW122" s="5"/>
    </row>
    <row r="123" spans="8:217" ht="18" customHeight="1" x14ac:dyDescent="0.2">
      <c r="H123" s="4"/>
      <c r="DW123" s="5"/>
    </row>
    <row r="124" spans="8:217" ht="18" customHeight="1" x14ac:dyDescent="0.2">
      <c r="H124" s="4"/>
      <c r="DW124" s="5"/>
    </row>
    <row r="125" spans="8:217" ht="18" customHeight="1" thickBot="1" x14ac:dyDescent="0.25">
      <c r="H125" s="6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8"/>
    </row>
    <row r="142" spans="158:434" ht="18" customHeight="1" x14ac:dyDescent="0.2">
      <c r="LH142" s="15"/>
      <c r="LI142" s="15"/>
      <c r="LJ142" s="15"/>
      <c r="LK142" s="15"/>
      <c r="LL142" s="15"/>
      <c r="LM142" s="15"/>
    </row>
    <row r="143" spans="158:434" ht="18" customHeight="1" x14ac:dyDescent="0.2">
      <c r="IB143" s="9"/>
      <c r="IC143" s="10"/>
      <c r="ID143" s="10"/>
      <c r="IE143" s="10"/>
      <c r="IF143" s="10"/>
      <c r="IG143" s="10"/>
      <c r="IH143" s="10"/>
      <c r="II143" s="10"/>
      <c r="IJ143" s="10"/>
      <c r="IK143" s="10"/>
      <c r="IL143" s="10"/>
      <c r="IM143" s="10"/>
      <c r="IN143" s="10"/>
      <c r="IO143" s="10"/>
      <c r="IP143" s="10"/>
      <c r="IQ143" s="10"/>
      <c r="IR143" s="10"/>
      <c r="IS143" s="10"/>
      <c r="IT143" s="10"/>
      <c r="IU143" s="10"/>
      <c r="IV143" s="10"/>
      <c r="IW143" s="10"/>
      <c r="IX143" s="10"/>
      <c r="IY143" s="10"/>
      <c r="IZ143" s="10"/>
      <c r="JA143" s="10"/>
      <c r="JB143" s="10"/>
      <c r="JC143" s="10"/>
      <c r="JD143" s="10"/>
      <c r="JE143" s="10"/>
      <c r="JF143" s="10"/>
      <c r="JG143" s="10"/>
      <c r="JH143" s="10"/>
      <c r="JI143" s="10"/>
      <c r="JJ143" s="10"/>
      <c r="JK143" s="10"/>
      <c r="JL143" s="10"/>
      <c r="JM143" s="10"/>
      <c r="JN143" s="10"/>
      <c r="JO143" s="10"/>
      <c r="JP143" s="10"/>
      <c r="JQ143" s="10"/>
      <c r="JR143" s="10"/>
      <c r="JS143" s="10"/>
      <c r="JT143" s="10"/>
      <c r="JU143" s="10"/>
      <c r="JV143" s="10"/>
      <c r="JW143" s="10"/>
      <c r="JX143" s="10"/>
      <c r="JY143" s="10"/>
      <c r="JZ143" s="10"/>
      <c r="KA143" s="10"/>
      <c r="KB143" s="10"/>
      <c r="KC143" s="12"/>
      <c r="KM143" s="9"/>
      <c r="KN143" s="10"/>
      <c r="KO143" s="10"/>
      <c r="KP143" s="10"/>
      <c r="KQ143" s="10"/>
      <c r="KR143" s="10"/>
      <c r="KS143" s="10"/>
      <c r="KT143" s="10"/>
      <c r="KU143" s="10"/>
      <c r="KV143" s="10"/>
      <c r="KW143" s="10"/>
      <c r="KX143" s="10"/>
      <c r="KY143" s="10"/>
      <c r="KZ143" s="10"/>
      <c r="LA143" s="10"/>
      <c r="LB143" s="10"/>
      <c r="LC143" s="10"/>
      <c r="LD143" s="10"/>
      <c r="LE143" s="10"/>
      <c r="LF143" s="10"/>
      <c r="LG143" s="10"/>
      <c r="LH143" s="10"/>
      <c r="LI143" s="10"/>
      <c r="LJ143" s="10"/>
      <c r="LK143" s="10"/>
      <c r="LL143" s="10"/>
      <c r="LM143" s="10"/>
      <c r="LN143" s="10"/>
      <c r="LO143" s="10"/>
      <c r="LP143" s="10"/>
      <c r="LQ143" s="10"/>
      <c r="LR143" s="10"/>
      <c r="LS143" s="10"/>
      <c r="LT143" s="10"/>
      <c r="LU143" s="10"/>
      <c r="LV143" s="10"/>
      <c r="LW143" s="10"/>
      <c r="LX143" s="10"/>
      <c r="LY143" s="10"/>
      <c r="LZ143" s="10"/>
      <c r="MA143" s="11"/>
    </row>
    <row r="144" spans="158:434" ht="18" customHeight="1" x14ac:dyDescent="0.2">
      <c r="FB144" s="15"/>
      <c r="FC144" s="15"/>
      <c r="FD144" s="15"/>
      <c r="FE144" s="15"/>
      <c r="FF144" s="15"/>
      <c r="FG144" s="15"/>
      <c r="FH144" s="15"/>
      <c r="FI144" s="15"/>
      <c r="IB144" s="12"/>
      <c r="KC144" s="12"/>
      <c r="KM144" s="12"/>
      <c r="MA144" s="13"/>
      <c r="NV144" s="9"/>
      <c r="NW144" s="10"/>
      <c r="NX144" s="10"/>
      <c r="NY144" s="10"/>
      <c r="NZ144" s="10"/>
      <c r="OA144" s="10"/>
      <c r="OB144" s="10"/>
      <c r="OC144" s="10"/>
      <c r="OD144" s="10"/>
      <c r="OE144" s="10"/>
      <c r="OF144" s="10"/>
      <c r="OG144" s="10"/>
      <c r="OH144" s="10"/>
      <c r="OI144" s="10"/>
      <c r="OJ144" s="10"/>
      <c r="OK144" s="10"/>
      <c r="OL144" s="10"/>
      <c r="OM144" s="10"/>
      <c r="ON144" s="10"/>
      <c r="OO144" s="10"/>
      <c r="OP144" s="10"/>
      <c r="OQ144" s="10"/>
      <c r="OR144" s="10"/>
      <c r="OS144" s="10"/>
      <c r="OT144" s="10"/>
      <c r="OU144" s="10"/>
      <c r="OV144" s="10"/>
      <c r="OW144" s="10"/>
      <c r="OX144" s="10"/>
      <c r="OY144" s="10"/>
      <c r="OZ144" s="10"/>
      <c r="PA144" s="10"/>
      <c r="PB144" s="10"/>
      <c r="PC144" s="10"/>
      <c r="PD144" s="10"/>
      <c r="PE144" s="10"/>
      <c r="PF144" s="10"/>
      <c r="PG144" s="10"/>
      <c r="PH144" s="10"/>
      <c r="PI144" s="10"/>
      <c r="PJ144" s="10"/>
      <c r="PK144" s="10"/>
      <c r="PL144" s="10"/>
      <c r="PM144" s="10"/>
      <c r="PN144" s="10"/>
      <c r="PO144" s="10"/>
      <c r="PP144" s="10"/>
      <c r="PQ144" s="10"/>
      <c r="PR144" s="11"/>
    </row>
    <row r="145" spans="32:434" ht="18" customHeight="1" x14ac:dyDescent="0.2">
      <c r="EH145" s="40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3"/>
      <c r="FC145" s="123"/>
      <c r="FD145" s="109"/>
      <c r="FE145" s="109"/>
      <c r="FF145" s="109"/>
      <c r="FG145" s="109"/>
      <c r="FH145" s="124"/>
      <c r="FI145" s="43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4"/>
      <c r="IB145" s="12"/>
      <c r="ID145" s="9"/>
      <c r="IE145" s="10"/>
      <c r="IF145" s="10"/>
      <c r="IG145" s="10"/>
      <c r="IH145" s="11"/>
      <c r="II145" s="9"/>
      <c r="IJ145" s="10"/>
      <c r="IK145" s="10"/>
      <c r="IL145" s="10"/>
      <c r="IM145" s="11"/>
      <c r="IN145" s="9"/>
      <c r="IO145" s="10"/>
      <c r="IP145" s="10"/>
      <c r="IQ145" s="10"/>
      <c r="IR145" s="10"/>
      <c r="IS145" s="10"/>
      <c r="IT145" s="10"/>
      <c r="IU145" s="11"/>
      <c r="IV145" s="17"/>
      <c r="IW145" s="9"/>
      <c r="IX145" s="10"/>
      <c r="IY145" s="10"/>
      <c r="IZ145" s="10"/>
      <c r="JA145" s="11"/>
      <c r="JB145" s="10"/>
      <c r="JC145" s="10"/>
      <c r="JD145" s="10"/>
      <c r="JE145" s="10"/>
      <c r="JF145" s="11"/>
      <c r="JG145" s="11"/>
      <c r="JH145" s="10"/>
      <c r="JI145" s="10"/>
      <c r="JJ145" s="10"/>
      <c r="JK145" s="10"/>
      <c r="JL145" s="10"/>
      <c r="JM145" s="10"/>
      <c r="JN145" s="10"/>
      <c r="JO145" s="10"/>
      <c r="JP145" s="10"/>
      <c r="JQ145" s="10"/>
      <c r="JR145" s="10"/>
      <c r="JS145" s="10"/>
      <c r="JT145" s="10"/>
      <c r="JU145" s="10"/>
      <c r="JV145" s="10"/>
      <c r="JW145" s="10"/>
      <c r="JX145" s="10"/>
      <c r="JY145" s="10"/>
      <c r="JZ145" s="11"/>
      <c r="KC145" s="12"/>
      <c r="KM145" s="12"/>
      <c r="KO145" s="9"/>
      <c r="KP145" s="10"/>
      <c r="KQ145" s="10"/>
      <c r="KR145" s="10"/>
      <c r="KS145" s="10"/>
      <c r="KT145" s="10"/>
      <c r="KU145" s="10"/>
      <c r="KV145" s="10"/>
      <c r="KW145" s="10"/>
      <c r="KX145" s="10"/>
      <c r="KY145" s="10"/>
      <c r="KZ145" s="10"/>
      <c r="LA145" s="10"/>
      <c r="LB145" s="10"/>
      <c r="LC145" s="10"/>
      <c r="LD145" s="10"/>
      <c r="LE145" s="10"/>
      <c r="LF145" s="10"/>
      <c r="LG145" s="10"/>
      <c r="LH145" s="10"/>
      <c r="LI145" s="10"/>
      <c r="LJ145" s="10"/>
      <c r="LK145" s="10"/>
      <c r="LL145" s="10"/>
      <c r="LM145" s="10"/>
      <c r="LN145" s="11"/>
      <c r="LO145" s="11"/>
      <c r="LP145" s="10"/>
      <c r="LQ145" s="10"/>
      <c r="LR145" s="10"/>
      <c r="LS145" s="10"/>
      <c r="LT145" s="11"/>
      <c r="LU145" s="10"/>
      <c r="LV145" s="10"/>
      <c r="LW145" s="10"/>
      <c r="LX145" s="10"/>
      <c r="LY145" s="11"/>
      <c r="MA145" s="13"/>
      <c r="NV145" s="12"/>
      <c r="PR145" s="13"/>
    </row>
    <row r="146" spans="32:434" ht="18" customHeight="1" x14ac:dyDescent="0.2">
      <c r="EH146" s="42"/>
      <c r="EI146" s="43"/>
      <c r="EJ146" s="43"/>
      <c r="EK146" s="43"/>
      <c r="EL146" s="43"/>
      <c r="EM146" s="43"/>
      <c r="EN146" s="43"/>
      <c r="EO146" s="43"/>
      <c r="EP146" s="43"/>
      <c r="EQ146" s="43"/>
      <c r="ER146" s="43"/>
      <c r="ES146" s="43"/>
      <c r="ET146" s="43"/>
      <c r="EU146" s="43"/>
      <c r="EV146" s="43"/>
      <c r="EW146" s="43"/>
      <c r="EX146" s="43"/>
      <c r="EY146" s="43"/>
      <c r="EZ146" s="43"/>
      <c r="FA146" s="43"/>
      <c r="FB146" s="43"/>
      <c r="FC146" s="40"/>
      <c r="FD146" s="41"/>
      <c r="FE146" s="41"/>
      <c r="FF146" s="41"/>
      <c r="FG146" s="41"/>
      <c r="FH146" s="44"/>
      <c r="FI146" s="43"/>
      <c r="FJ146" s="43"/>
      <c r="FK146" s="43"/>
      <c r="FL146" s="43"/>
      <c r="FM146" s="43"/>
      <c r="FN146" s="43"/>
      <c r="FO146" s="43"/>
      <c r="FP146" s="43"/>
      <c r="FQ146" s="43"/>
      <c r="FR146" s="43"/>
      <c r="FS146" s="43"/>
      <c r="FT146" s="43"/>
      <c r="FU146" s="43"/>
      <c r="FV146" s="45"/>
      <c r="IB146" s="12"/>
      <c r="ID146" s="12"/>
      <c r="IH146" s="13"/>
      <c r="II146" s="12"/>
      <c r="IM146" s="13"/>
      <c r="IN146" s="12"/>
      <c r="IU146" s="13"/>
      <c r="IV146" s="18"/>
      <c r="IW146" s="12"/>
      <c r="JA146" s="13"/>
      <c r="JF146" s="13"/>
      <c r="JG146" s="13"/>
      <c r="JZ146" s="13"/>
      <c r="KC146" s="12"/>
      <c r="KM146" s="12"/>
      <c r="KO146" s="12"/>
      <c r="LN146" s="13"/>
      <c r="LO146" s="13"/>
      <c r="LT146" s="13"/>
      <c r="LY146" s="13"/>
      <c r="MA146" s="13"/>
      <c r="NV146" s="12"/>
      <c r="NX146" s="9"/>
      <c r="NY146" s="10"/>
      <c r="NZ146" s="10"/>
      <c r="OA146" s="10"/>
      <c r="OB146" s="10"/>
      <c r="OC146" s="10"/>
      <c r="OD146" s="10"/>
      <c r="OE146" s="10"/>
      <c r="OF146" s="10"/>
      <c r="OG146" s="10"/>
      <c r="OH146" s="10"/>
      <c r="OI146" s="10"/>
      <c r="OJ146" s="10"/>
      <c r="OK146" s="10"/>
      <c r="OL146" s="10"/>
      <c r="OM146" s="10"/>
      <c r="ON146" s="10"/>
      <c r="OO146" s="10"/>
      <c r="OP146" s="10"/>
      <c r="OQ146" s="11"/>
      <c r="OR146" s="10"/>
      <c r="OS146" s="9"/>
      <c r="OT146" s="10"/>
      <c r="OU146" s="10"/>
      <c r="OV146" s="10"/>
      <c r="OW146" s="10"/>
      <c r="OX146" s="10"/>
      <c r="OY146" s="10"/>
      <c r="OZ146" s="10"/>
      <c r="PA146" s="10"/>
      <c r="PB146" s="11"/>
      <c r="PC146" s="11"/>
      <c r="PD146" s="10"/>
      <c r="PE146" s="10"/>
      <c r="PF146" s="10"/>
      <c r="PG146" s="10"/>
      <c r="PH146" s="10"/>
      <c r="PI146" s="10"/>
      <c r="PJ146" s="10"/>
      <c r="PK146" s="10"/>
      <c r="PL146" s="10"/>
      <c r="PM146" s="10"/>
      <c r="PN146" s="10"/>
      <c r="PO146" s="10"/>
      <c r="PP146" s="11"/>
      <c r="PR146" s="13"/>
    </row>
    <row r="147" spans="32:434" ht="18" customHeight="1" x14ac:dyDescent="0.2">
      <c r="EH147" s="42"/>
      <c r="EI147" s="43"/>
      <c r="EJ147" s="9"/>
      <c r="EK147" s="10"/>
      <c r="EL147" s="10"/>
      <c r="EM147" s="10"/>
      <c r="EN147" s="10"/>
      <c r="EO147" s="10"/>
      <c r="EP147" s="10"/>
      <c r="EQ147" s="10"/>
      <c r="ER147" s="10"/>
      <c r="ES147" s="10"/>
      <c r="ET147" s="10"/>
      <c r="EU147" s="10"/>
      <c r="EV147" s="10"/>
      <c r="EW147" s="10"/>
      <c r="EX147" s="10"/>
      <c r="EY147" s="10"/>
      <c r="EZ147" s="10"/>
      <c r="FA147" s="10"/>
      <c r="FB147" s="10"/>
      <c r="FC147" s="10"/>
      <c r="FD147" s="10"/>
      <c r="FE147" s="10"/>
      <c r="FF147" s="10"/>
      <c r="FG147" s="10"/>
      <c r="FH147" s="10"/>
      <c r="FI147" s="11"/>
      <c r="FJ147" s="11"/>
      <c r="FK147" s="10"/>
      <c r="FL147" s="10"/>
      <c r="FM147" s="10"/>
      <c r="FN147" s="10"/>
      <c r="FO147" s="11"/>
      <c r="FP147" s="10"/>
      <c r="FQ147" s="10"/>
      <c r="FR147" s="10"/>
      <c r="FS147" s="10"/>
      <c r="FT147" s="11"/>
      <c r="FU147" s="43"/>
      <c r="FV147" s="45"/>
      <c r="IB147" s="12"/>
      <c r="ID147" s="12"/>
      <c r="IH147" s="13"/>
      <c r="II147" s="12"/>
      <c r="IM147" s="13"/>
      <c r="IN147" s="12"/>
      <c r="IU147" s="13"/>
      <c r="IV147" s="18"/>
      <c r="IW147" s="12"/>
      <c r="JA147" s="13"/>
      <c r="JF147" s="13"/>
      <c r="JG147" s="13"/>
      <c r="JZ147" s="13"/>
      <c r="KC147" s="12"/>
      <c r="KM147" s="12"/>
      <c r="KO147" s="12"/>
      <c r="LN147" s="13"/>
      <c r="LO147" s="13"/>
      <c r="LT147" s="13"/>
      <c r="LY147" s="13"/>
      <c r="MA147" s="13"/>
      <c r="NV147" s="12"/>
      <c r="NX147" s="12"/>
      <c r="OQ147" s="13"/>
      <c r="OS147" s="12"/>
      <c r="PB147" s="13"/>
      <c r="PC147" s="90"/>
      <c r="PP147" s="13"/>
      <c r="PR147" s="13"/>
    </row>
    <row r="148" spans="32:434" ht="18" customHeight="1" x14ac:dyDescent="0.2">
      <c r="EH148" s="42"/>
      <c r="EI148" s="43"/>
      <c r="EJ148" s="12"/>
      <c r="FI148" s="13"/>
      <c r="FJ148" s="13"/>
      <c r="FO148" s="13"/>
      <c r="FT148" s="13"/>
      <c r="FU148" s="43"/>
      <c r="FV148" s="45"/>
      <c r="IB148" s="12"/>
      <c r="ID148" s="12"/>
      <c r="IH148" s="13"/>
      <c r="II148" s="12"/>
      <c r="IM148" s="13"/>
      <c r="IN148" s="12"/>
      <c r="IU148" s="13"/>
      <c r="IV148" s="18"/>
      <c r="IW148" s="12"/>
      <c r="JA148" s="13"/>
      <c r="JF148" s="13"/>
      <c r="JG148" s="13"/>
      <c r="JZ148" s="13"/>
      <c r="KC148" s="12"/>
      <c r="KM148" s="12"/>
      <c r="KO148" s="12"/>
      <c r="LN148" s="13"/>
      <c r="LO148" s="13"/>
      <c r="LT148" s="13"/>
      <c r="LY148" s="13"/>
      <c r="MA148" s="13"/>
      <c r="NV148" s="12"/>
      <c r="NX148" s="12"/>
      <c r="OQ148" s="13"/>
      <c r="OS148" s="12"/>
      <c r="PB148" s="13"/>
      <c r="PC148" s="90"/>
      <c r="PP148" s="13"/>
      <c r="PR148" s="13"/>
    </row>
    <row r="149" spans="32:434" ht="18" customHeight="1" x14ac:dyDescent="0.2">
      <c r="EH149" s="42"/>
      <c r="EI149" s="43"/>
      <c r="EJ149" s="12"/>
      <c r="FI149" s="13"/>
      <c r="FJ149" s="13"/>
      <c r="FO149" s="13"/>
      <c r="FT149" s="13"/>
      <c r="FU149" s="43"/>
      <c r="FV149" s="45"/>
      <c r="IB149" s="12"/>
      <c r="ID149" s="14"/>
      <c r="IE149" s="15"/>
      <c r="IF149" s="15"/>
      <c r="IG149" s="15"/>
      <c r="IH149" s="16"/>
      <c r="II149" s="14"/>
      <c r="IJ149" s="15"/>
      <c r="IK149" s="15"/>
      <c r="IL149" s="15"/>
      <c r="IM149" s="16"/>
      <c r="IN149" s="12"/>
      <c r="IU149" s="13"/>
      <c r="IV149" s="18"/>
      <c r="IW149" s="14"/>
      <c r="IX149" s="15"/>
      <c r="IY149" s="15"/>
      <c r="IZ149" s="15"/>
      <c r="JA149" s="16"/>
      <c r="JB149" s="15"/>
      <c r="JC149" s="15"/>
      <c r="JD149" s="15"/>
      <c r="JE149" s="15"/>
      <c r="JF149" s="16"/>
      <c r="JG149" s="13"/>
      <c r="JZ149" s="13"/>
      <c r="KC149" s="12"/>
      <c r="KM149" s="12"/>
      <c r="KO149" s="12"/>
      <c r="LN149" s="13"/>
      <c r="LO149" s="13"/>
      <c r="LP149" s="15"/>
      <c r="LQ149" s="15"/>
      <c r="LR149" s="15"/>
      <c r="LS149" s="15"/>
      <c r="LT149" s="16"/>
      <c r="LU149" s="15"/>
      <c r="LV149" s="15"/>
      <c r="LW149" s="15"/>
      <c r="LX149" s="15"/>
      <c r="LY149" s="16"/>
      <c r="MA149" s="13"/>
      <c r="NV149" s="12"/>
      <c r="NX149" s="12"/>
      <c r="OQ149" s="13"/>
      <c r="OS149" s="12"/>
      <c r="PB149" s="13"/>
      <c r="PC149" s="90"/>
      <c r="PP149" s="13"/>
      <c r="PR149" s="13"/>
    </row>
    <row r="150" spans="32:434" ht="18" customHeight="1" x14ac:dyDescent="0.2">
      <c r="EH150" s="42"/>
      <c r="EI150" s="43"/>
      <c r="EJ150" s="12"/>
      <c r="FI150" s="13"/>
      <c r="FJ150" s="13"/>
      <c r="FO150" s="13"/>
      <c r="FT150" s="13"/>
      <c r="FU150" s="43"/>
      <c r="FV150" s="45"/>
      <c r="IB150" s="12"/>
      <c r="ID150" s="12"/>
      <c r="IN150" s="12"/>
      <c r="IU150" s="13"/>
      <c r="IV150" s="18"/>
      <c r="JF150" s="13"/>
      <c r="JG150" s="13"/>
      <c r="JZ150" s="13"/>
      <c r="KC150" s="12"/>
      <c r="KM150" s="12"/>
      <c r="KO150" s="12"/>
      <c r="LN150" s="13"/>
      <c r="LO150" s="13"/>
      <c r="LY150" s="11"/>
      <c r="MA150" s="13"/>
      <c r="NV150" s="12"/>
      <c r="NX150" s="12"/>
      <c r="OQ150" s="13"/>
      <c r="OS150" s="12"/>
      <c r="PB150" s="13"/>
      <c r="PC150" s="90"/>
      <c r="PP150" s="13"/>
      <c r="PR150" s="13"/>
    </row>
    <row r="151" spans="32:434" ht="18" customHeight="1" x14ac:dyDescent="0.2">
      <c r="EH151" s="42"/>
      <c r="EI151" s="43"/>
      <c r="EJ151" s="12"/>
      <c r="FI151" s="13"/>
      <c r="FJ151" s="13"/>
      <c r="FK151" s="15"/>
      <c r="FL151" s="15"/>
      <c r="FM151" s="15"/>
      <c r="FN151" s="15"/>
      <c r="FO151" s="16"/>
      <c r="FP151" s="15"/>
      <c r="FQ151" s="15"/>
      <c r="FR151" s="15"/>
      <c r="FS151" s="15"/>
      <c r="FT151" s="16"/>
      <c r="FU151" s="43"/>
      <c r="FV151" s="45"/>
      <c r="IB151" s="12"/>
      <c r="ID151" s="12"/>
      <c r="IN151" s="12"/>
      <c r="IU151" s="13"/>
      <c r="IV151" s="18"/>
      <c r="JF151" s="13"/>
      <c r="JG151" s="13"/>
      <c r="JZ151" s="13"/>
      <c r="KC151" s="12"/>
      <c r="KM151" s="12"/>
      <c r="KO151" s="12"/>
      <c r="LN151" s="13"/>
      <c r="LO151" s="13"/>
      <c r="LY151" s="13"/>
      <c r="MA151" s="13"/>
      <c r="NV151" s="12"/>
      <c r="NX151" s="12"/>
      <c r="OQ151" s="13"/>
      <c r="OS151" s="12"/>
      <c r="PB151" s="13"/>
      <c r="PC151" s="90"/>
      <c r="PP151" s="13"/>
      <c r="PR151" s="13"/>
    </row>
    <row r="152" spans="32:434" ht="18" customHeight="1" x14ac:dyDescent="0.2">
      <c r="AF152" s="40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4"/>
      <c r="EH152" s="42"/>
      <c r="EI152" s="43"/>
      <c r="EJ152" s="12"/>
      <c r="FI152" s="13"/>
      <c r="FJ152" s="13"/>
      <c r="FT152" s="11"/>
      <c r="FU152" s="43"/>
      <c r="FV152" s="45"/>
      <c r="IB152" s="12"/>
      <c r="ID152" s="12"/>
      <c r="IN152" s="12"/>
      <c r="IU152" s="13"/>
      <c r="IV152" s="18"/>
      <c r="JF152" s="13"/>
      <c r="JG152" s="13"/>
      <c r="JZ152" s="13"/>
      <c r="KC152" s="12"/>
      <c r="KM152" s="12"/>
      <c r="KO152" s="12"/>
      <c r="LN152" s="13"/>
      <c r="LO152" s="13"/>
      <c r="LY152" s="13"/>
      <c r="MA152" s="13"/>
      <c r="NV152" s="12"/>
      <c r="NX152" s="12"/>
      <c r="OQ152" s="13"/>
      <c r="OS152" s="12"/>
      <c r="PB152" s="13"/>
      <c r="PC152" s="13"/>
      <c r="PP152" s="13"/>
      <c r="PR152" s="13"/>
    </row>
    <row r="153" spans="32:434" ht="18" customHeight="1" x14ac:dyDescent="0.2">
      <c r="AF153" s="42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5"/>
      <c r="EH153" s="42"/>
      <c r="EI153" s="43"/>
      <c r="EJ153" s="12"/>
      <c r="FI153" s="13"/>
      <c r="FJ153" s="13"/>
      <c r="FT153" s="13"/>
      <c r="FU153" s="43"/>
      <c r="FV153" s="45"/>
      <c r="IB153" s="12"/>
      <c r="ID153" s="12"/>
      <c r="IN153" s="12"/>
      <c r="IU153" s="13"/>
      <c r="IV153" s="18"/>
      <c r="JF153" s="13"/>
      <c r="JG153" s="13"/>
      <c r="JZ153" s="13"/>
      <c r="KC153" s="12"/>
      <c r="KM153" s="12"/>
      <c r="KO153" s="12"/>
      <c r="LN153" s="13"/>
      <c r="LO153" s="13"/>
      <c r="LY153" s="13"/>
      <c r="MA153" s="13"/>
      <c r="MC153" s="15"/>
      <c r="ME153" s="15"/>
      <c r="MG153" s="15"/>
      <c r="MI153" s="15"/>
      <c r="MK153" s="15"/>
      <c r="ML153" s="15"/>
      <c r="MM153" s="15"/>
      <c r="MN153" s="15"/>
      <c r="MO153" s="15"/>
      <c r="MP153" s="15"/>
      <c r="MQ153" s="15"/>
      <c r="MR153" s="15"/>
      <c r="MS153" s="15"/>
      <c r="MT153" s="15"/>
      <c r="MU153" s="15"/>
      <c r="MV153" s="15"/>
      <c r="MW153" s="15"/>
      <c r="MX153" s="15"/>
      <c r="NV153" s="12"/>
      <c r="NX153" s="12"/>
      <c r="OQ153" s="13"/>
      <c r="OS153" s="12"/>
      <c r="PB153" s="13"/>
      <c r="PC153" s="13"/>
      <c r="PP153" s="13"/>
      <c r="PR153" s="13"/>
    </row>
    <row r="154" spans="32:434" ht="18" customHeight="1" x14ac:dyDescent="0.2">
      <c r="AF154" s="42"/>
      <c r="AG154" s="43"/>
      <c r="AH154" s="9"/>
      <c r="AI154" s="10"/>
      <c r="AJ154" s="10"/>
      <c r="AK154" s="10"/>
      <c r="AL154" s="10"/>
      <c r="AM154" s="9"/>
      <c r="AN154" s="10"/>
      <c r="AO154" s="10"/>
      <c r="AP154" s="10"/>
      <c r="AQ154" s="10"/>
      <c r="AR154" s="9"/>
      <c r="AS154" s="10"/>
      <c r="AT154" s="10"/>
      <c r="AU154" s="10"/>
      <c r="AV154" s="10"/>
      <c r="AW154" s="10"/>
      <c r="AX154" s="10"/>
      <c r="AY154" s="11"/>
      <c r="AZ154" s="10"/>
      <c r="BA154" s="9"/>
      <c r="BB154" s="10"/>
      <c r="BC154" s="10"/>
      <c r="BD154" s="10"/>
      <c r="BE154" s="11"/>
      <c r="BF154" s="10"/>
      <c r="BG154" s="10"/>
      <c r="BH154" s="10"/>
      <c r="BI154" s="10"/>
      <c r="BJ154" s="11"/>
      <c r="BK154" s="11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1"/>
      <c r="CL154" s="43"/>
      <c r="CM154" s="45"/>
      <c r="EH154" s="42"/>
      <c r="EI154" s="43"/>
      <c r="EJ154" s="12"/>
      <c r="FI154" s="13"/>
      <c r="FJ154" s="13"/>
      <c r="FT154" s="13"/>
      <c r="FU154" s="43"/>
      <c r="FV154" s="45"/>
      <c r="IB154" s="12"/>
      <c r="ID154" s="14"/>
      <c r="IE154" s="15"/>
      <c r="IF154" s="15"/>
      <c r="IG154" s="15"/>
      <c r="IH154" s="15"/>
      <c r="II154" s="15"/>
      <c r="IJ154" s="15"/>
      <c r="IK154" s="15"/>
      <c r="IL154" s="15"/>
      <c r="IM154" s="15"/>
      <c r="IN154" s="14"/>
      <c r="IO154" s="15"/>
      <c r="IP154" s="15"/>
      <c r="IQ154" s="15"/>
      <c r="IR154" s="15"/>
      <c r="IS154" s="15"/>
      <c r="IT154" s="15"/>
      <c r="IU154" s="16"/>
      <c r="IV154" s="19"/>
      <c r="IW154" s="15"/>
      <c r="IX154" s="15"/>
      <c r="IY154" s="15"/>
      <c r="IZ154" s="15"/>
      <c r="JA154" s="15"/>
      <c r="JB154" s="15"/>
      <c r="JC154" s="15"/>
      <c r="JD154" s="15"/>
      <c r="JE154" s="15"/>
      <c r="JF154" s="16"/>
      <c r="JG154" s="16"/>
      <c r="JZ154" s="13"/>
      <c r="KC154" s="12"/>
      <c r="KM154" s="12"/>
      <c r="KO154" s="12"/>
      <c r="LN154" s="13"/>
      <c r="LO154" s="13"/>
      <c r="LY154" s="16"/>
      <c r="LZ154" s="12"/>
      <c r="MB154" s="10"/>
      <c r="MD154" s="10"/>
      <c r="MF154" s="10"/>
      <c r="MH154" s="10"/>
      <c r="MJ154" s="10"/>
      <c r="MO154" s="20"/>
      <c r="MP154" s="21"/>
      <c r="MQ154" s="21"/>
      <c r="MR154" s="21"/>
      <c r="MS154" s="21"/>
      <c r="MT154" s="22"/>
      <c r="MX154" s="11"/>
      <c r="NV154" s="12"/>
      <c r="NX154" s="12"/>
      <c r="OQ154" s="13"/>
      <c r="OS154" s="12"/>
      <c r="PB154" s="13"/>
      <c r="PC154" s="13"/>
      <c r="PP154" s="13"/>
      <c r="PR154" s="13"/>
    </row>
    <row r="155" spans="32:434" ht="18" customHeight="1" x14ac:dyDescent="0.2">
      <c r="AF155" s="42"/>
      <c r="AG155" s="43"/>
      <c r="AH155" s="12"/>
      <c r="AM155" s="12"/>
      <c r="AR155" s="12"/>
      <c r="AY155" s="13"/>
      <c r="BA155" s="12"/>
      <c r="BE155" s="13"/>
      <c r="BJ155" s="13"/>
      <c r="BK155" s="13"/>
      <c r="CK155" s="13"/>
      <c r="CL155" s="43"/>
      <c r="CM155" s="45"/>
      <c r="EH155" s="42"/>
      <c r="EI155" s="43"/>
      <c r="EJ155" s="12"/>
      <c r="FI155" s="13"/>
      <c r="FJ155" s="13"/>
      <c r="FT155" s="13"/>
      <c r="FU155" s="43"/>
      <c r="FV155" s="45"/>
      <c r="FX155" s="15"/>
      <c r="FZ155" s="15"/>
      <c r="GB155" s="15"/>
      <c r="GD155" s="15"/>
      <c r="GF155" s="15"/>
      <c r="GG155" s="15"/>
      <c r="GH155" s="15"/>
      <c r="GI155" s="15"/>
      <c r="GJ155" s="15"/>
      <c r="GK155" s="15"/>
      <c r="GL155" s="15"/>
      <c r="GM155" s="15"/>
      <c r="GN155" s="15"/>
      <c r="GO155" s="15"/>
      <c r="GP155" s="15"/>
      <c r="GQ155" s="15"/>
      <c r="IB155" s="12"/>
      <c r="ID155" s="14"/>
      <c r="IE155" s="15"/>
      <c r="IF155" s="15"/>
      <c r="IG155" s="15"/>
      <c r="IH155" s="15"/>
      <c r="II155" s="15"/>
      <c r="IJ155" s="15"/>
      <c r="IK155" s="15"/>
      <c r="IL155" s="15"/>
      <c r="IM155" s="15"/>
      <c r="IN155" s="15"/>
      <c r="IO155" s="15"/>
      <c r="IP155" s="15"/>
      <c r="IQ155" s="15"/>
      <c r="IR155" s="15"/>
      <c r="IS155" s="15"/>
      <c r="IT155" s="15"/>
      <c r="IU155" s="15"/>
      <c r="IV155" s="15"/>
      <c r="IW155" s="15"/>
      <c r="IX155" s="15"/>
      <c r="IY155" s="15"/>
      <c r="IZ155" s="15"/>
      <c r="JA155" s="15"/>
      <c r="JB155" s="15"/>
      <c r="JC155" s="15"/>
      <c r="JD155" s="15"/>
      <c r="JE155" s="15"/>
      <c r="JF155" s="15"/>
      <c r="JG155" s="16"/>
      <c r="JZ155" s="13"/>
      <c r="KC155" s="12"/>
      <c r="KM155" s="12"/>
      <c r="KO155" s="12"/>
      <c r="LN155" s="13"/>
      <c r="LO155" s="13"/>
      <c r="LP155" s="10"/>
      <c r="LQ155" s="92"/>
      <c r="LR155" s="92"/>
      <c r="LS155" s="92"/>
      <c r="LT155" s="92"/>
      <c r="LU155" s="92"/>
      <c r="LV155" s="10"/>
      <c r="LW155" s="10"/>
      <c r="LX155" s="10"/>
      <c r="LY155" s="15"/>
      <c r="LZ155" s="14"/>
      <c r="MA155" s="15"/>
      <c r="MC155" s="15"/>
      <c r="ME155" s="15"/>
      <c r="MG155" s="15"/>
      <c r="MI155" s="15"/>
      <c r="MK155" s="15"/>
      <c r="ML155" s="15"/>
      <c r="MM155" s="15"/>
      <c r="MN155" s="15"/>
      <c r="MO155" s="20"/>
      <c r="MP155" s="21"/>
      <c r="MQ155" s="21"/>
      <c r="MR155" s="21"/>
      <c r="MS155" s="21"/>
      <c r="MT155" s="22"/>
      <c r="MX155" s="13"/>
      <c r="NV155" s="12"/>
      <c r="NX155" s="12"/>
      <c r="OQ155" s="13"/>
      <c r="OS155" s="14"/>
      <c r="OT155" s="15"/>
      <c r="OU155" s="15"/>
      <c r="OV155" s="15"/>
      <c r="OW155" s="15"/>
      <c r="OX155" s="15"/>
      <c r="OY155" s="15"/>
      <c r="OZ155" s="15"/>
      <c r="PA155" s="15"/>
      <c r="PB155" s="16"/>
      <c r="PC155" s="13"/>
      <c r="PP155" s="13"/>
      <c r="PR155" s="13"/>
    </row>
    <row r="156" spans="32:434" ht="18" customHeight="1" x14ac:dyDescent="0.2">
      <c r="AF156" s="42"/>
      <c r="AG156" s="43"/>
      <c r="AH156" s="12"/>
      <c r="AM156" s="12"/>
      <c r="AR156" s="12"/>
      <c r="AY156" s="13"/>
      <c r="BA156" s="12"/>
      <c r="BE156" s="13"/>
      <c r="BJ156" s="13"/>
      <c r="BK156" s="13"/>
      <c r="CK156" s="13"/>
      <c r="CL156" s="43"/>
      <c r="CM156" s="45"/>
      <c r="EH156" s="42"/>
      <c r="EI156" s="43"/>
      <c r="EJ156" s="12"/>
      <c r="FI156" s="13"/>
      <c r="FJ156" s="13"/>
      <c r="FT156" s="16"/>
      <c r="FU156" s="42"/>
      <c r="FV156" s="43"/>
      <c r="FW156" s="41"/>
      <c r="FX156" s="43"/>
      <c r="FY156" s="41"/>
      <c r="FZ156" s="43"/>
      <c r="GA156" s="41"/>
      <c r="GB156" s="43"/>
      <c r="GC156" s="41"/>
      <c r="GD156" s="43"/>
      <c r="GE156" s="41"/>
      <c r="GF156" s="43"/>
      <c r="GG156" s="43"/>
      <c r="GH156" s="123"/>
      <c r="GI156" s="109"/>
      <c r="GJ156" s="109"/>
      <c r="GK156" s="109"/>
      <c r="GL156" s="109"/>
      <c r="GM156" s="124"/>
      <c r="GN156" s="43"/>
      <c r="GO156" s="43"/>
      <c r="GP156" s="43"/>
      <c r="GQ156" s="44"/>
      <c r="IB156" s="12"/>
      <c r="ID156" s="12"/>
      <c r="JA156" s="13"/>
      <c r="JC156" s="12" t="s">
        <v>45</v>
      </c>
      <c r="JZ156" s="13"/>
      <c r="KC156" s="12"/>
      <c r="KM156" s="12"/>
      <c r="KO156" s="12"/>
      <c r="LN156" s="13"/>
      <c r="LO156" s="13"/>
      <c r="LP156" s="10"/>
      <c r="LQ156" s="10"/>
      <c r="LR156" s="10"/>
      <c r="LS156" s="10"/>
      <c r="LT156" s="10"/>
      <c r="LU156" s="10"/>
      <c r="LV156" s="10"/>
      <c r="LW156" s="10"/>
      <c r="LX156" s="17"/>
      <c r="LY156" t="s">
        <v>45</v>
      </c>
      <c r="LZ156" s="10"/>
      <c r="MA156" s="10"/>
      <c r="MB156" s="10"/>
      <c r="MC156" s="10"/>
      <c r="MD156" s="10"/>
      <c r="ME156" s="10"/>
      <c r="MF156" s="10"/>
      <c r="MG156" s="10"/>
      <c r="MH156" s="10"/>
      <c r="MI156" s="10"/>
      <c r="MJ156" s="10"/>
      <c r="MK156" s="10"/>
      <c r="ML156" s="10"/>
      <c r="MM156" s="10"/>
      <c r="MN156" s="10"/>
      <c r="MO156" s="10"/>
      <c r="MP156" s="10"/>
      <c r="MQ156" s="10"/>
      <c r="MR156" s="10"/>
      <c r="MS156" s="10"/>
      <c r="MT156" s="10"/>
      <c r="MU156" s="10"/>
      <c r="MV156" s="11"/>
      <c r="MX156" s="13"/>
      <c r="NV156" s="12"/>
      <c r="NX156" s="12"/>
      <c r="OQ156" s="13"/>
      <c r="OS156" s="14"/>
      <c r="OT156" s="15"/>
      <c r="OU156" s="15"/>
      <c r="OV156" s="15"/>
      <c r="OW156" s="15"/>
      <c r="OX156" s="15"/>
      <c r="OY156" s="15"/>
      <c r="OZ156" s="15"/>
      <c r="PA156" s="15"/>
      <c r="PB156" s="15"/>
      <c r="PC156" s="16"/>
      <c r="PP156" s="13"/>
      <c r="PR156" s="13"/>
    </row>
    <row r="157" spans="32:434" ht="18" customHeight="1" x14ac:dyDescent="0.2">
      <c r="AF157" s="42"/>
      <c r="AG157" s="43"/>
      <c r="AH157" s="12"/>
      <c r="AM157" s="12"/>
      <c r="AR157" s="12"/>
      <c r="AY157" s="13"/>
      <c r="BA157" s="12"/>
      <c r="BE157" s="13"/>
      <c r="BJ157" s="13"/>
      <c r="BK157" s="13"/>
      <c r="CK157" s="13"/>
      <c r="CL157" s="43"/>
      <c r="CM157" s="45"/>
      <c r="EH157" s="42"/>
      <c r="EI157" s="43"/>
      <c r="EJ157" s="12"/>
      <c r="FI157" s="13"/>
      <c r="FJ157" s="13"/>
      <c r="FK157" s="10"/>
      <c r="FL157" s="10"/>
      <c r="FM157" s="92"/>
      <c r="FN157" s="92"/>
      <c r="FO157" s="92"/>
      <c r="FP157" s="92"/>
      <c r="FQ157" s="92"/>
      <c r="FR157" s="10"/>
      <c r="FS157" s="10"/>
      <c r="FT157" s="15"/>
      <c r="FU157" s="46"/>
      <c r="FV157" s="47"/>
      <c r="FW157" s="43"/>
      <c r="FX157" s="47"/>
      <c r="FY157" s="43"/>
      <c r="FZ157" s="47"/>
      <c r="GA157" s="43"/>
      <c r="GB157" s="47"/>
      <c r="GC157" s="43"/>
      <c r="GD157" s="47"/>
      <c r="GE157" s="43"/>
      <c r="GF157" s="47"/>
      <c r="GG157" s="47"/>
      <c r="GH157" s="123"/>
      <c r="GI157" s="109"/>
      <c r="GJ157" s="109"/>
      <c r="GK157" s="109"/>
      <c r="GL157" s="109"/>
      <c r="GM157" s="124"/>
      <c r="GN157" s="43"/>
      <c r="GO157" s="43"/>
      <c r="GP157" s="43"/>
      <c r="GQ157" s="45"/>
      <c r="IB157" s="12"/>
      <c r="ID157" s="12"/>
      <c r="JA157" s="13"/>
      <c r="JC157" s="12"/>
      <c r="JZ157" s="13"/>
      <c r="KC157" s="12"/>
      <c r="KM157" s="12"/>
      <c r="KO157" s="12"/>
      <c r="LN157" s="13"/>
      <c r="LO157" s="13"/>
      <c r="LX157" s="18"/>
      <c r="MV157" s="13"/>
      <c r="MX157" s="13"/>
      <c r="NV157" s="12"/>
      <c r="NX157" s="12"/>
      <c r="OQ157" s="13"/>
      <c r="OS157" s="12"/>
      <c r="PP157" s="13"/>
      <c r="PR157" s="13"/>
    </row>
    <row r="158" spans="32:434" ht="18" customHeight="1" x14ac:dyDescent="0.2">
      <c r="AF158" s="42"/>
      <c r="AG158" s="43"/>
      <c r="AH158" s="14"/>
      <c r="AI158" s="15"/>
      <c r="AJ158" s="15"/>
      <c r="AK158" s="15"/>
      <c r="AL158" s="15"/>
      <c r="AM158" s="14"/>
      <c r="AN158" s="15"/>
      <c r="AO158" s="15"/>
      <c r="AP158" s="15"/>
      <c r="AQ158" s="15"/>
      <c r="AR158" s="12"/>
      <c r="AY158" s="13"/>
      <c r="BA158" s="14"/>
      <c r="BB158" s="15"/>
      <c r="BC158" s="15"/>
      <c r="BD158" s="15"/>
      <c r="BE158" s="16"/>
      <c r="BF158" s="15"/>
      <c r="BG158" s="15"/>
      <c r="BH158" s="15"/>
      <c r="BI158" s="15"/>
      <c r="BJ158" s="16"/>
      <c r="BK158" s="90"/>
      <c r="CK158" s="13"/>
      <c r="CL158" s="43"/>
      <c r="CM158" s="45"/>
      <c r="EG158" s="13"/>
      <c r="EH158" s="43"/>
      <c r="EI158" s="45"/>
      <c r="FI158" s="13"/>
      <c r="FJ158" s="13"/>
      <c r="FK158" s="10"/>
      <c r="FL158" s="10"/>
      <c r="FM158" s="10"/>
      <c r="FN158" s="10"/>
      <c r="FO158" s="10"/>
      <c r="FP158" s="10"/>
      <c r="FQ158" s="10"/>
      <c r="FR158" s="10"/>
      <c r="FS158" s="10"/>
      <c r="FT158" t="s">
        <v>45</v>
      </c>
      <c r="FU158" s="10"/>
      <c r="FV158" s="10"/>
      <c r="FW158" s="10"/>
      <c r="FX158" s="10"/>
      <c r="FY158" s="10"/>
      <c r="FZ158" s="10"/>
      <c r="GA158" s="10"/>
      <c r="GB158" s="10"/>
      <c r="GC158" s="10"/>
      <c r="GD158" s="10"/>
      <c r="GE158" s="10"/>
      <c r="GF158" s="10"/>
      <c r="GG158" s="10"/>
      <c r="GH158" s="10"/>
      <c r="GI158" s="10"/>
      <c r="GJ158" s="10"/>
      <c r="GK158" s="10"/>
      <c r="GL158" s="10"/>
      <c r="GM158" s="10"/>
      <c r="GN158" s="10"/>
      <c r="GO158" s="11"/>
      <c r="GP158" s="43"/>
      <c r="GQ158" s="45"/>
      <c r="IB158" s="12"/>
      <c r="ID158" s="12"/>
      <c r="JA158" s="13"/>
      <c r="JC158" s="12"/>
      <c r="JZ158" s="13"/>
      <c r="KC158" s="12"/>
      <c r="KM158" s="12"/>
      <c r="KO158" s="12"/>
      <c r="LN158" s="13"/>
      <c r="LO158" s="13"/>
      <c r="LX158" s="18"/>
      <c r="MV158" s="13"/>
      <c r="MX158" s="13"/>
      <c r="NV158" s="12"/>
      <c r="NX158" s="12"/>
      <c r="OQ158" s="13"/>
      <c r="OS158" s="12"/>
      <c r="PP158" s="13"/>
      <c r="PR158" s="13"/>
    </row>
    <row r="159" spans="32:434" ht="18" customHeight="1" x14ac:dyDescent="0.2">
      <c r="AF159" s="42"/>
      <c r="AG159" s="43"/>
      <c r="AH159" s="12"/>
      <c r="AR159" s="12"/>
      <c r="AY159" s="13"/>
      <c r="BA159" s="12"/>
      <c r="BJ159" s="13"/>
      <c r="BK159" s="90"/>
      <c r="CK159" s="13"/>
      <c r="CL159" s="43"/>
      <c r="CM159" s="45"/>
      <c r="EG159" s="13"/>
      <c r="EH159" s="43"/>
      <c r="EI159" s="45"/>
      <c r="FI159" s="13"/>
      <c r="FJ159" s="13"/>
      <c r="GO159" s="13"/>
      <c r="GP159" s="43"/>
      <c r="GQ159" s="45"/>
      <c r="IB159" s="12"/>
      <c r="ID159" s="12"/>
      <c r="JA159" s="13"/>
      <c r="JC159" s="12"/>
      <c r="JZ159" s="13"/>
      <c r="KC159" s="12"/>
      <c r="KM159" s="12"/>
      <c r="KO159" s="12"/>
      <c r="LN159" s="13"/>
      <c r="LO159" s="13"/>
      <c r="LX159" s="18"/>
      <c r="MV159" s="13"/>
      <c r="MX159" s="13"/>
      <c r="NV159" s="12"/>
      <c r="NX159" s="12"/>
      <c r="OQ159" s="13"/>
      <c r="OS159" s="12"/>
      <c r="PP159" s="13"/>
      <c r="PR159" s="13"/>
    </row>
    <row r="160" spans="32:434" ht="18" customHeight="1" x14ac:dyDescent="0.2">
      <c r="AF160" s="42"/>
      <c r="AG160" s="43"/>
      <c r="AH160" s="12"/>
      <c r="AR160" s="12"/>
      <c r="AY160" s="13"/>
      <c r="BA160" s="12"/>
      <c r="BJ160" s="13"/>
      <c r="BK160" s="90"/>
      <c r="CK160" s="13"/>
      <c r="CL160" s="43"/>
      <c r="CM160" s="45"/>
      <c r="EG160" s="13"/>
      <c r="EH160" s="125"/>
      <c r="EI160" s="125"/>
      <c r="FI160" s="13"/>
      <c r="FJ160" s="90"/>
      <c r="GO160" s="13"/>
      <c r="GP160" s="43"/>
      <c r="GQ160" s="45"/>
      <c r="IB160" s="12"/>
      <c r="ID160" s="12"/>
      <c r="JA160" s="13"/>
      <c r="JC160" s="12"/>
      <c r="JZ160" s="13"/>
      <c r="KC160" s="12"/>
      <c r="KM160" s="12"/>
      <c r="KO160" s="12"/>
      <c r="LN160" s="13"/>
      <c r="LO160" s="13"/>
      <c r="LX160" s="18"/>
      <c r="MV160" s="13"/>
      <c r="MX160" s="13"/>
      <c r="NV160" s="12"/>
      <c r="NX160" s="12"/>
      <c r="OQ160" s="13"/>
      <c r="OS160" s="12"/>
      <c r="PP160" s="13"/>
      <c r="PR160" s="13"/>
    </row>
    <row r="161" spans="32:434" ht="18" customHeight="1" x14ac:dyDescent="0.2">
      <c r="AF161" s="42"/>
      <c r="AG161" s="43"/>
      <c r="AH161" s="12"/>
      <c r="AR161" s="12"/>
      <c r="AY161" s="13"/>
      <c r="BA161" s="12"/>
      <c r="BJ161" s="13"/>
      <c r="BK161" s="90"/>
      <c r="CK161" s="13"/>
      <c r="CL161" s="43"/>
      <c r="CM161" s="45"/>
      <c r="EG161" s="13"/>
      <c r="EH161" s="108"/>
      <c r="EI161" s="108"/>
      <c r="FI161" s="13"/>
      <c r="FJ161" s="90"/>
      <c r="GO161" s="13"/>
      <c r="GP161" s="43"/>
      <c r="GQ161" s="45"/>
      <c r="IB161" s="12"/>
      <c r="ID161" s="12"/>
      <c r="JA161" s="210"/>
      <c r="JB161" s="211"/>
      <c r="JC161" s="12"/>
      <c r="JZ161" s="13"/>
      <c r="KC161" s="12"/>
      <c r="KM161" s="12"/>
      <c r="KO161" s="12"/>
      <c r="LN161" s="13"/>
      <c r="LO161" s="13"/>
      <c r="LX161" s="18"/>
      <c r="MV161" s="13"/>
      <c r="MX161" s="13"/>
      <c r="NV161" s="12"/>
      <c r="NX161" s="12"/>
      <c r="OQ161" s="13"/>
      <c r="OR161" s="127"/>
      <c r="OS161" s="12"/>
      <c r="PP161" s="13"/>
      <c r="PR161" s="13"/>
    </row>
    <row r="162" spans="32:434" ht="18" customHeight="1" x14ac:dyDescent="0.2">
      <c r="AF162" s="42"/>
      <c r="AG162" s="43"/>
      <c r="AH162" s="12"/>
      <c r="AR162" s="12"/>
      <c r="AY162" s="13"/>
      <c r="BA162" s="12"/>
      <c r="BJ162" s="13"/>
      <c r="BK162" s="90"/>
      <c r="CK162" s="13"/>
      <c r="CL162" s="43"/>
      <c r="CM162" s="45"/>
      <c r="EG162" s="13"/>
      <c r="EH162" s="108"/>
      <c r="EI162" s="108"/>
      <c r="FI162" s="13"/>
      <c r="FJ162" s="90"/>
      <c r="GO162" s="13"/>
      <c r="GP162" s="43"/>
      <c r="GQ162" s="45"/>
      <c r="IB162" s="12"/>
      <c r="ID162" s="12"/>
      <c r="JA162" s="13"/>
      <c r="JC162" s="12"/>
      <c r="JZ162" s="13"/>
      <c r="KC162" s="12"/>
      <c r="KM162" s="12"/>
      <c r="KO162" s="12"/>
      <c r="LN162" s="13"/>
      <c r="LO162" s="13"/>
      <c r="LX162" s="18"/>
      <c r="MV162" s="13"/>
      <c r="MX162" s="13"/>
      <c r="NV162" s="12"/>
      <c r="NX162" s="12"/>
      <c r="OQ162" s="13"/>
      <c r="OR162" s="127"/>
      <c r="OS162" s="12"/>
      <c r="PP162" s="13"/>
      <c r="PR162" s="13"/>
    </row>
    <row r="163" spans="32:434" ht="18" customHeight="1" x14ac:dyDescent="0.2">
      <c r="AF163" s="42"/>
      <c r="AG163" s="43"/>
      <c r="AH163" s="14"/>
      <c r="AI163" s="15"/>
      <c r="AJ163" s="15"/>
      <c r="AK163" s="15"/>
      <c r="AL163" s="15"/>
      <c r="AM163" s="15"/>
      <c r="AN163" s="15"/>
      <c r="AO163" s="15"/>
      <c r="AP163" s="15"/>
      <c r="AQ163" s="15"/>
      <c r="AR163" s="14"/>
      <c r="AS163" s="15"/>
      <c r="AT163" s="15"/>
      <c r="AU163" s="15"/>
      <c r="AV163" s="15"/>
      <c r="AW163" s="15"/>
      <c r="AX163" s="15"/>
      <c r="AY163" s="16"/>
      <c r="AZ163" s="15"/>
      <c r="BA163" s="14"/>
      <c r="BB163" s="15"/>
      <c r="BC163" s="15"/>
      <c r="BD163" s="15"/>
      <c r="BE163" s="15"/>
      <c r="BF163" s="15"/>
      <c r="BG163" s="15"/>
      <c r="BH163" s="15"/>
      <c r="BI163" s="15"/>
      <c r="BJ163" s="16"/>
      <c r="BK163" s="13"/>
      <c r="CK163" s="13"/>
      <c r="CL163" s="43"/>
      <c r="CM163" s="45"/>
      <c r="EG163" s="13"/>
      <c r="EH163" s="108"/>
      <c r="EI163" s="108"/>
      <c r="FI163" s="13"/>
      <c r="FJ163" s="90"/>
      <c r="GO163" s="13"/>
      <c r="GP163" s="43"/>
      <c r="GQ163" s="45"/>
      <c r="IB163" s="12"/>
      <c r="ID163" s="12"/>
      <c r="JA163" s="13"/>
      <c r="JC163" s="12"/>
      <c r="JZ163" s="13"/>
      <c r="KC163" s="12"/>
      <c r="KM163" s="12"/>
      <c r="KO163" s="12"/>
      <c r="LN163" s="13"/>
      <c r="LO163" s="13"/>
      <c r="LX163" s="18"/>
      <c r="MV163" s="13"/>
      <c r="MX163" s="13"/>
      <c r="NV163" s="12"/>
      <c r="NX163" s="12"/>
      <c r="OQ163" s="13"/>
      <c r="OR163" s="127"/>
      <c r="OS163" s="12"/>
      <c r="PP163" s="13"/>
      <c r="PR163" s="13"/>
    </row>
    <row r="164" spans="32:434" ht="18" customHeight="1" x14ac:dyDescent="0.2">
      <c r="AF164" s="42"/>
      <c r="AG164" s="43"/>
      <c r="AH164" s="14"/>
      <c r="AI164" s="100"/>
      <c r="AJ164" s="100"/>
      <c r="AK164" s="100"/>
      <c r="AL164" s="100"/>
      <c r="AM164" s="100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6"/>
      <c r="CK164" s="13"/>
      <c r="CL164" s="43"/>
      <c r="CM164" s="45"/>
      <c r="EG164" s="13"/>
      <c r="EH164" s="108"/>
      <c r="EI164" s="108"/>
      <c r="EQ164" s="9"/>
      <c r="ER164" s="10"/>
      <c r="ES164" s="10"/>
      <c r="ET164" s="10"/>
      <c r="EU164" s="10"/>
      <c r="EV164" s="10"/>
      <c r="EW164" s="10"/>
      <c r="EX164" s="10"/>
      <c r="EY164" s="10"/>
      <c r="EZ164" s="11"/>
      <c r="FI164" s="13"/>
      <c r="FJ164" s="90"/>
      <c r="GO164" s="13"/>
      <c r="GP164" s="43"/>
      <c r="GQ164" s="45"/>
      <c r="IB164" s="12"/>
      <c r="ID164" s="12"/>
      <c r="JA164" s="13"/>
      <c r="JC164" s="12"/>
      <c r="JZ164" s="13"/>
      <c r="KC164" s="12"/>
      <c r="KM164" s="12"/>
      <c r="KO164" s="12"/>
      <c r="LN164" s="13"/>
      <c r="LO164" s="13"/>
      <c r="LX164" s="18"/>
      <c r="MV164" s="13"/>
      <c r="MX164" s="13"/>
      <c r="NV164" s="12"/>
      <c r="NX164" s="12"/>
      <c r="OQ164" s="13"/>
      <c r="OR164" s="127"/>
      <c r="OS164" s="12"/>
      <c r="PP164" s="13"/>
      <c r="PR164" s="13"/>
    </row>
    <row r="165" spans="32:434" ht="18" customHeight="1" x14ac:dyDescent="0.2">
      <c r="AF165" s="42"/>
      <c r="AG165" s="43"/>
      <c r="AH165" s="9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9"/>
      <c r="BA165" s="9"/>
      <c r="BB165" s="10"/>
      <c r="BC165" s="10"/>
      <c r="BD165" s="10"/>
      <c r="BE165" s="10"/>
      <c r="BF165" s="10"/>
      <c r="BG165" s="10"/>
      <c r="BH165" s="10"/>
      <c r="BI165" s="10"/>
      <c r="BJ165" s="11"/>
      <c r="BK165" s="11"/>
      <c r="CK165" s="13"/>
      <c r="CL165" s="43"/>
      <c r="CM165" s="45"/>
      <c r="EG165" s="13"/>
      <c r="EH165" s="126"/>
      <c r="EI165" s="126"/>
      <c r="EQ165" s="12"/>
      <c r="EZ165" s="13"/>
      <c r="FI165" s="13"/>
      <c r="FJ165" s="90"/>
      <c r="GO165" s="13"/>
      <c r="GP165" s="43"/>
      <c r="GQ165" s="45"/>
      <c r="IB165" s="12"/>
      <c r="ID165" s="12"/>
      <c r="JA165" s="13"/>
      <c r="JC165" s="12"/>
      <c r="JZ165" s="13"/>
      <c r="KC165" s="12"/>
      <c r="KM165" s="12"/>
      <c r="KO165" s="12"/>
      <c r="LN165" s="13"/>
      <c r="LO165" s="13"/>
      <c r="LX165" s="18"/>
      <c r="MV165" s="13"/>
      <c r="MX165" s="13"/>
      <c r="NV165" s="12"/>
      <c r="NX165" s="12"/>
      <c r="OQ165" s="13"/>
      <c r="OR165" s="127"/>
      <c r="OS165" s="12"/>
      <c r="PP165" s="13"/>
      <c r="PR165" s="13"/>
    </row>
    <row r="166" spans="32:434" ht="18" customHeight="1" x14ac:dyDescent="0.2">
      <c r="AF166" s="42"/>
      <c r="AG166" s="43"/>
      <c r="AH166" s="12"/>
      <c r="AZ166" s="12"/>
      <c r="BA166" s="12"/>
      <c r="BJ166" s="13"/>
      <c r="BK166" s="90"/>
      <c r="CK166" s="13"/>
      <c r="CL166" s="43"/>
      <c r="CM166" s="45"/>
      <c r="EH166" s="42"/>
      <c r="EI166" s="43"/>
      <c r="EJ166" s="14"/>
      <c r="EK166" s="15"/>
      <c r="EL166" s="15"/>
      <c r="EM166" s="15"/>
      <c r="EN166" s="15"/>
      <c r="EO166" s="15"/>
      <c r="EP166" s="15"/>
      <c r="EQ166" s="14"/>
      <c r="ER166" s="15"/>
      <c r="ES166" s="15"/>
      <c r="ET166" s="15"/>
      <c r="EU166" s="15"/>
      <c r="EV166" s="15"/>
      <c r="EW166" s="15"/>
      <c r="EX166" s="15"/>
      <c r="EY166" s="15"/>
      <c r="EZ166" s="16"/>
      <c r="FA166" s="15"/>
      <c r="FB166" s="15"/>
      <c r="FC166" s="15"/>
      <c r="FD166" s="15"/>
      <c r="FE166" s="15"/>
      <c r="FF166" s="15"/>
      <c r="FG166" s="15"/>
      <c r="FH166" s="15"/>
      <c r="FI166" s="16"/>
      <c r="FJ166" s="13"/>
      <c r="FS166" s="15"/>
      <c r="GO166" s="13"/>
      <c r="GP166" s="43"/>
      <c r="GQ166" s="45"/>
      <c r="IB166" s="12"/>
      <c r="ID166" s="12"/>
      <c r="JA166" s="13"/>
      <c r="JC166" s="12"/>
      <c r="JZ166" s="13"/>
      <c r="KC166" s="12"/>
      <c r="KM166" s="12"/>
      <c r="KO166" s="12"/>
      <c r="LN166" s="13"/>
      <c r="LO166" s="13"/>
      <c r="LX166" s="18"/>
      <c r="MV166" s="13"/>
      <c r="MX166" s="13"/>
      <c r="NV166" s="12"/>
      <c r="NX166" s="12"/>
      <c r="OQ166" s="13"/>
      <c r="OR166" s="127"/>
      <c r="OS166" s="12"/>
      <c r="PP166" s="13"/>
      <c r="PR166" s="13"/>
    </row>
    <row r="167" spans="32:434" ht="18" customHeight="1" x14ac:dyDescent="0.2">
      <c r="AF167" s="42"/>
      <c r="AG167" s="43"/>
      <c r="AH167" s="12"/>
      <c r="AZ167" s="12"/>
      <c r="BA167" s="12"/>
      <c r="BJ167" s="13"/>
      <c r="BK167" s="90"/>
      <c r="CK167" s="13"/>
      <c r="CL167" s="43"/>
      <c r="CM167" s="45"/>
      <c r="EH167" s="42"/>
      <c r="EI167" s="43"/>
      <c r="EJ167" s="14"/>
      <c r="EK167" s="100"/>
      <c r="EL167" s="100"/>
      <c r="EM167" s="100"/>
      <c r="EN167" s="100"/>
      <c r="EO167" s="100"/>
      <c r="EP167" s="15"/>
      <c r="EQ167" s="15"/>
      <c r="ER167" s="15"/>
      <c r="ES167" s="15"/>
      <c r="ET167" s="15"/>
      <c r="EU167" s="15"/>
      <c r="EV167" s="15"/>
      <c r="EW167" s="15"/>
      <c r="EX167" s="15"/>
      <c r="EY167" s="15"/>
      <c r="EZ167" s="15"/>
      <c r="FA167" s="15"/>
      <c r="FB167" s="15"/>
      <c r="FC167" s="15"/>
      <c r="FD167" s="15"/>
      <c r="FE167" s="15"/>
      <c r="FF167" s="15"/>
      <c r="FG167" s="15"/>
      <c r="FH167" s="15"/>
      <c r="FI167" s="15"/>
      <c r="FJ167" s="16"/>
      <c r="FK167" s="207"/>
      <c r="FL167" s="207"/>
      <c r="FM167" s="207"/>
      <c r="FN167" s="207"/>
      <c r="FO167" s="207"/>
      <c r="FP167" s="207"/>
      <c r="FQ167" s="207"/>
      <c r="FR167" s="207"/>
      <c r="FS167" s="209"/>
      <c r="GO167" s="13"/>
      <c r="GP167" s="43"/>
      <c r="GQ167" s="45"/>
      <c r="IB167" s="12"/>
      <c r="ID167" s="12"/>
      <c r="JA167" s="13"/>
      <c r="JC167" s="12"/>
      <c r="JZ167" s="13"/>
      <c r="KC167" s="12"/>
      <c r="KM167" s="12"/>
      <c r="KO167" s="12"/>
      <c r="LN167" s="13"/>
      <c r="LO167" s="13"/>
      <c r="LX167" s="18"/>
      <c r="MV167" s="13"/>
      <c r="MX167" s="13"/>
      <c r="NV167" s="12"/>
      <c r="NX167" s="14"/>
      <c r="NY167" s="15"/>
      <c r="NZ167" s="15"/>
      <c r="OA167" s="15"/>
      <c r="OB167" s="15"/>
      <c r="OC167" s="15"/>
      <c r="OD167" s="15"/>
      <c r="OE167" s="15"/>
      <c r="OF167" s="15"/>
      <c r="OG167" s="15"/>
      <c r="OH167" s="15"/>
      <c r="OI167" s="15"/>
      <c r="OJ167" s="15"/>
      <c r="OK167" s="15"/>
      <c r="OL167" s="15"/>
      <c r="OM167" s="15"/>
      <c r="ON167" s="15"/>
      <c r="OO167" s="15"/>
      <c r="OP167" s="15"/>
      <c r="OQ167" s="16"/>
      <c r="OS167" s="12"/>
      <c r="PP167" s="13"/>
      <c r="PR167" s="13"/>
    </row>
    <row r="168" spans="32:434" ht="18" customHeight="1" x14ac:dyDescent="0.2">
      <c r="AF168" s="42"/>
      <c r="AG168" s="43"/>
      <c r="AH168" s="12"/>
      <c r="AZ168" s="12"/>
      <c r="BA168" s="12"/>
      <c r="BJ168" s="13"/>
      <c r="BK168" s="90"/>
      <c r="CK168" s="13"/>
      <c r="CL168" s="43"/>
      <c r="CM168" s="45"/>
      <c r="EH168" s="42"/>
      <c r="EI168" s="43"/>
      <c r="EJ168" s="12"/>
      <c r="ET168" s="9"/>
      <c r="EU168" s="10"/>
      <c r="EV168" s="10"/>
      <c r="EW168" s="10"/>
      <c r="EX168" s="10"/>
      <c r="EY168" s="10"/>
      <c r="EZ168" s="10"/>
      <c r="FA168" s="11"/>
      <c r="FC168" s="12"/>
      <c r="FR168" s="13"/>
      <c r="FS168" s="49"/>
      <c r="FT168" s="12"/>
      <c r="GO168" s="13"/>
      <c r="GP168" s="43"/>
      <c r="GQ168" s="45"/>
      <c r="IB168" s="12"/>
      <c r="ID168" s="12"/>
      <c r="JA168" s="13"/>
      <c r="JC168" s="12"/>
      <c r="JZ168" s="13"/>
      <c r="KC168" s="12"/>
      <c r="KM168" s="12"/>
      <c r="KO168" s="12"/>
      <c r="LN168" s="13"/>
      <c r="LO168" s="13"/>
      <c r="LX168" s="19"/>
      <c r="MV168" s="13"/>
      <c r="MX168" s="13"/>
      <c r="NV168" s="12"/>
      <c r="NX168" s="12"/>
      <c r="NY168" s="127"/>
      <c r="NZ168" s="127"/>
      <c r="OA168" s="127"/>
      <c r="OB168" s="127"/>
      <c r="OC168" s="127"/>
      <c r="OS168" s="12"/>
      <c r="PP168" s="13"/>
      <c r="PR168" s="13"/>
    </row>
    <row r="169" spans="32:434" ht="18" customHeight="1" x14ac:dyDescent="0.2">
      <c r="AF169" s="42"/>
      <c r="AG169" s="43"/>
      <c r="AH169" s="12"/>
      <c r="AZ169" s="12"/>
      <c r="BA169" s="12"/>
      <c r="BJ169" s="13"/>
      <c r="BK169" s="90"/>
      <c r="CK169" s="13"/>
      <c r="CL169" s="43"/>
      <c r="CM169" s="45"/>
      <c r="EH169" s="42"/>
      <c r="EI169" s="43"/>
      <c r="EJ169" s="12"/>
      <c r="ET169" s="12"/>
      <c r="FA169" s="13"/>
      <c r="FC169" s="12"/>
      <c r="FR169" s="13"/>
      <c r="FS169" s="208"/>
      <c r="GO169" s="13"/>
      <c r="GP169" s="43"/>
      <c r="GQ169" s="45"/>
      <c r="IB169" s="12"/>
      <c r="ID169" s="12"/>
      <c r="JA169" s="13"/>
      <c r="JC169" s="12"/>
      <c r="JZ169" s="13"/>
      <c r="KC169" s="12"/>
      <c r="KM169" s="12"/>
      <c r="KO169" s="20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1"/>
      <c r="LK169" s="21"/>
      <c r="LL169" s="21"/>
      <c r="LM169" s="21"/>
      <c r="LN169" s="21"/>
      <c r="LO169" s="21"/>
      <c r="LP169" s="21"/>
      <c r="LQ169" s="21"/>
      <c r="LR169" s="21"/>
      <c r="LS169" s="21"/>
      <c r="LT169" s="21"/>
      <c r="LU169" s="21"/>
      <c r="LV169" s="21"/>
      <c r="LW169" s="21"/>
      <c r="LX169" s="22"/>
      <c r="MV169" s="13"/>
      <c r="MX169" s="13"/>
      <c r="NV169" s="12"/>
      <c r="NX169" s="9"/>
      <c r="NY169" s="10"/>
      <c r="NZ169" s="10"/>
      <c r="OA169" s="10"/>
      <c r="OB169" s="10"/>
      <c r="OC169" s="10"/>
      <c r="OD169" s="10"/>
      <c r="OE169" s="10"/>
      <c r="OF169" s="10"/>
      <c r="OG169" s="10"/>
      <c r="OH169" s="10"/>
      <c r="OI169" s="10"/>
      <c r="OJ169" s="10"/>
      <c r="OK169" s="10"/>
      <c r="OL169" s="10"/>
      <c r="OM169" s="10"/>
      <c r="ON169" s="10"/>
      <c r="OO169" s="10"/>
      <c r="OP169" s="10"/>
      <c r="OQ169" s="11"/>
      <c r="OS169" s="12"/>
      <c r="PP169" s="13"/>
      <c r="PR169" s="13"/>
    </row>
    <row r="170" spans="32:434" ht="18" customHeight="1" x14ac:dyDescent="0.2">
      <c r="AF170" s="42"/>
      <c r="AG170" s="43"/>
      <c r="AH170" s="12"/>
      <c r="AZ170" s="12"/>
      <c r="BA170" s="12"/>
      <c r="BJ170" s="13"/>
      <c r="BK170" s="90"/>
      <c r="CK170" s="13"/>
      <c r="CL170" s="43"/>
      <c r="CM170" s="43"/>
      <c r="CN170" s="9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1"/>
      <c r="EH170" s="42"/>
      <c r="EI170" s="43"/>
      <c r="EJ170" s="12"/>
      <c r="ET170" s="12"/>
      <c r="FA170" s="13"/>
      <c r="FC170" s="12"/>
      <c r="FR170" s="13"/>
      <c r="FS170" s="208"/>
      <c r="FT170" s="9"/>
      <c r="FU170" s="10"/>
      <c r="FV170" s="10"/>
      <c r="FW170" s="10"/>
      <c r="FX170" s="10"/>
      <c r="FY170" s="11"/>
      <c r="GO170" s="13"/>
      <c r="GP170" s="43"/>
      <c r="GQ170" s="45"/>
      <c r="IB170" s="12"/>
      <c r="ID170" s="12"/>
      <c r="JA170" s="13"/>
      <c r="JC170" s="12"/>
      <c r="JZ170" s="13"/>
      <c r="KC170" s="12"/>
      <c r="KM170" s="12"/>
      <c r="KO170" s="12"/>
      <c r="KY170" s="12"/>
      <c r="LF170" s="13"/>
      <c r="LH170" s="12"/>
      <c r="LW170" s="13"/>
      <c r="LY170" s="12"/>
      <c r="MV170" s="13"/>
      <c r="MX170" s="13"/>
      <c r="NV170" s="12"/>
      <c r="NX170" s="12"/>
      <c r="OQ170" s="13"/>
      <c r="OS170" s="12"/>
      <c r="PP170" s="13"/>
      <c r="PR170" s="13"/>
    </row>
    <row r="171" spans="32:434" ht="18" customHeight="1" x14ac:dyDescent="0.2">
      <c r="AF171" s="42"/>
      <c r="AG171" s="43"/>
      <c r="AH171" s="12"/>
      <c r="AZ171" s="12"/>
      <c r="BA171" s="12"/>
      <c r="BJ171" s="13"/>
      <c r="BK171" s="90"/>
      <c r="CK171" s="13"/>
      <c r="CL171" s="43"/>
      <c r="CM171" s="43"/>
      <c r="CN171" s="12"/>
      <c r="DG171" s="13"/>
      <c r="EH171" s="42"/>
      <c r="EI171" s="43"/>
      <c r="EJ171" s="12"/>
      <c r="ET171" s="12"/>
      <c r="FA171" s="13"/>
      <c r="FC171" s="12"/>
      <c r="FR171" s="13"/>
      <c r="FS171" s="208"/>
      <c r="FT171" s="12"/>
      <c r="FY171" s="13"/>
      <c r="GO171" s="13"/>
      <c r="GP171" s="43"/>
      <c r="GQ171" s="45"/>
      <c r="IB171" s="12"/>
      <c r="ID171" s="12"/>
      <c r="JA171" s="13"/>
      <c r="JC171" s="12"/>
      <c r="JZ171" s="13"/>
      <c r="KC171" s="12"/>
      <c r="KM171" s="12"/>
      <c r="KO171" s="12"/>
      <c r="KY171" s="12"/>
      <c r="LF171" s="13"/>
      <c r="LH171" s="9"/>
      <c r="LI171" s="11"/>
      <c r="LW171" s="13"/>
      <c r="LX171" s="13"/>
      <c r="MV171" s="13"/>
      <c r="MX171" s="13"/>
      <c r="NV171" s="12"/>
      <c r="NX171" s="12"/>
      <c r="OQ171" s="13"/>
      <c r="OS171" s="12"/>
      <c r="PP171" s="13"/>
      <c r="PR171" s="13"/>
    </row>
    <row r="172" spans="32:434" ht="18" customHeight="1" x14ac:dyDescent="0.2">
      <c r="AF172" s="42"/>
      <c r="AG172" s="43"/>
      <c r="AH172" s="12"/>
      <c r="AZ172" s="12"/>
      <c r="BA172" s="14"/>
      <c r="BB172" s="15"/>
      <c r="BC172" s="15"/>
      <c r="BD172" s="15"/>
      <c r="BE172" s="15"/>
      <c r="BF172" s="15"/>
      <c r="BG172" s="15"/>
      <c r="BH172" s="15"/>
      <c r="BI172" s="15"/>
      <c r="BJ172" s="16"/>
      <c r="BK172" s="13"/>
      <c r="CK172" s="13"/>
      <c r="CL172" s="43"/>
      <c r="CM172" s="43"/>
      <c r="CN172" s="12"/>
      <c r="DG172" s="13"/>
      <c r="EH172" s="42"/>
      <c r="EI172" s="43"/>
      <c r="EJ172" s="12"/>
      <c r="ET172" s="12"/>
      <c r="FA172" s="13"/>
      <c r="FC172" s="9"/>
      <c r="FD172" s="11"/>
      <c r="FG172" s="9"/>
      <c r="FH172" s="10"/>
      <c r="FI172" s="10"/>
      <c r="FJ172" s="10"/>
      <c r="FK172" s="10"/>
      <c r="FL172" s="10"/>
      <c r="FM172" s="10"/>
      <c r="FN172" s="11"/>
      <c r="FR172" s="13"/>
      <c r="FS172" s="208"/>
      <c r="FT172" s="12"/>
      <c r="FY172" s="13"/>
      <c r="GM172" s="9"/>
      <c r="GN172" s="10"/>
      <c r="GO172" s="11"/>
      <c r="GP172" s="43"/>
      <c r="GQ172" s="45"/>
      <c r="IB172" s="12"/>
      <c r="ID172" s="12"/>
      <c r="JA172" s="13"/>
      <c r="JC172" s="12"/>
      <c r="JZ172" s="13"/>
      <c r="KC172" s="12"/>
      <c r="KM172" s="12"/>
      <c r="KO172" s="12"/>
      <c r="KY172" s="12"/>
      <c r="LF172" s="13"/>
      <c r="LH172" s="12"/>
      <c r="LI172" s="13"/>
      <c r="LW172" s="13"/>
      <c r="LX172" s="13"/>
      <c r="LY172" s="9"/>
      <c r="LZ172" s="10"/>
      <c r="MA172" s="10"/>
      <c r="MB172" s="10"/>
      <c r="MC172" s="10"/>
      <c r="MD172" s="11"/>
      <c r="MV172" s="13"/>
      <c r="MX172" s="13"/>
      <c r="NV172" s="12"/>
      <c r="NX172" s="12"/>
      <c r="OQ172" s="13"/>
      <c r="OS172" s="12"/>
      <c r="PP172" s="13"/>
      <c r="PR172" s="13"/>
    </row>
    <row r="173" spans="32:434" ht="18" customHeight="1" x14ac:dyDescent="0.2">
      <c r="AF173" s="42"/>
      <c r="AG173" s="43"/>
      <c r="AH173" s="12"/>
      <c r="AZ173" s="14"/>
      <c r="BA173" s="15"/>
      <c r="BB173" s="15"/>
      <c r="BC173" s="15"/>
      <c r="BD173" s="15"/>
      <c r="BE173" s="15"/>
      <c r="BF173" s="15"/>
      <c r="BG173" s="15"/>
      <c r="BH173" s="15"/>
      <c r="BI173" s="15"/>
      <c r="BJ173" s="16"/>
      <c r="BK173" s="13"/>
      <c r="CK173" s="13"/>
      <c r="CL173" s="43"/>
      <c r="CM173" s="43"/>
      <c r="CN173" s="12"/>
      <c r="DG173" s="13"/>
      <c r="EH173" s="42"/>
      <c r="EI173" s="43"/>
      <c r="EJ173" s="9"/>
      <c r="EK173" s="10"/>
      <c r="EL173" s="10"/>
      <c r="EM173" s="10"/>
      <c r="EN173" s="10"/>
      <c r="EO173" s="9"/>
      <c r="EP173" s="10"/>
      <c r="EQ173" s="10"/>
      <c r="ER173" s="10"/>
      <c r="ES173" s="11"/>
      <c r="ET173" s="12"/>
      <c r="FA173" s="13"/>
      <c r="FC173" s="12"/>
      <c r="FD173" s="33"/>
      <c r="FE173" s="32"/>
      <c r="FG173" s="12"/>
      <c r="FN173" s="13"/>
      <c r="FR173" s="13"/>
      <c r="FS173" s="208"/>
      <c r="FT173" s="12"/>
      <c r="FY173" s="13"/>
      <c r="GM173" s="12"/>
      <c r="GO173" s="176"/>
      <c r="GP173" s="43"/>
      <c r="GQ173" s="45"/>
      <c r="IB173" s="12"/>
      <c r="ID173" s="12"/>
      <c r="JA173" s="13"/>
      <c r="JC173" s="12"/>
      <c r="JZ173" s="13"/>
      <c r="KC173" s="12"/>
      <c r="KM173" s="12"/>
      <c r="KO173" s="12"/>
      <c r="KY173" s="12"/>
      <c r="LF173" s="13"/>
      <c r="LH173" s="12"/>
      <c r="LI173" s="13"/>
      <c r="LW173" s="13"/>
      <c r="LX173" s="13"/>
      <c r="LY173" s="12"/>
      <c r="MD173" s="13"/>
      <c r="MV173" s="13"/>
      <c r="MX173" s="13"/>
      <c r="NV173" s="12"/>
      <c r="NX173" s="12"/>
      <c r="OQ173" s="13"/>
      <c r="OS173" s="12"/>
      <c r="PP173" s="13"/>
      <c r="PR173" s="13"/>
    </row>
    <row r="174" spans="32:434" ht="18" customHeight="1" x14ac:dyDescent="0.2">
      <c r="AF174" s="42"/>
      <c r="AG174" s="43"/>
      <c r="AH174" s="12"/>
      <c r="BJ174" s="13"/>
      <c r="BK174" s="13"/>
      <c r="CK174" s="13"/>
      <c r="CL174" s="43"/>
      <c r="CM174" s="43"/>
      <c r="CN174" s="9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1"/>
      <c r="DG174" s="13"/>
      <c r="EH174" s="42"/>
      <c r="EI174" s="43"/>
      <c r="EJ174" s="12"/>
      <c r="EO174" s="12"/>
      <c r="ES174" s="13"/>
      <c r="ET174" s="12"/>
      <c r="FA174" s="13"/>
      <c r="FC174" s="12"/>
      <c r="FD174" s="33"/>
      <c r="FE174" s="32"/>
      <c r="FG174" s="12"/>
      <c r="FN174" s="13"/>
      <c r="FR174" s="13"/>
      <c r="FS174" s="208"/>
      <c r="FT174" s="12"/>
      <c r="FY174" s="13"/>
      <c r="GM174" s="12"/>
      <c r="GO174" s="177"/>
      <c r="GP174" s="43"/>
      <c r="GQ174" s="45"/>
      <c r="IB174" s="12"/>
      <c r="ID174" s="12"/>
      <c r="JA174" s="13"/>
      <c r="JC174" s="12"/>
      <c r="JZ174" s="13"/>
      <c r="KC174" s="12"/>
      <c r="KM174" s="12"/>
      <c r="KO174" s="12"/>
      <c r="KY174" s="12"/>
      <c r="LF174" s="13"/>
      <c r="LH174" s="12"/>
      <c r="LI174" s="13"/>
      <c r="LL174" s="9"/>
      <c r="LM174" s="10"/>
      <c r="LN174" s="10"/>
      <c r="LO174" s="10"/>
      <c r="LP174" s="10"/>
      <c r="LQ174" s="10"/>
      <c r="LR174" s="10"/>
      <c r="LS174" s="11"/>
      <c r="LW174" s="13"/>
      <c r="LX174" s="13"/>
      <c r="LY174" s="12"/>
      <c r="MD174" s="13"/>
      <c r="MV174" s="13"/>
      <c r="MX174" s="13"/>
      <c r="NV174" s="12"/>
      <c r="NX174" s="12"/>
      <c r="OQ174" s="13"/>
      <c r="OS174" s="12"/>
      <c r="PP174" s="13"/>
      <c r="PR174" s="13"/>
    </row>
    <row r="175" spans="32:434" ht="18" customHeight="1" x14ac:dyDescent="0.2">
      <c r="AF175" s="42"/>
      <c r="AG175" s="43"/>
      <c r="AH175" s="12"/>
      <c r="BJ175" s="13"/>
      <c r="BK175" s="13"/>
      <c r="BL175" s="9"/>
      <c r="BM175" s="11"/>
      <c r="BN175" s="20"/>
      <c r="BO175" s="21"/>
      <c r="BP175" s="21"/>
      <c r="BQ175" s="22"/>
      <c r="CK175" s="13"/>
      <c r="CL175" s="43"/>
      <c r="CM175" s="43"/>
      <c r="CN175" s="12"/>
      <c r="DC175" s="13"/>
      <c r="DG175" s="13"/>
      <c r="EH175" s="42"/>
      <c r="EI175" s="43"/>
      <c r="EJ175" s="12"/>
      <c r="EO175" s="12"/>
      <c r="ES175" s="13"/>
      <c r="ET175" s="12"/>
      <c r="FA175" s="13"/>
      <c r="FC175" s="12"/>
      <c r="FD175" s="13"/>
      <c r="FG175" s="12"/>
      <c r="FN175" s="13"/>
      <c r="FR175" s="13"/>
      <c r="FS175" s="208"/>
      <c r="FT175" s="12"/>
      <c r="FY175" s="13"/>
      <c r="GM175" s="12"/>
      <c r="GO175" s="177"/>
      <c r="GP175" s="43"/>
      <c r="GQ175" s="45"/>
      <c r="IB175" s="12"/>
      <c r="ID175" s="14"/>
      <c r="IE175" s="15"/>
      <c r="IF175" s="15"/>
      <c r="IG175" s="15"/>
      <c r="IH175" s="15"/>
      <c r="II175" s="15"/>
      <c r="IJ175" s="15"/>
      <c r="IK175" s="15"/>
      <c r="IL175" s="15"/>
      <c r="IM175" s="15"/>
      <c r="IN175" s="15"/>
      <c r="IO175" s="15"/>
      <c r="IP175" s="15"/>
      <c r="IQ175" s="15"/>
      <c r="IR175" s="15"/>
      <c r="IS175" s="15"/>
      <c r="IT175" s="15"/>
      <c r="IU175" s="15"/>
      <c r="IV175" s="15"/>
      <c r="IW175" s="15"/>
      <c r="IX175" s="15"/>
      <c r="IY175" s="15"/>
      <c r="IZ175" s="15"/>
      <c r="JA175" s="16"/>
      <c r="JC175" s="12"/>
      <c r="JZ175" s="13"/>
      <c r="KC175" s="12"/>
      <c r="KM175" s="12"/>
      <c r="KO175" s="9"/>
      <c r="KP175" s="10"/>
      <c r="KQ175" s="10"/>
      <c r="KR175" s="10"/>
      <c r="KS175" s="10"/>
      <c r="KT175" s="9"/>
      <c r="KU175" s="10"/>
      <c r="KV175" s="10"/>
      <c r="KW175" s="10"/>
      <c r="KX175" s="11"/>
      <c r="KY175" s="12"/>
      <c r="LF175" s="13"/>
      <c r="LH175" s="12"/>
      <c r="LI175" s="13"/>
      <c r="LL175" s="12"/>
      <c r="LS175" s="13"/>
      <c r="LW175" s="13"/>
      <c r="LX175" s="13"/>
      <c r="LY175" s="12"/>
      <c r="MD175" s="13"/>
      <c r="MV175" s="13"/>
      <c r="MX175" s="13"/>
      <c r="NV175" s="12"/>
      <c r="NX175" s="12"/>
      <c r="OQ175" s="13"/>
      <c r="OS175" s="12"/>
      <c r="PP175" s="13"/>
      <c r="PR175" s="13"/>
    </row>
    <row r="176" spans="32:434" ht="18" customHeight="1" x14ac:dyDescent="0.2">
      <c r="AF176" s="42"/>
      <c r="AG176" s="43"/>
      <c r="AH176" s="12"/>
      <c r="BJ176" s="13"/>
      <c r="BK176" s="13"/>
      <c r="BL176" s="12"/>
      <c r="BM176" s="13"/>
      <c r="BQ176" s="13"/>
      <c r="CK176" s="13"/>
      <c r="CL176" s="43"/>
      <c r="CM176" s="43"/>
      <c r="CN176" s="12"/>
      <c r="DC176" s="13"/>
      <c r="DG176" s="13"/>
      <c r="EH176" s="42"/>
      <c r="EI176" s="43"/>
      <c r="EJ176" s="12"/>
      <c r="EO176" s="12"/>
      <c r="ES176" s="13"/>
      <c r="ET176" s="12"/>
      <c r="FA176" s="13"/>
      <c r="FC176" s="12"/>
      <c r="FD176" s="13"/>
      <c r="FG176" s="12"/>
      <c r="FN176" s="13"/>
      <c r="FR176" s="13"/>
      <c r="FS176" s="208"/>
      <c r="FT176" s="12"/>
      <c r="FY176" s="13"/>
      <c r="GM176" s="12"/>
      <c r="GO176" s="177"/>
      <c r="GP176" s="43"/>
      <c r="GQ176" s="45"/>
      <c r="IB176" s="12"/>
      <c r="ID176" s="12"/>
      <c r="JB176" s="12"/>
      <c r="JC176" s="12"/>
      <c r="JZ176" s="13"/>
      <c r="KC176" s="12"/>
      <c r="KM176" s="12"/>
      <c r="KO176" s="12"/>
      <c r="KT176" s="12"/>
      <c r="KX176" s="13"/>
      <c r="KY176" s="12"/>
      <c r="LF176" s="13"/>
      <c r="LH176" s="14"/>
      <c r="LI176" s="16"/>
      <c r="LL176" s="12"/>
      <c r="LS176" s="13"/>
      <c r="LW176" s="13"/>
      <c r="LX176" s="13"/>
      <c r="LY176" s="12"/>
      <c r="MD176" s="13"/>
      <c r="MV176" s="13"/>
      <c r="MX176" s="13"/>
      <c r="NV176" s="12"/>
      <c r="NX176" s="12"/>
      <c r="OQ176" s="13"/>
      <c r="OS176" s="12"/>
      <c r="PP176" s="13"/>
      <c r="PR176" s="13"/>
    </row>
    <row r="177" spans="32:434" ht="18" customHeight="1" x14ac:dyDescent="0.2">
      <c r="AF177" s="42"/>
      <c r="AG177" s="43"/>
      <c r="AH177" s="12"/>
      <c r="BJ177" s="13"/>
      <c r="BK177" s="13"/>
      <c r="BL177" s="12"/>
      <c r="BM177" s="13"/>
      <c r="BQ177" s="13"/>
      <c r="CK177" s="13"/>
      <c r="CL177" s="43"/>
      <c r="CM177" s="43"/>
      <c r="CN177" s="12"/>
      <c r="DC177" s="13"/>
      <c r="DG177" s="13"/>
      <c r="EH177" s="42"/>
      <c r="EI177" s="43"/>
      <c r="EJ177" s="14"/>
      <c r="EK177" s="15"/>
      <c r="EL177" s="15"/>
      <c r="EM177" s="15"/>
      <c r="EN177" s="15"/>
      <c r="EO177" s="14"/>
      <c r="EP177" s="15"/>
      <c r="EQ177" s="15"/>
      <c r="ER177" s="15"/>
      <c r="ES177" s="16"/>
      <c r="ET177" s="14"/>
      <c r="EU177" s="15"/>
      <c r="EV177" s="15"/>
      <c r="EW177" s="15"/>
      <c r="EX177" s="15"/>
      <c r="EY177" s="15"/>
      <c r="EZ177" s="15"/>
      <c r="FA177" s="16"/>
      <c r="FB177" s="15"/>
      <c r="FC177" s="14"/>
      <c r="FD177" s="16"/>
      <c r="FG177" s="12"/>
      <c r="FN177" s="13"/>
      <c r="FR177" s="13"/>
      <c r="FS177" s="208"/>
      <c r="FT177" s="12"/>
      <c r="FY177" s="13"/>
      <c r="GM177" s="12"/>
      <c r="GO177" s="177"/>
      <c r="GP177" s="43"/>
      <c r="GQ177" s="45"/>
      <c r="IB177" s="12"/>
      <c r="ID177" s="9"/>
      <c r="IE177" s="10"/>
      <c r="IF177" s="10"/>
      <c r="IG177" s="10"/>
      <c r="IH177" s="10"/>
      <c r="II177" s="10"/>
      <c r="IJ177" s="10"/>
      <c r="IK177" s="10"/>
      <c r="IL177" s="10"/>
      <c r="IM177" s="10"/>
      <c r="IN177" s="10"/>
      <c r="IO177" s="10"/>
      <c r="IP177" s="10"/>
      <c r="IQ177" s="10"/>
      <c r="IR177" s="10"/>
      <c r="IS177" s="10"/>
      <c r="IT177" s="10"/>
      <c r="IU177" s="10"/>
      <c r="IV177" s="10"/>
      <c r="IW177" s="10"/>
      <c r="IX177" s="10"/>
      <c r="IY177" s="10"/>
      <c r="IZ177" s="10"/>
      <c r="JA177" s="10"/>
      <c r="JB177" s="12"/>
      <c r="JC177" s="12"/>
      <c r="JZ177" s="13"/>
      <c r="KC177" s="12"/>
      <c r="KM177" s="12"/>
      <c r="KO177" s="12"/>
      <c r="KT177" s="12"/>
      <c r="KX177" s="13"/>
      <c r="KY177" s="12"/>
      <c r="LF177" s="13"/>
      <c r="LH177" s="12"/>
      <c r="LL177" s="12"/>
      <c r="LS177" s="13"/>
      <c r="LW177" s="13"/>
      <c r="LX177" s="13"/>
      <c r="LY177" s="12"/>
      <c r="MD177" s="13"/>
      <c r="MV177" s="13"/>
      <c r="MX177" s="13"/>
      <c r="NV177" s="12"/>
      <c r="NX177" s="12"/>
      <c r="OQ177" s="13"/>
      <c r="OS177" s="12"/>
      <c r="PP177" s="13"/>
      <c r="PR177" s="13"/>
    </row>
    <row r="178" spans="32:434" ht="18" customHeight="1" x14ac:dyDescent="0.2">
      <c r="AF178" s="42"/>
      <c r="AG178" s="43"/>
      <c r="AH178" s="12"/>
      <c r="BJ178" s="13"/>
      <c r="BK178" s="13"/>
      <c r="BL178" s="12"/>
      <c r="BM178" s="13"/>
      <c r="BQ178" s="13"/>
      <c r="CK178" s="13"/>
      <c r="CL178" s="43"/>
      <c r="CM178" s="43"/>
      <c r="CN178" s="12"/>
      <c r="DC178" s="13"/>
      <c r="DG178" s="13"/>
      <c r="EH178" s="42"/>
      <c r="EI178" s="43"/>
      <c r="EJ178" s="43"/>
      <c r="EK178" s="43"/>
      <c r="EL178" s="43"/>
      <c r="EM178" s="43"/>
      <c r="EN178" s="43"/>
      <c r="EO178" s="43"/>
      <c r="EP178" s="43"/>
      <c r="EQ178" s="43"/>
      <c r="ER178" s="43"/>
      <c r="ES178" s="43"/>
      <c r="ET178" s="43"/>
      <c r="EU178" s="43"/>
      <c r="EV178" s="41"/>
      <c r="EW178" s="41"/>
      <c r="EX178" s="41"/>
      <c r="EY178" s="41"/>
      <c r="EZ178" s="41"/>
      <c r="FA178" s="41"/>
      <c r="FB178" s="41"/>
      <c r="FC178" s="12"/>
      <c r="FG178" s="12"/>
      <c r="FN178" s="13"/>
      <c r="FR178" s="13"/>
      <c r="FS178" s="208"/>
      <c r="FT178" s="12"/>
      <c r="FY178" s="13"/>
      <c r="GM178" s="12"/>
      <c r="GO178" s="178"/>
      <c r="GP178" s="43"/>
      <c r="GQ178" s="45"/>
      <c r="IB178" s="12"/>
      <c r="ID178" s="12"/>
      <c r="JB178" s="12"/>
      <c r="JC178" s="12"/>
      <c r="JZ178" s="13"/>
      <c r="KC178" s="12"/>
      <c r="KM178" s="12"/>
      <c r="KO178" s="12"/>
      <c r="KT178" s="12"/>
      <c r="KX178" s="13"/>
      <c r="KY178" s="12"/>
      <c r="LF178" s="13"/>
      <c r="LH178" s="9"/>
      <c r="LI178" s="11"/>
      <c r="LL178" s="12"/>
      <c r="LS178" s="13"/>
      <c r="LW178" s="13"/>
      <c r="LX178" s="13"/>
      <c r="LY178" s="12"/>
      <c r="MD178" s="13"/>
      <c r="MV178" s="13"/>
      <c r="MX178" s="13"/>
      <c r="MY178" s="12"/>
      <c r="NV178" s="12"/>
      <c r="NX178" s="14"/>
      <c r="NY178" s="15"/>
      <c r="NZ178" s="15"/>
      <c r="OA178" s="15"/>
      <c r="OB178" s="15"/>
      <c r="OC178" s="15"/>
      <c r="OD178" s="15"/>
      <c r="OE178" s="15"/>
      <c r="OF178" s="15"/>
      <c r="OG178" s="15"/>
      <c r="OH178" s="15"/>
      <c r="OI178" s="15"/>
      <c r="OJ178" s="15"/>
      <c r="OK178" s="15"/>
      <c r="OL178" s="15"/>
      <c r="OM178" s="15"/>
      <c r="ON178" s="15"/>
      <c r="OO178" s="15"/>
      <c r="OP178" s="15"/>
      <c r="OQ178" s="16"/>
      <c r="OS178" s="12"/>
      <c r="PP178" s="13"/>
      <c r="PR178" s="13"/>
    </row>
    <row r="179" spans="32:434" ht="18" customHeight="1" x14ac:dyDescent="0.2">
      <c r="AF179" s="42"/>
      <c r="AG179" s="43"/>
      <c r="AH179" s="12"/>
      <c r="BJ179" s="13"/>
      <c r="BK179" s="13"/>
      <c r="BL179" s="12"/>
      <c r="BM179" s="13"/>
      <c r="BQ179" s="13"/>
      <c r="CK179" s="13"/>
      <c r="CL179" s="43"/>
      <c r="CM179" s="43"/>
      <c r="CN179" s="12"/>
      <c r="DC179" s="13"/>
      <c r="DG179" s="13"/>
      <c r="EH179" s="46"/>
      <c r="EI179" s="47"/>
      <c r="EJ179" s="47"/>
      <c r="EK179" s="47"/>
      <c r="EL179" s="47"/>
      <c r="EM179" s="47"/>
      <c r="EN179" s="47"/>
      <c r="EO179" s="47"/>
      <c r="EP179" s="47"/>
      <c r="EQ179" s="47"/>
      <c r="ER179" s="47"/>
      <c r="ES179" s="43"/>
      <c r="ET179" s="47"/>
      <c r="EU179" s="43"/>
      <c r="EV179" s="43"/>
      <c r="EW179" s="43"/>
      <c r="EX179" s="43"/>
      <c r="EY179" s="43"/>
      <c r="EZ179" s="43"/>
      <c r="FA179" s="43"/>
      <c r="FB179" s="43"/>
      <c r="FC179" s="9"/>
      <c r="FD179" s="11"/>
      <c r="FG179" s="12"/>
      <c r="FN179" s="13"/>
      <c r="FR179" s="13"/>
      <c r="FS179" s="208"/>
      <c r="FT179" s="12"/>
      <c r="FY179" s="13"/>
      <c r="GM179" s="14"/>
      <c r="GN179" s="15"/>
      <c r="GO179" s="16"/>
      <c r="GP179" s="43"/>
      <c r="GQ179" s="45"/>
      <c r="IB179" s="12"/>
      <c r="ID179" s="12"/>
      <c r="JB179" s="12"/>
      <c r="JC179" s="12"/>
      <c r="JZ179" s="13"/>
      <c r="KC179" s="12"/>
      <c r="KM179" s="12"/>
      <c r="KO179" s="14"/>
      <c r="KP179" s="15"/>
      <c r="KQ179" s="15"/>
      <c r="KR179" s="15"/>
      <c r="KS179" s="15"/>
      <c r="KT179" s="14"/>
      <c r="KU179" s="15"/>
      <c r="KV179" s="15"/>
      <c r="KW179" s="15"/>
      <c r="KX179" s="16"/>
      <c r="KY179" s="14"/>
      <c r="KZ179" s="15"/>
      <c r="LA179" s="15"/>
      <c r="LB179" s="15"/>
      <c r="LC179" s="15"/>
      <c r="LD179" s="15"/>
      <c r="LE179" s="15"/>
      <c r="LF179" s="16"/>
      <c r="LG179" s="15"/>
      <c r="LH179" s="12"/>
      <c r="LI179" s="13"/>
      <c r="LL179" s="12"/>
      <c r="LS179" s="13"/>
      <c r="LW179" s="13"/>
      <c r="LX179" s="13"/>
      <c r="LY179" s="12"/>
      <c r="MD179" s="13"/>
      <c r="MV179" s="13"/>
      <c r="MX179" s="13"/>
      <c r="MY179" s="12"/>
      <c r="NV179" s="12"/>
      <c r="NX179" s="12"/>
      <c r="OS179" s="12"/>
      <c r="PP179" s="13"/>
      <c r="PR179" s="13"/>
    </row>
    <row r="180" spans="32:434" ht="18" customHeight="1" x14ac:dyDescent="0.2">
      <c r="AF180" s="42"/>
      <c r="AG180" s="43"/>
      <c r="AH180" s="12"/>
      <c r="BJ180" s="13"/>
      <c r="BK180" s="13"/>
      <c r="BL180" s="12"/>
      <c r="BM180" s="13"/>
      <c r="BQ180" s="13"/>
      <c r="CK180" s="13"/>
      <c r="CL180" s="43"/>
      <c r="CM180" s="43"/>
      <c r="CN180" s="12"/>
      <c r="DC180" s="13"/>
      <c r="DG180" s="13"/>
      <c r="EQ180" s="10"/>
      <c r="ER180" s="10"/>
      <c r="ES180" s="10"/>
      <c r="ET180" s="10"/>
      <c r="EU180" s="10"/>
      <c r="EV180" s="10"/>
      <c r="EW180" s="10"/>
      <c r="EX180" s="10"/>
      <c r="EY180" s="10"/>
      <c r="EZ180" s="11"/>
      <c r="FA180" s="42"/>
      <c r="FB180" s="43"/>
      <c r="FC180" s="12"/>
      <c r="FD180" s="13"/>
      <c r="FG180" s="12"/>
      <c r="FN180" s="13"/>
      <c r="FR180" s="13"/>
      <c r="FS180" s="208"/>
      <c r="FT180" s="12"/>
      <c r="FY180" s="13"/>
      <c r="GO180" s="13"/>
      <c r="GP180" s="43"/>
      <c r="GQ180" s="45"/>
      <c r="IB180" s="12"/>
      <c r="ID180" s="12"/>
      <c r="JB180" s="14"/>
      <c r="JC180" s="12"/>
      <c r="JZ180" s="13"/>
      <c r="KC180" s="12"/>
      <c r="KM180" s="12"/>
      <c r="LA180" s="10"/>
      <c r="LB180" s="10"/>
      <c r="LC180" s="10"/>
      <c r="LD180" s="10"/>
      <c r="LE180" s="10"/>
      <c r="LF180" s="10"/>
      <c r="LG180" s="10"/>
      <c r="LH180" s="12"/>
      <c r="LI180" s="13"/>
      <c r="LL180" s="12"/>
      <c r="LS180" s="13"/>
      <c r="LW180" s="13"/>
      <c r="LX180" s="13"/>
      <c r="LY180" s="12"/>
      <c r="MD180" s="13"/>
      <c r="MV180" s="13"/>
      <c r="MX180" s="13"/>
      <c r="MY180" s="12"/>
      <c r="NV180" s="12"/>
      <c r="NX180" s="9"/>
      <c r="NY180" s="10"/>
      <c r="NZ180" s="10"/>
      <c r="OA180" s="10"/>
      <c r="OB180" s="10"/>
      <c r="OC180" s="10"/>
      <c r="OD180" s="10"/>
      <c r="OE180" s="10"/>
      <c r="OF180" s="10"/>
      <c r="OG180" s="10"/>
      <c r="OH180" s="10"/>
      <c r="OI180" s="10"/>
      <c r="OJ180" s="10"/>
      <c r="OK180" s="10"/>
      <c r="OL180" s="10"/>
      <c r="OM180" s="10"/>
      <c r="ON180" s="10"/>
      <c r="OO180" s="10"/>
      <c r="OP180" s="10"/>
      <c r="OQ180" s="10"/>
      <c r="OR180" s="17"/>
      <c r="OS180" s="12"/>
      <c r="PP180" s="13"/>
      <c r="PR180" s="13"/>
    </row>
    <row r="181" spans="32:434" ht="18" customHeight="1" x14ac:dyDescent="0.2">
      <c r="AF181" s="42"/>
      <c r="AG181" s="43"/>
      <c r="AH181" s="12"/>
      <c r="BJ181" s="13"/>
      <c r="BK181" s="13"/>
      <c r="BL181" s="12"/>
      <c r="BM181" s="13"/>
      <c r="BN181" s="9"/>
      <c r="BO181" s="10"/>
      <c r="BP181" s="10"/>
      <c r="BQ181" s="11"/>
      <c r="CK181" s="13"/>
      <c r="CL181" s="43"/>
      <c r="CM181" s="43"/>
      <c r="CN181" s="12"/>
      <c r="DC181" s="13"/>
      <c r="DG181" s="13"/>
      <c r="FA181" s="42"/>
      <c r="FB181" s="43"/>
      <c r="FC181" s="12"/>
      <c r="FD181" s="13"/>
      <c r="FG181" s="12"/>
      <c r="FN181" s="13"/>
      <c r="FR181" s="13"/>
      <c r="FS181" s="208"/>
      <c r="FT181" s="14"/>
      <c r="FU181" s="15"/>
      <c r="FV181" s="15"/>
      <c r="FW181" s="15"/>
      <c r="FX181" s="15"/>
      <c r="FY181" s="16"/>
      <c r="GO181" s="13"/>
      <c r="GP181" s="43"/>
      <c r="GQ181" s="45"/>
      <c r="IB181" s="12"/>
      <c r="ID181" s="12"/>
      <c r="IH181" s="9"/>
      <c r="II181" s="10"/>
      <c r="IJ181" s="10"/>
      <c r="IK181" s="10"/>
      <c r="IL181" s="10"/>
      <c r="IM181" s="10"/>
      <c r="IN181" s="10"/>
      <c r="IO181" s="10"/>
      <c r="IP181" s="10"/>
      <c r="IQ181" s="10"/>
      <c r="IR181" s="10"/>
      <c r="IS181" s="10"/>
      <c r="IT181" s="10"/>
      <c r="IU181" s="10"/>
      <c r="IV181" s="10"/>
      <c r="IW181" s="10"/>
      <c r="IX181" s="10"/>
      <c r="IY181" s="10"/>
      <c r="IZ181" s="10"/>
      <c r="JA181" s="10"/>
      <c r="JZ181" s="13"/>
      <c r="KC181" s="12"/>
      <c r="KM181" s="14"/>
      <c r="KN181" s="15"/>
      <c r="KO181" s="15"/>
      <c r="KP181" s="15"/>
      <c r="KQ181" s="15"/>
      <c r="KR181" s="15"/>
      <c r="KS181" s="15"/>
      <c r="KT181" s="15"/>
      <c r="KU181" s="15"/>
      <c r="KV181" s="15"/>
      <c r="KW181" s="15"/>
      <c r="KY181" s="15"/>
      <c r="LH181" s="12"/>
      <c r="LI181" s="13"/>
      <c r="LL181" s="12"/>
      <c r="LS181" s="13"/>
      <c r="LW181" s="13"/>
      <c r="LX181" s="13"/>
      <c r="LY181" s="12"/>
      <c r="MD181" s="13"/>
      <c r="MV181" s="13"/>
      <c r="MX181" s="13"/>
      <c r="MY181" s="12"/>
      <c r="NV181" s="12"/>
      <c r="NX181" s="12"/>
      <c r="OR181" s="18"/>
      <c r="OS181" s="12"/>
      <c r="PP181" s="13"/>
      <c r="PR181" s="13"/>
    </row>
    <row r="182" spans="32:434" ht="18" customHeight="1" x14ac:dyDescent="0.2">
      <c r="AF182" s="42"/>
      <c r="AG182" s="43"/>
      <c r="AH182" s="12"/>
      <c r="BJ182" s="13"/>
      <c r="BK182" s="13"/>
      <c r="BL182" s="12"/>
      <c r="BM182" s="13"/>
      <c r="BN182" s="12"/>
      <c r="BQ182" s="13"/>
      <c r="CK182" s="13"/>
      <c r="CL182" s="43"/>
      <c r="CM182" s="43"/>
      <c r="CN182" s="12"/>
      <c r="DC182" s="13"/>
      <c r="DG182" s="13"/>
      <c r="FA182" s="42"/>
      <c r="FB182" s="43"/>
      <c r="FC182" s="12"/>
      <c r="FD182" s="13"/>
      <c r="FG182" s="12"/>
      <c r="FN182" s="13"/>
      <c r="FR182" s="13"/>
      <c r="FS182" s="208"/>
      <c r="GO182" s="13"/>
      <c r="GP182" s="43"/>
      <c r="GQ182" s="45"/>
      <c r="IB182" s="17"/>
      <c r="IC182" s="9"/>
      <c r="ID182" s="12"/>
      <c r="IH182" s="12"/>
      <c r="JZ182" s="13"/>
      <c r="KA182" s="11"/>
      <c r="KB182" s="9"/>
      <c r="KC182" s="12"/>
      <c r="KV182" s="10"/>
      <c r="KW182" s="10"/>
      <c r="KX182" s="10"/>
      <c r="KY182" s="10"/>
      <c r="KZ182" s="10"/>
      <c r="LA182" s="10"/>
      <c r="LB182" s="10"/>
      <c r="LC182" s="10"/>
      <c r="LD182" s="10"/>
      <c r="LE182" s="11"/>
      <c r="LF182" s="12"/>
      <c r="LH182" s="12"/>
      <c r="LI182" s="13"/>
      <c r="LL182" s="12"/>
      <c r="LS182" s="13"/>
      <c r="LW182" s="13"/>
      <c r="LX182" s="13"/>
      <c r="LY182" s="12"/>
      <c r="MD182" s="13"/>
      <c r="MV182" s="13"/>
      <c r="MX182" s="13"/>
      <c r="MY182" s="12"/>
      <c r="NV182" s="12"/>
      <c r="NX182" s="12"/>
      <c r="OR182" s="18"/>
      <c r="OS182" s="12"/>
      <c r="PP182" s="13"/>
      <c r="PR182" s="13"/>
    </row>
    <row r="183" spans="32:434" ht="18" customHeight="1" x14ac:dyDescent="0.2">
      <c r="AF183" s="42"/>
      <c r="AG183" s="43"/>
      <c r="AH183" s="12"/>
      <c r="BJ183" s="13"/>
      <c r="BK183" s="13"/>
      <c r="BL183" s="12"/>
      <c r="BM183" s="13"/>
      <c r="BN183" s="12"/>
      <c r="BQ183" s="13"/>
      <c r="CK183" s="13"/>
      <c r="CL183" s="43"/>
      <c r="CM183" s="43"/>
      <c r="CN183" s="12"/>
      <c r="DC183" s="13"/>
      <c r="DG183" s="13"/>
      <c r="FA183" s="42"/>
      <c r="FB183" s="43"/>
      <c r="FC183" s="12"/>
      <c r="FD183" s="13"/>
      <c r="FG183" s="12"/>
      <c r="FN183" s="13"/>
      <c r="FR183" s="13"/>
      <c r="FS183" s="208"/>
      <c r="GO183" s="13"/>
      <c r="GP183" s="43"/>
      <c r="GQ183" s="45"/>
      <c r="IB183" s="18"/>
      <c r="IC183" s="12"/>
      <c r="ID183" s="12"/>
      <c r="IE183" s="9"/>
      <c r="IF183" s="11"/>
      <c r="IH183" s="12"/>
      <c r="JZ183" s="13"/>
      <c r="KA183" s="13"/>
      <c r="KB183" s="12"/>
      <c r="KC183" s="12"/>
      <c r="LF183" s="12"/>
      <c r="LH183" s="14"/>
      <c r="LI183" s="16"/>
      <c r="LL183" s="12"/>
      <c r="LS183" s="13"/>
      <c r="LW183" s="13"/>
      <c r="LX183" s="13"/>
      <c r="LY183" s="14"/>
      <c r="LZ183" s="15"/>
      <c r="MA183" s="15"/>
      <c r="MB183" s="15"/>
      <c r="MC183" s="15"/>
      <c r="MD183" s="16"/>
      <c r="MV183" s="13"/>
      <c r="MX183" s="13"/>
      <c r="MY183" s="12"/>
      <c r="NV183" s="12"/>
      <c r="NX183" s="12"/>
      <c r="OR183" s="19"/>
      <c r="OS183" s="12"/>
      <c r="PP183" s="13"/>
      <c r="PR183" s="13"/>
    </row>
    <row r="184" spans="32:434" ht="18" customHeight="1" x14ac:dyDescent="0.2">
      <c r="AF184" s="42"/>
      <c r="AG184" s="43"/>
      <c r="AH184" s="12"/>
      <c r="BJ184" s="13"/>
      <c r="BK184" s="13"/>
      <c r="BL184" s="12"/>
      <c r="BM184" s="13"/>
      <c r="BN184" s="12"/>
      <c r="BQ184" s="13"/>
      <c r="CK184" s="13"/>
      <c r="CL184" s="43"/>
      <c r="CM184" s="43"/>
      <c r="CN184" s="12"/>
      <c r="DC184" s="13"/>
      <c r="DG184" s="13"/>
      <c r="FA184" s="42"/>
      <c r="FB184" s="43"/>
      <c r="FC184" s="14"/>
      <c r="FD184" s="16"/>
      <c r="FG184" s="12"/>
      <c r="FN184" s="13"/>
      <c r="FR184" s="13"/>
      <c r="FS184" s="208"/>
      <c r="GO184" s="13"/>
      <c r="GP184" s="43"/>
      <c r="GQ184" s="45"/>
      <c r="IB184" s="18"/>
      <c r="IC184" s="12"/>
      <c r="ID184" s="12"/>
      <c r="IE184" s="12"/>
      <c r="IF184" s="13"/>
      <c r="IH184" s="12"/>
      <c r="JZ184" s="13"/>
      <c r="KA184" s="13"/>
      <c r="KB184" s="12"/>
      <c r="KC184" s="12"/>
      <c r="LF184" s="12"/>
      <c r="LH184" s="12"/>
      <c r="LL184" s="12"/>
      <c r="LS184" s="13"/>
      <c r="LW184" s="13"/>
      <c r="LX184" s="13"/>
      <c r="MV184" s="13"/>
      <c r="MX184" s="13"/>
      <c r="MY184" s="12"/>
      <c r="NV184" s="12"/>
      <c r="NX184" s="12"/>
      <c r="OB184" s="9"/>
      <c r="OC184" s="10"/>
      <c r="OD184" s="10"/>
      <c r="OE184" s="10"/>
      <c r="OF184" s="10"/>
      <c r="OG184" s="10"/>
      <c r="OH184" s="10"/>
      <c r="OI184" s="10"/>
      <c r="OJ184" s="10"/>
      <c r="OK184" s="10"/>
      <c r="OL184" s="10"/>
      <c r="OM184" s="10"/>
      <c r="ON184" s="10"/>
      <c r="OO184" s="10"/>
      <c r="OP184" s="10"/>
      <c r="OQ184" s="10"/>
      <c r="OR184" s="11"/>
      <c r="OS184" s="12"/>
      <c r="PP184" s="13"/>
      <c r="PR184" s="13"/>
    </row>
    <row r="185" spans="32:434" ht="18" customHeight="1" x14ac:dyDescent="0.2">
      <c r="AF185" s="42"/>
      <c r="AG185" s="43"/>
      <c r="AH185" s="12"/>
      <c r="BJ185" s="13"/>
      <c r="BK185" s="13"/>
      <c r="BL185" s="12"/>
      <c r="BM185" s="13"/>
      <c r="BN185" s="14"/>
      <c r="BO185" s="15"/>
      <c r="BP185" s="15"/>
      <c r="BQ185" s="16"/>
      <c r="CK185" s="13"/>
      <c r="CL185" s="43"/>
      <c r="CM185" s="43"/>
      <c r="CN185" s="12"/>
      <c r="DC185" s="13"/>
      <c r="DG185" s="13"/>
      <c r="FA185" s="42"/>
      <c r="FB185" s="43"/>
      <c r="FC185" s="12"/>
      <c r="FG185" s="12"/>
      <c r="FN185" s="13"/>
      <c r="FR185" s="13"/>
      <c r="FS185" s="208"/>
      <c r="GO185" s="13"/>
      <c r="GP185" s="125"/>
      <c r="GQ185" s="125"/>
      <c r="IB185" s="18"/>
      <c r="IC185" s="12"/>
      <c r="ID185" s="12"/>
      <c r="IE185" s="12"/>
      <c r="IF185" s="13"/>
      <c r="IH185" s="12"/>
      <c r="JZ185" s="13"/>
      <c r="KA185" s="13"/>
      <c r="KB185" s="12"/>
      <c r="KC185" s="12"/>
      <c r="LF185" s="12"/>
      <c r="LH185" s="12"/>
      <c r="LL185" s="12"/>
      <c r="LS185" s="13"/>
      <c r="LW185" s="13"/>
      <c r="LX185" s="13"/>
      <c r="MV185" s="13"/>
      <c r="MX185" s="13"/>
      <c r="MY185" s="12"/>
      <c r="NV185" s="12"/>
      <c r="NX185" s="12"/>
      <c r="OB185" s="12"/>
      <c r="OR185" s="13"/>
      <c r="OS185" s="12"/>
      <c r="PP185" s="13"/>
      <c r="PR185" s="13"/>
    </row>
    <row r="186" spans="32:434" ht="18" customHeight="1" x14ac:dyDescent="0.2">
      <c r="AF186" s="42"/>
      <c r="AG186" s="43"/>
      <c r="AH186" s="14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6"/>
      <c r="BK186" s="13"/>
      <c r="BL186" s="14"/>
      <c r="BM186" s="16"/>
      <c r="BN186" s="15"/>
      <c r="BO186" s="15"/>
      <c r="BP186" s="15"/>
      <c r="BQ186" s="16"/>
      <c r="CK186" s="13"/>
      <c r="CL186" s="43"/>
      <c r="CM186" s="43"/>
      <c r="CN186" s="12"/>
      <c r="DC186" s="13"/>
      <c r="DG186" s="13"/>
      <c r="FA186" s="42"/>
      <c r="FB186" s="43"/>
      <c r="FC186" s="12"/>
      <c r="FG186" s="12"/>
      <c r="FN186" s="13"/>
      <c r="FR186" s="13"/>
      <c r="FS186" s="208"/>
      <c r="GO186" s="13"/>
      <c r="GP186" s="108"/>
      <c r="GQ186" s="108"/>
      <c r="IB186" s="18"/>
      <c r="IC186" s="12"/>
      <c r="ID186" s="12"/>
      <c r="IE186" s="14"/>
      <c r="IF186" s="16"/>
      <c r="IH186" s="12"/>
      <c r="JZ186" s="13"/>
      <c r="KA186" s="13"/>
      <c r="KB186" s="12"/>
      <c r="KC186" s="12"/>
      <c r="LF186" s="12"/>
      <c r="LH186" s="12"/>
      <c r="LL186" s="12"/>
      <c r="LS186" s="13"/>
      <c r="LW186" s="13"/>
      <c r="LX186" s="13"/>
      <c r="MV186" s="13"/>
      <c r="MX186" s="13"/>
      <c r="MY186" s="12"/>
      <c r="NV186" s="12"/>
      <c r="NX186" s="12"/>
      <c r="OB186" s="12"/>
      <c r="OR186" s="13"/>
      <c r="OS186" s="12"/>
      <c r="PP186" s="13"/>
      <c r="PR186" s="13"/>
    </row>
    <row r="187" spans="32:434" ht="18" customHeight="1" x14ac:dyDescent="0.2">
      <c r="AF187" s="42"/>
      <c r="AG187" s="43"/>
      <c r="AH187" s="12"/>
      <c r="BK187" s="13"/>
      <c r="CK187" s="13"/>
      <c r="CL187" s="43"/>
      <c r="CM187" s="43"/>
      <c r="CN187" s="12"/>
      <c r="DC187" s="13"/>
      <c r="DG187" s="13"/>
      <c r="FA187" s="42"/>
      <c r="FB187" s="43"/>
      <c r="FC187" s="12"/>
      <c r="FG187" s="12"/>
      <c r="FN187" s="13"/>
      <c r="FR187" s="13"/>
      <c r="FS187" s="208"/>
      <c r="GO187" s="13"/>
      <c r="GP187" s="108"/>
      <c r="GQ187" s="108"/>
      <c r="IB187" s="19"/>
      <c r="IC187" s="14"/>
      <c r="ID187" s="12"/>
      <c r="IH187" s="12"/>
      <c r="JZ187" s="13"/>
      <c r="KA187" s="16"/>
      <c r="KB187" s="14"/>
      <c r="KC187" s="12"/>
      <c r="LF187" s="12"/>
      <c r="LH187" s="12"/>
      <c r="LL187" s="12"/>
      <c r="LS187" s="13"/>
      <c r="LW187" s="13"/>
      <c r="LX187" s="13"/>
      <c r="MV187" s="13"/>
      <c r="MX187" s="13"/>
      <c r="MY187" s="12"/>
      <c r="NV187" s="12"/>
      <c r="NX187" s="12"/>
      <c r="OB187" s="12"/>
      <c r="OR187" s="13"/>
      <c r="OS187" s="12"/>
      <c r="PP187" s="13"/>
      <c r="PR187" s="13"/>
    </row>
    <row r="188" spans="32:434" ht="18" customHeight="1" x14ac:dyDescent="0.2">
      <c r="AF188" s="42"/>
      <c r="AG188" s="43"/>
      <c r="AH188" s="9"/>
      <c r="AI188" s="10"/>
      <c r="AJ188" s="10"/>
      <c r="AK188" s="10"/>
      <c r="AL188" s="10"/>
      <c r="AM188" s="10"/>
      <c r="AN188" s="10"/>
      <c r="AO188" s="10"/>
      <c r="AP188" s="10"/>
      <c r="AQ188" s="17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7"/>
      <c r="CK188" s="13"/>
      <c r="CL188" s="43"/>
      <c r="CM188" s="43"/>
      <c r="CN188" s="12"/>
      <c r="DC188" s="13"/>
      <c r="DG188" s="13"/>
      <c r="FA188" s="42"/>
      <c r="FB188" s="43"/>
      <c r="FC188" s="12"/>
      <c r="FG188" s="12"/>
      <c r="FO188" s="10"/>
      <c r="FP188" s="10"/>
      <c r="FQ188" s="10"/>
      <c r="FR188" s="10"/>
      <c r="FS188" s="10"/>
      <c r="GO188" s="13"/>
      <c r="GP188" s="108"/>
      <c r="GQ188" s="108"/>
      <c r="IB188" s="12"/>
      <c r="ID188" s="12"/>
      <c r="IH188" s="14"/>
      <c r="II188" s="15"/>
      <c r="IJ188" s="15"/>
      <c r="IK188" s="15"/>
      <c r="IL188" s="15"/>
      <c r="IM188" s="15"/>
      <c r="IN188" s="15"/>
      <c r="IO188" s="15"/>
      <c r="IP188" s="15"/>
      <c r="IQ188" s="15"/>
      <c r="IR188" s="15"/>
      <c r="IS188" s="15"/>
      <c r="IT188" s="15"/>
      <c r="IU188" s="15"/>
      <c r="IV188" s="15"/>
      <c r="IW188" s="15"/>
      <c r="IX188" s="15"/>
      <c r="IY188" s="15"/>
      <c r="IZ188" s="15"/>
      <c r="JA188" s="15"/>
      <c r="JB188" s="15"/>
      <c r="JZ188" s="13"/>
      <c r="KC188" s="12"/>
      <c r="LF188" s="12"/>
      <c r="LH188" s="12"/>
      <c r="LL188" s="12"/>
      <c r="LT188" s="10"/>
      <c r="LU188" s="10"/>
      <c r="LV188" s="10"/>
      <c r="LW188" s="10"/>
      <c r="LX188" s="10"/>
      <c r="MV188" s="13"/>
      <c r="MX188" s="13"/>
      <c r="MY188" s="12"/>
      <c r="NV188" s="12"/>
      <c r="NX188" s="12"/>
      <c r="OB188" s="12"/>
      <c r="OR188" s="13"/>
      <c r="OS188" s="12"/>
      <c r="PP188" s="13"/>
      <c r="PR188" s="13"/>
    </row>
    <row r="189" spans="32:434" ht="18" customHeight="1" x14ac:dyDescent="0.2">
      <c r="AF189" s="42"/>
      <c r="AG189" s="43"/>
      <c r="AH189" s="12"/>
      <c r="AQ189" s="18"/>
      <c r="BK189" s="18"/>
      <c r="CK189" s="13"/>
      <c r="CL189" s="43"/>
      <c r="CM189" s="43"/>
      <c r="CN189" s="12"/>
      <c r="DC189" s="13"/>
      <c r="DG189" s="13"/>
      <c r="FA189" s="42"/>
      <c r="FB189" s="43"/>
      <c r="FC189" s="12"/>
      <c r="FE189" s="97"/>
      <c r="FG189" s="12"/>
      <c r="GO189" s="13"/>
      <c r="GP189" s="108"/>
      <c r="GQ189" s="108"/>
      <c r="IB189" s="12"/>
      <c r="ID189" s="12"/>
      <c r="JA189" s="13"/>
      <c r="JC189" s="12"/>
      <c r="JZ189" s="13"/>
      <c r="KC189" s="12"/>
      <c r="LF189" s="12"/>
      <c r="LH189" s="12"/>
      <c r="LL189" s="12"/>
      <c r="MV189" s="13"/>
      <c r="MX189" s="13"/>
      <c r="MY189" s="12"/>
      <c r="NV189" s="12"/>
      <c r="NX189" s="12"/>
      <c r="OB189" s="12"/>
      <c r="OR189" s="13"/>
      <c r="OS189" s="12"/>
      <c r="PP189" s="13"/>
      <c r="PR189" s="13"/>
    </row>
    <row r="190" spans="32:434" ht="18" customHeight="1" x14ac:dyDescent="0.2">
      <c r="AF190" s="42"/>
      <c r="AG190" s="43"/>
      <c r="AH190" s="12"/>
      <c r="AQ190" s="18"/>
      <c r="BK190" s="18"/>
      <c r="CK190" s="13"/>
      <c r="CL190" s="43"/>
      <c r="CM190" s="43"/>
      <c r="CN190" s="12"/>
      <c r="DC190" s="13"/>
      <c r="DG190" s="13"/>
      <c r="FA190" s="42"/>
      <c r="FB190" s="43"/>
      <c r="FC190" s="12"/>
      <c r="FE190" s="97"/>
      <c r="FG190" s="12"/>
      <c r="GO190" s="13"/>
      <c r="GP190" s="126"/>
      <c r="GQ190" s="126"/>
      <c r="IB190" s="12"/>
      <c r="ID190" s="12"/>
      <c r="JA190" s="13"/>
      <c r="JC190" s="12"/>
      <c r="JZ190" s="13"/>
      <c r="KC190" s="12"/>
      <c r="LF190" s="12"/>
      <c r="LH190" s="12"/>
      <c r="LL190" s="12"/>
      <c r="MV190" s="13"/>
      <c r="MX190" s="13"/>
      <c r="MY190" s="12"/>
      <c r="NV190" s="12"/>
      <c r="NX190" s="12"/>
      <c r="OB190" s="12"/>
      <c r="OR190" s="13"/>
      <c r="OS190" s="12"/>
      <c r="PP190" s="13"/>
      <c r="PR190" s="13"/>
    </row>
    <row r="191" spans="32:434" ht="18" customHeight="1" x14ac:dyDescent="0.2">
      <c r="AF191" s="42"/>
      <c r="AG191" s="43"/>
      <c r="AH191" s="12"/>
      <c r="AQ191" s="18"/>
      <c r="BK191" s="19"/>
      <c r="CK191" s="13"/>
      <c r="CL191" s="43"/>
      <c r="CM191" s="43"/>
      <c r="CN191" s="12"/>
      <c r="DC191" s="13"/>
      <c r="DG191" s="13"/>
      <c r="FA191" s="42"/>
      <c r="FB191" s="43"/>
      <c r="FC191" s="12"/>
      <c r="FE191" s="97"/>
      <c r="FG191" s="12"/>
      <c r="GO191" s="13"/>
      <c r="GP191" s="43"/>
      <c r="GQ191" s="45"/>
      <c r="IB191" s="12"/>
      <c r="ID191" s="12"/>
      <c r="JA191" s="13"/>
      <c r="JC191" s="12"/>
      <c r="JZ191" s="13"/>
      <c r="KC191" s="12"/>
      <c r="LF191" s="12"/>
      <c r="LH191" s="12"/>
      <c r="LL191" s="12"/>
      <c r="MV191" s="13"/>
      <c r="MX191" s="13"/>
      <c r="MY191" s="12"/>
      <c r="NV191" s="12"/>
      <c r="NX191" s="14"/>
      <c r="NY191" s="15"/>
      <c r="NZ191" s="15"/>
      <c r="OA191" s="15"/>
      <c r="OB191" s="14"/>
      <c r="OC191" s="15"/>
      <c r="OD191" s="15"/>
      <c r="OE191" s="15"/>
      <c r="OF191" s="15"/>
      <c r="OG191" s="15"/>
      <c r="OH191" s="15"/>
      <c r="OI191" s="15"/>
      <c r="OJ191" s="15"/>
      <c r="OK191" s="15"/>
      <c r="OL191" s="15"/>
      <c r="OM191" s="15"/>
      <c r="ON191" s="15"/>
      <c r="OO191" s="15"/>
      <c r="OP191" s="15"/>
      <c r="OQ191" s="15"/>
      <c r="OR191" s="16"/>
      <c r="OS191" s="14"/>
      <c r="OT191" s="15"/>
      <c r="OU191" s="15"/>
      <c r="OV191" s="15"/>
      <c r="OW191" s="15"/>
      <c r="OX191" s="15"/>
      <c r="OY191" s="15"/>
      <c r="OZ191" s="15"/>
      <c r="PA191" s="15"/>
      <c r="PB191" s="15"/>
      <c r="PC191" s="15"/>
      <c r="PD191" s="15"/>
      <c r="PE191" s="15"/>
      <c r="PF191" s="15"/>
      <c r="PG191" s="15"/>
      <c r="PH191" s="15"/>
      <c r="PI191" s="15"/>
      <c r="PJ191" s="15"/>
      <c r="PK191" s="15"/>
      <c r="PL191" s="15"/>
      <c r="PM191" s="15"/>
      <c r="PN191" s="15"/>
      <c r="PO191" s="15"/>
      <c r="PP191" s="16"/>
      <c r="PR191" s="13"/>
    </row>
    <row r="192" spans="32:434" ht="18" customHeight="1" x14ac:dyDescent="0.2">
      <c r="AF192" s="42"/>
      <c r="AG192" s="43"/>
      <c r="AH192" s="12"/>
      <c r="AQ192" s="18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1"/>
      <c r="CK192" s="13"/>
      <c r="CL192" s="43"/>
      <c r="CM192" s="43"/>
      <c r="CN192" s="12"/>
      <c r="DC192" s="13"/>
      <c r="DG192" s="13"/>
      <c r="FA192" s="42"/>
      <c r="FB192" s="43"/>
      <c r="FC192" s="12"/>
      <c r="FE192" s="97"/>
      <c r="FG192" s="12"/>
      <c r="GO192" s="13"/>
      <c r="GP192" s="43"/>
      <c r="GQ192" s="45"/>
      <c r="IB192" s="12"/>
      <c r="ID192" s="14"/>
      <c r="IE192" s="15"/>
      <c r="IF192" s="15"/>
      <c r="IG192" s="15"/>
      <c r="IH192" s="15"/>
      <c r="II192" s="15"/>
      <c r="IJ192" s="15"/>
      <c r="IK192" s="15"/>
      <c r="IL192" s="15"/>
      <c r="IM192" s="15"/>
      <c r="IN192" s="15"/>
      <c r="IO192" s="15"/>
      <c r="IP192" s="15"/>
      <c r="IQ192" s="15"/>
      <c r="IR192" s="15"/>
      <c r="IS192" s="15"/>
      <c r="IT192" s="15"/>
      <c r="IU192" s="15"/>
      <c r="IV192" s="15"/>
      <c r="IW192" s="15"/>
      <c r="IX192" s="15"/>
      <c r="IY192" s="15"/>
      <c r="IZ192" s="15"/>
      <c r="JA192" s="16"/>
      <c r="JB192" s="15"/>
      <c r="JC192" s="14"/>
      <c r="JD192" s="15"/>
      <c r="JE192" s="15"/>
      <c r="JF192" s="15"/>
      <c r="JG192" s="15"/>
      <c r="JH192" s="15"/>
      <c r="JI192" s="15"/>
      <c r="JJ192" s="15"/>
      <c r="JK192" s="15"/>
      <c r="JL192" s="15"/>
      <c r="JM192" s="15"/>
      <c r="JN192" s="15"/>
      <c r="JO192" s="15"/>
      <c r="JP192" s="15"/>
      <c r="JQ192" s="15"/>
      <c r="JR192" s="15"/>
      <c r="JS192" s="15"/>
      <c r="JT192" s="15"/>
      <c r="JU192" s="15"/>
      <c r="JV192" s="15"/>
      <c r="JW192" s="15"/>
      <c r="JX192" s="15"/>
      <c r="JY192" s="15"/>
      <c r="JZ192" s="16"/>
      <c r="KC192" s="12"/>
      <c r="LF192" s="12"/>
      <c r="LH192" s="12"/>
      <c r="LL192" s="12"/>
      <c r="MV192" s="13"/>
      <c r="MX192" s="13"/>
      <c r="MY192" s="12"/>
      <c r="NV192" s="12"/>
      <c r="PR192" s="13"/>
    </row>
    <row r="193" spans="32:434" ht="18" customHeight="1" x14ac:dyDescent="0.2">
      <c r="AF193" s="42"/>
      <c r="AG193" s="43"/>
      <c r="AH193" s="12"/>
      <c r="AQ193" s="24"/>
      <c r="BK193" s="13"/>
      <c r="CK193" s="13"/>
      <c r="CL193" s="43"/>
      <c r="CM193" s="43"/>
      <c r="CN193" s="12"/>
      <c r="DC193" s="13"/>
      <c r="DG193" s="13"/>
      <c r="FA193" s="42"/>
      <c r="FB193" s="43"/>
      <c r="FC193" s="12"/>
      <c r="FG193" s="12"/>
      <c r="GO193" s="13"/>
      <c r="GP193" s="43"/>
      <c r="GQ193" s="45"/>
      <c r="IB193" s="12"/>
      <c r="JF193" s="14"/>
      <c r="JG193" s="15"/>
      <c r="JH193" s="15"/>
      <c r="JI193" s="15"/>
      <c r="JJ193" s="15"/>
      <c r="JK193" s="16"/>
      <c r="KC193" s="12"/>
      <c r="LF193" s="12"/>
      <c r="LH193" s="12"/>
      <c r="LL193" s="12"/>
      <c r="MV193" s="13"/>
      <c r="MX193" s="13"/>
      <c r="MY193" s="12"/>
      <c r="NV193" s="14"/>
      <c r="NW193" s="15"/>
      <c r="NX193" s="15"/>
      <c r="NY193" s="15"/>
      <c r="NZ193" s="15"/>
      <c r="OA193" s="15"/>
      <c r="OB193" s="15"/>
      <c r="OC193" s="15"/>
      <c r="OD193" s="15"/>
      <c r="OE193" s="15"/>
      <c r="OF193" s="15"/>
      <c r="OG193" s="15"/>
      <c r="OH193" s="15"/>
      <c r="OI193" s="15"/>
      <c r="OJ193" s="15"/>
      <c r="OK193" s="15"/>
      <c r="OL193" s="15"/>
      <c r="OM193" s="15"/>
      <c r="ON193" s="15"/>
      <c r="OO193" s="15"/>
      <c r="OP193" s="15"/>
      <c r="OQ193" s="15"/>
      <c r="OR193" s="15"/>
      <c r="OS193" s="15"/>
      <c r="OT193" s="15"/>
      <c r="OU193" s="15"/>
      <c r="OV193" s="15"/>
      <c r="OW193" s="15"/>
      <c r="OX193" s="15"/>
      <c r="OY193" s="15"/>
      <c r="OZ193" s="15"/>
      <c r="PA193" s="15"/>
      <c r="PB193" s="15"/>
      <c r="PC193" s="15"/>
      <c r="PD193" s="15"/>
      <c r="PE193" s="15"/>
      <c r="PF193" s="15"/>
      <c r="PG193" s="15"/>
      <c r="PH193" s="15"/>
      <c r="PI193" s="15"/>
      <c r="PJ193" s="15"/>
      <c r="PK193" s="15"/>
      <c r="PL193" s="15"/>
      <c r="PM193" s="15"/>
      <c r="PN193" s="15"/>
      <c r="PO193" s="15"/>
      <c r="PP193" s="15"/>
      <c r="PQ193" s="15"/>
      <c r="PR193" s="16"/>
    </row>
    <row r="194" spans="32:434" ht="18" customHeight="1" x14ac:dyDescent="0.2">
      <c r="AF194" s="42"/>
      <c r="AG194" s="43"/>
      <c r="AH194" s="12"/>
      <c r="AQ194" s="24"/>
      <c r="BK194" s="13"/>
      <c r="CK194" s="13"/>
      <c r="CL194" s="43"/>
      <c r="CM194" s="43"/>
      <c r="CN194" s="12"/>
      <c r="DC194" s="13"/>
      <c r="DG194" s="13"/>
      <c r="FA194" s="42"/>
      <c r="FB194" s="43"/>
      <c r="FC194" s="12"/>
      <c r="FF194" s="13"/>
      <c r="FG194" s="12"/>
      <c r="GO194" s="13"/>
      <c r="GP194" s="43"/>
      <c r="GQ194" s="45"/>
      <c r="IB194" s="12"/>
      <c r="JF194" s="9"/>
      <c r="JG194" s="10"/>
      <c r="JH194" s="10"/>
      <c r="JI194" s="10"/>
      <c r="JJ194" s="10"/>
      <c r="JK194" s="11"/>
      <c r="KC194" s="12"/>
      <c r="LF194" s="12"/>
      <c r="LH194" s="12"/>
      <c r="LK194" s="13"/>
      <c r="LL194" s="12"/>
      <c r="MV194" s="13"/>
      <c r="MX194" s="13"/>
      <c r="MY194" s="12"/>
    </row>
    <row r="195" spans="32:434" ht="18" customHeight="1" x14ac:dyDescent="0.2">
      <c r="AF195" s="42"/>
      <c r="AG195" s="43"/>
      <c r="AH195" s="12"/>
      <c r="AQ195" s="24"/>
      <c r="BK195" s="13"/>
      <c r="CK195" s="13"/>
      <c r="CL195" s="43"/>
      <c r="CM195" s="43"/>
      <c r="CN195" s="12"/>
      <c r="DC195" s="13"/>
      <c r="DG195" s="13"/>
      <c r="FA195" s="42"/>
      <c r="FB195" s="43"/>
      <c r="FC195" s="14"/>
      <c r="FD195" s="15"/>
      <c r="FE195" s="15"/>
      <c r="FF195" s="16"/>
      <c r="FG195" s="15"/>
      <c r="FH195" s="15"/>
      <c r="FI195" s="15"/>
      <c r="FJ195" s="15"/>
      <c r="FK195" s="15"/>
      <c r="FL195" s="15"/>
      <c r="FM195" s="15"/>
      <c r="FN195" s="15"/>
      <c r="FO195" s="15"/>
      <c r="FP195" s="15"/>
      <c r="FQ195" s="15"/>
      <c r="FR195" s="15"/>
      <c r="FS195" s="15"/>
      <c r="FT195" s="15"/>
      <c r="FU195" s="15"/>
      <c r="FV195" s="15"/>
      <c r="FW195" s="15"/>
      <c r="FX195" s="15"/>
      <c r="FY195" s="15"/>
      <c r="FZ195" s="15"/>
      <c r="GA195" s="15"/>
      <c r="GB195" s="15"/>
      <c r="GC195" s="15"/>
      <c r="GD195" s="15"/>
      <c r="GE195" s="15"/>
      <c r="GF195" s="15"/>
      <c r="GG195" s="15"/>
      <c r="GH195" s="15"/>
      <c r="GI195" s="15"/>
      <c r="GJ195" s="15"/>
      <c r="GK195" s="15"/>
      <c r="GL195" s="15"/>
      <c r="GM195" s="15"/>
      <c r="GN195" s="15"/>
      <c r="GO195" s="16"/>
      <c r="GP195" s="43"/>
      <c r="GQ195" s="45"/>
      <c r="IB195" s="10"/>
      <c r="IC195" s="10"/>
      <c r="ID195" s="10"/>
      <c r="IE195" s="10"/>
      <c r="IF195" s="10"/>
      <c r="IG195" s="10"/>
      <c r="IH195" s="10"/>
      <c r="II195" s="10"/>
      <c r="IJ195" s="10"/>
      <c r="IK195" s="10"/>
      <c r="IL195" s="10"/>
      <c r="IM195" s="10"/>
      <c r="IN195" s="10"/>
      <c r="IO195" s="10"/>
      <c r="IP195" s="10"/>
      <c r="IQ195" s="10"/>
      <c r="IR195" s="10"/>
      <c r="IS195" s="10"/>
      <c r="IT195" s="10"/>
      <c r="IU195" s="10"/>
      <c r="IV195" s="10"/>
      <c r="IW195" s="10"/>
      <c r="IX195" s="10"/>
      <c r="IY195" s="10"/>
      <c r="IZ195" s="10"/>
      <c r="JA195" s="10"/>
      <c r="JB195" s="10"/>
      <c r="JC195" s="10"/>
      <c r="JD195" s="10"/>
      <c r="JE195" s="10"/>
      <c r="JF195" s="10"/>
      <c r="JG195" s="10"/>
      <c r="JH195" s="10"/>
      <c r="JI195" s="10"/>
      <c r="JJ195" s="10"/>
      <c r="JK195" s="10"/>
      <c r="JL195" s="10"/>
      <c r="JM195" s="10"/>
      <c r="JN195" s="10"/>
      <c r="JO195" s="10"/>
      <c r="JP195" s="10"/>
      <c r="JQ195" s="10"/>
      <c r="JR195" s="10"/>
      <c r="JS195" s="10"/>
      <c r="JT195" s="10"/>
      <c r="JU195" s="10"/>
      <c r="JV195" s="10"/>
      <c r="JW195" s="10"/>
      <c r="JX195" s="10"/>
      <c r="JY195" s="10"/>
      <c r="JZ195" s="10"/>
      <c r="KA195" s="10"/>
      <c r="KB195" s="10"/>
      <c r="LF195" s="12"/>
      <c r="LH195" s="14"/>
      <c r="LI195" s="15"/>
      <c r="LJ195" s="15"/>
      <c r="LK195" s="16"/>
      <c r="LL195" s="15"/>
      <c r="LM195" s="15"/>
      <c r="LN195" s="15"/>
      <c r="LO195" s="15"/>
      <c r="LP195" s="15"/>
      <c r="LQ195" s="15"/>
      <c r="LR195" s="15"/>
      <c r="LS195" s="15"/>
      <c r="LT195" s="15"/>
      <c r="LU195" s="15"/>
      <c r="LV195" s="15"/>
      <c r="LW195" s="15"/>
      <c r="LX195" s="15"/>
      <c r="LY195" s="15"/>
      <c r="LZ195" s="15"/>
      <c r="MA195" s="15"/>
      <c r="MB195" s="15"/>
      <c r="MC195" s="15"/>
      <c r="MD195" s="15"/>
      <c r="ME195" s="15"/>
      <c r="MF195" s="15"/>
      <c r="MG195" s="15"/>
      <c r="MH195" s="15"/>
      <c r="MI195" s="15"/>
      <c r="MJ195" s="15"/>
      <c r="MK195" s="15"/>
      <c r="ML195" s="15"/>
      <c r="MM195" s="15"/>
      <c r="MN195" s="15"/>
      <c r="MO195" s="15"/>
      <c r="MP195" s="15"/>
      <c r="MQ195" s="15"/>
      <c r="MR195" s="15"/>
      <c r="MS195" s="15"/>
      <c r="MT195" s="15"/>
      <c r="MU195" s="15"/>
      <c r="MV195" s="16"/>
      <c r="MX195" s="13"/>
      <c r="MY195" s="12"/>
    </row>
    <row r="196" spans="32:434" ht="18" customHeight="1" x14ac:dyDescent="0.2">
      <c r="AF196" s="42"/>
      <c r="AG196" s="43"/>
      <c r="AH196" s="12"/>
      <c r="AQ196" s="24"/>
      <c r="BK196" s="13"/>
      <c r="CK196" s="13"/>
      <c r="CL196" s="43"/>
      <c r="CM196" s="43"/>
      <c r="CN196" s="12"/>
      <c r="DC196" s="13"/>
      <c r="DG196" s="13"/>
      <c r="FA196" s="42"/>
      <c r="FB196" s="43"/>
      <c r="FC196" s="43"/>
      <c r="FD196" s="43"/>
      <c r="FE196" s="43"/>
      <c r="FF196" s="43"/>
      <c r="FG196" s="43"/>
      <c r="FH196" s="43"/>
      <c r="FI196" s="43"/>
      <c r="FJ196" s="43"/>
      <c r="FK196" s="43"/>
      <c r="FL196" s="43"/>
      <c r="FM196" s="43"/>
      <c r="FN196" s="123"/>
      <c r="FO196" s="109"/>
      <c r="FP196" s="109"/>
      <c r="FQ196" s="109"/>
      <c r="FR196" s="109"/>
      <c r="FS196" s="124"/>
      <c r="FT196" s="43"/>
      <c r="FU196" s="43"/>
      <c r="FV196" s="43"/>
      <c r="FW196" s="43"/>
      <c r="FX196" s="43"/>
      <c r="FY196" s="43"/>
      <c r="FZ196" s="43"/>
      <c r="GA196" s="43"/>
      <c r="GB196" s="43"/>
      <c r="GC196" s="43"/>
      <c r="GD196" s="43"/>
      <c r="GE196" s="43"/>
      <c r="GF196" s="43"/>
      <c r="GG196" s="43"/>
      <c r="GH196" s="43"/>
      <c r="GI196" s="127"/>
      <c r="GJ196" s="127"/>
      <c r="GK196" s="127"/>
      <c r="GL196" s="127"/>
      <c r="GM196" s="127"/>
      <c r="GN196" s="127"/>
      <c r="GO196" s="43"/>
      <c r="GP196" s="43"/>
      <c r="GQ196" s="45"/>
      <c r="LF196" s="12"/>
      <c r="MD196" s="20"/>
      <c r="ME196" s="21"/>
      <c r="MF196" s="21"/>
      <c r="MG196" s="21"/>
      <c r="MH196" s="21"/>
      <c r="MI196" s="22"/>
      <c r="MX196" s="13"/>
      <c r="MY196" s="12"/>
    </row>
    <row r="197" spans="32:434" ht="18" customHeight="1" x14ac:dyDescent="0.2">
      <c r="AF197" s="42"/>
      <c r="AG197" s="43"/>
      <c r="AH197" s="12"/>
      <c r="AQ197" s="24"/>
      <c r="BK197" s="13"/>
      <c r="CK197" s="13"/>
      <c r="CL197" s="43"/>
      <c r="CM197" s="43"/>
      <c r="CN197" s="12"/>
      <c r="DC197" s="13"/>
      <c r="DG197" s="13"/>
      <c r="FA197" s="42"/>
      <c r="FB197" s="43"/>
      <c r="FC197" s="43"/>
      <c r="FD197" s="43"/>
      <c r="FE197" s="43"/>
      <c r="FF197" s="43"/>
      <c r="FG197" s="43"/>
      <c r="FH197" s="43"/>
      <c r="FI197" s="43"/>
      <c r="FJ197" s="43"/>
      <c r="FK197" s="43"/>
      <c r="FL197" s="43"/>
      <c r="FM197" s="43"/>
      <c r="FN197" s="40"/>
      <c r="FO197" s="41"/>
      <c r="FP197" s="41"/>
      <c r="FQ197" s="41"/>
      <c r="FR197" s="41"/>
      <c r="FS197" s="44"/>
      <c r="FT197" s="43"/>
      <c r="FU197" s="43"/>
      <c r="FV197" s="43"/>
      <c r="FW197" s="43"/>
      <c r="FX197" s="43"/>
      <c r="FY197" s="43"/>
      <c r="FZ197" s="43"/>
      <c r="GA197" s="43"/>
      <c r="GB197" s="43"/>
      <c r="GC197" s="43"/>
      <c r="GD197" s="43"/>
      <c r="GE197" s="43"/>
      <c r="GF197" s="43"/>
      <c r="GG197" s="43"/>
      <c r="GH197" s="43"/>
      <c r="GI197" s="127"/>
      <c r="GJ197" s="127"/>
      <c r="GK197" s="127"/>
      <c r="GL197" s="127"/>
      <c r="GM197" s="127"/>
      <c r="GN197" s="127"/>
      <c r="GO197" s="43"/>
      <c r="GP197" s="43"/>
      <c r="GQ197" s="45"/>
      <c r="LF197" s="14"/>
      <c r="LG197" s="15"/>
      <c r="LH197" s="15"/>
      <c r="LI197" s="15"/>
      <c r="LJ197" s="15"/>
      <c r="LL197" s="15"/>
      <c r="LN197" s="15"/>
      <c r="MD197" s="9"/>
      <c r="ME197" s="10"/>
      <c r="MF197" s="10"/>
      <c r="MG197" s="10"/>
      <c r="MH197" s="10"/>
      <c r="MI197" s="11"/>
      <c r="MX197" s="13"/>
      <c r="MY197" s="12"/>
    </row>
    <row r="198" spans="32:434" ht="18" customHeight="1" x14ac:dyDescent="0.2">
      <c r="AF198" s="42"/>
      <c r="AG198" s="43"/>
      <c r="AH198" s="12"/>
      <c r="AQ198" s="24"/>
      <c r="BK198" s="13"/>
      <c r="CK198" s="13"/>
      <c r="CL198" s="43"/>
      <c r="CM198" s="43"/>
      <c r="CN198" s="12"/>
      <c r="DC198" s="13"/>
      <c r="DG198" s="13"/>
      <c r="FA198" s="10"/>
      <c r="FB198" s="10"/>
      <c r="FC198" s="10"/>
      <c r="FD198" s="10"/>
      <c r="FE198" s="10"/>
      <c r="FF198" s="10"/>
      <c r="FG198" s="10"/>
      <c r="FH198" s="10"/>
      <c r="FI198" s="10"/>
      <c r="FJ198" s="10"/>
      <c r="FK198" s="10"/>
      <c r="FL198" s="10"/>
      <c r="FM198" s="10"/>
      <c r="FN198" s="10"/>
      <c r="FO198" s="10"/>
      <c r="FP198" s="10"/>
      <c r="FQ198" s="10"/>
      <c r="FR198" s="10"/>
      <c r="FS198" s="10"/>
      <c r="FT198" s="10"/>
      <c r="FU198" s="10"/>
      <c r="FV198" s="10"/>
      <c r="FW198" s="10"/>
      <c r="FX198" s="10"/>
      <c r="FY198" s="10"/>
      <c r="FZ198" s="10"/>
      <c r="GA198" s="10"/>
      <c r="GB198" s="10"/>
      <c r="GC198" s="10"/>
      <c r="GD198" s="10"/>
      <c r="GE198" s="10"/>
      <c r="GF198" s="10"/>
      <c r="GG198" s="10"/>
      <c r="GH198" s="10"/>
      <c r="GI198" s="10"/>
      <c r="GJ198" s="10"/>
      <c r="GK198" s="10"/>
      <c r="GL198" s="10"/>
      <c r="GM198" s="10"/>
      <c r="GN198" s="10"/>
      <c r="GO198" s="10"/>
      <c r="GP198" s="10"/>
      <c r="GQ198" s="10"/>
      <c r="LF198" s="10"/>
      <c r="LG198" s="10"/>
      <c r="LH198" s="10"/>
      <c r="LI198" s="10"/>
      <c r="LJ198" s="10"/>
      <c r="LK198" s="10"/>
      <c r="LL198" s="10"/>
      <c r="LM198" s="10"/>
      <c r="LN198" s="10"/>
      <c r="LO198" s="10"/>
      <c r="LP198" s="10"/>
      <c r="LQ198" s="10"/>
      <c r="LR198" s="10"/>
      <c r="LS198" s="10"/>
      <c r="LT198" s="10"/>
      <c r="LU198" s="10"/>
      <c r="LV198" s="10"/>
      <c r="LW198" s="10"/>
      <c r="LX198" s="10"/>
      <c r="LY198" s="10"/>
      <c r="LZ198" s="10"/>
      <c r="MA198" s="10"/>
      <c r="MB198" s="10"/>
      <c r="MC198" s="10"/>
      <c r="MD198" s="10"/>
      <c r="ME198" s="10"/>
      <c r="MF198" s="10"/>
      <c r="MG198" s="10"/>
      <c r="MH198" s="10"/>
      <c r="MI198" s="10"/>
      <c r="MJ198" s="10"/>
      <c r="MK198" s="10"/>
      <c r="ML198" s="10"/>
      <c r="MM198" s="10"/>
      <c r="MN198" s="10"/>
      <c r="MO198" s="10"/>
      <c r="MP198" s="10"/>
      <c r="MQ198" s="10"/>
      <c r="MR198" s="10"/>
      <c r="MS198" s="10"/>
      <c r="MT198" s="10"/>
      <c r="MU198" s="10"/>
      <c r="MV198" s="10"/>
      <c r="MW198" s="10"/>
      <c r="MX198" s="10"/>
    </row>
    <row r="199" spans="32:434" ht="18" customHeight="1" x14ac:dyDescent="0.2">
      <c r="AF199" s="42"/>
      <c r="AG199" s="43"/>
      <c r="AH199" s="12"/>
      <c r="AQ199" s="18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6"/>
      <c r="CK199" s="13"/>
      <c r="CL199" s="43"/>
      <c r="CM199" s="43"/>
      <c r="CN199" s="12"/>
      <c r="DC199" s="13"/>
      <c r="DG199" s="13"/>
    </row>
    <row r="200" spans="32:434" ht="18" customHeight="1" x14ac:dyDescent="0.2">
      <c r="AF200" s="42"/>
      <c r="AG200" s="43"/>
      <c r="AH200" s="12"/>
      <c r="AQ200" s="18"/>
      <c r="BK200" s="13"/>
      <c r="CK200" s="13"/>
      <c r="CL200" s="43"/>
      <c r="CM200" s="43"/>
      <c r="CN200" s="12"/>
      <c r="DC200" s="13"/>
      <c r="DG200" s="13"/>
    </row>
    <row r="201" spans="32:434" ht="18" customHeight="1" x14ac:dyDescent="0.2">
      <c r="AF201" s="42"/>
      <c r="AG201" s="43"/>
      <c r="AH201" s="12"/>
      <c r="AQ201" s="18"/>
      <c r="BK201" s="13"/>
      <c r="CK201" s="13"/>
      <c r="CL201" s="43"/>
      <c r="CM201" s="43"/>
      <c r="CN201" s="12"/>
      <c r="DC201" s="13"/>
      <c r="DG201" s="13"/>
    </row>
    <row r="202" spans="32:434" ht="18" customHeight="1" x14ac:dyDescent="0.2">
      <c r="AF202" s="42"/>
      <c r="AG202" s="43"/>
      <c r="AH202" s="12"/>
      <c r="AQ202" s="18"/>
      <c r="BK202" s="13"/>
      <c r="CK202" s="13"/>
      <c r="CL202" s="43"/>
      <c r="CM202" s="43"/>
      <c r="CN202" s="12"/>
      <c r="DC202" s="13"/>
      <c r="DG202" s="13"/>
    </row>
    <row r="203" spans="32:434" ht="18" customHeight="1" x14ac:dyDescent="0.2">
      <c r="AF203" s="42"/>
      <c r="AG203" s="43"/>
      <c r="AH203" s="14"/>
      <c r="AI203" s="15"/>
      <c r="AJ203" s="15"/>
      <c r="AK203" s="15"/>
      <c r="AL203" s="15"/>
      <c r="AM203" s="15"/>
      <c r="AN203" s="15"/>
      <c r="AO203" s="15"/>
      <c r="AP203" s="15"/>
      <c r="AQ203" s="19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6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15"/>
      <c r="CG203" s="15"/>
      <c r="CH203" s="15"/>
      <c r="CI203" s="15"/>
      <c r="CJ203" s="15"/>
      <c r="CK203" s="16"/>
      <c r="CL203" s="43"/>
      <c r="CM203" s="43"/>
      <c r="CN203" s="12"/>
      <c r="DC203" s="13"/>
      <c r="DG203" s="13"/>
    </row>
    <row r="204" spans="32:434" ht="18" customHeight="1" x14ac:dyDescent="0.2">
      <c r="AF204" s="42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107"/>
      <c r="CF204" s="127"/>
      <c r="CG204" s="127"/>
      <c r="CH204" s="127"/>
      <c r="CI204" s="127"/>
      <c r="CJ204" s="90"/>
      <c r="CK204" s="43"/>
      <c r="CL204" s="43"/>
      <c r="CM204" s="43"/>
      <c r="CN204" s="12"/>
      <c r="DC204" s="13"/>
      <c r="DG204" s="13"/>
    </row>
    <row r="205" spans="32:434" ht="18" customHeight="1" x14ac:dyDescent="0.2">
      <c r="AF205" s="46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7"/>
      <c r="BA205" s="47"/>
      <c r="BB205" s="47"/>
      <c r="BC205" s="47"/>
      <c r="BD205" s="47"/>
      <c r="BE205" s="47"/>
      <c r="BF205" s="47"/>
      <c r="BG205" s="47"/>
      <c r="BH205" s="47"/>
      <c r="BI205" s="47"/>
      <c r="BJ205" s="47"/>
      <c r="BK205" s="47"/>
      <c r="BL205" s="47"/>
      <c r="BM205" s="47"/>
      <c r="BN205" s="47"/>
      <c r="BO205" s="47"/>
      <c r="BP205" s="47"/>
      <c r="BQ205" s="47"/>
      <c r="BR205" s="47"/>
      <c r="BS205" s="47"/>
      <c r="BT205" s="47"/>
      <c r="BU205" s="47"/>
      <c r="BV205" s="47"/>
      <c r="BW205" s="47"/>
      <c r="BX205" s="47"/>
      <c r="BY205" s="47"/>
      <c r="BZ205" s="47"/>
      <c r="CA205" s="47"/>
      <c r="CB205" s="47"/>
      <c r="CC205" s="47"/>
      <c r="CD205" s="47"/>
      <c r="CE205" s="72"/>
      <c r="CF205" s="100"/>
      <c r="CG205" s="100"/>
      <c r="CH205" s="100"/>
      <c r="CI205" s="100"/>
      <c r="CJ205" s="73"/>
      <c r="CK205" s="47"/>
      <c r="CL205" s="47"/>
      <c r="CM205" s="47"/>
      <c r="CN205" s="12"/>
      <c r="DC205" s="13"/>
      <c r="DG205" s="13"/>
    </row>
    <row r="206" spans="32:434" ht="18" customHeight="1" x14ac:dyDescent="0.2">
      <c r="AV206" s="9"/>
      <c r="AW206" s="10"/>
      <c r="AX206" s="10"/>
      <c r="AY206" s="10"/>
      <c r="AZ206" s="9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1"/>
      <c r="CN206" s="9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1"/>
      <c r="DD206" s="10"/>
      <c r="DE206" s="10"/>
      <c r="DF206" s="10"/>
      <c r="DG206" s="11"/>
    </row>
    <row r="207" spans="32:434" ht="18" customHeight="1" x14ac:dyDescent="0.2">
      <c r="AV207" s="12"/>
      <c r="AZ207" s="12"/>
      <c r="CM207" s="13"/>
      <c r="CN207" s="12"/>
      <c r="DC207" s="13"/>
      <c r="DG207" s="13"/>
    </row>
    <row r="208" spans="32:434" ht="18" customHeight="1" x14ac:dyDescent="0.2">
      <c r="AV208" s="12"/>
      <c r="AZ208" s="12"/>
      <c r="CM208" s="13"/>
      <c r="CN208" s="12"/>
      <c r="DC208" s="13"/>
      <c r="DG208" s="13"/>
    </row>
    <row r="209" spans="48:111" ht="18" customHeight="1" x14ac:dyDescent="0.2">
      <c r="AV209" s="12"/>
      <c r="AZ209" s="12"/>
      <c r="CM209" s="13"/>
      <c r="CN209" s="12"/>
      <c r="DC209" s="13"/>
      <c r="DG209" s="13"/>
    </row>
    <row r="210" spans="48:111" ht="18" customHeight="1" x14ac:dyDescent="0.2">
      <c r="AV210" s="12"/>
      <c r="AZ210" s="12"/>
      <c r="CM210" s="13"/>
      <c r="CN210" s="12"/>
      <c r="DC210" s="13"/>
      <c r="DG210" s="13"/>
    </row>
    <row r="211" spans="48:111" ht="18" customHeight="1" x14ac:dyDescent="0.2">
      <c r="AV211" s="12"/>
      <c r="AZ211" s="12"/>
      <c r="CM211" s="13"/>
      <c r="CN211" s="12"/>
      <c r="DC211" s="13"/>
      <c r="DG211" s="13"/>
    </row>
    <row r="212" spans="48:111" ht="18" customHeight="1" x14ac:dyDescent="0.2">
      <c r="AV212" s="12"/>
      <c r="AZ212" s="12"/>
      <c r="CM212" s="13"/>
      <c r="CN212" s="12"/>
      <c r="DC212" s="13"/>
      <c r="DG212" s="13"/>
    </row>
    <row r="213" spans="48:111" ht="18" customHeight="1" x14ac:dyDescent="0.2">
      <c r="AV213" s="12"/>
      <c r="AZ213" s="12"/>
      <c r="CM213" s="13"/>
      <c r="CN213" s="12"/>
      <c r="DC213" s="13"/>
      <c r="DG213" s="13"/>
    </row>
    <row r="214" spans="48:111" ht="18" customHeight="1" x14ac:dyDescent="0.2">
      <c r="AV214" s="12"/>
      <c r="AZ214" s="12"/>
      <c r="CM214" s="13"/>
      <c r="CN214" s="12"/>
      <c r="DC214" s="13"/>
      <c r="DG214" s="13"/>
    </row>
    <row r="215" spans="48:111" ht="18" customHeight="1" x14ac:dyDescent="0.2">
      <c r="AV215" s="12"/>
      <c r="AZ215" s="12"/>
      <c r="CM215" s="13"/>
      <c r="CN215" s="12"/>
      <c r="DC215" s="13"/>
      <c r="DG215" s="13"/>
    </row>
    <row r="216" spans="48:111" ht="18" customHeight="1" x14ac:dyDescent="0.2">
      <c r="AV216" s="12"/>
      <c r="AZ216" s="12"/>
      <c r="CM216" s="13"/>
      <c r="CN216" s="12"/>
      <c r="DC216" s="13"/>
      <c r="DG216" s="13"/>
    </row>
    <row r="217" spans="48:111" ht="18" customHeight="1" x14ac:dyDescent="0.2">
      <c r="AV217" s="12"/>
      <c r="AZ217" s="12"/>
      <c r="CM217" s="13"/>
      <c r="CN217" s="12"/>
      <c r="DC217" s="13"/>
      <c r="DG217" s="13"/>
    </row>
    <row r="218" spans="48:111" ht="18" customHeight="1" x14ac:dyDescent="0.2">
      <c r="AV218" s="12"/>
      <c r="AZ218" s="12"/>
      <c r="CM218" s="13"/>
      <c r="CN218" s="12"/>
      <c r="DC218" s="13"/>
      <c r="DG218" s="13"/>
    </row>
    <row r="219" spans="48:111" ht="18" customHeight="1" x14ac:dyDescent="0.2">
      <c r="AV219" s="12"/>
      <c r="AZ219" s="12"/>
      <c r="CM219" s="13"/>
      <c r="CN219" s="12"/>
      <c r="DC219" s="13"/>
      <c r="DG219" s="13"/>
    </row>
    <row r="220" spans="48:111" ht="18" customHeight="1" x14ac:dyDescent="0.2">
      <c r="AV220" s="12"/>
      <c r="AZ220" s="12"/>
      <c r="CM220" s="13"/>
      <c r="CN220" s="12"/>
      <c r="DC220" s="13"/>
      <c r="DG220" s="13"/>
    </row>
    <row r="221" spans="48:111" ht="18" customHeight="1" x14ac:dyDescent="0.2">
      <c r="AV221" s="12"/>
      <c r="AZ221" s="14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15"/>
      <c r="CG221" s="15"/>
      <c r="CH221" s="15"/>
      <c r="CI221" s="15"/>
      <c r="CJ221" s="15"/>
      <c r="CK221" s="15"/>
      <c r="CL221" s="15"/>
      <c r="CM221" s="16"/>
      <c r="CN221" s="14"/>
      <c r="CO221" s="15"/>
      <c r="CP221" s="15"/>
      <c r="CQ221" s="15"/>
      <c r="CR221" s="15"/>
      <c r="CS221" s="15"/>
      <c r="CT221" s="15"/>
      <c r="CU221" s="15"/>
      <c r="CV221" s="15"/>
      <c r="CW221" s="15"/>
      <c r="CX221" s="15"/>
      <c r="CY221" s="15"/>
      <c r="CZ221" s="15"/>
      <c r="DA221" s="15"/>
      <c r="DB221" s="15"/>
      <c r="DC221" s="16"/>
      <c r="DG221" s="13"/>
    </row>
    <row r="222" spans="48:111" ht="18" customHeight="1" x14ac:dyDescent="0.2">
      <c r="AV222" s="12"/>
      <c r="CM222" s="13"/>
      <c r="CN222" s="12"/>
      <c r="DG222" s="13"/>
    </row>
    <row r="223" spans="48:111" ht="18" customHeight="1" x14ac:dyDescent="0.2">
      <c r="AV223" s="12"/>
      <c r="CM223" s="13"/>
      <c r="CN223" s="12"/>
      <c r="DG223" s="13"/>
    </row>
    <row r="224" spans="48:111" ht="18" customHeight="1" x14ac:dyDescent="0.2">
      <c r="AV224" s="12"/>
      <c r="CM224" s="13"/>
      <c r="CN224" s="12"/>
      <c r="DG224" s="13"/>
    </row>
    <row r="225" spans="48:244" ht="18" customHeight="1" x14ac:dyDescent="0.2">
      <c r="AV225" s="14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15"/>
      <c r="CG225" s="15"/>
      <c r="CH225" s="15"/>
      <c r="CI225" s="15"/>
      <c r="CJ225" s="15"/>
      <c r="CK225" s="15"/>
      <c r="CL225" s="15"/>
      <c r="CM225" s="16"/>
      <c r="CN225" s="14"/>
      <c r="CO225" s="15"/>
      <c r="CP225" s="15"/>
      <c r="CQ225" s="15"/>
      <c r="CR225" s="15"/>
      <c r="CS225" s="15"/>
      <c r="CT225" s="15"/>
      <c r="CU225" s="15"/>
      <c r="CV225" s="15"/>
      <c r="CW225" s="15"/>
      <c r="CX225" s="15"/>
      <c r="CY225" s="15"/>
      <c r="CZ225" s="15"/>
      <c r="DA225" s="15"/>
      <c r="DB225" s="15"/>
      <c r="DC225" s="15"/>
      <c r="DD225" s="15"/>
      <c r="DE225" s="15"/>
      <c r="DF225" s="15"/>
      <c r="DG225" s="16"/>
    </row>
    <row r="240" spans="48:244" ht="18" customHeight="1" x14ac:dyDescent="0.2">
      <c r="ET240" s="15"/>
      <c r="EU240" s="15"/>
      <c r="EV240" s="15"/>
      <c r="EW240" s="15"/>
      <c r="HN240" s="49"/>
      <c r="HO240" s="49"/>
      <c r="HP240" s="49"/>
      <c r="HQ240" s="49"/>
      <c r="HV240" s="15"/>
      <c r="HW240" s="15"/>
      <c r="HX240" s="15"/>
      <c r="HY240" s="15"/>
      <c r="IG240" s="49"/>
      <c r="IH240" s="49"/>
      <c r="II240" s="49"/>
      <c r="IJ240" s="49"/>
    </row>
    <row r="241" spans="21:273" ht="18" customHeight="1" x14ac:dyDescent="0.2">
      <c r="DY241" s="56"/>
      <c r="DZ241" s="57"/>
      <c r="EA241" s="57"/>
      <c r="EB241" s="57"/>
      <c r="EC241" s="10"/>
      <c r="ED241" s="10"/>
      <c r="EE241" s="10"/>
      <c r="EF241" s="10"/>
      <c r="EG241" s="10"/>
      <c r="EH241" s="10"/>
      <c r="EI241" s="10"/>
      <c r="EJ241" s="10"/>
      <c r="EK241" s="10"/>
      <c r="EL241" s="10"/>
      <c r="EM241" s="10"/>
      <c r="EN241" s="10"/>
      <c r="EO241" s="10"/>
      <c r="EP241" s="10"/>
      <c r="EQ241" s="57"/>
      <c r="ER241" s="57"/>
      <c r="ES241" s="57"/>
      <c r="ET241" s="57"/>
      <c r="EU241" s="10"/>
      <c r="EV241" s="10"/>
      <c r="EW241" s="10"/>
      <c r="EX241" s="10"/>
      <c r="EY241" s="10"/>
      <c r="EZ241" s="10"/>
      <c r="FA241" s="10"/>
      <c r="FB241" s="10"/>
      <c r="FC241" s="10"/>
      <c r="FD241" s="10"/>
      <c r="FE241" s="10"/>
      <c r="FF241" s="10"/>
      <c r="FG241" s="10"/>
      <c r="FH241" s="10"/>
      <c r="FI241" s="10"/>
      <c r="FJ241" s="57"/>
      <c r="FK241" s="58"/>
      <c r="HA241" s="56"/>
      <c r="HB241" s="57"/>
      <c r="HC241" s="57"/>
      <c r="HD241" s="57"/>
      <c r="HE241" s="10"/>
      <c r="HF241" s="10"/>
      <c r="HG241" s="10"/>
      <c r="HH241" s="10"/>
      <c r="HI241" s="10"/>
      <c r="HJ241" s="10"/>
      <c r="HK241" s="10"/>
      <c r="HL241" s="10"/>
      <c r="HM241" s="10"/>
      <c r="HN241" s="10"/>
      <c r="HO241" s="10"/>
      <c r="HP241" s="10"/>
      <c r="HQ241" s="10"/>
      <c r="HR241" s="10"/>
      <c r="HS241" s="57"/>
      <c r="HT241" s="57"/>
      <c r="HU241" s="57"/>
      <c r="HV241" s="57"/>
      <c r="HW241" s="10"/>
      <c r="HX241" s="10"/>
      <c r="HY241" s="10"/>
      <c r="HZ241" s="10"/>
      <c r="IA241" s="10"/>
      <c r="IB241" s="10"/>
      <c r="IC241" s="10"/>
      <c r="ID241" s="10"/>
      <c r="IE241" s="10"/>
      <c r="IF241" s="10"/>
      <c r="IG241" s="10"/>
      <c r="IH241" s="10"/>
      <c r="II241" s="10"/>
      <c r="IJ241" s="10"/>
      <c r="IK241" s="10"/>
      <c r="IL241" s="57"/>
      <c r="IM241" s="58"/>
    </row>
    <row r="242" spans="21:273" ht="18" customHeight="1" x14ac:dyDescent="0.2">
      <c r="DY242" s="96"/>
      <c r="DZ242" s="97"/>
      <c r="EA242" s="97"/>
      <c r="EB242" s="97"/>
      <c r="EQ242" s="97"/>
      <c r="ER242" s="97"/>
      <c r="ES242" s="97"/>
      <c r="ET242" s="97"/>
      <c r="FJ242" s="97"/>
      <c r="FK242" s="98"/>
      <c r="HA242" s="96"/>
      <c r="HB242" s="97"/>
      <c r="HC242" s="97"/>
      <c r="HD242" s="97"/>
      <c r="HS242" s="97"/>
      <c r="HT242" s="97"/>
      <c r="HU242" s="97"/>
      <c r="HV242" s="97"/>
      <c r="IL242" s="97"/>
      <c r="IM242" s="98"/>
    </row>
    <row r="243" spans="21:273" ht="18" customHeight="1" x14ac:dyDescent="0.2">
      <c r="AP243" s="15"/>
      <c r="AQ243" s="15"/>
      <c r="AR243" s="15"/>
      <c r="AS243" s="15"/>
      <c r="AT243" s="15"/>
      <c r="AU243" s="15"/>
      <c r="DY243" s="12"/>
      <c r="EA243" s="9"/>
      <c r="EB243" s="10"/>
      <c r="EC243" s="10"/>
      <c r="ED243" s="10"/>
      <c r="EE243" s="10"/>
      <c r="EF243" s="10"/>
      <c r="EG243" s="10"/>
      <c r="EH243" s="10"/>
      <c r="EI243" s="10"/>
      <c r="EJ243" s="10"/>
      <c r="EK243" s="10"/>
      <c r="EL243" s="10"/>
      <c r="EM243" s="10"/>
      <c r="EN243" s="10"/>
      <c r="EO243" s="10"/>
      <c r="EP243" s="10"/>
      <c r="EQ243" s="10"/>
      <c r="ER243" s="10"/>
      <c r="ES243" s="10"/>
      <c r="ET243" s="10"/>
      <c r="EU243" s="10"/>
      <c r="EV243" s="10"/>
      <c r="EW243" s="10"/>
      <c r="EX243" s="11"/>
      <c r="EY243" s="10"/>
      <c r="EZ243" s="9"/>
      <c r="FA243" s="10"/>
      <c r="FB243" s="10"/>
      <c r="FC243" s="10"/>
      <c r="FD243" s="10"/>
      <c r="FE243" s="10"/>
      <c r="FF243" s="10"/>
      <c r="FG243" s="10"/>
      <c r="FH243" s="10"/>
      <c r="FI243" s="11"/>
      <c r="FJ243" s="97"/>
      <c r="FK243" s="98"/>
      <c r="HA243" s="12"/>
      <c r="HC243" s="9"/>
      <c r="HD243" s="10"/>
      <c r="HE243" s="10"/>
      <c r="HF243" s="10"/>
      <c r="HG243" s="10"/>
      <c r="HH243" s="10"/>
      <c r="HI243" s="10"/>
      <c r="HJ243" s="10"/>
      <c r="HK243" s="10"/>
      <c r="HL243" s="10"/>
      <c r="HM243" s="10"/>
      <c r="HN243" s="10"/>
      <c r="HO243" s="10"/>
      <c r="HP243" s="10"/>
      <c r="HQ243" s="10"/>
      <c r="HR243" s="10"/>
      <c r="HS243" s="10"/>
      <c r="HT243" s="10"/>
      <c r="HU243" s="10"/>
      <c r="HV243" s="10"/>
      <c r="HW243" s="10"/>
      <c r="HX243" s="10"/>
      <c r="HY243" s="10"/>
      <c r="HZ243" s="11"/>
      <c r="IA243" s="10"/>
      <c r="IB243" s="9"/>
      <c r="IC243" s="10"/>
      <c r="ID243" s="10"/>
      <c r="IE243" s="10"/>
      <c r="IF243" s="10"/>
      <c r="IG243" s="10"/>
      <c r="IH243" s="10"/>
      <c r="II243" s="10"/>
      <c r="IJ243" s="10"/>
      <c r="IK243" s="11"/>
      <c r="IL243" s="97"/>
      <c r="IM243" s="98"/>
    </row>
    <row r="244" spans="21:273" ht="18" customHeight="1" x14ac:dyDescent="0.2">
      <c r="U244" s="9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1"/>
      <c r="DY244" s="12"/>
      <c r="EA244" s="12"/>
      <c r="EX244" s="13"/>
      <c r="EZ244" s="12"/>
      <c r="FI244" s="13"/>
      <c r="FJ244" s="97"/>
      <c r="FK244" s="98"/>
      <c r="HA244" s="12"/>
      <c r="HC244" s="12"/>
      <c r="HZ244" s="13"/>
      <c r="IB244" s="12"/>
      <c r="IK244" s="13"/>
      <c r="IL244" s="97"/>
      <c r="IM244" s="98"/>
    </row>
    <row r="245" spans="21:273" ht="18" customHeight="1" x14ac:dyDescent="0.2">
      <c r="U245" s="12"/>
      <c r="BI245" s="13"/>
      <c r="DY245" s="12"/>
      <c r="EA245" s="12"/>
      <c r="EX245" s="13"/>
      <c r="EZ245" s="12"/>
      <c r="FI245" s="13"/>
      <c r="FK245" s="13"/>
      <c r="HA245" s="12"/>
      <c r="HC245" s="12"/>
      <c r="HZ245" s="13"/>
      <c r="IB245" s="12"/>
      <c r="IK245" s="13"/>
      <c r="IM245" s="13"/>
    </row>
    <row r="246" spans="21:273" ht="18" customHeight="1" x14ac:dyDescent="0.2">
      <c r="U246" s="12"/>
      <c r="W246" s="9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1"/>
      <c r="AW246" s="11"/>
      <c r="AX246" s="10"/>
      <c r="AY246" s="10"/>
      <c r="AZ246" s="10"/>
      <c r="BA246" s="10"/>
      <c r="BB246" s="11"/>
      <c r="BC246" s="10"/>
      <c r="BD246" s="10"/>
      <c r="BE246" s="10"/>
      <c r="BF246" s="10"/>
      <c r="BG246" s="11"/>
      <c r="BI246" s="13"/>
      <c r="DY246" s="12"/>
      <c r="EA246" s="12"/>
      <c r="EX246" s="13"/>
      <c r="EZ246" s="12"/>
      <c r="FI246" s="13"/>
      <c r="FK246" s="13"/>
      <c r="HA246" s="12"/>
      <c r="HC246" s="12"/>
      <c r="HZ246" s="13"/>
      <c r="IB246" s="12"/>
      <c r="IK246" s="13"/>
      <c r="IM246" s="13"/>
    </row>
    <row r="247" spans="21:273" ht="18" customHeight="1" x14ac:dyDescent="0.2">
      <c r="U247" s="12"/>
      <c r="W247" s="12"/>
      <c r="AV247" s="13"/>
      <c r="AW247" s="13"/>
      <c r="BB247" s="13"/>
      <c r="BG247" s="13"/>
      <c r="BI247" s="13"/>
      <c r="DY247" s="12"/>
      <c r="EA247" s="12"/>
      <c r="EX247" s="13"/>
      <c r="EZ247" s="12"/>
      <c r="FI247" s="13"/>
      <c r="FK247" s="13"/>
      <c r="HA247" s="12"/>
      <c r="HC247" s="12"/>
      <c r="HZ247" s="13"/>
      <c r="IB247" s="12"/>
      <c r="IK247" s="13"/>
      <c r="IM247" s="13"/>
    </row>
    <row r="248" spans="21:273" ht="18" customHeight="1" x14ac:dyDescent="0.2">
      <c r="U248" s="12"/>
      <c r="W248" s="12"/>
      <c r="AV248" s="13"/>
      <c r="AW248" s="13"/>
      <c r="BB248" s="13"/>
      <c r="BG248" s="13"/>
      <c r="BI248" s="13"/>
      <c r="DY248" s="12"/>
      <c r="EA248" s="12"/>
      <c r="EX248" s="13"/>
      <c r="EZ248" s="12"/>
      <c r="FI248" s="13"/>
      <c r="FK248" s="13"/>
      <c r="HA248" s="12"/>
      <c r="HC248" s="12"/>
      <c r="HZ248" s="13"/>
      <c r="IB248" s="12"/>
      <c r="IK248" s="13"/>
      <c r="IM248" s="13"/>
    </row>
    <row r="249" spans="21:273" ht="18" customHeight="1" x14ac:dyDescent="0.2">
      <c r="U249" s="12"/>
      <c r="W249" s="12"/>
      <c r="AV249" s="13"/>
      <c r="AW249" s="13"/>
      <c r="BB249" s="13"/>
      <c r="BG249" s="13"/>
      <c r="BI249" s="13"/>
      <c r="DY249" s="12"/>
      <c r="EA249" s="12"/>
      <c r="EX249" s="13"/>
      <c r="EZ249" s="12"/>
      <c r="FI249" s="13"/>
      <c r="FK249" s="13"/>
      <c r="HA249" s="12"/>
      <c r="HC249" s="12"/>
      <c r="HZ249" s="13"/>
      <c r="IB249" s="12"/>
      <c r="IK249" s="13"/>
      <c r="IM249" s="13"/>
    </row>
    <row r="250" spans="21:273" ht="18" customHeight="1" x14ac:dyDescent="0.2">
      <c r="U250" s="12"/>
      <c r="W250" s="12"/>
      <c r="AV250" s="13"/>
      <c r="AW250" s="13"/>
      <c r="AX250" s="15"/>
      <c r="AY250" s="15"/>
      <c r="AZ250" s="15"/>
      <c r="BA250" s="15"/>
      <c r="BB250" s="16"/>
      <c r="BC250" s="15"/>
      <c r="BD250" s="15"/>
      <c r="BE250" s="15"/>
      <c r="BF250" s="15"/>
      <c r="BG250" s="16"/>
      <c r="BI250" s="13"/>
      <c r="DY250" s="12"/>
      <c r="EA250" s="12"/>
      <c r="EX250" s="13"/>
      <c r="EZ250" s="12"/>
      <c r="FI250" s="13"/>
      <c r="FK250" s="13"/>
      <c r="HA250" s="12"/>
      <c r="HC250" s="12"/>
      <c r="HZ250" s="13"/>
      <c r="IB250" s="12"/>
      <c r="IK250" s="13"/>
      <c r="IM250" s="13"/>
    </row>
    <row r="251" spans="21:273" ht="18" customHeight="1" x14ac:dyDescent="0.2">
      <c r="U251" s="12"/>
      <c r="W251" s="12"/>
      <c r="AV251" s="13"/>
      <c r="AW251" s="13"/>
      <c r="BG251" s="11"/>
      <c r="BI251" s="13"/>
      <c r="DY251" s="12"/>
      <c r="EA251" s="12"/>
      <c r="EX251" s="13"/>
      <c r="EZ251" s="12"/>
      <c r="FI251" s="13"/>
      <c r="FK251" s="13"/>
      <c r="FM251" s="15"/>
      <c r="FO251" s="15"/>
      <c r="FQ251" s="15"/>
      <c r="FS251" s="15"/>
      <c r="FZ251" s="15"/>
      <c r="GB251" s="15"/>
      <c r="GC251" s="15"/>
      <c r="GD251" s="15"/>
      <c r="GH251" s="15"/>
      <c r="GI251" s="15"/>
      <c r="GJ251" s="15"/>
      <c r="GK251" s="15"/>
      <c r="HA251" s="12"/>
      <c r="HC251" s="12"/>
      <c r="HZ251" s="13"/>
      <c r="IB251" s="12"/>
      <c r="IK251" s="13"/>
      <c r="IM251" s="13"/>
      <c r="IO251" s="15"/>
      <c r="IQ251" s="15"/>
      <c r="IS251" s="15"/>
      <c r="IU251" s="15"/>
      <c r="IV251" s="49"/>
      <c r="IW251" s="49"/>
      <c r="IX251" s="49"/>
      <c r="IY251" s="49"/>
      <c r="IZ251" s="49"/>
      <c r="JA251" s="49"/>
      <c r="JB251" s="15"/>
      <c r="JD251" s="15"/>
      <c r="JE251" s="15"/>
      <c r="JF251" s="15"/>
      <c r="JJ251" s="15"/>
      <c r="JK251" s="15"/>
      <c r="JL251" s="15"/>
      <c r="JM251" s="15"/>
    </row>
    <row r="252" spans="21:273" ht="18" customHeight="1" x14ac:dyDescent="0.2">
      <c r="U252" s="12"/>
      <c r="W252" s="12"/>
      <c r="AV252" s="13"/>
      <c r="AW252" s="13"/>
      <c r="BG252" s="13"/>
      <c r="BI252" s="13"/>
      <c r="DY252" s="12"/>
      <c r="EA252" s="12"/>
      <c r="EX252" s="13"/>
      <c r="EZ252" s="14"/>
      <c r="FA252" s="15"/>
      <c r="FB252" s="15"/>
      <c r="FC252" s="15"/>
      <c r="FD252" s="15"/>
      <c r="FE252" s="15"/>
      <c r="FF252" s="15"/>
      <c r="FG252" s="15"/>
      <c r="FH252" s="15"/>
      <c r="FI252" s="16"/>
      <c r="FL252" s="10"/>
      <c r="FN252" s="10"/>
      <c r="FP252" s="10"/>
      <c r="FR252" s="10"/>
      <c r="FT252" s="10"/>
      <c r="FU252" s="10"/>
      <c r="FV252" s="10"/>
      <c r="FW252" s="10"/>
      <c r="FX252" s="10"/>
      <c r="FY252" s="10"/>
      <c r="GA252" s="57"/>
      <c r="GB252" s="97"/>
      <c r="GC252" s="97"/>
      <c r="GD252" s="97"/>
      <c r="GE252" s="10"/>
      <c r="GF252" s="10"/>
      <c r="GG252" s="10"/>
      <c r="GK252" s="11"/>
      <c r="HA252" s="12"/>
      <c r="HC252" s="12"/>
      <c r="HZ252" s="13"/>
      <c r="IB252" s="14"/>
      <c r="IC252" s="15"/>
      <c r="ID252" s="15"/>
      <c r="IE252" s="15"/>
      <c r="IF252" s="15"/>
      <c r="IG252" s="15"/>
      <c r="IH252" s="15"/>
      <c r="II252" s="15"/>
      <c r="IJ252" s="15"/>
      <c r="IK252" s="16"/>
      <c r="IN252" s="10"/>
      <c r="IP252" s="10"/>
      <c r="IR252" s="10"/>
      <c r="IT252" s="10"/>
      <c r="IV252" s="10"/>
      <c r="IW252" s="10"/>
      <c r="IX252" s="10"/>
      <c r="IY252" s="10"/>
      <c r="IZ252" s="10"/>
      <c r="JA252" s="10"/>
      <c r="JC252" s="57"/>
      <c r="JD252" s="97"/>
      <c r="JE252" s="97"/>
      <c r="JF252" s="97"/>
      <c r="JG252" s="10"/>
      <c r="JH252" s="10"/>
      <c r="JI252" s="10"/>
      <c r="JM252" s="11"/>
    </row>
    <row r="253" spans="21:273" ht="18" customHeight="1" x14ac:dyDescent="0.2">
      <c r="U253" s="12"/>
      <c r="W253" s="12"/>
      <c r="AV253" s="13"/>
      <c r="AW253" s="13"/>
      <c r="BG253" s="13"/>
      <c r="BI253" s="13"/>
      <c r="DY253" s="12"/>
      <c r="EA253" s="12"/>
      <c r="EX253" s="13"/>
      <c r="EY253" s="13"/>
      <c r="FI253" s="15"/>
      <c r="FJ253" s="14"/>
      <c r="FK253" s="15"/>
      <c r="FM253" s="15"/>
      <c r="FO253" s="15"/>
      <c r="FQ253" s="15"/>
      <c r="FS253" s="15"/>
      <c r="FZ253" s="15"/>
      <c r="GA253" s="97"/>
      <c r="GB253" s="60"/>
      <c r="GC253" s="60"/>
      <c r="GD253" s="60"/>
      <c r="GK253" s="13"/>
      <c r="HA253" s="12"/>
      <c r="HC253" s="12"/>
      <c r="HZ253" s="13"/>
      <c r="IA253" s="13"/>
      <c r="IC253" s="127"/>
      <c r="ID253" s="127"/>
      <c r="IE253" s="127"/>
      <c r="IF253" s="127"/>
      <c r="IG253" s="127"/>
      <c r="IK253" s="15"/>
      <c r="IL253" s="14"/>
      <c r="IM253" s="15"/>
      <c r="IO253" s="15"/>
      <c r="IQ253" s="15"/>
      <c r="IS253" s="15"/>
      <c r="IU253" s="15"/>
      <c r="JB253" s="15"/>
      <c r="JC253" s="97"/>
      <c r="JD253" s="60"/>
      <c r="JE253" s="60"/>
      <c r="JF253" s="60"/>
      <c r="JM253" s="13"/>
    </row>
    <row r="254" spans="21:273" ht="18" customHeight="1" x14ac:dyDescent="0.2">
      <c r="U254" s="12"/>
      <c r="W254" s="12"/>
      <c r="AV254" s="13"/>
      <c r="AW254" s="13"/>
      <c r="BG254" s="13"/>
      <c r="BI254" s="13"/>
      <c r="BK254" s="15"/>
      <c r="BM254" s="15"/>
      <c r="BO254" s="15"/>
      <c r="BQ254" s="15"/>
      <c r="BS254" s="15"/>
      <c r="BT254" s="15"/>
      <c r="BU254" s="15"/>
      <c r="BV254" s="15"/>
      <c r="BW254" s="15"/>
      <c r="BX254" s="15"/>
      <c r="BY254" s="15"/>
      <c r="BZ254" s="15"/>
      <c r="CA254" s="15"/>
      <c r="CB254" s="15"/>
      <c r="CC254" s="15"/>
      <c r="CD254" s="15"/>
      <c r="CE254" s="15"/>
      <c r="CF254" s="15"/>
      <c r="DY254" s="12"/>
      <c r="EA254" s="12"/>
      <c r="EX254" s="13"/>
      <c r="EY254" s="13"/>
      <c r="EZ254" s="10"/>
      <c r="FA254" s="10"/>
      <c r="FB254" s="10"/>
      <c r="FC254" s="10"/>
      <c r="FD254" s="10"/>
      <c r="FE254" s="10"/>
      <c r="FF254" s="10"/>
      <c r="FG254" s="10"/>
      <c r="FH254" s="10"/>
      <c r="FI254" s="10"/>
      <c r="FJ254" s="10"/>
      <c r="FK254" s="10"/>
      <c r="FL254" s="10"/>
      <c r="FM254" s="10"/>
      <c r="FN254" s="10"/>
      <c r="FO254" s="10"/>
      <c r="FP254" s="10"/>
      <c r="FQ254" s="10"/>
      <c r="FR254" s="10"/>
      <c r="FS254" s="10"/>
      <c r="FT254" s="10"/>
      <c r="FU254" s="10"/>
      <c r="FV254" s="10"/>
      <c r="FW254" s="10"/>
      <c r="FX254" s="10"/>
      <c r="FY254" s="10"/>
      <c r="FZ254" s="10"/>
      <c r="GA254" s="10"/>
      <c r="GB254" s="10"/>
      <c r="GC254" s="10"/>
      <c r="GD254" s="10"/>
      <c r="GE254" s="10"/>
      <c r="GF254" s="10"/>
      <c r="GG254" s="10"/>
      <c r="GH254" s="10"/>
      <c r="GI254" s="11"/>
      <c r="GK254" s="13"/>
      <c r="HA254" s="12"/>
      <c r="HC254" s="12"/>
      <c r="HZ254" s="13"/>
      <c r="IA254" s="13"/>
      <c r="IB254" s="10"/>
      <c r="IC254" s="10"/>
      <c r="ID254" s="10"/>
      <c r="IE254" s="10"/>
      <c r="IF254" s="10"/>
      <c r="IG254" s="10"/>
      <c r="IH254" s="10"/>
      <c r="II254" s="10"/>
      <c r="IJ254" s="10"/>
      <c r="IK254" s="10"/>
      <c r="IL254" s="10"/>
      <c r="IM254" s="10"/>
      <c r="IN254" s="10"/>
      <c r="IO254" s="10"/>
      <c r="IP254" s="10"/>
      <c r="IQ254" s="10"/>
      <c r="IR254" s="10"/>
      <c r="IS254" s="10"/>
      <c r="IT254" s="10"/>
      <c r="IU254" s="10"/>
      <c r="IV254" s="10"/>
      <c r="IW254" s="10"/>
      <c r="IX254" s="10"/>
      <c r="IY254" s="10"/>
      <c r="IZ254" s="10"/>
      <c r="JA254" s="10"/>
      <c r="JB254" s="10"/>
      <c r="JC254" s="10"/>
      <c r="JD254" s="10"/>
      <c r="JE254" s="10"/>
      <c r="JF254" s="10"/>
      <c r="JG254" s="10"/>
      <c r="JH254" s="10"/>
      <c r="JI254" s="10"/>
      <c r="JJ254" s="10"/>
      <c r="JK254" s="11"/>
      <c r="JM254" s="13"/>
    </row>
    <row r="255" spans="21:273" ht="18" customHeight="1" x14ac:dyDescent="0.2">
      <c r="U255" s="12"/>
      <c r="W255" s="12"/>
      <c r="AV255" s="13"/>
      <c r="AW255" s="13"/>
      <c r="BG255" s="16"/>
      <c r="BH255" s="12"/>
      <c r="BJ255" s="10"/>
      <c r="BL255" s="10"/>
      <c r="BN255" s="10"/>
      <c r="BP255" s="10"/>
      <c r="BR255" s="10"/>
      <c r="BW255" s="20"/>
      <c r="BX255" s="21"/>
      <c r="BY255" s="21"/>
      <c r="BZ255" s="21"/>
      <c r="CA255" s="21"/>
      <c r="CB255" s="22"/>
      <c r="CF255" s="11"/>
      <c r="DY255" s="12"/>
      <c r="EA255" s="12"/>
      <c r="EX255" s="13"/>
      <c r="EY255" s="13"/>
      <c r="GI255" s="13"/>
      <c r="GK255" s="13"/>
      <c r="HA255" s="12"/>
      <c r="HC255" s="12"/>
      <c r="HZ255" s="13"/>
      <c r="IA255" s="13"/>
      <c r="JK255" s="13"/>
      <c r="JM255" s="13"/>
    </row>
    <row r="256" spans="21:273" ht="18" customHeight="1" x14ac:dyDescent="0.2">
      <c r="U256" s="12"/>
      <c r="W256" s="12"/>
      <c r="AV256" s="13"/>
      <c r="AW256" s="13"/>
      <c r="AX256" s="10"/>
      <c r="AY256" s="10"/>
      <c r="AZ256" s="10"/>
      <c r="BA256" s="10"/>
      <c r="BB256" s="10"/>
      <c r="BC256" s="10"/>
      <c r="BD256" s="10"/>
      <c r="BE256" s="10"/>
      <c r="BF256" s="10"/>
      <c r="BG256" s="15"/>
      <c r="BH256" s="14"/>
      <c r="BI256" s="15"/>
      <c r="BK256" s="15"/>
      <c r="BM256" s="15"/>
      <c r="BO256" s="15"/>
      <c r="BQ256" s="15"/>
      <c r="BS256" s="15"/>
      <c r="BT256" s="15"/>
      <c r="BU256" s="15"/>
      <c r="BV256" s="15"/>
      <c r="BW256" s="20"/>
      <c r="BX256" s="21"/>
      <c r="BY256" s="21"/>
      <c r="BZ256" s="21"/>
      <c r="CA256" s="21"/>
      <c r="CB256" s="22"/>
      <c r="CF256" s="13"/>
      <c r="DY256" s="12"/>
      <c r="EA256" s="12"/>
      <c r="EX256" s="13"/>
      <c r="EY256" s="13"/>
      <c r="GI256" s="13"/>
      <c r="GK256" s="13"/>
      <c r="HA256" s="12"/>
      <c r="HC256" s="12"/>
      <c r="HZ256" s="13"/>
      <c r="IA256" s="13"/>
      <c r="JK256" s="13"/>
      <c r="JM256" s="13"/>
    </row>
    <row r="257" spans="21:273" ht="18" customHeight="1" x14ac:dyDescent="0.2">
      <c r="U257" s="12"/>
      <c r="W257" s="12"/>
      <c r="AV257" s="13"/>
      <c r="AW257" s="13"/>
      <c r="AX257" s="10"/>
      <c r="AY257" s="10"/>
      <c r="AZ257" s="10"/>
      <c r="BA257" s="10"/>
      <c r="BB257" s="10"/>
      <c r="BC257" s="10"/>
      <c r="BD257" s="10"/>
      <c r="BE257" s="10"/>
      <c r="BF257" s="10"/>
      <c r="BG257" t="s">
        <v>45</v>
      </c>
      <c r="BH257" s="10"/>
      <c r="BI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1"/>
      <c r="CF257" s="13"/>
      <c r="DY257" s="12"/>
      <c r="EA257" s="12"/>
      <c r="EX257" s="13"/>
      <c r="EY257" s="13"/>
      <c r="GI257" s="13"/>
      <c r="GK257" s="13"/>
      <c r="HA257" s="12"/>
      <c r="HC257" s="12"/>
      <c r="HZ257" s="13"/>
      <c r="IA257" s="13"/>
      <c r="JK257" s="13"/>
      <c r="JM257" s="13"/>
    </row>
    <row r="258" spans="21:273" ht="18" customHeight="1" x14ac:dyDescent="0.2">
      <c r="U258" s="12"/>
      <c r="W258" s="12"/>
      <c r="AV258" s="13"/>
      <c r="AW258" s="13"/>
      <c r="CD258" s="13"/>
      <c r="CF258" s="13"/>
      <c r="DY258" s="12"/>
      <c r="EA258" s="12"/>
      <c r="EX258" s="13"/>
      <c r="EY258" s="13"/>
      <c r="GI258" s="13"/>
      <c r="GK258" s="13"/>
      <c r="HA258" s="12"/>
      <c r="HC258" s="12"/>
      <c r="HZ258" s="13"/>
      <c r="IA258" s="13"/>
      <c r="JK258" s="13"/>
      <c r="JM258" s="13"/>
    </row>
    <row r="259" spans="21:273" ht="18" customHeight="1" x14ac:dyDescent="0.2">
      <c r="U259" s="12"/>
      <c r="W259" s="12"/>
      <c r="AV259" s="13"/>
      <c r="AW259" s="13"/>
      <c r="CD259" s="13"/>
      <c r="CF259" s="13"/>
      <c r="DY259" s="12"/>
      <c r="EA259" s="12"/>
      <c r="EX259" s="13"/>
      <c r="EY259" s="13"/>
      <c r="GI259" s="13"/>
      <c r="GK259" s="13"/>
      <c r="GZ259" s="49"/>
      <c r="HA259" s="12"/>
      <c r="HC259" s="12"/>
      <c r="HZ259" s="13"/>
      <c r="IA259" s="13"/>
      <c r="JK259" s="13"/>
      <c r="JM259" s="13"/>
    </row>
    <row r="260" spans="21:273" ht="18" customHeight="1" x14ac:dyDescent="0.2">
      <c r="U260" s="12"/>
      <c r="W260" s="12"/>
      <c r="AV260" s="13"/>
      <c r="AW260" s="13"/>
      <c r="CD260" s="13"/>
      <c r="CF260" s="13"/>
      <c r="DY260" s="12"/>
      <c r="EA260" s="12"/>
      <c r="EX260" s="13"/>
      <c r="EY260" s="13"/>
      <c r="GI260" s="13"/>
      <c r="GK260" s="13"/>
      <c r="GZ260" s="49"/>
      <c r="HA260" s="12"/>
      <c r="HC260" s="12"/>
      <c r="HZ260" s="13"/>
      <c r="IA260" s="90"/>
      <c r="JK260" s="13"/>
      <c r="JM260" s="13"/>
    </row>
    <row r="261" spans="21:273" ht="18" customHeight="1" x14ac:dyDescent="0.2">
      <c r="U261" s="12"/>
      <c r="W261" s="12"/>
      <c r="AV261" s="13"/>
      <c r="AW261" s="13"/>
      <c r="CD261" s="13"/>
      <c r="CF261" s="13"/>
      <c r="DY261" s="12"/>
      <c r="EA261" s="12"/>
      <c r="EX261" s="13"/>
      <c r="EY261" s="13"/>
      <c r="GI261" s="13"/>
      <c r="GK261" s="13"/>
      <c r="GZ261" s="49"/>
      <c r="HA261" s="12"/>
      <c r="HC261" s="12"/>
      <c r="HZ261" s="13"/>
      <c r="IA261" s="90"/>
      <c r="JK261" s="13"/>
      <c r="JM261" s="13"/>
    </row>
    <row r="262" spans="21:273" ht="18" customHeight="1" x14ac:dyDescent="0.2">
      <c r="U262" s="12"/>
      <c r="W262" s="12"/>
      <c r="AV262" s="13"/>
      <c r="AW262" s="13"/>
      <c r="CD262" s="13"/>
      <c r="CF262" s="13"/>
      <c r="DY262" s="12"/>
      <c r="EA262" s="12"/>
      <c r="EX262" s="13"/>
      <c r="EY262" s="13"/>
      <c r="GI262" s="13"/>
      <c r="GK262" s="13"/>
      <c r="GZ262" s="49"/>
      <c r="HA262" s="12"/>
      <c r="HC262" s="12"/>
      <c r="HZ262" s="13"/>
      <c r="IA262" s="90"/>
      <c r="JK262" s="13"/>
      <c r="JM262" s="13"/>
    </row>
    <row r="263" spans="21:273" ht="18" customHeight="1" x14ac:dyDescent="0.2">
      <c r="U263" s="12"/>
      <c r="W263" s="12"/>
      <c r="AV263" s="13"/>
      <c r="AW263" s="13"/>
      <c r="CD263" s="13"/>
      <c r="CF263" s="13"/>
      <c r="DY263" s="12"/>
      <c r="EA263" s="12"/>
      <c r="EX263" s="13"/>
      <c r="EY263" s="13"/>
      <c r="GI263" s="13"/>
      <c r="GK263" s="13"/>
      <c r="GZ263" s="49"/>
      <c r="HA263" s="12"/>
      <c r="HC263" s="12"/>
      <c r="HZ263" s="13"/>
      <c r="IA263" s="90"/>
      <c r="JK263" s="13"/>
      <c r="JM263" s="13"/>
    </row>
    <row r="264" spans="21:273" ht="18" customHeight="1" x14ac:dyDescent="0.2">
      <c r="U264" s="12"/>
      <c r="W264" s="12"/>
      <c r="AV264" s="13"/>
      <c r="AW264" s="13"/>
      <c r="CD264" s="13"/>
      <c r="CF264" s="13"/>
      <c r="DY264" s="12"/>
      <c r="EA264" s="12"/>
      <c r="EX264" s="13"/>
      <c r="EY264" s="13"/>
      <c r="GI264" s="13"/>
      <c r="GK264" s="13"/>
      <c r="HA264" s="12"/>
      <c r="HC264" s="12"/>
      <c r="HZ264" s="13"/>
      <c r="IA264" s="90"/>
      <c r="JK264" s="13"/>
      <c r="JM264" s="13"/>
    </row>
    <row r="265" spans="21:273" ht="18" customHeight="1" x14ac:dyDescent="0.2">
      <c r="U265" s="12"/>
      <c r="W265" s="12"/>
      <c r="AV265" s="13"/>
      <c r="AW265" s="13"/>
      <c r="CD265" s="13"/>
      <c r="CF265" s="13"/>
      <c r="DY265" s="12"/>
      <c r="EA265" s="12"/>
      <c r="EX265" s="13"/>
      <c r="EY265" s="13"/>
      <c r="GI265" s="13"/>
      <c r="GK265" s="13"/>
      <c r="HA265" s="12"/>
      <c r="HC265" s="12"/>
      <c r="HZ265" s="13"/>
      <c r="IA265" s="90"/>
      <c r="JK265" s="13"/>
      <c r="JM265" s="13"/>
    </row>
    <row r="266" spans="21:273" ht="18" customHeight="1" x14ac:dyDescent="0.2">
      <c r="U266" s="12"/>
      <c r="W266" s="12"/>
      <c r="AV266" s="13"/>
      <c r="AW266" s="13"/>
      <c r="CD266" s="13"/>
      <c r="CF266" s="13"/>
      <c r="DY266" s="12"/>
      <c r="EA266" s="14"/>
      <c r="EB266" s="15"/>
      <c r="EC266" s="15"/>
      <c r="EX266" s="13"/>
      <c r="EY266" s="13"/>
      <c r="GI266" s="13"/>
      <c r="GK266" s="13"/>
      <c r="HA266" s="12"/>
      <c r="HC266" s="14"/>
      <c r="HD266" s="15"/>
      <c r="HE266" s="15"/>
      <c r="HZ266" s="13"/>
      <c r="IA266" s="13"/>
      <c r="JK266" s="13"/>
      <c r="JM266" s="13"/>
    </row>
    <row r="267" spans="21:273" ht="18" customHeight="1" x14ac:dyDescent="0.2">
      <c r="U267" s="12"/>
      <c r="W267" s="12"/>
      <c r="AV267" s="13"/>
      <c r="AW267" s="13"/>
      <c r="CD267" s="13"/>
      <c r="CF267" s="13"/>
      <c r="DY267" s="96"/>
      <c r="DZ267" s="97"/>
      <c r="EA267" s="9"/>
      <c r="EB267" s="92"/>
      <c r="EC267" s="92"/>
      <c r="ED267" s="92"/>
      <c r="EE267" s="92"/>
      <c r="EF267" s="92"/>
      <c r="EG267" s="10"/>
      <c r="EH267" s="10"/>
      <c r="EI267" s="10"/>
      <c r="EJ267" s="10"/>
      <c r="EK267" s="10"/>
      <c r="EL267" s="10"/>
      <c r="EM267" s="10"/>
      <c r="EN267" s="10"/>
      <c r="EO267" s="10"/>
      <c r="EP267" s="10"/>
      <c r="EQ267" s="10"/>
      <c r="ER267" s="10"/>
      <c r="ES267" s="57"/>
      <c r="ET267" s="212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2"/>
      <c r="FK267" s="213"/>
      <c r="GI267" s="13"/>
      <c r="GJ267" s="97"/>
      <c r="GK267" s="98"/>
      <c r="HA267" s="96"/>
      <c r="HB267" s="97"/>
      <c r="HC267" s="9"/>
      <c r="HD267" s="92"/>
      <c r="HE267" s="92"/>
      <c r="HF267" s="92"/>
      <c r="HG267" s="92"/>
      <c r="HH267" s="92"/>
      <c r="HI267" s="10"/>
      <c r="HJ267" s="10"/>
      <c r="HK267" s="10"/>
      <c r="HL267" s="10"/>
      <c r="HM267" s="10"/>
      <c r="HN267" s="10"/>
      <c r="HO267" s="10"/>
      <c r="HP267" s="10"/>
      <c r="HQ267" s="10"/>
      <c r="HR267" s="10"/>
      <c r="HS267" s="10"/>
      <c r="HT267" s="10"/>
      <c r="HU267" s="57"/>
      <c r="HV267" s="212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2"/>
      <c r="IM267" s="213"/>
      <c r="JK267" s="13"/>
      <c r="JL267" s="97"/>
      <c r="JM267" s="98"/>
    </row>
    <row r="268" spans="21:273" ht="18" customHeight="1" x14ac:dyDescent="0.2">
      <c r="U268" s="12"/>
      <c r="W268" s="12"/>
      <c r="AV268" s="13"/>
      <c r="AW268" s="13"/>
      <c r="CD268" s="13"/>
      <c r="CF268" s="13"/>
      <c r="DY268" s="96"/>
      <c r="DZ268" s="97"/>
      <c r="EA268" s="9"/>
      <c r="EB268" s="10"/>
      <c r="EC268" s="10"/>
      <c r="ED268" s="10"/>
      <c r="EE268" s="10"/>
      <c r="EF268" s="10"/>
      <c r="EG268" s="10"/>
      <c r="EH268" s="10"/>
      <c r="EI268" s="10"/>
      <c r="EJ268" s="10"/>
      <c r="EK268" s="10"/>
      <c r="EL268" s="10"/>
      <c r="EM268" s="10"/>
      <c r="EN268" s="10"/>
      <c r="EO268" s="10"/>
      <c r="EP268" s="10"/>
      <c r="EQ268" s="10"/>
      <c r="ER268" s="10"/>
      <c r="ES268" s="58"/>
      <c r="ET268" s="97"/>
      <c r="EU268" s="12"/>
      <c r="FJ268" s="98"/>
      <c r="FK268" s="97"/>
      <c r="FL268" s="12"/>
      <c r="GI268" s="13"/>
      <c r="GJ268" s="97"/>
      <c r="GK268" s="98"/>
      <c r="HA268" s="96"/>
      <c r="HB268" s="97"/>
      <c r="HC268" s="9"/>
      <c r="HD268" s="10"/>
      <c r="HE268" s="10"/>
      <c r="HF268" s="10"/>
      <c r="HG268" s="10"/>
      <c r="HH268" s="10"/>
      <c r="HI268" s="10"/>
      <c r="HJ268" s="10"/>
      <c r="HK268" s="10"/>
      <c r="HL268" s="10"/>
      <c r="HM268" s="10"/>
      <c r="HN268" s="10"/>
      <c r="HO268" s="10"/>
      <c r="HP268" s="10"/>
      <c r="HQ268" s="10"/>
      <c r="HR268" s="10"/>
      <c r="HS268" s="10"/>
      <c r="HT268" s="10"/>
      <c r="HU268" s="58"/>
      <c r="HV268" s="97"/>
      <c r="HW268" s="12"/>
      <c r="IL268" s="98"/>
      <c r="IM268" s="97"/>
      <c r="IN268" s="12"/>
      <c r="JK268" s="13"/>
      <c r="JL268" s="97"/>
      <c r="JM268" s="98"/>
    </row>
    <row r="269" spans="21:273" ht="18" customHeight="1" x14ac:dyDescent="0.2">
      <c r="U269" s="12"/>
      <c r="W269" s="12"/>
      <c r="AV269" s="13"/>
      <c r="AW269" s="13"/>
      <c r="CD269" s="13"/>
      <c r="CF269" s="13"/>
      <c r="DY269" s="96"/>
      <c r="DZ269" s="97"/>
      <c r="EA269" s="12"/>
      <c r="ES269" s="98"/>
      <c r="ET269" s="97"/>
      <c r="EU269" s="12"/>
      <c r="FJ269" s="98"/>
      <c r="FK269" s="98"/>
      <c r="GI269" s="13"/>
      <c r="GJ269" s="97"/>
      <c r="GK269" s="98"/>
      <c r="HA269" s="96"/>
      <c r="HB269" s="97"/>
      <c r="HC269" s="12"/>
      <c r="HU269" s="98"/>
      <c r="HV269" s="97"/>
      <c r="HW269" s="12"/>
      <c r="IL269" s="98"/>
      <c r="IM269" s="98"/>
      <c r="JK269" s="13"/>
      <c r="JL269" s="97"/>
      <c r="JM269" s="98"/>
    </row>
    <row r="270" spans="21:273" ht="18" customHeight="1" x14ac:dyDescent="0.2">
      <c r="U270" s="12"/>
      <c r="W270" s="20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2"/>
      <c r="CD270" s="13"/>
      <c r="CF270" s="13"/>
      <c r="DY270" s="96"/>
      <c r="DZ270" s="97"/>
      <c r="EA270" s="12"/>
      <c r="ES270" s="98"/>
      <c r="ET270" s="97"/>
      <c r="EU270" s="12"/>
      <c r="FJ270" s="98"/>
      <c r="FK270" s="98"/>
      <c r="GI270" s="13"/>
      <c r="GJ270" s="97"/>
      <c r="GK270" s="98"/>
      <c r="GZ270" s="49"/>
      <c r="HA270" s="96"/>
      <c r="HB270" s="97"/>
      <c r="HC270" s="12"/>
      <c r="HU270" s="98"/>
      <c r="HV270" s="97"/>
      <c r="HW270" s="12"/>
      <c r="IL270" s="98"/>
      <c r="IM270" s="98"/>
      <c r="JK270" s="13"/>
      <c r="JL270" s="97"/>
      <c r="JM270" s="98"/>
    </row>
    <row r="271" spans="21:273" ht="18" customHeight="1" x14ac:dyDescent="0.2">
      <c r="U271" s="12"/>
      <c r="W271" s="12"/>
      <c r="AG271" s="12"/>
      <c r="AN271" s="13"/>
      <c r="AP271" s="12"/>
      <c r="BE271" s="13"/>
      <c r="BG271" s="12"/>
      <c r="CD271" s="13"/>
      <c r="CF271" s="13"/>
      <c r="DY271" s="12"/>
      <c r="EA271" s="12"/>
      <c r="ES271" s="13"/>
      <c r="EU271" s="12"/>
      <c r="FJ271" s="13"/>
      <c r="FK271" s="13"/>
      <c r="GI271" s="13"/>
      <c r="GK271" s="13"/>
      <c r="GZ271" s="49"/>
      <c r="HA271" s="12"/>
      <c r="HC271" s="12"/>
      <c r="HU271" s="13"/>
      <c r="HW271" s="12"/>
      <c r="IL271" s="13"/>
      <c r="IM271" s="13"/>
      <c r="JK271" s="13"/>
      <c r="JM271" s="13"/>
    </row>
    <row r="272" spans="21:273" ht="18" customHeight="1" x14ac:dyDescent="0.2">
      <c r="U272" s="12"/>
      <c r="W272" s="12"/>
      <c r="AG272" s="12"/>
      <c r="AN272" s="13"/>
      <c r="AP272" s="9"/>
      <c r="AQ272" s="11"/>
      <c r="BE272" s="13"/>
      <c r="BF272" s="13"/>
      <c r="CD272" s="13"/>
      <c r="CF272" s="13"/>
      <c r="DY272" s="12"/>
      <c r="EA272" s="12"/>
      <c r="ES272" s="13"/>
      <c r="EU272" s="12"/>
      <c r="EY272" s="9"/>
      <c r="EZ272" s="10"/>
      <c r="FA272" s="10"/>
      <c r="FB272" s="10"/>
      <c r="FC272" s="10"/>
      <c r="FD272" s="10"/>
      <c r="FE272" s="10"/>
      <c r="FF272" s="11"/>
      <c r="FJ272" s="13"/>
      <c r="FK272" s="13"/>
      <c r="GI272" s="13"/>
      <c r="GK272" s="13"/>
      <c r="GZ272" s="49"/>
      <c r="HA272" s="12"/>
      <c r="HC272" s="12"/>
      <c r="HU272" s="13"/>
      <c r="HW272" s="12"/>
      <c r="IA272" s="9"/>
      <c r="IB272" s="10"/>
      <c r="IC272" s="10"/>
      <c r="ID272" s="10"/>
      <c r="IE272" s="10"/>
      <c r="IF272" s="10"/>
      <c r="IG272" s="10"/>
      <c r="IH272" s="11"/>
      <c r="IL272" s="13"/>
      <c r="IM272" s="13"/>
      <c r="JK272" s="13"/>
      <c r="JM272" s="13"/>
    </row>
    <row r="273" spans="21:274" ht="18" customHeight="1" x14ac:dyDescent="0.2">
      <c r="U273" s="12"/>
      <c r="W273" s="12"/>
      <c r="AG273" s="12"/>
      <c r="AN273" s="13"/>
      <c r="AP273" s="12"/>
      <c r="AQ273" s="13"/>
      <c r="BE273" s="13"/>
      <c r="BF273" s="13"/>
      <c r="BG273" s="9"/>
      <c r="BH273" s="10"/>
      <c r="BI273" s="10"/>
      <c r="BJ273" s="10"/>
      <c r="BK273" s="10"/>
      <c r="BL273" s="11"/>
      <c r="CD273" s="13"/>
      <c r="CF273" s="13"/>
      <c r="DY273" s="12"/>
      <c r="EA273" s="12"/>
      <c r="ES273" s="13"/>
      <c r="EU273" s="12"/>
      <c r="EY273" s="12"/>
      <c r="FF273" s="13"/>
      <c r="FJ273" s="13"/>
      <c r="FK273" s="13"/>
      <c r="GI273" s="13"/>
      <c r="GK273" s="13"/>
      <c r="GZ273" s="49"/>
      <c r="HA273" s="12"/>
      <c r="HC273" s="12"/>
      <c r="HU273" s="13"/>
      <c r="HW273" s="12"/>
      <c r="IA273" s="12"/>
      <c r="IH273" s="13"/>
      <c r="IL273" s="13"/>
      <c r="IM273" s="13"/>
      <c r="JK273" s="13"/>
      <c r="JM273" s="13"/>
    </row>
    <row r="274" spans="21:274" ht="18" customHeight="1" x14ac:dyDescent="0.2">
      <c r="U274" s="12"/>
      <c r="W274" s="12"/>
      <c r="AG274" s="12"/>
      <c r="AN274" s="13"/>
      <c r="AP274" s="12"/>
      <c r="AQ274" s="13"/>
      <c r="BE274" s="13"/>
      <c r="BF274" s="13"/>
      <c r="BG274" s="12"/>
      <c r="BL274" s="13"/>
      <c r="CD274" s="13"/>
      <c r="CF274" s="13"/>
      <c r="DY274" s="12"/>
      <c r="EA274" s="12"/>
      <c r="ES274" s="13"/>
      <c r="EU274" s="12"/>
      <c r="EY274" s="12"/>
      <c r="FF274" s="13"/>
      <c r="FJ274" s="13"/>
      <c r="FK274" s="13"/>
      <c r="GI274" s="13"/>
      <c r="GK274" s="13"/>
      <c r="HA274" s="12"/>
      <c r="HC274" s="12"/>
      <c r="HU274" s="13"/>
      <c r="HW274" s="12"/>
      <c r="IA274" s="12"/>
      <c r="IH274" s="13"/>
      <c r="IL274" s="13"/>
      <c r="IM274" s="13"/>
      <c r="JK274" s="13"/>
      <c r="JM274" s="13"/>
    </row>
    <row r="275" spans="21:274" ht="18" customHeight="1" x14ac:dyDescent="0.2">
      <c r="U275" s="12"/>
      <c r="W275" s="12"/>
      <c r="AG275" s="12"/>
      <c r="AN275" s="13"/>
      <c r="AP275" s="12"/>
      <c r="AQ275" s="13"/>
      <c r="AT275" s="9"/>
      <c r="AU275" s="10"/>
      <c r="AV275" s="10"/>
      <c r="AW275" s="10"/>
      <c r="AX275" s="10"/>
      <c r="AY275" s="10"/>
      <c r="AZ275" s="10"/>
      <c r="BA275" s="11"/>
      <c r="BE275" s="13"/>
      <c r="BF275" s="13"/>
      <c r="BG275" s="12"/>
      <c r="BL275" s="13"/>
      <c r="CD275" s="13"/>
      <c r="CF275" s="13"/>
      <c r="DY275" s="12"/>
      <c r="EA275" s="12"/>
      <c r="ES275" s="13"/>
      <c r="EU275" s="12"/>
      <c r="EY275" s="12"/>
      <c r="FF275" s="13"/>
      <c r="FJ275" s="13"/>
      <c r="FK275" s="13"/>
      <c r="GI275" s="13"/>
      <c r="GK275" s="13"/>
      <c r="HA275" s="12"/>
      <c r="HC275" s="12"/>
      <c r="HU275" s="13"/>
      <c r="HW275" s="12"/>
      <c r="IA275" s="12"/>
      <c r="IH275" s="13"/>
      <c r="IL275" s="13"/>
      <c r="IM275" s="13"/>
      <c r="JK275" s="13"/>
      <c r="JM275" s="13"/>
    </row>
    <row r="276" spans="21:274" ht="18" customHeight="1" x14ac:dyDescent="0.2">
      <c r="U276" s="12"/>
      <c r="W276" s="9"/>
      <c r="X276" s="10"/>
      <c r="Y276" s="10"/>
      <c r="Z276" s="10"/>
      <c r="AA276" s="10"/>
      <c r="AB276" s="9"/>
      <c r="AC276" s="10"/>
      <c r="AD276" s="10"/>
      <c r="AE276" s="10"/>
      <c r="AF276" s="11"/>
      <c r="AG276" s="12"/>
      <c r="AN276" s="13"/>
      <c r="AP276" s="12"/>
      <c r="AQ276" s="13"/>
      <c r="AT276" s="12"/>
      <c r="BA276" s="13"/>
      <c r="BE276" s="13"/>
      <c r="BF276" s="13"/>
      <c r="BG276" s="12"/>
      <c r="BL276" s="13"/>
      <c r="CD276" s="13"/>
      <c r="CF276" s="13"/>
      <c r="DY276" s="12"/>
      <c r="EA276" s="12"/>
      <c r="ES276" s="13"/>
      <c r="EU276" s="12"/>
      <c r="EY276" s="12"/>
      <c r="FF276" s="13"/>
      <c r="FJ276" s="13"/>
      <c r="FK276" s="13"/>
      <c r="GI276" s="13"/>
      <c r="GK276" s="13"/>
      <c r="GL276" s="12"/>
      <c r="HA276" s="12"/>
      <c r="HC276" s="12"/>
      <c r="HU276" s="13"/>
      <c r="HW276" s="12"/>
      <c r="IA276" s="12"/>
      <c r="IH276" s="13"/>
      <c r="IL276" s="13"/>
      <c r="IM276" s="13"/>
      <c r="JK276" s="13"/>
      <c r="JM276" s="13"/>
      <c r="JN276" s="12"/>
    </row>
    <row r="277" spans="21:274" ht="18" customHeight="1" x14ac:dyDescent="0.2">
      <c r="U277" s="12"/>
      <c r="W277" s="12"/>
      <c r="AB277" s="12"/>
      <c r="AF277" s="13"/>
      <c r="AG277" s="12"/>
      <c r="AN277" s="13"/>
      <c r="AP277" s="14"/>
      <c r="AQ277" s="16"/>
      <c r="AT277" s="12"/>
      <c r="BA277" s="13"/>
      <c r="BE277" s="13"/>
      <c r="BF277" s="13"/>
      <c r="BG277" s="12"/>
      <c r="BL277" s="13"/>
      <c r="CD277" s="13"/>
      <c r="CF277" s="13"/>
      <c r="DY277" s="12"/>
      <c r="EA277" s="14"/>
      <c r="EB277" s="15"/>
      <c r="EC277" s="15"/>
      <c r="ED277" s="15"/>
      <c r="EE277" s="15"/>
      <c r="EF277" s="15"/>
      <c r="EG277" s="15"/>
      <c r="EH277" s="15"/>
      <c r="EI277" s="15"/>
      <c r="EJ277" s="15"/>
      <c r="EK277" s="15"/>
      <c r="EL277" s="15"/>
      <c r="EM277" s="15"/>
      <c r="EN277" s="15"/>
      <c r="EO277" s="15"/>
      <c r="EP277" s="15"/>
      <c r="EQ277" s="15"/>
      <c r="ER277" s="15"/>
      <c r="ES277" s="16"/>
      <c r="ET277" s="15"/>
      <c r="EU277" s="12"/>
      <c r="EY277" s="12"/>
      <c r="FF277" s="13"/>
      <c r="FJ277" s="13"/>
      <c r="FK277" s="13"/>
      <c r="GI277" s="13"/>
      <c r="GK277" s="13"/>
      <c r="GL277" s="12"/>
      <c r="HA277" s="12"/>
      <c r="HC277" s="14"/>
      <c r="HD277" s="15"/>
      <c r="HE277" s="15"/>
      <c r="HF277" s="15"/>
      <c r="HG277" s="15"/>
      <c r="HH277" s="15"/>
      <c r="HI277" s="15"/>
      <c r="HJ277" s="15"/>
      <c r="HK277" s="15"/>
      <c r="HL277" s="15"/>
      <c r="HM277" s="15"/>
      <c r="HN277" s="15"/>
      <c r="HO277" s="15"/>
      <c r="HP277" s="15"/>
      <c r="HQ277" s="15"/>
      <c r="HR277" s="15"/>
      <c r="HS277" s="15"/>
      <c r="HT277" s="15"/>
      <c r="HU277" s="16"/>
      <c r="HV277" s="15"/>
      <c r="HW277" s="12"/>
      <c r="IA277" s="12"/>
      <c r="IH277" s="13"/>
      <c r="IL277" s="13"/>
      <c r="IM277" s="13"/>
      <c r="JK277" s="13"/>
      <c r="JM277" s="13"/>
      <c r="JN277" s="12"/>
    </row>
    <row r="278" spans="21:274" ht="18" customHeight="1" x14ac:dyDescent="0.2">
      <c r="U278" s="12"/>
      <c r="W278" s="12"/>
      <c r="AB278" s="12"/>
      <c r="AF278" s="13"/>
      <c r="AG278" s="12"/>
      <c r="AN278" s="13"/>
      <c r="AP278" s="12"/>
      <c r="AT278" s="12"/>
      <c r="BA278" s="13"/>
      <c r="BE278" s="13"/>
      <c r="BF278" s="13"/>
      <c r="BG278" s="12"/>
      <c r="BL278" s="13"/>
      <c r="CD278" s="13"/>
      <c r="CF278" s="13"/>
      <c r="DY278" s="12"/>
      <c r="EE278" s="97"/>
      <c r="EF278" s="97"/>
      <c r="EG278" s="97"/>
      <c r="EH278" s="97"/>
      <c r="ET278" s="10"/>
      <c r="EU278" s="12"/>
      <c r="EY278" s="12"/>
      <c r="FF278" s="13"/>
      <c r="FJ278" s="13"/>
      <c r="FK278" s="13"/>
      <c r="GI278" s="13"/>
      <c r="GK278" s="13"/>
      <c r="GL278" s="12"/>
      <c r="HA278" s="12"/>
      <c r="HG278" s="97"/>
      <c r="HH278" s="97"/>
      <c r="HI278" s="97"/>
      <c r="HJ278" s="97"/>
      <c r="HV278" s="10"/>
      <c r="HW278" s="12"/>
      <c r="IA278" s="12"/>
      <c r="IH278" s="13"/>
      <c r="IL278" s="13"/>
      <c r="IM278" s="13"/>
      <c r="JK278" s="13"/>
      <c r="JM278" s="13"/>
      <c r="JN278" s="12"/>
    </row>
    <row r="279" spans="21:274" ht="18" customHeight="1" x14ac:dyDescent="0.2">
      <c r="U279" s="12"/>
      <c r="W279" s="12"/>
      <c r="AB279" s="12"/>
      <c r="AF279" s="13"/>
      <c r="AG279" s="12"/>
      <c r="AN279" s="13"/>
      <c r="AP279" s="9"/>
      <c r="AQ279" s="11"/>
      <c r="AT279" s="12"/>
      <c r="BA279" s="13"/>
      <c r="BE279" s="13"/>
      <c r="BF279" s="13"/>
      <c r="BG279" s="12"/>
      <c r="BL279" s="13"/>
      <c r="CD279" s="13"/>
      <c r="CF279" s="13"/>
      <c r="CG279" s="12"/>
      <c r="DY279" s="14"/>
      <c r="DZ279" s="15"/>
      <c r="EA279" s="15"/>
      <c r="EB279" s="15"/>
      <c r="EC279" s="15"/>
      <c r="ED279" s="15"/>
      <c r="EE279" s="60"/>
      <c r="EF279" s="60"/>
      <c r="EG279" s="97"/>
      <c r="EH279" s="60"/>
      <c r="EU279" s="12"/>
      <c r="EY279" s="12"/>
      <c r="FF279" s="13"/>
      <c r="FJ279" s="13"/>
      <c r="FK279" s="13"/>
      <c r="GI279" s="13"/>
      <c r="GK279" s="13"/>
      <c r="GL279" s="12"/>
      <c r="HA279" s="14"/>
      <c r="HB279" s="15"/>
      <c r="HC279" s="15"/>
      <c r="HD279" s="15"/>
      <c r="HE279" s="15"/>
      <c r="HF279" s="15"/>
      <c r="HG279" s="60"/>
      <c r="HH279" s="60"/>
      <c r="HI279" s="97"/>
      <c r="HJ279" s="60"/>
      <c r="HW279" s="12"/>
      <c r="IA279" s="12"/>
      <c r="IH279" s="13"/>
      <c r="IL279" s="13"/>
      <c r="IM279" s="13"/>
      <c r="JK279" s="13"/>
      <c r="JM279" s="13"/>
      <c r="JN279" s="12"/>
    </row>
    <row r="280" spans="21:274" ht="18" customHeight="1" x14ac:dyDescent="0.2">
      <c r="U280" s="12"/>
      <c r="W280" s="14"/>
      <c r="X280" s="15"/>
      <c r="Y280" s="15"/>
      <c r="Z280" s="15"/>
      <c r="AA280" s="15"/>
      <c r="AB280" s="14"/>
      <c r="AC280" s="15"/>
      <c r="AD280" s="15"/>
      <c r="AE280" s="15"/>
      <c r="AF280" s="16"/>
      <c r="AG280" s="14"/>
      <c r="AH280" s="15"/>
      <c r="AI280" s="15"/>
      <c r="AJ280" s="15"/>
      <c r="AK280" s="15"/>
      <c r="AL280" s="15"/>
      <c r="AM280" s="15"/>
      <c r="AN280" s="16"/>
      <c r="AO280" s="15"/>
      <c r="AP280" s="12"/>
      <c r="AQ280" s="13"/>
      <c r="AT280" s="12"/>
      <c r="BA280" s="13"/>
      <c r="BE280" s="13"/>
      <c r="BF280" s="13"/>
      <c r="BG280" s="12"/>
      <c r="BL280" s="13"/>
      <c r="CD280" s="13"/>
      <c r="CF280" s="13"/>
      <c r="CG280" s="12"/>
      <c r="EE280" s="10"/>
      <c r="EF280" s="10"/>
      <c r="EG280" s="10"/>
      <c r="EH280" s="10"/>
      <c r="EI280" s="10"/>
      <c r="EJ280" s="10"/>
      <c r="EK280" s="10"/>
      <c r="EL280" s="10"/>
      <c r="EM280" s="10"/>
      <c r="EN280" s="10"/>
      <c r="EO280" s="10"/>
      <c r="EP280" s="10"/>
      <c r="EQ280" s="10"/>
      <c r="ER280" s="11"/>
      <c r="ES280" s="12"/>
      <c r="EU280" s="12"/>
      <c r="EY280" s="12"/>
      <c r="FF280" s="13"/>
      <c r="FJ280" s="13"/>
      <c r="FK280" s="13"/>
      <c r="GI280" s="13"/>
      <c r="GK280" s="13"/>
      <c r="GL280" s="12"/>
      <c r="HG280" s="10"/>
      <c r="HH280" s="10"/>
      <c r="HI280" s="10"/>
      <c r="HJ280" s="10"/>
      <c r="HK280" s="10"/>
      <c r="HL280" s="10"/>
      <c r="HM280" s="10"/>
      <c r="HN280" s="10"/>
      <c r="HO280" s="10"/>
      <c r="HP280" s="10"/>
      <c r="HQ280" s="10"/>
      <c r="HR280" s="10"/>
      <c r="HS280" s="10"/>
      <c r="HT280" s="11"/>
      <c r="HU280" s="12"/>
      <c r="HW280" s="12"/>
      <c r="IA280" s="12"/>
      <c r="IH280" s="13"/>
      <c r="IL280" s="13"/>
      <c r="IM280" s="13"/>
      <c r="JK280" s="13"/>
      <c r="JM280" s="13"/>
      <c r="JN280" s="12"/>
    </row>
    <row r="281" spans="21:274" ht="18" customHeight="1" x14ac:dyDescent="0.2">
      <c r="U281" s="12"/>
      <c r="AI281" s="10"/>
      <c r="AJ281" s="10"/>
      <c r="AK281" s="10"/>
      <c r="AL281" s="10"/>
      <c r="AM281" s="10"/>
      <c r="AN281" s="10"/>
      <c r="AO281" s="10"/>
      <c r="AP281" s="12"/>
      <c r="AQ281" s="13"/>
      <c r="AT281" s="12"/>
      <c r="BA281" s="13"/>
      <c r="BE281" s="13"/>
      <c r="BF281" s="13"/>
      <c r="BG281" s="12"/>
      <c r="BL281" s="13"/>
      <c r="CD281" s="13"/>
      <c r="CF281" s="13"/>
      <c r="CG281" s="12"/>
      <c r="ES281" s="12"/>
      <c r="EU281" s="12"/>
      <c r="EY281" s="12"/>
      <c r="FF281" s="13"/>
      <c r="FJ281" s="13"/>
      <c r="FK281" s="13"/>
      <c r="GI281" s="13"/>
      <c r="GK281" s="13"/>
      <c r="GL281" s="12"/>
      <c r="HU281" s="12"/>
      <c r="HW281" s="12"/>
      <c r="IA281" s="12"/>
      <c r="IH281" s="13"/>
      <c r="IL281" s="13"/>
      <c r="IM281" s="13"/>
      <c r="JK281" s="13"/>
      <c r="JM281" s="13"/>
      <c r="JN281" s="12"/>
    </row>
    <row r="282" spans="21:274" ht="18" customHeight="1" x14ac:dyDescent="0.2">
      <c r="U282" s="14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G282" s="15"/>
      <c r="AP282" s="12"/>
      <c r="AQ282" s="13"/>
      <c r="AT282" s="12"/>
      <c r="BA282" s="13"/>
      <c r="BE282" s="13"/>
      <c r="BF282" s="13"/>
      <c r="BG282" s="12"/>
      <c r="BL282" s="13"/>
      <c r="CD282" s="13"/>
      <c r="CF282" s="13"/>
      <c r="CG282" s="12"/>
      <c r="ES282" s="12"/>
      <c r="EU282" s="12"/>
      <c r="EY282" s="12"/>
      <c r="FF282" s="13"/>
      <c r="FJ282" s="13"/>
      <c r="FK282" s="13"/>
      <c r="GI282" s="13"/>
      <c r="GK282" s="13"/>
      <c r="GL282" s="12"/>
      <c r="HU282" s="12"/>
      <c r="HW282" s="12"/>
      <c r="IA282" s="12"/>
      <c r="IH282" s="13"/>
      <c r="IL282" s="13"/>
      <c r="IM282" s="13"/>
      <c r="JK282" s="13"/>
      <c r="JM282" s="13"/>
      <c r="JN282" s="12"/>
    </row>
    <row r="283" spans="21:274" ht="18" customHeight="1" x14ac:dyDescent="0.2">
      <c r="AD283" s="10"/>
      <c r="AE283" s="10"/>
      <c r="AF283" s="10"/>
      <c r="AG283" s="10"/>
      <c r="AH283" s="10"/>
      <c r="AI283" s="10"/>
      <c r="AJ283" s="10"/>
      <c r="AK283" s="10"/>
      <c r="AL283" s="10"/>
      <c r="AM283" s="11"/>
      <c r="AN283" s="12"/>
      <c r="AP283" s="12"/>
      <c r="AQ283" s="13"/>
      <c r="AT283" s="12"/>
      <c r="BA283" s="13"/>
      <c r="BE283" s="13"/>
      <c r="BF283" s="13"/>
      <c r="BG283" s="12"/>
      <c r="BL283" s="13"/>
      <c r="CD283" s="13"/>
      <c r="CF283" s="13"/>
      <c r="CG283" s="12"/>
      <c r="ES283" s="12"/>
      <c r="EU283" s="12"/>
      <c r="EY283" s="12"/>
      <c r="FF283" s="13"/>
      <c r="FJ283" s="13"/>
      <c r="FK283" s="13"/>
      <c r="GI283" s="13"/>
      <c r="GK283" s="13"/>
      <c r="GL283" s="12"/>
      <c r="HU283" s="12"/>
      <c r="HW283" s="12"/>
      <c r="IA283" s="12"/>
      <c r="IH283" s="13"/>
      <c r="IL283" s="13"/>
      <c r="IM283" s="13"/>
      <c r="JK283" s="13"/>
      <c r="JM283" s="13"/>
      <c r="JN283" s="12"/>
    </row>
    <row r="284" spans="21:274" ht="18" customHeight="1" x14ac:dyDescent="0.2">
      <c r="AN284" s="12"/>
      <c r="AP284" s="14"/>
      <c r="AQ284" s="16"/>
      <c r="AT284" s="12"/>
      <c r="BA284" s="13"/>
      <c r="BE284" s="13"/>
      <c r="BF284" s="13"/>
      <c r="BG284" s="14"/>
      <c r="BH284" s="15"/>
      <c r="BI284" s="15"/>
      <c r="BJ284" s="15"/>
      <c r="BK284" s="15"/>
      <c r="BL284" s="16"/>
      <c r="CD284" s="13"/>
      <c r="CF284" s="13"/>
      <c r="CG284" s="12"/>
      <c r="ES284" s="12"/>
      <c r="EU284" s="12"/>
      <c r="EY284" s="12"/>
      <c r="FF284" s="13"/>
      <c r="FJ284" s="13"/>
      <c r="FK284" s="13"/>
      <c r="GI284" s="13"/>
      <c r="GK284" s="13"/>
      <c r="GL284" s="12"/>
      <c r="HU284" s="12"/>
      <c r="HW284" s="12"/>
      <c r="IA284" s="12"/>
      <c r="IH284" s="13"/>
      <c r="IL284" s="13"/>
      <c r="IM284" s="13"/>
      <c r="JK284" s="13"/>
      <c r="JM284" s="13"/>
      <c r="JN284" s="12"/>
    </row>
    <row r="285" spans="21:274" ht="18" customHeight="1" x14ac:dyDescent="0.2">
      <c r="AN285" s="12"/>
      <c r="AP285" s="12"/>
      <c r="AT285" s="12"/>
      <c r="BA285" s="13"/>
      <c r="BE285" s="13"/>
      <c r="BF285" s="13"/>
      <c r="CD285" s="13"/>
      <c r="CF285" s="13"/>
      <c r="CG285" s="12"/>
      <c r="ES285" s="12"/>
      <c r="EU285" s="12"/>
      <c r="EY285" s="12"/>
      <c r="FF285" s="13"/>
      <c r="FJ285" s="13"/>
      <c r="FK285" s="13"/>
      <c r="GI285" s="13"/>
      <c r="GK285" s="13"/>
      <c r="GL285" s="12"/>
      <c r="HT285" s="49"/>
      <c r="HU285" s="12"/>
      <c r="HW285" s="12"/>
      <c r="IA285" s="12"/>
      <c r="IH285" s="13"/>
      <c r="IL285" s="13"/>
      <c r="IM285" s="13"/>
      <c r="JK285" s="13"/>
      <c r="JM285" s="13"/>
      <c r="JN285" s="214"/>
    </row>
    <row r="286" spans="21:274" ht="18" customHeight="1" x14ac:dyDescent="0.2">
      <c r="AN286" s="12"/>
      <c r="AP286" s="12"/>
      <c r="AT286" s="12"/>
      <c r="BA286" s="13"/>
      <c r="BE286" s="13"/>
      <c r="BF286" s="13"/>
      <c r="CD286" s="13"/>
      <c r="CF286" s="13"/>
      <c r="CG286" s="12"/>
      <c r="ES286" s="12"/>
      <c r="EU286" s="12"/>
      <c r="EY286" s="12"/>
      <c r="FG286" s="10"/>
      <c r="FH286" s="10"/>
      <c r="FI286" s="10"/>
      <c r="FJ286" s="10"/>
      <c r="FK286" s="10"/>
      <c r="GI286" s="13"/>
      <c r="GK286" s="13"/>
      <c r="GL286" s="12"/>
      <c r="HT286" s="49"/>
      <c r="HU286" s="12"/>
      <c r="HW286" s="12"/>
      <c r="IA286" s="12"/>
      <c r="II286" s="10"/>
      <c r="IJ286" s="10"/>
      <c r="IK286" s="10"/>
      <c r="IL286" s="10"/>
      <c r="IM286" s="10"/>
      <c r="JK286" s="13"/>
      <c r="JM286" s="13"/>
      <c r="JN286" s="214"/>
    </row>
    <row r="287" spans="21:274" ht="18" customHeight="1" x14ac:dyDescent="0.2">
      <c r="AN287" s="12"/>
      <c r="AP287" s="12"/>
      <c r="AT287" s="12"/>
      <c r="BA287" s="13"/>
      <c r="BE287" s="13"/>
      <c r="BF287" s="13"/>
      <c r="CD287" s="13"/>
      <c r="CF287" s="13"/>
      <c r="CG287" s="12"/>
      <c r="ES287" s="12"/>
      <c r="EU287" s="12"/>
      <c r="EY287" s="12"/>
      <c r="GI287" s="13"/>
      <c r="GK287" s="13"/>
      <c r="GL287" s="12"/>
      <c r="HT287" s="49"/>
      <c r="HU287" s="12"/>
      <c r="HW287" s="12"/>
      <c r="IA287" s="12"/>
      <c r="JK287" s="13"/>
      <c r="JM287" s="13"/>
      <c r="JN287" s="214"/>
    </row>
    <row r="288" spans="21:274" ht="18" customHeight="1" x14ac:dyDescent="0.2">
      <c r="AN288" s="12"/>
      <c r="AP288" s="12"/>
      <c r="AT288" s="12"/>
      <c r="BA288" s="13"/>
      <c r="BE288" s="13"/>
      <c r="BF288" s="13"/>
      <c r="CD288" s="13"/>
      <c r="CF288" s="13"/>
      <c r="CG288" s="12"/>
      <c r="ES288" s="12"/>
      <c r="EU288" s="12"/>
      <c r="EY288" s="12"/>
      <c r="GI288" s="13"/>
      <c r="GK288" s="13"/>
      <c r="GL288" s="12"/>
      <c r="HT288" s="49"/>
      <c r="HU288" s="12"/>
      <c r="HW288" s="12"/>
      <c r="IA288" s="12"/>
      <c r="JK288" s="13"/>
      <c r="JM288" s="13"/>
      <c r="JN288" s="214"/>
    </row>
    <row r="289" spans="40:274" ht="18" customHeight="1" x14ac:dyDescent="0.2">
      <c r="AN289" s="12"/>
      <c r="AP289" s="12"/>
      <c r="AT289" s="12"/>
      <c r="BB289" s="10"/>
      <c r="BC289" s="10"/>
      <c r="BD289" s="10"/>
      <c r="BE289" s="10"/>
      <c r="BF289" s="10"/>
      <c r="CD289" s="13"/>
      <c r="CF289" s="13"/>
      <c r="CG289" s="12"/>
      <c r="ES289" s="12"/>
      <c r="EU289" s="12"/>
      <c r="EY289" s="12"/>
      <c r="GI289" s="13"/>
      <c r="GK289" s="13"/>
      <c r="GL289" s="12"/>
      <c r="HT289" s="49"/>
      <c r="HU289" s="12"/>
      <c r="HW289" s="12"/>
      <c r="IA289" s="12"/>
      <c r="JK289" s="13"/>
      <c r="JM289" s="13"/>
      <c r="JN289" s="214"/>
    </row>
    <row r="290" spans="40:274" ht="18" customHeight="1" x14ac:dyDescent="0.2">
      <c r="AN290" s="12"/>
      <c r="AP290" s="12"/>
      <c r="AT290" s="12"/>
      <c r="CD290" s="13"/>
      <c r="CF290" s="13"/>
      <c r="CG290" s="12"/>
      <c r="ES290" s="12"/>
      <c r="EU290" s="12"/>
      <c r="EY290" s="12"/>
      <c r="GI290" s="13"/>
      <c r="GK290" s="13"/>
      <c r="GL290" s="12"/>
      <c r="HT290" s="49"/>
      <c r="HU290" s="12"/>
      <c r="HW290" s="12"/>
      <c r="IA290" s="12"/>
      <c r="JK290" s="13"/>
      <c r="JM290" s="13"/>
      <c r="JN290" s="214"/>
    </row>
    <row r="291" spans="40:274" ht="18" customHeight="1" x14ac:dyDescent="0.2">
      <c r="AN291" s="12"/>
      <c r="AP291" s="12"/>
      <c r="AT291" s="12"/>
      <c r="CD291" s="13"/>
      <c r="CF291" s="13"/>
      <c r="CG291" s="12"/>
      <c r="ES291" s="12"/>
      <c r="EU291" s="12"/>
      <c r="EY291" s="12"/>
      <c r="GI291" s="13"/>
      <c r="GK291" s="13"/>
      <c r="GL291" s="12"/>
      <c r="HU291" s="12"/>
      <c r="HW291" s="12"/>
      <c r="IA291" s="12"/>
      <c r="JK291" s="13"/>
      <c r="JM291" s="13"/>
      <c r="JN291" s="12"/>
    </row>
    <row r="292" spans="40:274" ht="18" customHeight="1" x14ac:dyDescent="0.2">
      <c r="AN292" s="12"/>
      <c r="AP292" s="12"/>
      <c r="AT292" s="12"/>
      <c r="CD292" s="13"/>
      <c r="CF292" s="13"/>
      <c r="CG292" s="12"/>
      <c r="ES292" s="96"/>
      <c r="ET292" s="97"/>
      <c r="EU292" s="12"/>
      <c r="EX292" s="13"/>
      <c r="EY292" s="12"/>
      <c r="GI292" s="13"/>
      <c r="GJ292" s="97"/>
      <c r="GK292" s="98"/>
      <c r="GL292" s="12"/>
      <c r="HU292" s="96"/>
      <c r="HV292" s="97"/>
      <c r="HW292" s="12"/>
      <c r="HZ292" s="13"/>
      <c r="IA292" s="12"/>
      <c r="JK292" s="13"/>
      <c r="JL292" s="97"/>
      <c r="JM292" s="98"/>
      <c r="JN292" s="12"/>
    </row>
    <row r="293" spans="40:274" ht="18" customHeight="1" x14ac:dyDescent="0.2">
      <c r="AN293" s="12"/>
      <c r="AP293" s="12"/>
      <c r="AT293" s="12"/>
      <c r="CD293" s="13"/>
      <c r="CF293" s="13"/>
      <c r="CG293" s="12"/>
      <c r="ES293" s="96"/>
      <c r="ET293" s="97"/>
      <c r="EU293" s="14"/>
      <c r="EV293" s="15"/>
      <c r="EW293" s="15"/>
      <c r="EX293" s="16"/>
      <c r="EY293" s="15"/>
      <c r="EZ293" s="15"/>
      <c r="FA293" s="15"/>
      <c r="FB293" s="15"/>
      <c r="FC293" s="15"/>
      <c r="FD293" s="15"/>
      <c r="FE293" s="15"/>
      <c r="FF293" s="15"/>
      <c r="FG293" s="15"/>
      <c r="FH293" s="15"/>
      <c r="FI293" s="15"/>
      <c r="FJ293" s="15"/>
      <c r="FK293" s="15"/>
      <c r="FL293" s="15"/>
      <c r="FM293" s="15"/>
      <c r="FN293" s="15"/>
      <c r="FO293" s="15"/>
      <c r="FP293" s="15"/>
      <c r="FQ293" s="15"/>
      <c r="FR293" s="15"/>
      <c r="FS293" s="15"/>
      <c r="FT293" s="15"/>
      <c r="FU293" s="15"/>
      <c r="FV293" s="15"/>
      <c r="FW293" s="15"/>
      <c r="FX293" s="15"/>
      <c r="FY293" s="15"/>
      <c r="FZ293" s="15"/>
      <c r="GA293" s="15"/>
      <c r="GB293" s="15"/>
      <c r="GC293" s="15"/>
      <c r="GD293" s="15"/>
      <c r="GE293" s="15"/>
      <c r="GF293" s="15"/>
      <c r="GG293" s="15"/>
      <c r="GH293" s="15"/>
      <c r="GI293" s="16"/>
      <c r="GJ293" s="97"/>
      <c r="GK293" s="98"/>
      <c r="GL293" s="12"/>
      <c r="HU293" s="96"/>
      <c r="HV293" s="97"/>
      <c r="HW293" s="14"/>
      <c r="HX293" s="15"/>
      <c r="HY293" s="15"/>
      <c r="HZ293" s="16"/>
      <c r="IA293" s="15"/>
      <c r="IB293" s="15"/>
      <c r="IC293" s="15"/>
      <c r="ID293" s="15"/>
      <c r="IE293" s="15"/>
      <c r="IF293" s="15"/>
      <c r="IG293" s="15"/>
      <c r="IH293" s="15"/>
      <c r="II293" s="15"/>
      <c r="IJ293" s="15"/>
      <c r="IK293" s="15"/>
      <c r="IL293" s="15"/>
      <c r="IM293" s="15"/>
      <c r="IN293" s="15"/>
      <c r="IO293" s="15"/>
      <c r="IP293" s="15"/>
      <c r="IQ293" s="15"/>
      <c r="IR293" s="15"/>
      <c r="IS293" s="15"/>
      <c r="IT293" s="15"/>
      <c r="IU293" s="15"/>
      <c r="IV293" s="15"/>
      <c r="IW293" s="15"/>
      <c r="IX293" s="15"/>
      <c r="IY293" s="15"/>
      <c r="IZ293" s="15"/>
      <c r="JA293" s="15"/>
      <c r="JB293" s="15"/>
      <c r="JC293" s="15"/>
      <c r="JD293" s="15"/>
      <c r="JE293" s="15"/>
      <c r="JF293" s="15"/>
      <c r="JG293" s="15"/>
      <c r="JH293" s="15"/>
      <c r="JI293" s="15"/>
      <c r="JJ293" s="15"/>
      <c r="JK293" s="16"/>
      <c r="JL293" s="97"/>
      <c r="JM293" s="98"/>
      <c r="JN293" s="12"/>
    </row>
    <row r="294" spans="40:274" ht="18" customHeight="1" x14ac:dyDescent="0.2">
      <c r="AN294" s="12"/>
      <c r="AP294" s="12"/>
      <c r="AT294" s="12"/>
      <c r="CD294" s="13"/>
      <c r="CF294" s="13"/>
      <c r="CG294" s="12"/>
      <c r="ES294" s="96"/>
      <c r="ET294" s="97"/>
      <c r="FI294" s="97"/>
      <c r="FJ294" s="97"/>
      <c r="FK294" s="97"/>
      <c r="FL294" s="97"/>
      <c r="GJ294" s="97"/>
      <c r="GK294" s="98"/>
      <c r="GL294" s="12"/>
      <c r="HU294" s="96"/>
      <c r="HV294" s="97"/>
      <c r="IK294" s="97"/>
      <c r="IL294" s="97"/>
      <c r="IM294" s="97"/>
      <c r="IN294" s="97"/>
      <c r="JE294" s="127"/>
      <c r="JF294" s="127"/>
      <c r="JG294" s="127"/>
      <c r="JH294" s="127"/>
      <c r="JI294" s="127"/>
      <c r="JJ294" s="127"/>
      <c r="JL294" s="97"/>
      <c r="JM294" s="98"/>
      <c r="JN294" s="12"/>
    </row>
    <row r="295" spans="40:274" ht="18" customHeight="1" x14ac:dyDescent="0.2">
      <c r="AN295" s="12"/>
      <c r="AP295" s="12"/>
      <c r="AS295" s="13"/>
      <c r="AT295" s="12"/>
      <c r="CD295" s="13"/>
      <c r="CF295" s="13"/>
      <c r="CG295" s="12"/>
      <c r="ES295" s="59"/>
      <c r="ET295" s="60"/>
      <c r="EU295" s="15"/>
      <c r="EV295" s="15"/>
      <c r="EW295" s="15"/>
      <c r="EY295" s="15"/>
      <c r="FA295" s="15"/>
      <c r="FI295" s="97"/>
      <c r="FJ295" s="97"/>
      <c r="FK295" s="97"/>
      <c r="FL295" s="97"/>
      <c r="GJ295" s="97"/>
      <c r="GK295" s="98"/>
      <c r="GL295" s="12"/>
      <c r="HU295" s="59"/>
      <c r="HV295" s="60"/>
      <c r="HW295" s="15"/>
      <c r="HX295" s="15"/>
      <c r="HY295" s="15"/>
      <c r="IA295" s="15"/>
      <c r="IC295" s="15"/>
      <c r="IK295" s="97"/>
      <c r="IL295" s="97"/>
      <c r="IM295" s="97"/>
      <c r="IN295" s="97"/>
      <c r="JL295" s="97"/>
      <c r="JM295" s="98"/>
      <c r="JN295" s="12"/>
    </row>
    <row r="296" spans="40:274" ht="18" customHeight="1" x14ac:dyDescent="0.2">
      <c r="AN296" s="12"/>
      <c r="AP296" s="14"/>
      <c r="AQ296" s="15"/>
      <c r="AR296" s="15"/>
      <c r="AS296" s="16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5"/>
      <c r="BQ296" s="15"/>
      <c r="BR296" s="15"/>
      <c r="BS296" s="15"/>
      <c r="BT296" s="15"/>
      <c r="BU296" s="15"/>
      <c r="BV296" s="15"/>
      <c r="BW296" s="15"/>
      <c r="BX296" s="15"/>
      <c r="BY296" s="15"/>
      <c r="BZ296" s="15"/>
      <c r="CA296" s="15"/>
      <c r="CB296" s="15"/>
      <c r="CC296" s="15"/>
      <c r="CD296" s="16"/>
      <c r="CF296" s="13"/>
      <c r="CG296" s="12"/>
      <c r="ES296" s="10"/>
      <c r="ET296" s="10"/>
      <c r="EU296" s="10"/>
      <c r="EV296" s="10"/>
      <c r="EW296" s="10"/>
      <c r="EX296" s="10"/>
      <c r="EY296" s="10"/>
      <c r="EZ296" s="10"/>
      <c r="FA296" s="10"/>
      <c r="FB296" s="10"/>
      <c r="FC296" s="10"/>
      <c r="FD296" s="10"/>
      <c r="FE296" s="10"/>
      <c r="FF296" s="10"/>
      <c r="FG296" s="10"/>
      <c r="FH296" s="10"/>
      <c r="FI296" s="10"/>
      <c r="FJ296" s="10"/>
      <c r="FK296" s="10"/>
      <c r="FL296" s="10"/>
      <c r="FM296" s="10"/>
      <c r="FN296" s="10"/>
      <c r="FO296" s="10"/>
      <c r="FP296" s="10"/>
      <c r="FQ296" s="10"/>
      <c r="FR296" s="10"/>
      <c r="FS296" s="10"/>
      <c r="FT296" s="10"/>
      <c r="FU296" s="10"/>
      <c r="FV296" s="10"/>
      <c r="FW296" s="10"/>
      <c r="FX296" s="10"/>
      <c r="FY296" s="10"/>
      <c r="FZ296" s="10"/>
      <c r="GA296" s="10"/>
      <c r="GB296" s="10"/>
      <c r="GC296" s="10"/>
      <c r="GD296" s="10"/>
      <c r="GE296" s="10"/>
      <c r="GF296" s="10"/>
      <c r="GG296" s="10"/>
      <c r="GH296" s="10"/>
      <c r="GI296" s="10"/>
      <c r="GJ296" s="10"/>
      <c r="GK296" s="10"/>
      <c r="HU296" s="10"/>
      <c r="HV296" s="10"/>
      <c r="HW296" s="10"/>
      <c r="HX296" s="10"/>
      <c r="HY296" s="10"/>
      <c r="HZ296" s="10"/>
      <c r="IA296" s="10"/>
      <c r="IB296" s="10"/>
      <c r="IC296" s="141"/>
      <c r="ID296" s="141"/>
      <c r="IE296" s="141"/>
      <c r="IF296" s="141"/>
      <c r="IG296" s="10"/>
      <c r="IH296" s="10"/>
      <c r="II296" s="10"/>
      <c r="IJ296" s="10"/>
      <c r="IK296" s="10"/>
      <c r="IL296" s="10"/>
      <c r="IM296" s="10"/>
      <c r="IN296" s="10"/>
      <c r="IO296" s="10"/>
      <c r="IP296" s="10"/>
      <c r="IQ296" s="10"/>
      <c r="IR296" s="10"/>
      <c r="IS296" s="141"/>
      <c r="IT296" s="141"/>
      <c r="IU296" s="141"/>
      <c r="IV296" s="141"/>
      <c r="IW296" s="141"/>
      <c r="IX296" s="10"/>
      <c r="IY296" s="10"/>
      <c r="IZ296" s="10"/>
      <c r="JA296" s="10"/>
      <c r="JB296" s="10"/>
      <c r="JC296" s="10"/>
      <c r="JD296" s="10"/>
      <c r="JE296" s="10"/>
      <c r="JF296" s="10"/>
      <c r="JG296" s="10"/>
      <c r="JH296" s="10"/>
      <c r="JI296" s="10"/>
      <c r="JJ296" s="10"/>
      <c r="JK296" s="10"/>
      <c r="JL296" s="10"/>
      <c r="JM296" s="10"/>
    </row>
    <row r="297" spans="40:274" ht="18" customHeight="1" x14ac:dyDescent="0.2">
      <c r="AN297" s="12"/>
      <c r="BL297" s="20"/>
      <c r="BM297" s="21"/>
      <c r="BN297" s="21"/>
      <c r="BO297" s="21"/>
      <c r="BP297" s="21"/>
      <c r="BQ297" s="22"/>
      <c r="CF297" s="13"/>
      <c r="CG297" s="12"/>
    </row>
    <row r="298" spans="40:274" ht="18" customHeight="1" x14ac:dyDescent="0.2">
      <c r="AN298" s="14"/>
      <c r="AO298" s="15"/>
      <c r="AP298" s="15"/>
      <c r="AQ298" s="15"/>
      <c r="AR298" s="15"/>
      <c r="AT298" s="15"/>
      <c r="AV298" s="15"/>
      <c r="BL298" s="9"/>
      <c r="BM298" s="10"/>
      <c r="BN298" s="10"/>
      <c r="BO298" s="10"/>
      <c r="BP298" s="10"/>
      <c r="BQ298" s="11"/>
      <c r="CF298" s="13"/>
      <c r="CG298" s="12"/>
    </row>
    <row r="299" spans="40:274" ht="18" customHeight="1" x14ac:dyDescent="0.2"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  <c r="BL299" s="10"/>
      <c r="BM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  <c r="CD299" s="10"/>
      <c r="CE299" s="10"/>
      <c r="CF299" s="10"/>
    </row>
    <row r="313" spans="14:189" ht="18" customHeight="1" x14ac:dyDescent="0.2">
      <c r="N313" s="224"/>
    </row>
    <row r="318" spans="14:189" ht="18" customHeight="1" x14ac:dyDescent="0.2">
      <c r="EM318" s="15"/>
      <c r="EN318" s="15"/>
      <c r="EO318" s="15"/>
      <c r="EP318" s="15"/>
      <c r="EQ318" s="15"/>
      <c r="ER318" s="15"/>
      <c r="ES318" s="15"/>
    </row>
    <row r="319" spans="14:189" ht="18" customHeight="1" x14ac:dyDescent="0.2">
      <c r="DW319" s="9"/>
      <c r="DX319" s="10"/>
      <c r="DY319" s="10"/>
      <c r="DZ319" s="10"/>
      <c r="EA319" s="10"/>
      <c r="EB319" s="10"/>
      <c r="EC319" s="10"/>
      <c r="ED319" s="10"/>
      <c r="EE319" s="10"/>
      <c r="EF319" s="10"/>
      <c r="EG319" s="10"/>
      <c r="EH319" s="10"/>
      <c r="EI319" s="10"/>
      <c r="EJ319" s="10"/>
      <c r="EK319" s="10"/>
      <c r="EL319" s="10"/>
      <c r="EM319" s="10"/>
      <c r="EN319" s="10"/>
      <c r="EO319" s="10"/>
      <c r="EP319" s="10"/>
      <c r="EQ319" s="10"/>
      <c r="ER319" s="10"/>
      <c r="ES319" s="10"/>
      <c r="ET319" s="10"/>
      <c r="EU319" s="10"/>
      <c r="EV319" s="10"/>
      <c r="EW319" s="10"/>
      <c r="EX319" s="10"/>
      <c r="EY319" s="10"/>
      <c r="EZ319" s="10"/>
      <c r="FA319" s="10"/>
      <c r="FB319" s="10"/>
      <c r="FC319" s="10"/>
      <c r="FD319" s="10"/>
      <c r="FE319" s="10"/>
      <c r="FF319" s="10"/>
      <c r="FG319" s="10"/>
      <c r="FH319" s="10"/>
      <c r="FI319" s="10"/>
      <c r="FJ319" s="10"/>
      <c r="FK319" s="10"/>
      <c r="FL319" s="10"/>
      <c r="FM319" s="10"/>
      <c r="FN319" s="10"/>
      <c r="FO319" s="10"/>
      <c r="FP319" s="10"/>
      <c r="FQ319" s="10"/>
      <c r="FR319" s="10"/>
      <c r="FS319" s="10"/>
      <c r="FT319" s="10"/>
      <c r="FU319" s="10"/>
      <c r="FV319" s="10"/>
      <c r="FW319" s="10"/>
      <c r="FX319" s="10"/>
      <c r="FY319" s="10"/>
      <c r="FZ319" s="10"/>
      <c r="GA319" s="10"/>
      <c r="GB319" s="10"/>
      <c r="GC319" s="10"/>
      <c r="GD319" s="10"/>
      <c r="GE319" s="10"/>
      <c r="GF319" s="10"/>
      <c r="GG319" s="11"/>
    </row>
    <row r="320" spans="14:189" ht="18" customHeight="1" x14ac:dyDescent="0.2">
      <c r="DW320" s="12"/>
      <c r="FG320" s="15"/>
      <c r="FH320" s="15"/>
      <c r="FI320" s="15"/>
      <c r="FJ320" s="15"/>
      <c r="FK320" s="15"/>
      <c r="FM320" s="15"/>
      <c r="FO320" s="15"/>
      <c r="FV320" s="15"/>
      <c r="FX320" s="15"/>
      <c r="FY320" s="15"/>
      <c r="FZ320" s="15"/>
      <c r="GG320" s="13"/>
    </row>
    <row r="321" spans="20:204" ht="18" customHeight="1" x14ac:dyDescent="0.2">
      <c r="AL321" s="15"/>
      <c r="AM321" s="15"/>
      <c r="AN321" s="15"/>
      <c r="AO321" s="15"/>
      <c r="AP321" s="15"/>
      <c r="AQ321" s="15"/>
      <c r="AR321" s="15"/>
      <c r="DW321" s="12"/>
      <c r="DY321" s="9"/>
      <c r="DZ321" s="10"/>
      <c r="EA321" s="10"/>
      <c r="EB321" s="10"/>
      <c r="EC321" s="10"/>
      <c r="ED321" s="10"/>
      <c r="EE321" s="10"/>
      <c r="EF321" s="10"/>
      <c r="EG321" s="10"/>
      <c r="EH321" s="10"/>
      <c r="EI321" s="10"/>
      <c r="EJ321" s="10"/>
      <c r="EK321" s="10"/>
      <c r="EL321" s="10"/>
      <c r="EM321" s="10"/>
      <c r="EN321" s="10"/>
      <c r="EO321" s="10"/>
      <c r="EP321" s="10"/>
      <c r="EQ321" s="10"/>
      <c r="ER321" s="10"/>
      <c r="ES321" s="10"/>
      <c r="ET321" s="11"/>
      <c r="EU321" s="17"/>
      <c r="EV321" s="9"/>
      <c r="EW321" s="10"/>
      <c r="EX321" s="10"/>
      <c r="EY321" s="10"/>
      <c r="EZ321" s="10"/>
      <c r="FA321" s="10"/>
      <c r="FB321" s="10"/>
      <c r="FC321" s="10"/>
      <c r="FD321" s="10"/>
      <c r="FE321" s="11"/>
      <c r="FF321" s="11"/>
      <c r="FG321" s="10"/>
      <c r="FH321" s="10"/>
      <c r="FI321" s="10"/>
      <c r="FJ321" s="10"/>
      <c r="FK321" s="10"/>
      <c r="FL321" s="10"/>
      <c r="FM321" s="10"/>
      <c r="FN321" s="10"/>
      <c r="FO321" s="10"/>
      <c r="FP321" s="10"/>
      <c r="FQ321" s="10"/>
      <c r="FR321" s="10"/>
      <c r="FS321" s="10"/>
      <c r="FT321" s="10"/>
      <c r="FU321" s="10"/>
      <c r="FV321" s="10"/>
      <c r="FW321" s="10"/>
      <c r="FX321" s="10"/>
      <c r="FY321" s="11"/>
      <c r="FZ321" s="9"/>
      <c r="GA321" s="10"/>
      <c r="GB321" s="10"/>
      <c r="GC321" s="10"/>
      <c r="GD321" s="10"/>
      <c r="GE321" s="10"/>
      <c r="GF321" s="12"/>
      <c r="GG321" s="13"/>
    </row>
    <row r="322" spans="20:204" ht="18" customHeight="1" x14ac:dyDescent="0.2">
      <c r="T322" s="56"/>
      <c r="U322" s="57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227"/>
      <c r="AL322" s="228"/>
      <c r="AM322" s="228"/>
      <c r="AN322" s="228"/>
      <c r="AO322" s="228"/>
      <c r="AP322" s="228"/>
      <c r="AQ322" s="228"/>
      <c r="AR322" s="228"/>
      <c r="AS322" s="228"/>
      <c r="AT322" s="228"/>
      <c r="AU322" s="228"/>
      <c r="AV322" s="228"/>
      <c r="AW322" s="228"/>
      <c r="AX322" s="228"/>
      <c r="AY322" s="57"/>
      <c r="AZ322" s="57"/>
      <c r="BA322" s="228"/>
      <c r="BB322" s="228"/>
      <c r="BC322" s="228"/>
      <c r="BD322" s="229"/>
      <c r="BE322" s="10"/>
      <c r="BF322" s="10"/>
      <c r="BG322" s="10"/>
      <c r="BH322" s="10"/>
      <c r="BI322" s="10"/>
      <c r="BJ322" s="10"/>
      <c r="BK322" s="10"/>
      <c r="BL322" s="10"/>
      <c r="BM322" s="10"/>
      <c r="BN322" s="10"/>
      <c r="BO322" s="10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  <c r="CD322" s="10"/>
      <c r="CE322" s="57"/>
      <c r="CF322" s="58"/>
      <c r="DW322" s="12"/>
      <c r="DY322" s="12"/>
      <c r="ET322" s="13"/>
      <c r="EU322" s="18"/>
      <c r="EV322" s="12"/>
      <c r="FE322" s="13"/>
      <c r="FF322" s="13"/>
      <c r="FY322" s="13"/>
      <c r="FZ322" s="12"/>
      <c r="GF322" s="12"/>
      <c r="GG322" s="13"/>
    </row>
    <row r="323" spans="20:204" ht="18" customHeight="1" x14ac:dyDescent="0.2">
      <c r="T323" s="96"/>
      <c r="U323" s="97"/>
      <c r="AK323" s="230"/>
      <c r="AL323" s="232"/>
      <c r="AM323" s="232"/>
      <c r="AN323" s="232"/>
      <c r="AO323" s="232"/>
      <c r="AP323" s="232"/>
      <c r="AQ323" s="232"/>
      <c r="AR323" s="232"/>
      <c r="AS323" s="232"/>
      <c r="AT323" s="232"/>
      <c r="AU323" s="232"/>
      <c r="AV323" s="232"/>
      <c r="AW323" s="232"/>
      <c r="AX323" s="232"/>
      <c r="AY323" s="97"/>
      <c r="AZ323" s="97"/>
      <c r="BA323" s="232"/>
      <c r="BB323" s="232"/>
      <c r="BC323" s="232"/>
      <c r="BD323" s="233"/>
      <c r="BF323" s="15"/>
      <c r="BG323" s="15"/>
      <c r="BH323" s="15"/>
      <c r="BI323" s="15"/>
      <c r="BJ323" s="15"/>
      <c r="BL323" s="15"/>
      <c r="BN323" s="15"/>
      <c r="BU323" s="15"/>
      <c r="BW323" s="15"/>
      <c r="BX323" s="15"/>
      <c r="BY323" s="15"/>
      <c r="CE323" s="97"/>
      <c r="CF323" s="98"/>
      <c r="DW323" s="12"/>
      <c r="DY323" s="12"/>
      <c r="ET323" s="13"/>
      <c r="EU323" s="18"/>
      <c r="EV323" s="12"/>
      <c r="FE323" s="13"/>
      <c r="FF323" s="13"/>
      <c r="FY323" s="13"/>
      <c r="FZ323" s="12"/>
      <c r="GF323" s="12"/>
      <c r="GG323" s="13"/>
      <c r="GN323" s="9"/>
      <c r="GO323" s="10"/>
      <c r="GP323" s="10"/>
      <c r="GQ323" s="10"/>
      <c r="GR323" s="10"/>
      <c r="GS323" s="10"/>
      <c r="GT323" s="10"/>
      <c r="GU323" s="10"/>
      <c r="GV323" s="11"/>
    </row>
    <row r="324" spans="20:204" ht="18" customHeight="1" x14ac:dyDescent="0.2">
      <c r="T324" s="12"/>
      <c r="V324" s="9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1"/>
      <c r="AK324" s="227"/>
      <c r="AL324" s="228"/>
      <c r="AM324" s="228"/>
      <c r="AN324" s="228"/>
      <c r="AO324" s="228"/>
      <c r="AP324" s="228"/>
      <c r="AQ324" s="228"/>
      <c r="AR324" s="228"/>
      <c r="AS324" s="229"/>
      <c r="AT324" s="228"/>
      <c r="AU324" s="227"/>
      <c r="AV324" s="228"/>
      <c r="AW324" s="228"/>
      <c r="AX324" s="228"/>
      <c r="AY324" s="228"/>
      <c r="AZ324" s="228"/>
      <c r="BA324" s="228"/>
      <c r="BB324" s="228"/>
      <c r="BC324" s="228"/>
      <c r="BD324" s="229"/>
      <c r="BE324" s="11"/>
      <c r="BF324" s="10"/>
      <c r="BG324" s="10"/>
      <c r="BH324" s="10"/>
      <c r="BI324" s="10"/>
      <c r="BJ324" s="10"/>
      <c r="BK324" s="10"/>
      <c r="BL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1"/>
      <c r="BY324" s="9"/>
      <c r="BZ324" s="10"/>
      <c r="CA324" s="10"/>
      <c r="CB324" s="10"/>
      <c r="CC324" s="10"/>
      <c r="CD324" s="11"/>
      <c r="CF324" s="13"/>
      <c r="DW324" s="12"/>
      <c r="DY324" s="12"/>
      <c r="ET324" s="13"/>
      <c r="EU324" s="18"/>
      <c r="EV324" s="12"/>
      <c r="FE324" s="13"/>
      <c r="FF324" s="13"/>
      <c r="FY324" s="13"/>
      <c r="FZ324" s="12"/>
      <c r="GF324" s="12"/>
      <c r="GG324" s="13"/>
      <c r="GN324" s="12"/>
      <c r="GV324" s="13"/>
    </row>
    <row r="325" spans="20:204" ht="18" customHeight="1" x14ac:dyDescent="0.2">
      <c r="T325" s="12"/>
      <c r="V325" s="12"/>
      <c r="AJ325" s="13"/>
      <c r="AK325" s="230"/>
      <c r="AL325" s="232"/>
      <c r="AM325" s="232"/>
      <c r="AN325" s="232"/>
      <c r="AO325" s="232"/>
      <c r="AP325" s="232"/>
      <c r="AQ325" s="232"/>
      <c r="AR325" s="232"/>
      <c r="AS325" s="233"/>
      <c r="AT325" s="232"/>
      <c r="AU325" s="230"/>
      <c r="AV325" s="232"/>
      <c r="AW325" s="232"/>
      <c r="AX325" s="232"/>
      <c r="AY325" s="232"/>
      <c r="AZ325" s="232"/>
      <c r="BA325" s="232"/>
      <c r="BB325" s="232"/>
      <c r="BC325" s="232"/>
      <c r="BD325" s="233"/>
      <c r="BE325" s="13"/>
      <c r="BX325" s="13"/>
      <c r="BY325" s="12"/>
      <c r="CD325" s="13"/>
      <c r="CF325" s="13"/>
      <c r="DW325" s="12"/>
      <c r="DY325" s="12"/>
      <c r="ET325" s="13"/>
      <c r="EU325" s="18"/>
      <c r="EV325" s="12"/>
      <c r="FE325" s="13"/>
      <c r="FF325" s="13"/>
      <c r="FY325" s="13"/>
      <c r="FZ325" s="12"/>
      <c r="GF325" s="12"/>
      <c r="GG325" s="13"/>
      <c r="GN325" s="12"/>
      <c r="GV325" s="13"/>
    </row>
    <row r="326" spans="20:204" ht="18" customHeight="1" x14ac:dyDescent="0.2">
      <c r="T326" s="12"/>
      <c r="V326" s="12"/>
      <c r="AJ326" s="13"/>
      <c r="AK326" s="230"/>
      <c r="AL326" s="232"/>
      <c r="AM326" s="232"/>
      <c r="AN326" s="232"/>
      <c r="AO326" s="232"/>
      <c r="AP326" s="232"/>
      <c r="AQ326" s="232"/>
      <c r="AR326" s="232"/>
      <c r="AS326" s="233"/>
      <c r="AT326" s="232"/>
      <c r="AU326" s="230"/>
      <c r="AV326" s="232"/>
      <c r="AW326" s="232"/>
      <c r="AX326" s="232"/>
      <c r="AY326" s="232"/>
      <c r="AZ326" s="232"/>
      <c r="BA326" s="232"/>
      <c r="BB326" s="232"/>
      <c r="BC326" s="232"/>
      <c r="BD326" s="233"/>
      <c r="BE326" s="13"/>
      <c r="BX326" s="13"/>
      <c r="BY326" s="12"/>
      <c r="CD326" s="13"/>
      <c r="CF326" s="13"/>
      <c r="DW326" s="12"/>
      <c r="DY326" s="12"/>
      <c r="ET326" s="13"/>
      <c r="EU326" s="18"/>
      <c r="EV326" s="12"/>
      <c r="FE326" s="13"/>
      <c r="FF326" s="16"/>
      <c r="FG326" s="15"/>
      <c r="FH326" s="15"/>
      <c r="FI326" s="15"/>
      <c r="FJ326" s="15"/>
      <c r="FK326" s="15"/>
      <c r="FL326" s="15"/>
      <c r="FM326" s="15"/>
      <c r="FN326" s="15"/>
      <c r="FO326" s="15"/>
      <c r="FP326" s="15"/>
      <c r="FQ326" s="15"/>
      <c r="FR326" s="15"/>
      <c r="FS326" s="15"/>
      <c r="FT326" s="15"/>
      <c r="FU326" s="15"/>
      <c r="FV326" s="15"/>
      <c r="FW326" s="15"/>
      <c r="FX326" s="15"/>
      <c r="FY326" s="16"/>
      <c r="FZ326" s="12"/>
      <c r="GF326" s="12"/>
      <c r="GG326" s="13"/>
      <c r="GN326" s="12"/>
      <c r="GV326" s="13"/>
    </row>
    <row r="327" spans="20:204" ht="18" customHeight="1" x14ac:dyDescent="0.2">
      <c r="T327" s="12"/>
      <c r="V327" s="12"/>
      <c r="AJ327" s="13"/>
      <c r="AK327" s="230"/>
      <c r="AL327" s="232"/>
      <c r="AM327" s="232"/>
      <c r="AN327" s="232"/>
      <c r="AO327" s="232"/>
      <c r="AP327" s="232"/>
      <c r="AQ327" s="232"/>
      <c r="AR327" s="232"/>
      <c r="AS327" s="233"/>
      <c r="AT327" s="232"/>
      <c r="AU327" s="230"/>
      <c r="AV327" s="232"/>
      <c r="AW327" s="232"/>
      <c r="AX327" s="232"/>
      <c r="AY327" s="232"/>
      <c r="AZ327" s="232"/>
      <c r="BA327" s="232"/>
      <c r="BB327" s="232"/>
      <c r="BC327" s="232"/>
      <c r="BD327" s="233"/>
      <c r="BE327" s="13"/>
      <c r="BX327" s="13"/>
      <c r="BY327" s="12"/>
      <c r="CD327" s="13"/>
      <c r="CF327" s="13"/>
      <c r="DW327" s="12"/>
      <c r="DY327" s="12"/>
      <c r="ET327" s="13"/>
      <c r="EU327" s="18"/>
      <c r="EV327" s="12"/>
      <c r="FE327" s="13"/>
      <c r="FF327" s="16"/>
      <c r="FG327" s="15"/>
      <c r="FH327" s="15"/>
      <c r="FI327" s="15"/>
      <c r="FJ327" s="15"/>
      <c r="FK327" s="15"/>
      <c r="FL327" s="15"/>
      <c r="FM327" s="15"/>
      <c r="FN327" s="15"/>
      <c r="FO327" s="15"/>
      <c r="FP327" s="15"/>
      <c r="FQ327" s="15"/>
      <c r="FR327" s="15"/>
      <c r="FS327" s="15"/>
      <c r="FT327" s="15"/>
      <c r="FU327" s="15"/>
      <c r="FV327" s="15"/>
      <c r="FW327" s="15"/>
      <c r="FX327" s="15"/>
      <c r="FY327" s="15"/>
      <c r="FZ327" s="12"/>
      <c r="GF327" s="12"/>
      <c r="GG327" s="13"/>
      <c r="GN327" s="12"/>
      <c r="GV327" s="13"/>
    </row>
    <row r="328" spans="20:204" ht="18" customHeight="1" x14ac:dyDescent="0.2">
      <c r="T328" s="12"/>
      <c r="V328" s="12"/>
      <c r="AJ328" s="13"/>
      <c r="AK328" s="230"/>
      <c r="AL328" s="232"/>
      <c r="AM328" s="232"/>
      <c r="AN328" s="232"/>
      <c r="AO328" s="232"/>
      <c r="AP328" s="232"/>
      <c r="AQ328" s="232"/>
      <c r="AR328" s="232"/>
      <c r="AS328" s="233"/>
      <c r="AT328" s="232"/>
      <c r="AU328" s="230"/>
      <c r="AV328" s="232"/>
      <c r="AW328" s="232"/>
      <c r="AX328" s="232"/>
      <c r="AY328" s="232"/>
      <c r="AZ328" s="232"/>
      <c r="BA328" s="232"/>
      <c r="BB328" s="232"/>
      <c r="BC328" s="232"/>
      <c r="BD328" s="233"/>
      <c r="BE328" s="13"/>
      <c r="BX328" s="13"/>
      <c r="BY328" s="12"/>
      <c r="CD328" s="13"/>
      <c r="CF328" s="13"/>
      <c r="DW328" s="12"/>
      <c r="DY328" s="12"/>
      <c r="ET328" s="13"/>
      <c r="EU328" s="18"/>
      <c r="EV328" s="12"/>
      <c r="FF328" s="17"/>
      <c r="GF328" s="12"/>
      <c r="GG328" s="13"/>
      <c r="GN328" s="12"/>
      <c r="GV328" s="13"/>
    </row>
    <row r="329" spans="20:204" ht="18" customHeight="1" x14ac:dyDescent="0.2">
      <c r="T329" s="12"/>
      <c r="V329" s="14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6"/>
      <c r="AK329" s="231"/>
      <c r="AL329" s="234"/>
      <c r="AM329" s="234"/>
      <c r="AN329" s="234"/>
      <c r="AO329" s="234"/>
      <c r="AP329" s="234"/>
      <c r="AQ329" s="234"/>
      <c r="AR329" s="234"/>
      <c r="AS329" s="235"/>
      <c r="AT329" s="234"/>
      <c r="AU329" s="231"/>
      <c r="AV329" s="234"/>
      <c r="AW329" s="234"/>
      <c r="AX329" s="234"/>
      <c r="AY329" s="234"/>
      <c r="AZ329" s="234"/>
      <c r="BA329" s="234"/>
      <c r="BB329" s="234"/>
      <c r="BC329" s="234"/>
      <c r="BD329" s="235"/>
      <c r="BE329" s="16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15"/>
      <c r="BW329" s="15"/>
      <c r="BX329" s="16"/>
      <c r="BY329" s="12"/>
      <c r="CD329" s="13"/>
      <c r="CF329" s="13"/>
      <c r="DW329" s="12"/>
      <c r="DY329" s="12"/>
      <c r="ET329" s="13"/>
      <c r="EU329" s="18"/>
      <c r="EV329" s="12"/>
      <c r="FF329" s="18"/>
      <c r="GF329" s="12"/>
      <c r="GG329" s="13"/>
      <c r="GN329" s="12"/>
      <c r="GV329" s="13"/>
    </row>
    <row r="330" spans="20:204" ht="18" customHeight="1" x14ac:dyDescent="0.2">
      <c r="T330" s="12"/>
      <c r="V330" s="14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6"/>
      <c r="AK330" s="14"/>
      <c r="AL330" s="15"/>
      <c r="AM330" s="15"/>
      <c r="AN330" s="15"/>
      <c r="AO330" s="15"/>
      <c r="AP330" s="15"/>
      <c r="AQ330" s="15"/>
      <c r="AR330" s="15"/>
      <c r="AS330" s="16"/>
      <c r="AT330" s="15"/>
      <c r="AU330" s="14"/>
      <c r="AV330" s="15"/>
      <c r="AW330" s="15"/>
      <c r="AX330" s="15"/>
      <c r="AY330" s="15"/>
      <c r="AZ330" s="15"/>
      <c r="BA330" s="15"/>
      <c r="BB330" s="15"/>
      <c r="BC330" s="15"/>
      <c r="BD330" s="16"/>
      <c r="BE330" s="16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  <c r="BU330" s="15"/>
      <c r="BV330" s="15"/>
      <c r="BW330" s="15"/>
      <c r="BX330" s="15"/>
      <c r="BY330" s="12"/>
      <c r="CD330" s="13"/>
      <c r="CF330" s="13"/>
      <c r="DW330" s="12"/>
      <c r="DY330" s="12"/>
      <c r="ET330" s="13"/>
      <c r="EU330" s="18"/>
      <c r="EV330" s="12"/>
      <c r="FA330" s="9"/>
      <c r="FB330" s="10"/>
      <c r="FC330" s="10"/>
      <c r="FD330" s="10"/>
      <c r="FE330" s="11"/>
      <c r="FF330" s="18"/>
      <c r="GF330" s="12"/>
      <c r="GG330" s="13"/>
      <c r="GN330" s="12"/>
      <c r="GV330" s="13"/>
    </row>
    <row r="331" spans="20:204" ht="18" customHeight="1" x14ac:dyDescent="0.2">
      <c r="T331" s="12"/>
      <c r="V331" s="9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1"/>
      <c r="AU331" s="12"/>
      <c r="BD331" s="13"/>
      <c r="BE331" s="13"/>
      <c r="CD331" s="13"/>
      <c r="CF331" s="13"/>
      <c r="DW331" s="12"/>
      <c r="DY331" s="12"/>
      <c r="ET331" s="13"/>
      <c r="EU331" s="18"/>
      <c r="EV331" s="12"/>
      <c r="FA331" s="12"/>
      <c r="FE331" s="13"/>
      <c r="FF331" s="18"/>
      <c r="GF331" s="12"/>
      <c r="GG331" s="13"/>
      <c r="GN331" s="12"/>
      <c r="GV331" s="13"/>
    </row>
    <row r="332" spans="20:204" ht="18" customHeight="1" x14ac:dyDescent="0.2">
      <c r="T332" s="12"/>
      <c r="V332" s="12"/>
      <c r="AS332" s="13"/>
      <c r="AU332" s="12"/>
      <c r="BD332" s="13"/>
      <c r="BE332" s="13"/>
      <c r="CD332" s="13"/>
      <c r="CF332" s="13"/>
      <c r="DW332" s="12"/>
      <c r="DY332" s="12"/>
      <c r="ET332" s="13"/>
      <c r="EU332" s="18"/>
      <c r="EV332" s="12"/>
      <c r="FA332" s="12"/>
      <c r="FE332" s="13"/>
      <c r="FF332" s="17"/>
      <c r="GF332" s="12"/>
      <c r="GG332" s="13"/>
      <c r="GN332" s="12"/>
      <c r="GV332" s="13"/>
    </row>
    <row r="333" spans="20:204" ht="18" customHeight="1" x14ac:dyDescent="0.2">
      <c r="T333" s="12"/>
      <c r="V333" s="12"/>
      <c r="AS333" s="13"/>
      <c r="AU333" s="14"/>
      <c r="AV333" s="15"/>
      <c r="AW333" s="15"/>
      <c r="AX333" s="15"/>
      <c r="AY333" s="15"/>
      <c r="AZ333" s="15"/>
      <c r="BA333" s="15"/>
      <c r="BB333" s="15"/>
      <c r="BC333" s="15"/>
      <c r="BD333" s="16"/>
      <c r="BE333" s="13"/>
      <c r="CD333" s="13"/>
      <c r="CF333" s="13"/>
      <c r="DW333" s="12"/>
      <c r="DY333" s="12"/>
      <c r="ET333" s="13"/>
      <c r="EU333" s="18"/>
      <c r="EV333" s="12"/>
      <c r="FA333" s="12"/>
      <c r="FE333" s="13"/>
      <c r="FF333" s="18"/>
      <c r="GF333" s="12"/>
      <c r="GG333" s="13"/>
      <c r="GN333" s="12"/>
      <c r="GV333" s="13"/>
    </row>
    <row r="334" spans="20:204" ht="18" customHeight="1" x14ac:dyDescent="0.2">
      <c r="T334" s="12"/>
      <c r="V334" s="12"/>
      <c r="AS334" s="13"/>
      <c r="AT334" s="13"/>
      <c r="AU334" s="14"/>
      <c r="AV334" s="15"/>
      <c r="AW334" s="15"/>
      <c r="AX334" s="15"/>
      <c r="AY334" s="15"/>
      <c r="AZ334" s="15"/>
      <c r="BA334" s="15"/>
      <c r="BB334" s="15"/>
      <c r="BC334" s="15"/>
      <c r="BD334" s="15"/>
      <c r="BE334" s="18"/>
      <c r="CD334" s="13"/>
      <c r="CF334" s="13"/>
      <c r="DW334" s="12"/>
      <c r="DY334" s="12"/>
      <c r="ET334" s="13"/>
      <c r="EU334" s="18"/>
      <c r="EV334" s="12"/>
      <c r="FA334" s="12"/>
      <c r="FE334" s="13"/>
      <c r="FF334" s="18"/>
      <c r="GF334" s="12"/>
      <c r="GG334" s="13"/>
      <c r="GN334" s="14"/>
      <c r="GO334" s="15"/>
      <c r="GP334" s="15"/>
      <c r="GQ334" s="15"/>
      <c r="GR334" s="15"/>
      <c r="GS334" s="15"/>
      <c r="GT334" s="15"/>
      <c r="GU334" s="15"/>
      <c r="GV334" s="16"/>
    </row>
    <row r="335" spans="20:204" ht="18" customHeight="1" x14ac:dyDescent="0.2">
      <c r="T335" s="12"/>
      <c r="V335" s="12"/>
      <c r="AS335" s="13"/>
      <c r="AT335" s="13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CD335" s="13"/>
      <c r="CF335" s="13"/>
      <c r="DW335" s="12"/>
      <c r="DY335" s="12"/>
      <c r="ET335" s="13"/>
      <c r="EU335" s="18"/>
      <c r="EV335" s="12"/>
      <c r="FA335" s="12"/>
      <c r="FE335" s="13"/>
      <c r="FF335" s="18"/>
      <c r="GF335" s="12"/>
      <c r="GG335" s="13"/>
    </row>
    <row r="336" spans="20:204" ht="18" customHeight="1" x14ac:dyDescent="0.2">
      <c r="T336" s="12"/>
      <c r="V336" s="12"/>
      <c r="AS336" s="13"/>
      <c r="AT336" s="13"/>
      <c r="CD336" s="13"/>
      <c r="CF336" s="13"/>
      <c r="DW336" s="12"/>
      <c r="DY336" s="12"/>
      <c r="ET336" s="13"/>
      <c r="EU336" s="18"/>
      <c r="EV336" s="12"/>
      <c r="FA336" s="12"/>
      <c r="FE336" s="13"/>
      <c r="FF336" s="18"/>
      <c r="GF336" s="12"/>
      <c r="GG336" s="13"/>
    </row>
    <row r="337" spans="20:206" ht="18" customHeight="1" x14ac:dyDescent="0.2">
      <c r="T337" s="12"/>
      <c r="V337" s="12"/>
      <c r="AS337" s="13"/>
      <c r="AT337" s="13"/>
      <c r="CD337" s="13"/>
      <c r="CF337" s="13"/>
      <c r="DW337" s="12"/>
      <c r="DY337" s="12"/>
      <c r="ET337" s="13"/>
      <c r="EU337" s="18"/>
      <c r="EV337" s="12"/>
      <c r="FA337" s="12"/>
      <c r="FE337" s="13"/>
      <c r="FF337" s="18"/>
      <c r="GF337" s="12"/>
      <c r="GG337" s="13"/>
    </row>
    <row r="338" spans="20:206" ht="18" customHeight="1" x14ac:dyDescent="0.2">
      <c r="T338" s="12"/>
      <c r="V338" s="12"/>
      <c r="AS338" s="13"/>
      <c r="AT338" s="13"/>
      <c r="CD338" s="13"/>
      <c r="CF338" s="13"/>
      <c r="DW338" s="12"/>
      <c r="DY338" s="12"/>
      <c r="ET338" s="13"/>
      <c r="EU338" s="18"/>
      <c r="EV338" s="14"/>
      <c r="EW338" s="15"/>
      <c r="EX338" s="15"/>
      <c r="EY338" s="15"/>
      <c r="EZ338" s="15"/>
      <c r="FA338" s="14"/>
      <c r="FB338" s="15"/>
      <c r="FC338" s="15"/>
      <c r="FD338" s="15"/>
      <c r="FE338" s="16"/>
      <c r="FF338" s="18"/>
      <c r="GF338" s="12"/>
      <c r="GG338" s="13"/>
    </row>
    <row r="339" spans="20:206" ht="18" customHeight="1" x14ac:dyDescent="0.2">
      <c r="T339" s="12"/>
      <c r="V339" s="12"/>
      <c r="AS339" s="13"/>
      <c r="AT339" s="13"/>
      <c r="CD339" s="13"/>
      <c r="CF339" s="13"/>
      <c r="DW339" s="12"/>
      <c r="DY339" s="12"/>
      <c r="ET339" s="13"/>
      <c r="EU339" s="18"/>
      <c r="EV339" s="14"/>
      <c r="EW339" s="15"/>
      <c r="EX339" s="15"/>
      <c r="EY339" s="15"/>
      <c r="EZ339" s="15"/>
      <c r="FA339" s="15"/>
      <c r="FB339" s="15"/>
      <c r="FC339" s="15"/>
      <c r="FD339" s="15"/>
      <c r="FE339" s="15"/>
      <c r="FF339" s="18"/>
      <c r="GF339" s="12"/>
      <c r="GG339" s="13"/>
    </row>
    <row r="340" spans="20:206" ht="18" customHeight="1" x14ac:dyDescent="0.2">
      <c r="T340" s="12"/>
      <c r="V340" s="12"/>
      <c r="AS340" s="13"/>
      <c r="AT340" s="13"/>
      <c r="CD340" s="13"/>
      <c r="CF340" s="13"/>
      <c r="DW340" s="12"/>
      <c r="DY340" s="12"/>
      <c r="ET340" s="13"/>
      <c r="EU340" s="18"/>
      <c r="FF340" s="18"/>
      <c r="GF340" s="12"/>
      <c r="GG340" s="13"/>
    </row>
    <row r="341" spans="20:206" ht="18" customHeight="1" x14ac:dyDescent="0.2">
      <c r="T341" s="12"/>
      <c r="V341" s="12"/>
      <c r="AS341" s="13"/>
      <c r="AT341" s="13"/>
      <c r="CD341" s="13"/>
      <c r="CF341" s="13"/>
      <c r="DW341" s="12"/>
      <c r="DY341" s="12"/>
      <c r="ET341" s="13"/>
      <c r="EU341" s="18"/>
      <c r="FF341" s="18"/>
      <c r="GF341" s="12"/>
      <c r="GG341" s="13"/>
    </row>
    <row r="342" spans="20:206" ht="18" customHeight="1" x14ac:dyDescent="0.2">
      <c r="T342" s="12"/>
      <c r="V342" s="12"/>
      <c r="AS342" s="13"/>
      <c r="AT342" s="13"/>
      <c r="CD342" s="13"/>
      <c r="CF342" s="13"/>
      <c r="DW342" s="12"/>
      <c r="DY342" s="12"/>
      <c r="ET342" s="13"/>
      <c r="EU342" s="18"/>
      <c r="FF342" s="18"/>
      <c r="GF342" s="12"/>
      <c r="GG342" s="13"/>
    </row>
    <row r="343" spans="20:206" ht="18" customHeight="1" x14ac:dyDescent="0.2">
      <c r="T343" s="12"/>
      <c r="V343" s="12"/>
      <c r="AS343" s="13"/>
      <c r="AT343" s="13"/>
      <c r="CD343" s="13"/>
      <c r="CF343" s="13"/>
      <c r="DW343" s="12"/>
      <c r="DY343" s="12"/>
      <c r="ET343" s="13"/>
      <c r="EU343" s="18"/>
      <c r="FF343" s="18"/>
      <c r="GF343" s="12"/>
      <c r="GG343" s="13"/>
    </row>
    <row r="344" spans="20:206" ht="18" customHeight="1" x14ac:dyDescent="0.2">
      <c r="T344" s="12"/>
      <c r="V344" s="12"/>
      <c r="AS344" s="13"/>
      <c r="AT344" s="13"/>
      <c r="CD344" s="13"/>
      <c r="CF344" s="13"/>
      <c r="DW344" s="12"/>
      <c r="DY344" s="12"/>
      <c r="ET344" s="13"/>
      <c r="EU344" s="18"/>
      <c r="FF344" s="18"/>
      <c r="GF344" s="12"/>
      <c r="GG344" s="13"/>
    </row>
    <row r="345" spans="20:206" ht="18" customHeight="1" x14ac:dyDescent="0.2">
      <c r="T345" s="12"/>
      <c r="V345" s="12"/>
      <c r="AS345" s="13"/>
      <c r="AT345" s="13"/>
      <c r="CD345" s="13"/>
      <c r="CF345" s="13"/>
      <c r="DW345" s="12"/>
      <c r="DY345" s="12"/>
      <c r="ET345" s="13"/>
      <c r="EU345" s="18"/>
      <c r="FF345" s="18"/>
      <c r="GF345" s="12"/>
      <c r="GG345" s="13"/>
    </row>
    <row r="346" spans="20:206" ht="18" customHeight="1" x14ac:dyDescent="0.2">
      <c r="T346" s="12"/>
      <c r="V346" s="12"/>
      <c r="AS346" s="13"/>
      <c r="AT346" s="13"/>
      <c r="CD346" s="13"/>
      <c r="CF346" s="13"/>
      <c r="DW346" s="12"/>
      <c r="DY346" s="14"/>
      <c r="DZ346" s="15"/>
      <c r="EA346" s="15"/>
      <c r="EB346" s="15"/>
      <c r="EC346" s="15"/>
      <c r="ED346" s="15"/>
      <c r="EE346" s="15"/>
      <c r="EF346" s="15"/>
      <c r="EG346" s="15"/>
      <c r="EH346" s="15"/>
      <c r="EI346" s="15"/>
      <c r="EJ346" s="15"/>
      <c r="EK346" s="15"/>
      <c r="EL346" s="15"/>
      <c r="EM346" s="15"/>
      <c r="EN346" s="15"/>
      <c r="EO346" s="15"/>
      <c r="EP346" s="15"/>
      <c r="EQ346" s="15"/>
      <c r="ER346" s="15"/>
      <c r="ES346" s="15"/>
      <c r="ET346" s="16"/>
      <c r="EU346" s="18"/>
      <c r="FF346" s="18"/>
      <c r="GF346" s="12"/>
      <c r="GG346" s="13"/>
    </row>
    <row r="347" spans="20:206" ht="18" customHeight="1" x14ac:dyDescent="0.2">
      <c r="T347" s="96"/>
      <c r="U347" s="97"/>
      <c r="V347" s="14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6"/>
      <c r="AT347" s="13"/>
      <c r="AY347" s="97"/>
      <c r="AZ347" s="97"/>
      <c r="BA347" s="97"/>
      <c r="CD347" s="13"/>
      <c r="CE347" s="97"/>
      <c r="CF347" s="98"/>
      <c r="DW347" s="12"/>
      <c r="DY347" s="20"/>
      <c r="DZ347" s="21"/>
      <c r="EA347" s="21"/>
      <c r="EB347" s="21"/>
      <c r="EC347" s="21"/>
      <c r="ED347" s="21"/>
      <c r="EE347" s="21"/>
      <c r="EF347" s="21"/>
      <c r="EG347" s="21"/>
      <c r="EH347" s="21"/>
      <c r="EI347" s="22"/>
      <c r="EJ347" s="21"/>
      <c r="EK347" s="21"/>
      <c r="EL347" s="21"/>
      <c r="EM347" s="21"/>
      <c r="EN347" s="21"/>
      <c r="EO347" s="27"/>
      <c r="EP347" s="27"/>
      <c r="EQ347" s="27"/>
      <c r="ER347" s="27"/>
      <c r="ES347" s="27"/>
      <c r="ET347" s="22"/>
      <c r="EU347" s="19"/>
      <c r="FF347" s="18"/>
      <c r="GF347" s="12"/>
      <c r="GG347" s="13"/>
    </row>
    <row r="348" spans="20:206" ht="18" customHeight="1" x14ac:dyDescent="0.2">
      <c r="T348" s="96"/>
      <c r="U348" s="97"/>
      <c r="V348" s="9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2"/>
      <c r="AZ348" s="212"/>
      <c r="BA348" s="212"/>
      <c r="BB348" s="21"/>
      <c r="BC348" s="21"/>
      <c r="BD348" s="21"/>
      <c r="BE348" s="21"/>
      <c r="BF348" s="22"/>
      <c r="CD348" s="13"/>
      <c r="CE348" s="97"/>
      <c r="CF348" s="98"/>
      <c r="DW348" s="12"/>
      <c r="DY348" s="12"/>
      <c r="EH348" s="13"/>
      <c r="EI348" s="17"/>
      <c r="FF348" s="18"/>
      <c r="GF348" s="12"/>
      <c r="GG348" s="13"/>
    </row>
    <row r="349" spans="20:206" ht="18" customHeight="1" x14ac:dyDescent="0.2">
      <c r="T349" s="12"/>
      <c r="V349" s="9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1"/>
      <c r="AP349" s="12"/>
      <c r="BE349" s="13"/>
      <c r="BG349" s="12"/>
      <c r="CD349" s="13"/>
      <c r="CF349" s="13"/>
      <c r="DW349" s="12"/>
      <c r="DY349" s="12"/>
      <c r="EH349" s="13"/>
      <c r="EI349" s="18"/>
      <c r="FF349" s="18"/>
      <c r="GF349" s="12"/>
      <c r="GG349" s="13"/>
    </row>
    <row r="350" spans="20:206" ht="18" customHeight="1" x14ac:dyDescent="0.2">
      <c r="T350" s="12"/>
      <c r="V350" s="12"/>
      <c r="AN350" s="13"/>
      <c r="AP350" s="12"/>
      <c r="BE350" s="13"/>
      <c r="BF350" s="13"/>
      <c r="CD350" s="13"/>
      <c r="CF350" s="13"/>
      <c r="DW350" s="12"/>
      <c r="DY350" s="12"/>
      <c r="EH350" s="13"/>
      <c r="EI350" s="18"/>
      <c r="FF350" s="18"/>
      <c r="GF350" s="12"/>
      <c r="GG350" s="13"/>
    </row>
    <row r="351" spans="20:206" ht="18" customHeight="1" x14ac:dyDescent="0.2">
      <c r="T351" s="12"/>
      <c r="V351" s="12"/>
      <c r="AN351" s="13"/>
      <c r="AP351" s="12"/>
      <c r="BE351" s="13"/>
      <c r="BF351" s="13"/>
      <c r="CD351" s="13"/>
      <c r="CF351" s="13"/>
      <c r="CG351" s="9"/>
      <c r="CH351" s="10"/>
      <c r="CI351" s="10"/>
      <c r="CJ351" s="10"/>
      <c r="CK351" s="10"/>
      <c r="CL351" s="10"/>
      <c r="CM351" s="10"/>
      <c r="CN351" s="10"/>
      <c r="CO351" s="10"/>
      <c r="CP351" s="10"/>
      <c r="CQ351" s="10"/>
      <c r="CR351" s="10"/>
      <c r="CS351" s="10"/>
      <c r="CT351" s="10"/>
      <c r="CU351" s="10"/>
      <c r="CV351" s="11"/>
      <c r="CW351" s="10"/>
      <c r="CX351" s="10"/>
      <c r="CY351" s="10"/>
      <c r="CZ351" s="11"/>
      <c r="DW351" s="12"/>
      <c r="DY351" s="12"/>
      <c r="EH351" s="13"/>
      <c r="EI351" s="18"/>
      <c r="FF351" s="18"/>
      <c r="GF351" s="12"/>
      <c r="GG351" s="13"/>
      <c r="GX351" t="s">
        <v>45</v>
      </c>
    </row>
    <row r="352" spans="20:206" ht="18" customHeight="1" x14ac:dyDescent="0.2">
      <c r="T352" s="12"/>
      <c r="V352" s="12"/>
      <c r="AN352" s="13"/>
      <c r="AP352" s="12"/>
      <c r="BE352" s="13"/>
      <c r="BF352" s="13"/>
      <c r="CD352" s="13"/>
      <c r="CF352" s="13"/>
      <c r="CG352" s="12"/>
      <c r="CV352" s="13"/>
      <c r="CZ352" s="13"/>
      <c r="DW352" s="12"/>
      <c r="DY352" s="12"/>
      <c r="EH352" s="13"/>
      <c r="EI352" s="18"/>
      <c r="FF352" s="18"/>
      <c r="GF352" s="12"/>
      <c r="GG352" s="13"/>
    </row>
    <row r="353" spans="20:189" ht="18" customHeight="1" x14ac:dyDescent="0.2">
      <c r="T353" s="12"/>
      <c r="V353" s="12"/>
      <c r="AN353" s="13"/>
      <c r="AP353" s="12"/>
      <c r="AT353" s="9"/>
      <c r="AU353" s="10"/>
      <c r="AV353" s="10"/>
      <c r="AW353" s="10"/>
      <c r="AX353" s="10"/>
      <c r="AY353" s="10"/>
      <c r="AZ353" s="10"/>
      <c r="BA353" s="11"/>
      <c r="BE353" s="13"/>
      <c r="BF353" s="13"/>
      <c r="CD353" s="13"/>
      <c r="CF353" s="13"/>
      <c r="CG353" s="12"/>
      <c r="CV353" s="13"/>
      <c r="CZ353" s="13"/>
      <c r="DW353" s="12"/>
      <c r="DY353" s="12"/>
      <c r="EH353" s="13"/>
      <c r="EI353" s="18"/>
      <c r="FF353" s="18"/>
      <c r="GF353" s="12"/>
      <c r="GG353" s="13"/>
    </row>
    <row r="354" spans="20:189" ht="18" customHeight="1" x14ac:dyDescent="0.2">
      <c r="T354" s="12"/>
      <c r="V354" s="12"/>
      <c r="AN354" s="13"/>
      <c r="AP354" s="12"/>
      <c r="AT354" s="12"/>
      <c r="BA354" s="13"/>
      <c r="BE354" s="13"/>
      <c r="BF354" s="13"/>
      <c r="CD354" s="13"/>
      <c r="CF354" s="13"/>
      <c r="CG354" s="12"/>
      <c r="CV354" s="13"/>
      <c r="CZ354" s="13"/>
      <c r="DW354" s="12"/>
      <c r="DY354" s="12"/>
      <c r="EH354" s="13"/>
      <c r="EI354" s="18"/>
      <c r="FF354" s="18"/>
      <c r="GF354" s="12"/>
      <c r="GG354" s="13"/>
    </row>
    <row r="355" spans="20:189" ht="18" customHeight="1" x14ac:dyDescent="0.2">
      <c r="T355" s="12"/>
      <c r="V355" s="12"/>
      <c r="AN355" s="13"/>
      <c r="AP355" s="12"/>
      <c r="AT355" s="12"/>
      <c r="BA355" s="13"/>
      <c r="BE355" s="13"/>
      <c r="BF355" s="13"/>
      <c r="CD355" s="13"/>
      <c r="CF355" s="13"/>
      <c r="CG355" s="12"/>
      <c r="CV355" s="13"/>
      <c r="CZ355" s="13"/>
      <c r="DW355" s="12"/>
      <c r="DY355" s="12"/>
      <c r="EH355" s="13"/>
      <c r="EI355" s="18"/>
      <c r="FF355" s="19"/>
      <c r="GF355" s="12"/>
      <c r="GG355" s="13"/>
    </row>
    <row r="356" spans="20:189" ht="18" customHeight="1" x14ac:dyDescent="0.2">
      <c r="T356" s="12"/>
      <c r="V356" s="12"/>
      <c r="AN356" s="13"/>
      <c r="AP356" s="12"/>
      <c r="AT356" s="12"/>
      <c r="BA356" s="13"/>
      <c r="BE356" s="13"/>
      <c r="BF356" s="13"/>
      <c r="CD356" s="13"/>
      <c r="CF356" s="13"/>
      <c r="CG356" s="12"/>
      <c r="CV356" s="13"/>
      <c r="CZ356" s="13"/>
      <c r="DW356" s="12"/>
      <c r="DY356" s="12"/>
      <c r="EH356" s="13"/>
      <c r="EI356" s="18"/>
      <c r="GF356" s="12"/>
      <c r="GG356" s="13"/>
    </row>
    <row r="357" spans="20:189" ht="18" customHeight="1" x14ac:dyDescent="0.2">
      <c r="T357" s="12"/>
      <c r="V357" s="12"/>
      <c r="AN357" s="13"/>
      <c r="AP357" s="12"/>
      <c r="AT357" s="12"/>
      <c r="BA357" s="13"/>
      <c r="BE357" s="13"/>
      <c r="BF357" s="13"/>
      <c r="CD357" s="13"/>
      <c r="CF357" s="13"/>
      <c r="CG357" s="12"/>
      <c r="CV357" s="13"/>
      <c r="CZ357" s="13"/>
      <c r="DW357" s="12"/>
      <c r="DY357" s="14"/>
      <c r="DZ357" s="15"/>
      <c r="EA357" s="15"/>
      <c r="EB357" s="15"/>
      <c r="EC357" s="15"/>
      <c r="ED357" s="15"/>
      <c r="EE357" s="15"/>
      <c r="EF357" s="15"/>
      <c r="EG357" s="15"/>
      <c r="EH357" s="16"/>
      <c r="EI357" s="18"/>
      <c r="GF357" s="12"/>
      <c r="GG357" s="13"/>
    </row>
    <row r="358" spans="20:189" ht="18" customHeight="1" x14ac:dyDescent="0.2">
      <c r="T358" s="12"/>
      <c r="V358" s="14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6"/>
      <c r="AO358" s="15"/>
      <c r="AP358" s="12"/>
      <c r="AT358" s="12"/>
      <c r="BA358" s="13"/>
      <c r="BE358" s="13"/>
      <c r="BF358" s="13"/>
      <c r="CD358" s="13"/>
      <c r="CF358" s="13"/>
      <c r="CG358" s="12"/>
      <c r="CV358" s="13"/>
      <c r="CZ358" s="13"/>
      <c r="DW358" s="12"/>
      <c r="DY358" s="14"/>
      <c r="DZ358" s="15"/>
      <c r="EA358" s="15"/>
      <c r="EB358" s="15"/>
      <c r="EC358" s="15"/>
      <c r="ED358" s="15"/>
      <c r="EE358" s="15"/>
      <c r="EF358" s="15"/>
      <c r="EG358" s="15"/>
      <c r="EH358" s="15"/>
      <c r="EI358" s="19"/>
      <c r="GF358" s="12"/>
      <c r="GG358" s="13"/>
    </row>
    <row r="359" spans="20:189" ht="18" customHeight="1" x14ac:dyDescent="0.2">
      <c r="T359" s="12"/>
      <c r="AO359" s="10"/>
      <c r="AP359" s="12"/>
      <c r="AT359" s="12"/>
      <c r="BA359" s="13"/>
      <c r="BE359" s="13"/>
      <c r="BF359" s="13"/>
      <c r="CD359" s="13"/>
      <c r="CF359" s="13"/>
      <c r="CG359" s="12"/>
      <c r="CV359" s="13"/>
      <c r="CZ359" s="13"/>
      <c r="DW359" s="12"/>
      <c r="DY359" s="12"/>
      <c r="GF359" s="12"/>
      <c r="GG359" s="13"/>
    </row>
    <row r="360" spans="20:189" ht="18" customHeight="1" x14ac:dyDescent="0.2">
      <c r="T360" s="14"/>
      <c r="U360" s="15"/>
      <c r="V360" s="15"/>
      <c r="W360" s="15"/>
      <c r="X360" s="15"/>
      <c r="Y360" s="15"/>
      <c r="Z360" s="15"/>
      <c r="AA360" s="15"/>
      <c r="AC360" s="15"/>
      <c r="AP360" s="12"/>
      <c r="AT360" s="12"/>
      <c r="BA360" s="13"/>
      <c r="BE360" s="13"/>
      <c r="BF360" s="13"/>
      <c r="CD360" s="13"/>
      <c r="CF360" s="13"/>
      <c r="CG360" s="12"/>
      <c r="CV360" s="13"/>
      <c r="CZ360" s="13"/>
      <c r="DW360" s="12"/>
      <c r="DY360" s="12"/>
      <c r="GF360" s="12"/>
      <c r="GG360" s="13"/>
    </row>
    <row r="361" spans="20:189" ht="18" customHeight="1" x14ac:dyDescent="0.2">
      <c r="T361" s="12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1"/>
      <c r="AN361" s="12"/>
      <c r="AP361" s="12"/>
      <c r="AT361" s="12"/>
      <c r="BA361" s="13"/>
      <c r="BE361" s="13"/>
      <c r="BF361" s="13"/>
      <c r="CD361" s="13"/>
      <c r="CF361" s="13"/>
      <c r="CG361" s="12"/>
      <c r="CV361" s="13"/>
      <c r="CZ361" s="13"/>
      <c r="DW361" s="12"/>
      <c r="DY361" s="12"/>
      <c r="GF361" s="12"/>
      <c r="GG361" s="13"/>
    </row>
    <row r="362" spans="20:189" ht="18" customHeight="1" x14ac:dyDescent="0.2">
      <c r="T362" s="12"/>
      <c r="AN362" s="12"/>
      <c r="AP362" s="12"/>
      <c r="AT362" s="12"/>
      <c r="BA362" s="13"/>
      <c r="BE362" s="13"/>
      <c r="BF362" s="13"/>
      <c r="CD362" s="13"/>
      <c r="CF362" s="13"/>
      <c r="CG362" s="12"/>
      <c r="CV362" s="13"/>
      <c r="CZ362" s="13"/>
      <c r="DW362" s="12"/>
      <c r="DY362" s="12"/>
      <c r="GF362" s="12"/>
      <c r="GG362" s="13"/>
    </row>
    <row r="363" spans="20:189" ht="18" customHeight="1" x14ac:dyDescent="0.2">
      <c r="T363" s="12"/>
      <c r="AN363" s="12"/>
      <c r="AP363" s="12"/>
      <c r="AT363" s="12"/>
      <c r="BA363" s="13"/>
      <c r="BE363" s="13"/>
      <c r="BF363" s="13"/>
      <c r="CD363" s="13"/>
      <c r="CF363" s="13"/>
      <c r="CG363" s="12"/>
      <c r="CV363" s="13"/>
      <c r="CZ363" s="13"/>
      <c r="DW363" s="12"/>
      <c r="DY363" s="12"/>
      <c r="GF363" s="12"/>
      <c r="GG363" s="13"/>
    </row>
    <row r="364" spans="20:189" ht="18" customHeight="1" x14ac:dyDescent="0.2">
      <c r="T364" s="12"/>
      <c r="AN364" s="12"/>
      <c r="AP364" s="12"/>
      <c r="AT364" s="12"/>
      <c r="BA364" s="13"/>
      <c r="BE364" s="13"/>
      <c r="BF364" s="13"/>
      <c r="CD364" s="13"/>
      <c r="CF364" s="13"/>
      <c r="CG364" s="12"/>
      <c r="CV364" s="13"/>
      <c r="CZ364" s="13"/>
      <c r="DW364" s="12"/>
      <c r="DY364" s="9"/>
      <c r="DZ364" s="10"/>
      <c r="EA364" s="10"/>
      <c r="EB364" s="10"/>
      <c r="EC364" s="10"/>
      <c r="ED364" s="10"/>
      <c r="EE364" s="10"/>
      <c r="EF364" s="10"/>
      <c r="EG364" s="10"/>
      <c r="EH364" s="10"/>
      <c r="EI364" s="10"/>
      <c r="EJ364" s="10"/>
      <c r="EK364" s="10"/>
      <c r="EL364" s="10"/>
      <c r="EM364" s="10"/>
      <c r="EN364" s="10"/>
      <c r="EO364" s="10"/>
      <c r="EP364" s="10"/>
      <c r="EQ364" s="10"/>
      <c r="ER364" s="10"/>
      <c r="ES364" s="10"/>
      <c r="ET364" s="10"/>
      <c r="EU364" s="10"/>
      <c r="EV364" s="10"/>
      <c r="EW364" s="10"/>
      <c r="EX364" s="10"/>
      <c r="EY364" s="10"/>
      <c r="EZ364" s="10"/>
      <c r="FA364" s="10"/>
      <c r="FB364" s="10"/>
      <c r="FC364" s="10"/>
      <c r="FD364" s="10"/>
      <c r="FE364" s="10"/>
      <c r="FF364" s="11"/>
      <c r="GF364" s="12"/>
      <c r="GG364" s="13"/>
    </row>
    <row r="365" spans="20:189" ht="18" customHeight="1" x14ac:dyDescent="0.2">
      <c r="T365" s="12"/>
      <c r="AN365" s="12"/>
      <c r="AP365" s="12"/>
      <c r="AT365" s="12"/>
      <c r="BA365" s="13"/>
      <c r="BE365" s="13"/>
      <c r="BF365" s="13"/>
      <c r="CD365" s="13"/>
      <c r="CF365" s="13"/>
      <c r="CG365" s="12"/>
      <c r="CV365" s="13"/>
      <c r="CZ365" s="13"/>
      <c r="DW365" s="12"/>
      <c r="DY365" s="12"/>
      <c r="FF365" s="13"/>
      <c r="GF365" s="12"/>
      <c r="GG365" s="13"/>
    </row>
    <row r="366" spans="20:189" ht="18" customHeight="1" x14ac:dyDescent="0.2">
      <c r="T366" s="12"/>
      <c r="AN366" s="12"/>
      <c r="AP366" s="12"/>
      <c r="AT366" s="12"/>
      <c r="BA366" s="13"/>
      <c r="BE366" s="13"/>
      <c r="BF366" s="13"/>
      <c r="CD366" s="13"/>
      <c r="CF366" s="13"/>
      <c r="CG366" s="12"/>
      <c r="CV366" s="13"/>
      <c r="CZ366" s="13"/>
      <c r="DW366" s="12"/>
      <c r="DY366" s="12"/>
      <c r="FF366" s="13"/>
      <c r="GF366" s="12"/>
      <c r="GG366" s="13"/>
    </row>
    <row r="367" spans="20:189" ht="18" customHeight="1" x14ac:dyDescent="0.2">
      <c r="T367" s="12"/>
      <c r="AN367" s="12"/>
      <c r="AP367" s="12"/>
      <c r="AT367" s="12"/>
      <c r="BB367" s="10"/>
      <c r="BC367" s="10"/>
      <c r="BD367" s="10"/>
      <c r="BE367" s="10"/>
      <c r="BF367" s="10"/>
      <c r="CD367" s="13"/>
      <c r="CF367" s="13"/>
      <c r="CG367" s="12"/>
      <c r="CV367" s="13"/>
      <c r="CZ367" s="13"/>
      <c r="DW367" s="12"/>
      <c r="DY367" s="14"/>
      <c r="DZ367" s="15"/>
      <c r="EA367" s="15"/>
      <c r="EB367" s="15"/>
      <c r="EC367" s="15"/>
      <c r="ED367" s="15"/>
      <c r="EE367" s="15"/>
      <c r="EF367" s="15"/>
      <c r="EG367" s="15"/>
      <c r="EH367" s="15"/>
      <c r="EI367" s="15"/>
      <c r="EJ367" s="15"/>
      <c r="EK367" s="15"/>
      <c r="EL367" s="15"/>
      <c r="EM367" s="15"/>
      <c r="EN367" s="15"/>
      <c r="EO367" s="15"/>
      <c r="EP367" s="15"/>
      <c r="EQ367" s="15"/>
      <c r="ER367" s="15"/>
      <c r="ES367" s="15"/>
      <c r="ET367" s="15"/>
      <c r="EU367" s="15"/>
      <c r="EV367" s="15"/>
      <c r="EW367" s="15"/>
      <c r="EX367" s="15"/>
      <c r="EY367" s="15"/>
      <c r="EZ367" s="15"/>
      <c r="FA367" s="15"/>
      <c r="FB367" s="15"/>
      <c r="FC367" s="15"/>
      <c r="FD367" s="15"/>
      <c r="FE367" s="15"/>
      <c r="FF367" s="16"/>
      <c r="FG367" s="15"/>
      <c r="FH367" s="15"/>
      <c r="FI367" s="15"/>
      <c r="FJ367" s="15"/>
      <c r="FK367" s="15"/>
      <c r="FL367" s="15"/>
      <c r="FM367" s="15"/>
      <c r="FN367" s="15"/>
      <c r="FO367" s="15"/>
      <c r="FP367" s="15"/>
      <c r="FQ367" s="15"/>
      <c r="FR367" s="15"/>
      <c r="FS367" s="15"/>
      <c r="FT367" s="15"/>
      <c r="FU367" s="15"/>
      <c r="FV367" s="15"/>
      <c r="FW367" s="15"/>
      <c r="FX367" s="15"/>
      <c r="FY367" s="15"/>
      <c r="FZ367" s="15"/>
      <c r="GA367" s="15"/>
      <c r="GB367" s="15"/>
      <c r="GC367" s="15"/>
      <c r="GD367" s="15"/>
      <c r="GE367" s="15"/>
      <c r="GF367" s="12"/>
      <c r="GG367" s="13"/>
    </row>
    <row r="368" spans="20:189" ht="18" customHeight="1" x14ac:dyDescent="0.2">
      <c r="T368" s="12"/>
      <c r="AN368" s="12"/>
      <c r="AP368" s="12"/>
      <c r="AT368" s="12"/>
      <c r="CD368" s="13"/>
      <c r="CF368" s="13"/>
      <c r="CG368" s="12"/>
      <c r="CV368" s="13"/>
      <c r="CZ368" s="13"/>
      <c r="DW368" s="12"/>
      <c r="GG368" s="13"/>
    </row>
    <row r="369" spans="20:273" ht="18" customHeight="1" x14ac:dyDescent="0.2">
      <c r="T369" s="12"/>
      <c r="AN369" s="12"/>
      <c r="AP369" s="12"/>
      <c r="AT369" s="12"/>
      <c r="CD369" s="13"/>
      <c r="CF369" s="13"/>
      <c r="CG369" s="12"/>
      <c r="CV369" s="13"/>
      <c r="CZ369" s="13"/>
      <c r="DW369" s="14"/>
      <c r="DX369" s="15"/>
      <c r="DY369" s="15"/>
      <c r="DZ369" s="15"/>
      <c r="EA369" s="15"/>
      <c r="EB369" s="15"/>
      <c r="EC369" s="15"/>
      <c r="ED369" s="15"/>
      <c r="EE369" s="15"/>
      <c r="EF369" s="15"/>
      <c r="EG369" s="15"/>
      <c r="EH369" s="15"/>
      <c r="EI369" s="15"/>
      <c r="EJ369" s="15"/>
      <c r="EK369" s="15"/>
      <c r="EL369" s="15"/>
      <c r="EM369" s="15"/>
      <c r="EN369" s="15"/>
      <c r="EO369" s="15"/>
      <c r="EP369" s="15"/>
      <c r="EQ369" s="15"/>
      <c r="ER369" s="15"/>
      <c r="ES369" s="15"/>
      <c r="ET369" s="15"/>
      <c r="EU369" s="15"/>
      <c r="EV369" s="15"/>
      <c r="EW369" s="15"/>
      <c r="EX369" s="15"/>
      <c r="EY369" s="15"/>
      <c r="EZ369" s="15"/>
      <c r="FA369" s="15"/>
      <c r="FB369" s="15"/>
      <c r="FC369" s="15"/>
      <c r="FD369" s="15"/>
      <c r="FE369" s="15"/>
      <c r="FF369" s="15"/>
      <c r="FG369" s="15"/>
      <c r="FH369" s="15"/>
      <c r="FI369" s="15"/>
      <c r="FJ369" s="15"/>
      <c r="FK369" s="15"/>
      <c r="FL369" s="15"/>
      <c r="FM369" s="15"/>
      <c r="FN369" s="15"/>
      <c r="FO369" s="15"/>
      <c r="FP369" s="15"/>
      <c r="FQ369" s="15"/>
      <c r="FR369" s="15"/>
      <c r="FS369" s="15"/>
      <c r="FT369" s="15"/>
      <c r="FU369" s="15"/>
      <c r="FV369" s="15"/>
      <c r="FW369" s="15"/>
      <c r="FX369" s="15"/>
      <c r="FY369" s="100"/>
      <c r="FZ369" s="100"/>
      <c r="GA369" s="100"/>
      <c r="GB369" s="100"/>
      <c r="GC369" s="100"/>
      <c r="GD369" s="100"/>
      <c r="GE369" s="15"/>
      <c r="GF369" s="15"/>
      <c r="GG369" s="16"/>
    </row>
    <row r="370" spans="20:273" ht="18" customHeight="1" x14ac:dyDescent="0.2">
      <c r="T370" s="12"/>
      <c r="AN370" s="12"/>
      <c r="AP370" s="12"/>
      <c r="AT370" s="12"/>
      <c r="CD370" s="13"/>
      <c r="CF370" s="13"/>
      <c r="CG370" s="12"/>
      <c r="CV370" s="13"/>
      <c r="CZ370" s="13"/>
    </row>
    <row r="371" spans="20:273" ht="18" customHeight="1" x14ac:dyDescent="0.2">
      <c r="T371" s="12"/>
      <c r="AN371" s="12"/>
      <c r="AP371" s="12"/>
      <c r="AT371" s="12"/>
      <c r="CD371" s="13"/>
      <c r="CF371" s="13"/>
      <c r="CG371" s="12"/>
      <c r="CV371" s="13"/>
      <c r="CZ371" s="13"/>
    </row>
    <row r="372" spans="20:273" ht="18" customHeight="1" x14ac:dyDescent="0.2">
      <c r="T372" s="12"/>
      <c r="AN372" s="12"/>
      <c r="AP372" s="12"/>
      <c r="AT372" s="12"/>
      <c r="CD372" s="13"/>
      <c r="CF372" s="13"/>
      <c r="CG372" s="12"/>
      <c r="CV372" s="13"/>
      <c r="CZ372" s="13"/>
    </row>
    <row r="373" spans="20:273" ht="18" customHeight="1" x14ac:dyDescent="0.2">
      <c r="T373" s="12"/>
      <c r="AN373" s="12"/>
      <c r="AP373" s="12"/>
      <c r="AS373" s="13"/>
      <c r="AT373" s="12"/>
      <c r="CD373" s="13"/>
      <c r="CF373" s="13"/>
      <c r="CG373" s="12"/>
      <c r="CV373" s="13"/>
      <c r="CZ373" s="13"/>
    </row>
    <row r="374" spans="20:273" ht="18" customHeight="1" x14ac:dyDescent="0.2">
      <c r="T374" s="12"/>
      <c r="AN374" s="12"/>
      <c r="AP374" s="14"/>
      <c r="AQ374" s="15"/>
      <c r="AR374" s="15"/>
      <c r="AS374" s="16"/>
      <c r="AT374" s="15"/>
      <c r="AU374" s="15"/>
      <c r="AV374" s="15"/>
      <c r="AW374" s="15"/>
      <c r="AX374" s="15"/>
      <c r="AY374" s="15"/>
      <c r="AZ374" s="15"/>
      <c r="BA374" s="15"/>
      <c r="BB374" s="15"/>
      <c r="BC374" s="15"/>
      <c r="BD374" s="15"/>
      <c r="BE374" s="15"/>
      <c r="BF374" s="15"/>
      <c r="BG374" s="15"/>
      <c r="BH374" s="15"/>
      <c r="BI374" s="15"/>
      <c r="BJ374" s="15"/>
      <c r="BK374" s="15"/>
      <c r="BL374" s="15"/>
      <c r="BM374" s="15"/>
      <c r="BN374" s="15"/>
      <c r="BO374" s="15"/>
      <c r="BP374" s="15"/>
      <c r="BQ374" s="15"/>
      <c r="BR374" s="15"/>
      <c r="BS374" s="15"/>
      <c r="BT374" s="15"/>
      <c r="BU374" s="15"/>
      <c r="BV374" s="15"/>
      <c r="BW374" s="15"/>
      <c r="BX374" s="15"/>
      <c r="BY374" s="15"/>
      <c r="BZ374" s="15"/>
      <c r="CA374" s="15"/>
      <c r="CB374" s="15"/>
      <c r="CC374" s="15"/>
      <c r="CD374" s="16"/>
      <c r="CF374" s="13"/>
      <c r="CG374" s="12"/>
      <c r="CV374" s="13"/>
      <c r="CZ374" s="13"/>
    </row>
    <row r="375" spans="20:273" ht="18" customHeight="1" x14ac:dyDescent="0.2">
      <c r="T375" s="96"/>
      <c r="U375" s="97"/>
      <c r="AN375" s="12"/>
      <c r="AY375" s="97"/>
      <c r="AZ375" s="97"/>
      <c r="CE375" s="97"/>
      <c r="CF375" s="98"/>
      <c r="CG375" s="12"/>
      <c r="CV375" s="13"/>
      <c r="CZ375" s="13"/>
    </row>
    <row r="376" spans="20:273" ht="18" customHeight="1" x14ac:dyDescent="0.2">
      <c r="T376" s="59"/>
      <c r="U376" s="60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2"/>
      <c r="AY376" s="97"/>
      <c r="AZ376" s="97"/>
      <c r="CE376" s="97"/>
      <c r="CF376" s="98"/>
      <c r="CG376" s="14"/>
      <c r="CH376" s="15"/>
      <c r="CI376" s="15"/>
      <c r="CJ376" s="15"/>
      <c r="CK376" s="15"/>
      <c r="CL376" s="15"/>
      <c r="CM376" s="15"/>
      <c r="CN376" s="15"/>
      <c r="CO376" s="15"/>
      <c r="CP376" s="15"/>
      <c r="CQ376" s="15"/>
      <c r="CR376" s="15"/>
      <c r="CS376" s="15"/>
      <c r="CT376" s="15"/>
      <c r="CU376" s="15"/>
      <c r="CV376" s="16"/>
      <c r="CW376" s="15"/>
      <c r="CX376" s="15"/>
      <c r="CY376" s="15"/>
      <c r="CZ376" s="16"/>
    </row>
    <row r="377" spans="20:273" ht="18" customHeight="1" x14ac:dyDescent="0.2">
      <c r="AN377" s="9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  <c r="CD377" s="10"/>
      <c r="CE377" s="10"/>
      <c r="CF377" s="11"/>
      <c r="CG377" s="9"/>
      <c r="CH377" s="10"/>
      <c r="CI377" s="10"/>
      <c r="CJ377" s="10"/>
      <c r="CK377" s="10"/>
      <c r="CL377" s="10"/>
      <c r="CM377" s="10"/>
      <c r="CN377" s="10"/>
      <c r="CO377" s="10"/>
      <c r="CP377" s="10"/>
      <c r="CQ377" s="10"/>
      <c r="CR377" s="10"/>
      <c r="CS377" s="10"/>
      <c r="CT377" s="10"/>
      <c r="CU377" s="10"/>
      <c r="CV377" s="11"/>
      <c r="CW377" s="10"/>
      <c r="CX377" s="10"/>
      <c r="CY377" s="10"/>
      <c r="CZ377" s="11"/>
    </row>
    <row r="378" spans="20:273" ht="18" customHeight="1" x14ac:dyDescent="0.2">
      <c r="AN378" s="12"/>
      <c r="CF378" s="13"/>
      <c r="CG378" s="12"/>
      <c r="CV378" s="13"/>
      <c r="CZ378" s="13"/>
    </row>
    <row r="379" spans="20:273" ht="18" customHeight="1" x14ac:dyDescent="0.2">
      <c r="AN379" s="12"/>
      <c r="CF379" s="13"/>
      <c r="CG379" s="12"/>
      <c r="CV379" s="13"/>
      <c r="CZ379" s="13"/>
    </row>
    <row r="380" spans="20:273" ht="18" customHeight="1" x14ac:dyDescent="0.2">
      <c r="AN380" s="12"/>
      <c r="CF380" s="13"/>
      <c r="CG380" s="12"/>
      <c r="CV380" s="13"/>
      <c r="CZ380" s="13"/>
    </row>
    <row r="381" spans="20:273" ht="18" customHeight="1" x14ac:dyDescent="0.2">
      <c r="AN381" s="12"/>
      <c r="CF381" s="13"/>
      <c r="CG381" s="12"/>
      <c r="CV381" s="13"/>
      <c r="CZ381" s="13"/>
    </row>
    <row r="382" spans="20:273" ht="18" customHeight="1" x14ac:dyDescent="0.2">
      <c r="AN382" s="12"/>
      <c r="CF382" s="13"/>
      <c r="CG382" s="12"/>
      <c r="CV382" s="13"/>
      <c r="CZ382" s="13"/>
    </row>
    <row r="383" spans="20:273" ht="18" customHeight="1" x14ac:dyDescent="0.2">
      <c r="AN383" s="12"/>
      <c r="CF383" s="13"/>
      <c r="CG383" s="12"/>
      <c r="CV383" s="13"/>
      <c r="CZ383" s="13"/>
    </row>
    <row r="384" spans="20:273" ht="18" customHeight="1" x14ac:dyDescent="0.2">
      <c r="AN384" s="12"/>
      <c r="CF384" s="13"/>
      <c r="CG384" s="12"/>
      <c r="CV384" s="13"/>
      <c r="CZ384" s="13"/>
      <c r="GS384" s="266"/>
      <c r="GT384" s="266"/>
      <c r="GU384" s="266"/>
      <c r="GV384" s="266"/>
      <c r="GW384" s="266"/>
      <c r="GX384" s="266"/>
      <c r="GY384" s="266"/>
      <c r="GZ384" s="266"/>
      <c r="HA384" s="266"/>
      <c r="HB384" s="266"/>
      <c r="HC384" s="266"/>
      <c r="HD384" s="266"/>
      <c r="HE384" s="266"/>
      <c r="HF384" s="266"/>
      <c r="HG384" s="266"/>
      <c r="HH384" s="266"/>
      <c r="HI384" s="266"/>
      <c r="HJ384" s="266"/>
      <c r="HK384" s="266"/>
      <c r="HL384" s="266"/>
      <c r="HM384" s="266"/>
      <c r="HN384" s="266"/>
      <c r="HO384" s="266"/>
      <c r="HP384" s="266"/>
      <c r="HQ384" s="266"/>
      <c r="HR384" s="266"/>
      <c r="HS384" s="266"/>
      <c r="HT384" s="266"/>
      <c r="HU384" s="266"/>
      <c r="HV384" s="266"/>
      <c r="HW384" s="266"/>
      <c r="HX384" s="266"/>
      <c r="HY384" s="266"/>
      <c r="HZ384" s="266"/>
      <c r="IA384" s="266"/>
      <c r="IB384" s="266"/>
      <c r="IC384" s="266"/>
      <c r="ID384" s="266"/>
      <c r="IE384" s="266"/>
      <c r="IF384" s="266"/>
      <c r="IG384" s="266"/>
      <c r="IH384" s="266"/>
      <c r="II384" s="266"/>
      <c r="IJ384" s="266"/>
      <c r="IK384" s="266"/>
      <c r="IL384" s="266"/>
      <c r="IM384" s="266"/>
      <c r="IN384" s="266"/>
      <c r="IO384" s="266"/>
      <c r="IP384" s="266"/>
      <c r="IQ384" s="266"/>
      <c r="IR384" s="266"/>
      <c r="IS384" s="266"/>
      <c r="IT384" s="266"/>
      <c r="IU384" s="266"/>
      <c r="IV384" s="266"/>
      <c r="IW384" s="266"/>
      <c r="IX384" s="266"/>
      <c r="IY384" s="266"/>
      <c r="IZ384" s="266"/>
      <c r="JA384" s="266"/>
      <c r="JB384" s="266"/>
      <c r="JC384" s="266"/>
      <c r="JD384" s="266"/>
      <c r="JE384" s="266"/>
      <c r="JF384" s="266"/>
      <c r="JG384" s="266"/>
      <c r="JH384" s="266"/>
      <c r="JI384" s="266"/>
      <c r="JJ384" s="266"/>
      <c r="JK384" s="266"/>
      <c r="JL384" s="266"/>
      <c r="JM384" s="266"/>
    </row>
    <row r="385" spans="40:277" ht="18" customHeight="1" x14ac:dyDescent="0.2">
      <c r="AN385" s="12"/>
      <c r="CF385" s="13"/>
      <c r="CG385" s="12"/>
      <c r="CV385" s="13"/>
      <c r="CZ385" s="13"/>
      <c r="GS385" s="266"/>
      <c r="GT385" s="266"/>
      <c r="GU385" s="266"/>
      <c r="GV385" s="266"/>
      <c r="GW385" s="266"/>
      <c r="GX385" s="266"/>
      <c r="GY385" s="266"/>
      <c r="GZ385" s="266"/>
      <c r="HA385" s="266"/>
      <c r="HB385" s="266"/>
      <c r="HC385" s="266"/>
      <c r="HD385" s="266"/>
      <c r="HE385" s="266"/>
      <c r="HF385" s="266"/>
      <c r="HG385" s="266"/>
      <c r="HH385" s="266"/>
      <c r="HI385" s="266"/>
      <c r="HJ385" s="266"/>
      <c r="HK385" s="266"/>
      <c r="HL385" s="266"/>
      <c r="HM385" s="266"/>
      <c r="HN385" s="266"/>
      <c r="HO385" s="266"/>
      <c r="HP385" s="266"/>
      <c r="HQ385" s="266"/>
      <c r="HR385" s="266"/>
      <c r="HS385" s="266"/>
      <c r="HT385" s="266"/>
      <c r="HU385" s="266"/>
      <c r="HV385" s="266"/>
      <c r="HW385" s="266"/>
      <c r="HX385" s="266"/>
      <c r="HY385" s="266"/>
      <c r="HZ385" s="266"/>
      <c r="IA385" s="266"/>
      <c r="IB385" s="266"/>
      <c r="IC385" s="266"/>
      <c r="ID385" s="266"/>
      <c r="IE385" s="266"/>
      <c r="IF385" s="266"/>
      <c r="IG385" s="266"/>
      <c r="IH385" s="266"/>
      <c r="II385" s="266"/>
      <c r="IJ385" s="266"/>
      <c r="IK385" s="266"/>
      <c r="IL385" s="266"/>
      <c r="IM385" s="266"/>
      <c r="IN385" s="266"/>
      <c r="IO385" s="266"/>
      <c r="IP385" s="266"/>
      <c r="IQ385" s="266"/>
      <c r="IR385" s="266"/>
      <c r="IS385" s="266"/>
      <c r="IT385" s="266"/>
      <c r="IU385" s="266"/>
      <c r="IV385" s="266"/>
      <c r="IW385" s="266"/>
      <c r="IX385" s="266"/>
      <c r="IY385" s="266"/>
      <c r="IZ385" s="266"/>
      <c r="JA385" s="266"/>
      <c r="JB385" s="266"/>
      <c r="JC385" s="266"/>
      <c r="JD385" s="266"/>
      <c r="JE385" s="266"/>
      <c r="JF385" s="266"/>
      <c r="JG385" s="266"/>
      <c r="JH385" s="266"/>
      <c r="JI385" s="266"/>
      <c r="JJ385" s="266"/>
      <c r="JK385" s="266"/>
      <c r="JL385" s="266"/>
      <c r="JM385" s="266"/>
    </row>
    <row r="386" spans="40:277" ht="18" customHeight="1" x14ac:dyDescent="0.2">
      <c r="AN386" s="12"/>
      <c r="CF386" s="13"/>
      <c r="CG386" s="12"/>
      <c r="CV386" s="13"/>
      <c r="CZ386" s="13"/>
      <c r="DY386" s="9"/>
      <c r="DZ386" s="10"/>
      <c r="EA386" s="10"/>
      <c r="EB386" s="10"/>
      <c r="EC386" s="10"/>
      <c r="ED386" s="10"/>
      <c r="EE386" s="10"/>
      <c r="EF386" s="10"/>
      <c r="EG386" s="10"/>
      <c r="EH386" s="10"/>
      <c r="EI386" s="10"/>
      <c r="EJ386" s="10"/>
      <c r="EK386" s="10"/>
      <c r="EL386" s="10"/>
      <c r="EM386" s="10"/>
      <c r="EN386" s="10"/>
      <c r="EO386" s="10"/>
      <c r="EP386" s="10"/>
      <c r="EQ386" s="10"/>
      <c r="ER386" s="10"/>
      <c r="ES386" s="10"/>
      <c r="ET386" s="10"/>
      <c r="EU386" s="10"/>
      <c r="EV386" s="10"/>
      <c r="EW386" s="10"/>
      <c r="EX386" s="10"/>
      <c r="EY386" s="10"/>
      <c r="EZ386" s="10"/>
      <c r="FA386" s="10"/>
      <c r="FB386" s="10"/>
      <c r="FC386" s="10"/>
      <c r="FD386" s="10"/>
      <c r="FE386" s="10"/>
      <c r="FF386" s="10"/>
      <c r="FG386" s="10"/>
      <c r="FH386" s="10"/>
      <c r="FI386" s="10"/>
      <c r="FJ386" s="10"/>
      <c r="FK386" s="10"/>
      <c r="FL386" s="10"/>
      <c r="FM386" s="10"/>
      <c r="FN386" s="10"/>
      <c r="FO386" s="10"/>
      <c r="FP386" s="10"/>
      <c r="FQ386" s="10"/>
      <c r="FR386" s="10"/>
      <c r="FS386" s="10"/>
      <c r="FT386" s="10"/>
      <c r="FU386" s="10"/>
      <c r="FV386" s="10"/>
      <c r="FW386" s="10"/>
      <c r="FX386" s="10"/>
      <c r="FY386" s="10"/>
      <c r="FZ386" s="10"/>
      <c r="GA386" s="10"/>
      <c r="GB386" s="11"/>
      <c r="GS386" s="266"/>
      <c r="GT386" s="266"/>
      <c r="GU386" s="266"/>
      <c r="GV386" s="266"/>
      <c r="GW386" s="266"/>
      <c r="GX386" s="266"/>
      <c r="GY386" s="266"/>
      <c r="GZ386" s="266"/>
      <c r="HA386" s="266"/>
      <c r="HB386" s="266"/>
      <c r="HC386" s="266"/>
      <c r="HD386" s="266"/>
      <c r="HE386" s="266"/>
      <c r="HF386" s="266"/>
      <c r="HG386" s="266"/>
      <c r="HH386" s="266"/>
      <c r="HI386" s="266"/>
      <c r="HJ386" s="266"/>
      <c r="HK386" s="266"/>
      <c r="HL386" s="266"/>
      <c r="HM386" s="266"/>
      <c r="HN386" s="266"/>
      <c r="HO386" s="266"/>
      <c r="HP386" s="266"/>
      <c r="HQ386" s="266"/>
      <c r="HR386" s="266"/>
      <c r="HS386" s="266"/>
      <c r="HT386" s="266"/>
      <c r="HU386" s="266"/>
      <c r="HV386" s="266"/>
      <c r="HW386" s="266"/>
      <c r="HX386" s="266"/>
      <c r="HY386" s="266"/>
      <c r="HZ386" s="266"/>
      <c r="IA386" s="266"/>
      <c r="IB386" s="266"/>
      <c r="IC386" s="266"/>
      <c r="ID386" s="266"/>
      <c r="IE386" s="266"/>
      <c r="IF386" s="266"/>
      <c r="IG386" s="266"/>
      <c r="IH386" s="266"/>
      <c r="II386" s="266"/>
      <c r="IJ386" s="266"/>
      <c r="IK386" s="266"/>
      <c r="IL386" s="266"/>
      <c r="IM386" s="266"/>
      <c r="IN386" s="266"/>
      <c r="IO386" s="266"/>
      <c r="IP386" s="266"/>
      <c r="IQ386" s="266"/>
      <c r="IR386" s="266"/>
      <c r="IS386" s="266"/>
      <c r="IT386" s="266"/>
      <c r="IU386" s="266"/>
      <c r="IV386" s="266"/>
      <c r="IW386" s="266"/>
      <c r="IX386" s="266"/>
      <c r="IY386" s="266"/>
      <c r="IZ386" s="266"/>
      <c r="JA386" s="266"/>
      <c r="JB386" s="266"/>
      <c r="JC386" s="266"/>
      <c r="JD386" s="266"/>
      <c r="JE386" s="266"/>
      <c r="JF386" s="266"/>
      <c r="JG386" s="266"/>
      <c r="JH386" s="266"/>
      <c r="JI386" s="266"/>
      <c r="JJ386" s="266"/>
      <c r="JK386" s="266"/>
      <c r="JL386" s="266"/>
      <c r="JM386" s="266"/>
    </row>
    <row r="387" spans="40:277" ht="18" customHeight="1" x14ac:dyDescent="0.2">
      <c r="AN387" s="12"/>
      <c r="CF387" s="13"/>
      <c r="CG387" s="12"/>
      <c r="CV387" s="13"/>
      <c r="CZ387" s="13"/>
      <c r="DY387" s="12"/>
      <c r="DZ387" s="261"/>
      <c r="EA387" s="261"/>
      <c r="EB387" s="261"/>
      <c r="EC387" s="261"/>
      <c r="ED387" s="261"/>
      <c r="EE387" s="261"/>
      <c r="EF387" s="261"/>
      <c r="EG387" s="261"/>
      <c r="EH387" s="261"/>
      <c r="EI387" s="261"/>
      <c r="EJ387" s="261"/>
      <c r="EK387" s="261"/>
      <c r="EL387" s="261"/>
      <c r="EM387" s="261"/>
      <c r="EN387" s="261"/>
      <c r="EO387" s="261"/>
      <c r="EP387" s="261"/>
      <c r="EQ387" s="261"/>
      <c r="ER387" s="261"/>
      <c r="ES387" s="261"/>
      <c r="ET387" s="261"/>
      <c r="EU387" s="261"/>
      <c r="EV387" s="261"/>
      <c r="EW387" s="261"/>
      <c r="EX387" s="261"/>
      <c r="EY387" s="261"/>
      <c r="EZ387" s="261"/>
      <c r="FA387" s="261"/>
      <c r="FB387" s="261"/>
      <c r="FC387" s="261"/>
      <c r="FD387" s="261"/>
      <c r="FE387" s="261"/>
      <c r="FF387" s="261"/>
      <c r="FG387" s="261"/>
      <c r="FH387" s="261"/>
      <c r="FI387" s="261"/>
      <c r="FJ387" s="261"/>
      <c r="FK387" s="261"/>
      <c r="FL387" s="261"/>
      <c r="FM387" s="261"/>
      <c r="FN387" s="261"/>
      <c r="FO387" s="261"/>
      <c r="FP387" s="261"/>
      <c r="FQ387" s="261"/>
      <c r="FR387" s="261"/>
      <c r="FS387" s="261"/>
      <c r="FT387" s="261"/>
      <c r="FU387" s="261"/>
      <c r="FV387" s="261"/>
      <c r="FW387" s="261"/>
      <c r="FX387" s="261"/>
      <c r="FY387" s="261"/>
      <c r="FZ387" s="261"/>
      <c r="GA387" s="261"/>
      <c r="GB387" s="13"/>
      <c r="GS387" s="266"/>
      <c r="GT387" s="266"/>
      <c r="GU387" s="266"/>
      <c r="GV387" s="266"/>
      <c r="GW387" s="266"/>
      <c r="GX387" s="266"/>
      <c r="GY387" s="266"/>
      <c r="GZ387" s="266"/>
      <c r="HA387" s="266"/>
      <c r="HB387" s="266"/>
      <c r="HC387" s="266"/>
      <c r="HD387" s="266"/>
      <c r="HE387" s="266"/>
      <c r="HF387" s="266"/>
      <c r="HG387" s="266"/>
      <c r="HH387" s="266"/>
      <c r="HI387" s="266"/>
      <c r="HJ387" s="266"/>
      <c r="HK387" s="266"/>
      <c r="HL387" s="266"/>
      <c r="HM387" s="266"/>
      <c r="HN387" s="266"/>
      <c r="HO387" s="266"/>
      <c r="HP387" s="266"/>
      <c r="HQ387" s="266"/>
      <c r="HR387" s="266"/>
      <c r="HS387" s="266"/>
      <c r="HT387" s="266"/>
      <c r="HU387" s="266"/>
      <c r="HV387" s="266"/>
      <c r="HW387" s="266"/>
      <c r="HX387" s="266"/>
      <c r="HY387" s="266"/>
      <c r="HZ387" s="266"/>
      <c r="IA387" s="266"/>
      <c r="IB387" s="266"/>
      <c r="IC387" s="266"/>
      <c r="ID387" s="266"/>
      <c r="IE387" s="266"/>
      <c r="IF387" s="266"/>
      <c r="IG387" s="266"/>
      <c r="IH387" s="266"/>
      <c r="II387" s="266"/>
      <c r="IJ387" s="266"/>
      <c r="IK387" s="266"/>
      <c r="IL387" s="266"/>
      <c r="IM387" s="266"/>
      <c r="IN387" s="266"/>
      <c r="IO387" s="266"/>
      <c r="IP387" s="266"/>
      <c r="IQ387" s="266"/>
      <c r="IR387" s="266"/>
      <c r="IS387" s="266"/>
      <c r="IT387" s="266"/>
      <c r="IU387" s="266"/>
      <c r="IV387" s="266"/>
      <c r="IW387" s="266"/>
      <c r="IX387" s="266"/>
      <c r="IY387" s="266"/>
      <c r="IZ387" s="266"/>
      <c r="JA387" s="266"/>
      <c r="JB387" s="266"/>
      <c r="JC387" s="266"/>
      <c r="JD387" s="263"/>
      <c r="JE387" s="263"/>
      <c r="JF387" s="263"/>
      <c r="JG387" s="266"/>
      <c r="JH387" s="266"/>
      <c r="JI387" s="266"/>
      <c r="JJ387" s="266"/>
      <c r="JK387" s="266"/>
      <c r="JL387" s="266"/>
      <c r="JM387" s="266"/>
      <c r="JO387" s="266"/>
      <c r="JP387" s="263"/>
      <c r="JQ387" s="261"/>
    </row>
    <row r="388" spans="40:277" ht="18" customHeight="1" x14ac:dyDescent="0.2">
      <c r="AN388" s="12"/>
      <c r="CF388" s="13"/>
      <c r="CG388" s="12"/>
      <c r="CV388" s="13"/>
      <c r="CZ388" s="13"/>
      <c r="DY388" s="12"/>
      <c r="DZ388" s="261"/>
      <c r="EA388" s="9"/>
      <c r="EB388" s="10"/>
      <c r="EC388" s="10"/>
      <c r="ED388" s="10"/>
      <c r="EE388" s="10"/>
      <c r="EF388" s="10"/>
      <c r="EG388" s="10"/>
      <c r="EH388" s="10"/>
      <c r="EI388" s="10"/>
      <c r="EJ388" s="10"/>
      <c r="EK388" s="10"/>
      <c r="EL388" s="10"/>
      <c r="EM388" s="10"/>
      <c r="EN388" s="10"/>
      <c r="EO388" s="10"/>
      <c r="EP388" s="10"/>
      <c r="EQ388" s="10"/>
      <c r="ER388" s="10"/>
      <c r="ES388" s="10"/>
      <c r="ET388" s="10"/>
      <c r="EU388" s="10"/>
      <c r="EV388" s="10"/>
      <c r="EW388" s="10"/>
      <c r="EX388" s="10"/>
      <c r="EY388" s="10"/>
      <c r="EZ388" s="10"/>
      <c r="FA388" s="11"/>
      <c r="FB388" s="10"/>
      <c r="FC388" s="9"/>
      <c r="FD388" s="10"/>
      <c r="FE388" s="10"/>
      <c r="FF388" s="10"/>
      <c r="FG388" s="10"/>
      <c r="FH388" s="10"/>
      <c r="FI388" s="10"/>
      <c r="FJ388" s="10"/>
      <c r="FK388" s="10"/>
      <c r="FL388" s="10"/>
      <c r="FM388" s="10"/>
      <c r="FN388" s="10"/>
      <c r="FO388" s="10"/>
      <c r="FP388" s="10"/>
      <c r="FQ388" s="10"/>
      <c r="FR388" s="11"/>
      <c r="FS388" s="11"/>
      <c r="FT388" s="10"/>
      <c r="FU388" s="10"/>
      <c r="FV388" s="10"/>
      <c r="FW388" s="10"/>
      <c r="FX388" s="10"/>
      <c r="FY388" s="10"/>
      <c r="FZ388" s="11"/>
      <c r="GA388" s="261"/>
      <c r="GB388" s="13"/>
      <c r="GS388" s="266"/>
      <c r="GT388" s="266"/>
      <c r="GU388" s="266"/>
      <c r="GV388" s="266"/>
      <c r="GW388" s="266"/>
      <c r="GX388" s="266"/>
      <c r="GY388" s="266"/>
      <c r="GZ388" s="266"/>
      <c r="HA388" s="266"/>
      <c r="HB388" s="266"/>
      <c r="HC388" s="266"/>
      <c r="HD388" s="266"/>
      <c r="HE388" s="266"/>
      <c r="HF388" s="266"/>
      <c r="HG388" s="266"/>
      <c r="HH388" s="266"/>
      <c r="HI388" s="266"/>
      <c r="HJ388" s="266"/>
      <c r="HK388" s="266"/>
      <c r="HL388" s="266"/>
      <c r="HM388" s="266"/>
      <c r="HN388" s="266"/>
      <c r="HO388" s="266"/>
      <c r="HP388" s="266"/>
      <c r="HQ388" s="266"/>
      <c r="HR388" s="267"/>
      <c r="HS388" s="267"/>
      <c r="HT388" s="267"/>
      <c r="HU388" s="267"/>
      <c r="HV388" s="267"/>
      <c r="HW388" s="267"/>
      <c r="HX388" s="267"/>
      <c r="HY388" s="267"/>
      <c r="HZ388" s="266"/>
      <c r="IA388" s="266"/>
      <c r="IB388" s="266"/>
      <c r="IC388" s="266"/>
      <c r="ID388" s="266"/>
      <c r="IE388" s="266"/>
      <c r="IF388" s="266"/>
      <c r="IG388" s="266"/>
      <c r="IH388" s="266"/>
      <c r="II388" s="266"/>
      <c r="IJ388" s="266"/>
      <c r="IK388" s="266"/>
      <c r="IL388" s="266"/>
      <c r="IM388" s="266"/>
      <c r="IN388" s="266"/>
      <c r="IO388" s="266"/>
      <c r="IP388" s="266"/>
      <c r="IQ388" s="266"/>
      <c r="IR388" s="266"/>
      <c r="IS388" s="266"/>
      <c r="IT388" s="266"/>
      <c r="IU388" s="266"/>
      <c r="IV388" s="266"/>
      <c r="IW388" s="266"/>
      <c r="IX388" s="266"/>
      <c r="IY388" s="266"/>
      <c r="IZ388" s="266"/>
      <c r="JA388" s="266"/>
      <c r="JB388" s="266"/>
      <c r="JC388" s="266"/>
      <c r="JD388" s="263"/>
      <c r="JE388" s="263"/>
      <c r="JF388" s="263"/>
      <c r="JG388" s="266"/>
      <c r="JH388" s="266"/>
      <c r="JI388" s="266"/>
      <c r="JJ388" s="266"/>
      <c r="JK388" s="266"/>
      <c r="JL388" s="266"/>
      <c r="JM388" s="266"/>
      <c r="JO388" s="266"/>
      <c r="JP388" s="263"/>
      <c r="JQ388" s="261"/>
    </row>
    <row r="389" spans="40:277" ht="18" customHeight="1" x14ac:dyDescent="0.2">
      <c r="AN389" s="12"/>
      <c r="CF389" s="13"/>
      <c r="CG389" s="12"/>
      <c r="CV389" s="13"/>
      <c r="CZ389" s="13"/>
      <c r="DY389" s="12"/>
      <c r="DZ389" s="261"/>
      <c r="EA389" s="12"/>
      <c r="EB389" s="261"/>
      <c r="EC389" s="261"/>
      <c r="ED389" s="261"/>
      <c r="EE389" s="261"/>
      <c r="EF389" s="261"/>
      <c r="EG389" s="261"/>
      <c r="EH389" s="261"/>
      <c r="EI389" s="261"/>
      <c r="EJ389" s="261"/>
      <c r="EK389" s="261"/>
      <c r="EL389" s="261"/>
      <c r="EM389" s="261"/>
      <c r="EN389" s="261"/>
      <c r="EO389" s="261"/>
      <c r="EP389" s="261"/>
      <c r="EQ389" s="261"/>
      <c r="ER389" s="261"/>
      <c r="ES389" s="261"/>
      <c r="ET389" s="261"/>
      <c r="EU389" s="261"/>
      <c r="EV389" s="261"/>
      <c r="EW389" s="261"/>
      <c r="EX389" s="261"/>
      <c r="EY389" s="261"/>
      <c r="EZ389" s="261"/>
      <c r="FA389" s="13"/>
      <c r="FB389" s="261"/>
      <c r="FC389" s="12"/>
      <c r="FD389" s="261"/>
      <c r="FE389" s="261"/>
      <c r="FF389" s="261"/>
      <c r="FG389" s="261"/>
      <c r="FH389" s="261"/>
      <c r="FI389" s="261"/>
      <c r="FJ389" s="261"/>
      <c r="FK389" s="261"/>
      <c r="FL389" s="261"/>
      <c r="FM389" s="261"/>
      <c r="FN389" s="261"/>
      <c r="FO389" s="261"/>
      <c r="FP389" s="261"/>
      <c r="FQ389" s="261"/>
      <c r="FR389" s="13"/>
      <c r="FS389" s="13"/>
      <c r="FT389" s="261"/>
      <c r="FU389" s="261"/>
      <c r="FV389" s="261"/>
      <c r="FW389" s="261"/>
      <c r="FX389" s="261"/>
      <c r="FY389" s="261"/>
      <c r="FZ389" s="13"/>
      <c r="GA389" s="261"/>
      <c r="GB389" s="13"/>
      <c r="GS389" s="266"/>
      <c r="GT389" s="266"/>
      <c r="GU389" s="266"/>
      <c r="GV389" s="266"/>
      <c r="GW389" s="266"/>
      <c r="GX389" s="266"/>
      <c r="GY389" s="266"/>
      <c r="GZ389" s="268"/>
      <c r="HA389" s="269"/>
      <c r="HB389" s="269"/>
      <c r="HC389" s="269"/>
      <c r="HD389" s="269"/>
      <c r="HE389" s="269"/>
      <c r="HF389" s="269"/>
      <c r="HG389" s="269"/>
      <c r="HH389" s="269"/>
      <c r="HI389" s="269"/>
      <c r="HJ389" s="269"/>
      <c r="HK389" s="269"/>
      <c r="HL389" s="269"/>
      <c r="HM389" s="269"/>
      <c r="HN389" s="269"/>
      <c r="HO389" s="269"/>
      <c r="HP389" s="269"/>
      <c r="HQ389" s="269"/>
      <c r="HR389" s="269"/>
      <c r="HS389" s="269"/>
      <c r="HT389" s="269"/>
      <c r="HU389" s="269"/>
      <c r="HV389" s="269"/>
      <c r="HW389" s="269"/>
      <c r="HX389" s="269"/>
      <c r="HY389" s="269"/>
      <c r="HZ389" s="269"/>
      <c r="IA389" s="269"/>
      <c r="IB389" s="269"/>
      <c r="IC389" s="269"/>
      <c r="ID389" s="269"/>
      <c r="IE389" s="269"/>
      <c r="IF389" s="269"/>
      <c r="IG389" s="269"/>
      <c r="IH389" s="269"/>
      <c r="II389" s="269"/>
      <c r="IJ389" s="269"/>
      <c r="IK389" s="269"/>
      <c r="IL389" s="269"/>
      <c r="IM389" s="269"/>
      <c r="IN389" s="269"/>
      <c r="IO389" s="269"/>
      <c r="IP389" s="269"/>
      <c r="IQ389" s="269"/>
      <c r="IR389" s="269"/>
      <c r="IS389" s="269"/>
      <c r="IT389" s="269"/>
      <c r="IU389" s="269"/>
      <c r="IV389" s="269"/>
      <c r="IW389" s="269"/>
      <c r="IX389" s="269"/>
      <c r="IY389" s="269"/>
      <c r="IZ389" s="269"/>
      <c r="JA389" s="269"/>
      <c r="JB389" s="270"/>
      <c r="JC389" s="266"/>
      <c r="JD389" s="263"/>
      <c r="JE389" s="263"/>
      <c r="JF389" s="263"/>
      <c r="JG389" s="266"/>
      <c r="JH389" s="266"/>
      <c r="JI389" s="266"/>
      <c r="JJ389" s="263"/>
      <c r="JK389" s="263"/>
      <c r="JL389" s="263"/>
      <c r="JM389" s="263"/>
      <c r="JN389" s="261"/>
      <c r="JO389" s="263"/>
      <c r="JP389" s="263"/>
      <c r="JQ389" s="261"/>
    </row>
    <row r="390" spans="40:277" ht="18" customHeight="1" x14ac:dyDescent="0.2">
      <c r="AN390" s="12"/>
      <c r="CF390" s="13"/>
      <c r="CG390" s="12"/>
      <c r="CV390" s="13"/>
      <c r="CZ390" s="13"/>
      <c r="DY390" s="12"/>
      <c r="DZ390" s="261"/>
      <c r="EA390" s="12"/>
      <c r="EB390" s="261"/>
      <c r="EC390" s="261"/>
      <c r="ED390" s="261"/>
      <c r="EE390" s="261"/>
      <c r="EF390" s="261"/>
      <c r="EG390" s="261"/>
      <c r="EH390" s="261"/>
      <c r="EI390" s="261"/>
      <c r="EJ390" s="261"/>
      <c r="EK390" s="261"/>
      <c r="EL390" s="261"/>
      <c r="EM390" s="261"/>
      <c r="EN390" s="261"/>
      <c r="EO390" s="261"/>
      <c r="EP390" s="261"/>
      <c r="EQ390" s="261"/>
      <c r="ER390" s="261"/>
      <c r="ES390" s="261"/>
      <c r="ET390" s="261"/>
      <c r="EU390" s="261"/>
      <c r="EV390" s="261"/>
      <c r="EW390" s="261"/>
      <c r="EX390" s="261"/>
      <c r="EY390" s="261"/>
      <c r="EZ390" s="261"/>
      <c r="FA390" s="13"/>
      <c r="FB390" s="261"/>
      <c r="FC390" s="12"/>
      <c r="FD390" s="261"/>
      <c r="FE390" s="261"/>
      <c r="FF390" s="261"/>
      <c r="FG390" s="261"/>
      <c r="FH390" s="261"/>
      <c r="FI390" s="261"/>
      <c r="FJ390" s="261"/>
      <c r="FK390" s="261"/>
      <c r="FL390" s="261"/>
      <c r="FM390" s="261"/>
      <c r="FN390" s="261"/>
      <c r="FO390" s="261"/>
      <c r="FP390" s="261"/>
      <c r="FQ390" s="261"/>
      <c r="FR390" s="13"/>
      <c r="FS390" s="13"/>
      <c r="FT390" s="261"/>
      <c r="FU390" s="261"/>
      <c r="FV390" s="261"/>
      <c r="FW390" s="261"/>
      <c r="FX390" s="261"/>
      <c r="FY390" s="261"/>
      <c r="FZ390" s="13"/>
      <c r="GA390" s="261"/>
      <c r="GB390" s="13"/>
      <c r="GS390" s="266"/>
      <c r="GT390" s="266"/>
      <c r="GU390" s="266"/>
      <c r="GV390" s="266"/>
      <c r="GW390" s="266"/>
      <c r="GX390" s="266"/>
      <c r="GY390" s="266"/>
      <c r="GZ390" s="264"/>
      <c r="HA390" s="263"/>
      <c r="HB390" s="263"/>
      <c r="HC390" s="263"/>
      <c r="HD390" s="263"/>
      <c r="HE390" s="263"/>
      <c r="HF390" s="263"/>
      <c r="HG390" s="263"/>
      <c r="HH390" s="263"/>
      <c r="HI390" s="263"/>
      <c r="HJ390" s="263"/>
      <c r="HK390" s="263"/>
      <c r="HL390" s="263"/>
      <c r="HM390" s="263"/>
      <c r="HN390" s="263"/>
      <c r="HO390" s="263"/>
      <c r="HP390" s="263"/>
      <c r="HQ390" s="263"/>
      <c r="HR390" s="263"/>
      <c r="HS390" s="263"/>
      <c r="HT390" s="263"/>
      <c r="HU390" s="263"/>
      <c r="HV390" s="263"/>
      <c r="HW390" s="263"/>
      <c r="HX390" s="263"/>
      <c r="HY390" s="263"/>
      <c r="HZ390" s="263"/>
      <c r="IA390" s="263"/>
      <c r="IB390" s="263"/>
      <c r="IC390" s="263"/>
      <c r="ID390" s="263"/>
      <c r="IE390" s="263"/>
      <c r="IF390" s="263"/>
      <c r="IG390" s="263"/>
      <c r="IH390" s="263"/>
      <c r="II390" s="263"/>
      <c r="IJ390" s="267"/>
      <c r="IK390" s="267"/>
      <c r="IL390" s="267"/>
      <c r="IM390" s="267"/>
      <c r="IN390" s="267"/>
      <c r="IO390" s="267"/>
      <c r="IP390" s="263"/>
      <c r="IQ390" s="263"/>
      <c r="IR390" s="263"/>
      <c r="IS390" s="267"/>
      <c r="IT390" s="267"/>
      <c r="IU390" s="267"/>
      <c r="IV390" s="263"/>
      <c r="IW390" s="263"/>
      <c r="IX390" s="263"/>
      <c r="IY390" s="263"/>
      <c r="IZ390" s="263"/>
      <c r="JA390" s="263"/>
      <c r="JB390" s="265"/>
      <c r="JC390" s="266"/>
      <c r="JD390" s="263"/>
      <c r="JE390" s="263"/>
      <c r="JF390" s="263"/>
      <c r="JG390" s="266"/>
      <c r="JH390" s="266"/>
      <c r="JI390" s="266"/>
      <c r="JJ390" s="263"/>
      <c r="JK390" s="263"/>
      <c r="JL390" s="263"/>
      <c r="JM390" s="263"/>
      <c r="JN390" s="261"/>
      <c r="JO390" s="263"/>
      <c r="JP390" s="263"/>
      <c r="JQ390" s="261"/>
    </row>
    <row r="391" spans="40:277" ht="18" customHeight="1" x14ac:dyDescent="0.2">
      <c r="AN391" s="12"/>
      <c r="CF391" s="13"/>
      <c r="CG391" s="12"/>
      <c r="CV391" s="13"/>
      <c r="CZ391" s="13"/>
      <c r="DY391" s="12"/>
      <c r="DZ391" s="261"/>
      <c r="EA391" s="12"/>
      <c r="EB391" s="261"/>
      <c r="EC391" s="261"/>
      <c r="ED391" s="261"/>
      <c r="EE391" s="261"/>
      <c r="EF391" s="261"/>
      <c r="EG391" s="261"/>
      <c r="EH391" s="261"/>
      <c r="EI391" s="261"/>
      <c r="EJ391" s="261"/>
      <c r="EK391" s="261"/>
      <c r="EL391" s="261"/>
      <c r="EM391" s="261"/>
      <c r="EN391" s="261"/>
      <c r="EO391" s="261"/>
      <c r="EP391" s="261"/>
      <c r="EQ391" s="261"/>
      <c r="ER391" s="261"/>
      <c r="ES391" s="261"/>
      <c r="ET391" s="261"/>
      <c r="EU391" s="261"/>
      <c r="EV391" s="261"/>
      <c r="EW391" s="261"/>
      <c r="EX391" s="261"/>
      <c r="EY391" s="261"/>
      <c r="EZ391" s="261"/>
      <c r="FA391" s="13"/>
      <c r="FB391" s="261"/>
      <c r="FC391" s="12"/>
      <c r="FD391" s="261"/>
      <c r="FE391" s="261"/>
      <c r="FF391" s="261"/>
      <c r="FG391" s="261"/>
      <c r="FH391" s="261"/>
      <c r="FI391" s="261"/>
      <c r="FJ391" s="261"/>
      <c r="FK391" s="261"/>
      <c r="FL391" s="261"/>
      <c r="FM391" s="261"/>
      <c r="FN391" s="261"/>
      <c r="FO391" s="261"/>
      <c r="FP391" s="261"/>
      <c r="FQ391" s="261"/>
      <c r="FR391" s="13"/>
      <c r="FS391" s="13"/>
      <c r="FT391" s="261"/>
      <c r="FU391" s="261"/>
      <c r="FV391" s="261"/>
      <c r="FW391" s="261"/>
      <c r="FX391" s="261"/>
      <c r="FY391" s="261"/>
      <c r="FZ391" s="13"/>
      <c r="GA391" s="261"/>
      <c r="GB391" s="13"/>
      <c r="GS391" s="266"/>
      <c r="GT391" s="266"/>
      <c r="GU391" s="266"/>
      <c r="GV391" s="266"/>
      <c r="GW391" s="266"/>
      <c r="GX391" s="266"/>
      <c r="GY391" s="266"/>
      <c r="GZ391" s="264"/>
      <c r="HA391" s="263"/>
      <c r="HB391" s="268"/>
      <c r="HC391" s="269"/>
      <c r="HD391" s="269"/>
      <c r="HE391" s="269"/>
      <c r="HF391" s="269"/>
      <c r="HG391" s="269"/>
      <c r="HH391" s="269"/>
      <c r="HI391" s="269"/>
      <c r="HJ391" s="269"/>
      <c r="HK391" s="269"/>
      <c r="HL391" s="269"/>
      <c r="HM391" s="269"/>
      <c r="HN391" s="269"/>
      <c r="HO391" s="269"/>
      <c r="HP391" s="269"/>
      <c r="HQ391" s="269"/>
      <c r="HR391" s="269"/>
      <c r="HS391" s="268"/>
      <c r="HT391" s="269"/>
      <c r="HU391" s="269"/>
      <c r="HV391" s="269"/>
      <c r="HW391" s="269"/>
      <c r="HX391" s="269"/>
      <c r="HY391" s="269"/>
      <c r="HZ391" s="269"/>
      <c r="IA391" s="268"/>
      <c r="IB391" s="268"/>
      <c r="IC391" s="269"/>
      <c r="ID391" s="269"/>
      <c r="IE391" s="269"/>
      <c r="IF391" s="269"/>
      <c r="IG391" s="269"/>
      <c r="IH391" s="269"/>
      <c r="II391" s="269"/>
      <c r="IJ391" s="270"/>
      <c r="IK391" s="270"/>
      <c r="IL391" s="269"/>
      <c r="IM391" s="269"/>
      <c r="IN391" s="269"/>
      <c r="IO391" s="269"/>
      <c r="IP391" s="269"/>
      <c r="IQ391" s="269"/>
      <c r="IR391" s="269"/>
      <c r="IS391" s="269"/>
      <c r="IT391" s="270"/>
      <c r="IU391" s="268"/>
      <c r="IV391" s="269"/>
      <c r="IW391" s="269"/>
      <c r="IX391" s="269"/>
      <c r="IY391" s="269"/>
      <c r="IZ391" s="270"/>
      <c r="JA391" s="263"/>
      <c r="JB391" s="265"/>
      <c r="JC391" s="266"/>
      <c r="JD391" s="263"/>
      <c r="JE391" s="263"/>
      <c r="JF391" s="263"/>
      <c r="JG391" s="266"/>
      <c r="JH391" s="266"/>
      <c r="JI391" s="266"/>
      <c r="JJ391" s="263"/>
      <c r="JK391" s="263"/>
      <c r="JL391" s="263"/>
      <c r="JM391" s="263"/>
      <c r="JN391" s="261"/>
      <c r="JO391" s="263"/>
      <c r="JP391" s="263"/>
      <c r="JQ391" s="261"/>
    </row>
    <row r="392" spans="40:277" ht="18" customHeight="1" x14ac:dyDescent="0.2">
      <c r="AN392" s="14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15"/>
      <c r="AZ392" s="15"/>
      <c r="BA392" s="15"/>
      <c r="BB392" s="15"/>
      <c r="BC392" s="15"/>
      <c r="BD392" s="15"/>
      <c r="BE392" s="15"/>
      <c r="BF392" s="15"/>
      <c r="BG392" s="15"/>
      <c r="BH392" s="15"/>
      <c r="BI392" s="15"/>
      <c r="BJ392" s="15"/>
      <c r="BK392" s="15"/>
      <c r="BL392" s="15"/>
      <c r="BM392" s="15"/>
      <c r="BN392" s="15"/>
      <c r="BO392" s="15"/>
      <c r="BP392" s="15"/>
      <c r="BQ392" s="15"/>
      <c r="BR392" s="15"/>
      <c r="BS392" s="15"/>
      <c r="BT392" s="15"/>
      <c r="BU392" s="15"/>
      <c r="BV392" s="15"/>
      <c r="BW392" s="15"/>
      <c r="BX392" s="15"/>
      <c r="BY392" s="15"/>
      <c r="BZ392" s="15"/>
      <c r="CA392" s="15"/>
      <c r="CB392" s="15"/>
      <c r="CC392" s="15"/>
      <c r="CD392" s="15"/>
      <c r="CE392" s="15"/>
      <c r="CF392" s="16"/>
      <c r="CG392" s="14"/>
      <c r="CH392" s="15"/>
      <c r="CI392" s="15"/>
      <c r="CJ392" s="15"/>
      <c r="CK392" s="15"/>
      <c r="CL392" s="15"/>
      <c r="CM392" s="15"/>
      <c r="CN392" s="15"/>
      <c r="CO392" s="15"/>
      <c r="CP392" s="15"/>
      <c r="CQ392" s="15"/>
      <c r="CR392" s="15"/>
      <c r="CS392" s="15"/>
      <c r="CT392" s="15"/>
      <c r="CU392" s="15"/>
      <c r="CV392" s="16"/>
      <c r="CZ392" s="13"/>
      <c r="DY392" s="12"/>
      <c r="DZ392" s="261"/>
      <c r="EA392" s="12"/>
      <c r="EB392" s="261"/>
      <c r="EC392" s="261"/>
      <c r="ED392" s="261"/>
      <c r="EE392" s="261"/>
      <c r="EF392" s="261"/>
      <c r="EG392" s="261"/>
      <c r="EH392" s="261"/>
      <c r="EI392" s="261"/>
      <c r="EJ392" s="261"/>
      <c r="EK392" s="261"/>
      <c r="EL392" s="261"/>
      <c r="EM392" s="261"/>
      <c r="EN392" s="261"/>
      <c r="EO392" s="261"/>
      <c r="EP392" s="261"/>
      <c r="EQ392" s="261"/>
      <c r="ER392" s="261"/>
      <c r="ES392" s="261"/>
      <c r="ET392" s="261"/>
      <c r="EU392" s="261"/>
      <c r="EV392" s="261"/>
      <c r="EW392" s="261"/>
      <c r="EX392" s="261"/>
      <c r="EY392" s="261"/>
      <c r="EZ392" s="261"/>
      <c r="FA392" s="13"/>
      <c r="FB392" s="261"/>
      <c r="FC392" s="12"/>
      <c r="FD392" s="261"/>
      <c r="FE392" s="261"/>
      <c r="FF392" s="261"/>
      <c r="FG392" s="261"/>
      <c r="FH392" s="261"/>
      <c r="FI392" s="261"/>
      <c r="FJ392" s="261"/>
      <c r="FK392" s="261"/>
      <c r="FL392" s="261"/>
      <c r="FM392" s="261"/>
      <c r="FN392" s="261"/>
      <c r="FO392" s="261"/>
      <c r="FP392" s="261"/>
      <c r="FQ392" s="261"/>
      <c r="FR392" s="13"/>
      <c r="FS392" s="13"/>
      <c r="FT392" s="261"/>
      <c r="FU392" s="261"/>
      <c r="FV392" s="261"/>
      <c r="FW392" s="261"/>
      <c r="FX392" s="261"/>
      <c r="FY392" s="261"/>
      <c r="FZ392" s="13"/>
      <c r="GA392" s="261"/>
      <c r="GB392" s="13"/>
      <c r="GS392" s="266"/>
      <c r="GT392" s="266"/>
      <c r="GU392" s="266"/>
      <c r="GV392" s="266"/>
      <c r="GW392" s="266"/>
      <c r="GX392" s="266"/>
      <c r="GY392" s="266"/>
      <c r="GZ392" s="264"/>
      <c r="HA392" s="263"/>
      <c r="HB392" s="264"/>
      <c r="HC392" s="263"/>
      <c r="HD392" s="263"/>
      <c r="HE392" s="263"/>
      <c r="HF392" s="263"/>
      <c r="HG392" s="263"/>
      <c r="HH392" s="263"/>
      <c r="HI392" s="263"/>
      <c r="HJ392" s="263"/>
      <c r="HK392" s="263"/>
      <c r="HL392" s="263"/>
      <c r="HM392" s="263"/>
      <c r="HN392" s="263"/>
      <c r="HO392" s="263"/>
      <c r="HP392" s="263"/>
      <c r="HQ392" s="263"/>
      <c r="HR392" s="263"/>
      <c r="HS392" s="264"/>
      <c r="HT392" s="263"/>
      <c r="HU392" s="263"/>
      <c r="HV392" s="263"/>
      <c r="HW392" s="263"/>
      <c r="HX392" s="263"/>
      <c r="HY392" s="263"/>
      <c r="HZ392" s="263"/>
      <c r="IA392" s="264"/>
      <c r="IB392" s="264"/>
      <c r="IC392" s="263"/>
      <c r="ID392" s="263"/>
      <c r="IE392" s="263"/>
      <c r="IF392" s="263"/>
      <c r="IG392" s="263"/>
      <c r="IH392" s="263"/>
      <c r="II392" s="263"/>
      <c r="IJ392" s="265"/>
      <c r="IK392" s="265"/>
      <c r="IL392" s="263"/>
      <c r="IM392" s="263"/>
      <c r="IN392" s="263"/>
      <c r="IO392" s="263"/>
      <c r="IP392" s="263"/>
      <c r="IQ392" s="263"/>
      <c r="IR392" s="263"/>
      <c r="IS392" s="263"/>
      <c r="IT392" s="265"/>
      <c r="IU392" s="264"/>
      <c r="IV392" s="263"/>
      <c r="IW392" s="263"/>
      <c r="IX392" s="263"/>
      <c r="IY392" s="263"/>
      <c r="IZ392" s="265"/>
      <c r="JA392" s="263"/>
      <c r="JB392" s="265"/>
      <c r="JC392" s="266"/>
      <c r="JD392" s="263"/>
      <c r="JE392" s="263"/>
      <c r="JF392" s="263"/>
      <c r="JG392" s="266"/>
      <c r="JH392" s="266"/>
      <c r="JI392" s="266"/>
      <c r="JJ392" s="263"/>
      <c r="JK392" s="263"/>
      <c r="JL392" s="263"/>
      <c r="JM392" s="263"/>
      <c r="JN392" s="261"/>
      <c r="JO392" s="263"/>
      <c r="JP392" s="263"/>
      <c r="JQ392" s="261"/>
    </row>
    <row r="393" spans="40:277" ht="18" customHeight="1" x14ac:dyDescent="0.2">
      <c r="AN393" s="12"/>
      <c r="CZ393" s="13"/>
      <c r="DY393" s="12"/>
      <c r="DZ393" s="261"/>
      <c r="EA393" s="12"/>
      <c r="EB393" s="261"/>
      <c r="EC393" s="261"/>
      <c r="ED393" s="261"/>
      <c r="EE393" s="261"/>
      <c r="EF393" s="261"/>
      <c r="EG393" s="261"/>
      <c r="EH393" s="261"/>
      <c r="EI393" s="261"/>
      <c r="EJ393" s="261"/>
      <c r="EK393" s="261"/>
      <c r="EL393" s="261"/>
      <c r="EM393" s="261"/>
      <c r="EN393" s="261"/>
      <c r="EO393" s="261"/>
      <c r="EP393" s="261"/>
      <c r="EQ393" s="261"/>
      <c r="ER393" s="261"/>
      <c r="ES393" s="261"/>
      <c r="ET393" s="261"/>
      <c r="EU393" s="261"/>
      <c r="EV393" s="261"/>
      <c r="EW393" s="261"/>
      <c r="EX393" s="261"/>
      <c r="EY393" s="261"/>
      <c r="EZ393" s="261"/>
      <c r="FA393" s="13"/>
      <c r="FB393" s="261"/>
      <c r="FC393" s="12"/>
      <c r="FD393" s="261"/>
      <c r="FE393" s="261"/>
      <c r="FF393" s="261"/>
      <c r="FG393" s="261"/>
      <c r="FH393" s="261"/>
      <c r="FI393" s="261"/>
      <c r="FJ393" s="261"/>
      <c r="FK393" s="261"/>
      <c r="FL393" s="261"/>
      <c r="FM393" s="261"/>
      <c r="FN393" s="261"/>
      <c r="FO393" s="261"/>
      <c r="FP393" s="261"/>
      <c r="FQ393" s="261"/>
      <c r="FR393" s="13"/>
      <c r="FS393" s="13"/>
      <c r="FT393" s="261"/>
      <c r="FU393" s="261"/>
      <c r="FV393" s="261"/>
      <c r="FW393" s="261"/>
      <c r="FX393" s="261"/>
      <c r="FY393" s="261"/>
      <c r="FZ393" s="13"/>
      <c r="GA393" s="261"/>
      <c r="GB393" s="13"/>
      <c r="GS393" s="266"/>
      <c r="GT393" s="266"/>
      <c r="GU393" s="266"/>
      <c r="GV393" s="266"/>
      <c r="GW393" s="266"/>
      <c r="GX393" s="266"/>
      <c r="GY393" s="266"/>
      <c r="GZ393" s="264"/>
      <c r="HA393" s="263"/>
      <c r="HB393" s="264"/>
      <c r="HC393" s="263"/>
      <c r="HD393" s="263"/>
      <c r="HE393" s="263"/>
      <c r="HF393" s="263"/>
      <c r="HG393" s="263"/>
      <c r="HH393" s="263"/>
      <c r="HI393" s="263"/>
      <c r="HJ393" s="263"/>
      <c r="HK393" s="263"/>
      <c r="HL393" s="263"/>
      <c r="HM393" s="263"/>
      <c r="HN393" s="263"/>
      <c r="HO393" s="263"/>
      <c r="HP393" s="263"/>
      <c r="HQ393" s="263"/>
      <c r="HR393" s="263"/>
      <c r="HS393" s="264"/>
      <c r="HT393" s="263"/>
      <c r="HU393" s="263"/>
      <c r="HV393" s="263"/>
      <c r="HW393" s="263"/>
      <c r="HX393" s="263"/>
      <c r="HY393" s="263"/>
      <c r="HZ393" s="263"/>
      <c r="IA393" s="264"/>
      <c r="IB393" s="264"/>
      <c r="IC393" s="263"/>
      <c r="ID393" s="263"/>
      <c r="IE393" s="263"/>
      <c r="IF393" s="263"/>
      <c r="IG393" s="263"/>
      <c r="IH393" s="263"/>
      <c r="II393" s="263"/>
      <c r="IJ393" s="265"/>
      <c r="IK393" s="265"/>
      <c r="IL393" s="263"/>
      <c r="IM393" s="263"/>
      <c r="IN393" s="263"/>
      <c r="IO393" s="263"/>
      <c r="IP393" s="263"/>
      <c r="IQ393" s="263"/>
      <c r="IR393" s="263"/>
      <c r="IS393" s="263"/>
      <c r="IT393" s="265"/>
      <c r="IU393" s="264"/>
      <c r="IV393" s="263"/>
      <c r="IW393" s="263"/>
      <c r="IX393" s="263"/>
      <c r="IY393" s="263"/>
      <c r="IZ393" s="265"/>
      <c r="JA393" s="263"/>
      <c r="JB393" s="265"/>
      <c r="JC393" s="266"/>
      <c r="JD393" s="263"/>
      <c r="JE393" s="263"/>
      <c r="JF393" s="263"/>
      <c r="JG393" s="266"/>
      <c r="JH393" s="266"/>
      <c r="JI393" s="266"/>
      <c r="JJ393" s="263"/>
      <c r="JK393" s="263"/>
      <c r="JL393" s="263"/>
      <c r="JM393" s="263"/>
      <c r="JN393" s="261"/>
      <c r="JO393" s="263"/>
      <c r="JP393" s="263"/>
      <c r="JQ393" s="261"/>
    </row>
    <row r="394" spans="40:277" ht="18" customHeight="1" x14ac:dyDescent="0.2">
      <c r="AN394" s="12"/>
      <c r="CZ394" s="13"/>
      <c r="DY394" s="12"/>
      <c r="DZ394" s="261"/>
      <c r="EA394" s="12"/>
      <c r="EB394" s="261"/>
      <c r="EC394" s="261"/>
      <c r="ED394" s="261"/>
      <c r="EE394" s="261"/>
      <c r="EF394" s="261"/>
      <c r="EG394" s="261"/>
      <c r="EH394" s="261"/>
      <c r="EI394" s="261"/>
      <c r="EJ394" s="261"/>
      <c r="EK394" s="261"/>
      <c r="EL394" s="261"/>
      <c r="EM394" s="261"/>
      <c r="EN394" s="261"/>
      <c r="EO394" s="261"/>
      <c r="EP394" s="261"/>
      <c r="EQ394" s="261"/>
      <c r="ER394" s="261"/>
      <c r="ES394" s="261"/>
      <c r="ET394" s="261"/>
      <c r="EU394" s="261"/>
      <c r="EV394" s="261"/>
      <c r="EW394" s="261"/>
      <c r="EX394" s="261"/>
      <c r="EY394" s="261"/>
      <c r="EZ394" s="261"/>
      <c r="FA394" s="13"/>
      <c r="FB394" s="261"/>
      <c r="FC394" s="12"/>
      <c r="FD394" s="261"/>
      <c r="FE394" s="261"/>
      <c r="FF394" s="261"/>
      <c r="FG394" s="261"/>
      <c r="FH394" s="261"/>
      <c r="FI394" s="261"/>
      <c r="FJ394" s="261"/>
      <c r="FK394" s="261"/>
      <c r="FL394" s="261"/>
      <c r="FM394" s="261"/>
      <c r="FN394" s="261"/>
      <c r="FO394" s="261"/>
      <c r="FP394" s="261"/>
      <c r="FQ394" s="261"/>
      <c r="FR394" s="13"/>
      <c r="FS394" s="13"/>
      <c r="FT394" s="261"/>
      <c r="FU394" s="261"/>
      <c r="FV394" s="261"/>
      <c r="FW394" s="261"/>
      <c r="FX394" s="261"/>
      <c r="FY394" s="261"/>
      <c r="FZ394" s="13"/>
      <c r="GA394" s="261"/>
      <c r="GB394" s="13"/>
      <c r="GS394" s="266"/>
      <c r="GT394" s="266"/>
      <c r="GU394" s="266"/>
      <c r="GV394" s="266"/>
      <c r="GW394" s="266"/>
      <c r="GX394" s="266"/>
      <c r="GY394" s="266"/>
      <c r="GZ394" s="264"/>
      <c r="HA394" s="263"/>
      <c r="HB394" s="264"/>
      <c r="HC394" s="263"/>
      <c r="HD394" s="263"/>
      <c r="HE394" s="263"/>
      <c r="HF394" s="263"/>
      <c r="HG394" s="263"/>
      <c r="HH394" s="263"/>
      <c r="HI394" s="263"/>
      <c r="HJ394" s="263"/>
      <c r="HK394" s="263"/>
      <c r="HL394" s="263"/>
      <c r="HM394" s="263"/>
      <c r="HN394" s="263"/>
      <c r="HO394" s="263"/>
      <c r="HP394" s="263"/>
      <c r="HQ394" s="263"/>
      <c r="HR394" s="263"/>
      <c r="HS394" s="264"/>
      <c r="HT394" s="263"/>
      <c r="HU394" s="263"/>
      <c r="HV394" s="263"/>
      <c r="HW394" s="263"/>
      <c r="HX394" s="263"/>
      <c r="HY394" s="263"/>
      <c r="HZ394" s="263"/>
      <c r="IA394" s="264"/>
      <c r="IB394" s="264"/>
      <c r="IC394" s="263"/>
      <c r="ID394" s="263"/>
      <c r="IE394" s="263"/>
      <c r="IF394" s="263"/>
      <c r="IG394" s="263"/>
      <c r="IH394" s="263"/>
      <c r="II394" s="263"/>
      <c r="IJ394" s="265"/>
      <c r="IK394" s="265"/>
      <c r="IL394" s="263"/>
      <c r="IM394" s="263"/>
      <c r="IN394" s="263"/>
      <c r="IO394" s="263"/>
      <c r="IP394" s="263"/>
      <c r="IQ394" s="263"/>
      <c r="IR394" s="263"/>
      <c r="IS394" s="263"/>
      <c r="IT394" s="265"/>
      <c r="IU394" s="264"/>
      <c r="IV394" s="263"/>
      <c r="IW394" s="263"/>
      <c r="IX394" s="263"/>
      <c r="IY394" s="263"/>
      <c r="IZ394" s="265"/>
      <c r="JA394" s="263"/>
      <c r="JB394" s="265"/>
      <c r="JC394" s="266"/>
      <c r="JD394" s="263"/>
      <c r="JE394" s="263"/>
      <c r="JF394" s="263"/>
      <c r="JG394" s="266"/>
      <c r="JH394" s="266"/>
      <c r="JI394" s="266"/>
      <c r="JJ394" s="263"/>
      <c r="JK394" s="263"/>
      <c r="JL394" s="263"/>
      <c r="JM394" s="263"/>
      <c r="JN394" s="261"/>
      <c r="JO394" s="263"/>
      <c r="JP394" s="263"/>
      <c r="JQ394" s="261"/>
    </row>
    <row r="395" spans="40:277" ht="18" customHeight="1" x14ac:dyDescent="0.2">
      <c r="AN395" s="12"/>
      <c r="CZ395" s="13"/>
      <c r="DY395" s="12"/>
      <c r="DZ395" s="261"/>
      <c r="EA395" s="12"/>
      <c r="EB395" s="261"/>
      <c r="EC395" s="261"/>
      <c r="ED395" s="261"/>
      <c r="EE395" s="261"/>
      <c r="EF395" s="261"/>
      <c r="EG395" s="261"/>
      <c r="EH395" s="261"/>
      <c r="EI395" s="261"/>
      <c r="EJ395" s="261"/>
      <c r="EK395" s="261"/>
      <c r="EL395" s="261"/>
      <c r="EM395" s="261"/>
      <c r="EN395" s="261"/>
      <c r="EO395" s="261"/>
      <c r="EP395" s="261"/>
      <c r="EQ395" s="261"/>
      <c r="ER395" s="261"/>
      <c r="ES395" s="261"/>
      <c r="ET395" s="261"/>
      <c r="EU395" s="261"/>
      <c r="EV395" s="261"/>
      <c r="EW395" s="261"/>
      <c r="EX395" s="261"/>
      <c r="EY395" s="261"/>
      <c r="EZ395" s="261"/>
      <c r="FA395" s="13"/>
      <c r="FB395" s="261"/>
      <c r="FC395" s="12"/>
      <c r="FD395" s="261"/>
      <c r="FE395" s="261"/>
      <c r="FF395" s="261"/>
      <c r="FG395" s="261"/>
      <c r="FH395" s="261"/>
      <c r="FI395" s="261"/>
      <c r="FJ395" s="261"/>
      <c r="FK395" s="261"/>
      <c r="FL395" s="261"/>
      <c r="FM395" s="261"/>
      <c r="FN395" s="261"/>
      <c r="FO395" s="261"/>
      <c r="FP395" s="261"/>
      <c r="FQ395" s="261"/>
      <c r="FR395" s="13"/>
      <c r="FS395" s="13"/>
      <c r="FT395" s="261"/>
      <c r="FU395" s="261"/>
      <c r="FV395" s="261"/>
      <c r="FW395" s="261"/>
      <c r="FX395" s="261"/>
      <c r="FY395" s="261"/>
      <c r="FZ395" s="13"/>
      <c r="GA395" s="261"/>
      <c r="GB395" s="13"/>
      <c r="GV395" s="266"/>
      <c r="GW395" s="266"/>
      <c r="GX395" s="266"/>
      <c r="GY395" s="266"/>
      <c r="GZ395" s="264"/>
      <c r="HA395" s="263"/>
      <c r="HB395" s="264"/>
      <c r="HC395" s="263"/>
      <c r="HD395" s="263"/>
      <c r="HE395" s="263"/>
      <c r="HF395" s="263"/>
      <c r="HG395" s="263"/>
      <c r="HH395" s="263"/>
      <c r="HI395" s="263"/>
      <c r="HJ395" s="263"/>
      <c r="HK395" s="263"/>
      <c r="HL395" s="263"/>
      <c r="HM395" s="263"/>
      <c r="HN395" s="263"/>
      <c r="HO395" s="263"/>
      <c r="HP395" s="263"/>
      <c r="HQ395" s="263"/>
      <c r="HR395" s="263"/>
      <c r="HS395" s="264"/>
      <c r="HT395" s="263"/>
      <c r="HU395" s="263"/>
      <c r="HV395" s="263"/>
      <c r="HW395" s="263"/>
      <c r="HX395" s="263"/>
      <c r="HY395" s="263"/>
      <c r="HZ395" s="263"/>
      <c r="IA395" s="264"/>
      <c r="IB395" s="264"/>
      <c r="IC395" s="263"/>
      <c r="ID395" s="263"/>
      <c r="IE395" s="263"/>
      <c r="IF395" s="263"/>
      <c r="IG395" s="263"/>
      <c r="IH395" s="263"/>
      <c r="II395" s="263"/>
      <c r="IJ395" s="265"/>
      <c r="IK395" s="265"/>
      <c r="IL395" s="263"/>
      <c r="IM395" s="263"/>
      <c r="IN395" s="263"/>
      <c r="IO395" s="263"/>
      <c r="IP395" s="263"/>
      <c r="IQ395" s="263"/>
      <c r="IR395" s="263"/>
      <c r="IS395" s="263"/>
      <c r="IT395" s="265"/>
      <c r="IU395" s="264"/>
      <c r="IV395" s="263"/>
      <c r="IW395" s="263"/>
      <c r="IX395" s="263"/>
      <c r="IY395" s="263"/>
      <c r="IZ395" s="265"/>
      <c r="JA395" s="263"/>
      <c r="JB395" s="265"/>
      <c r="JC395" s="266"/>
      <c r="JD395" s="263"/>
      <c r="JE395" s="263"/>
      <c r="JF395" s="263"/>
      <c r="JG395" s="266"/>
      <c r="JH395" s="266"/>
      <c r="JI395" s="266"/>
      <c r="JJ395" s="263"/>
      <c r="JK395" s="263"/>
      <c r="JL395" s="263"/>
      <c r="JM395" s="261"/>
      <c r="JN395" s="261"/>
      <c r="JO395" s="263"/>
      <c r="JP395" s="263"/>
      <c r="JQ395" s="261"/>
    </row>
    <row r="396" spans="40:277" ht="18" customHeight="1" x14ac:dyDescent="0.2">
      <c r="AN396" s="14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15"/>
      <c r="AZ396" s="15"/>
      <c r="BA396" s="15"/>
      <c r="BB396" s="15"/>
      <c r="BC396" s="15"/>
      <c r="BD396" s="15"/>
      <c r="BE396" s="15"/>
      <c r="BF396" s="15"/>
      <c r="BG396" s="15"/>
      <c r="BH396" s="15"/>
      <c r="BI396" s="15"/>
      <c r="BJ396" s="15"/>
      <c r="BK396" s="15"/>
      <c r="BL396" s="15"/>
      <c r="BM396" s="15"/>
      <c r="BN396" s="15"/>
      <c r="BO396" s="15"/>
      <c r="BP396" s="15"/>
      <c r="BQ396" s="15"/>
      <c r="BR396" s="15"/>
      <c r="BS396" s="15"/>
      <c r="BT396" s="15"/>
      <c r="BU396" s="15"/>
      <c r="BV396" s="15"/>
      <c r="BW396" s="15"/>
      <c r="BX396" s="15"/>
      <c r="BY396" s="15"/>
      <c r="BZ396" s="15"/>
      <c r="CA396" s="15"/>
      <c r="CB396" s="15"/>
      <c r="CC396" s="15"/>
      <c r="CD396" s="15"/>
      <c r="CE396" s="15"/>
      <c r="CF396" s="15"/>
      <c r="CG396" s="15"/>
      <c r="CH396" s="15"/>
      <c r="CI396" s="15"/>
      <c r="CJ396" s="15"/>
      <c r="CK396" s="15"/>
      <c r="CL396" s="15"/>
      <c r="CM396" s="15"/>
      <c r="CN396" s="15"/>
      <c r="CO396" s="15"/>
      <c r="CP396" s="15"/>
      <c r="CQ396" s="15"/>
      <c r="CR396" s="15"/>
      <c r="CS396" s="15"/>
      <c r="CT396" s="15"/>
      <c r="CU396" s="15"/>
      <c r="CV396" s="15"/>
      <c r="CW396" s="15"/>
      <c r="CX396" s="15"/>
      <c r="CY396" s="15"/>
      <c r="CZ396" s="16"/>
      <c r="DY396" s="12"/>
      <c r="DZ396" s="261"/>
      <c r="EA396" s="12"/>
      <c r="EB396" s="261"/>
      <c r="EC396" s="261"/>
      <c r="ED396" s="261"/>
      <c r="EE396" s="261"/>
      <c r="EF396" s="261"/>
      <c r="EG396" s="261"/>
      <c r="EH396" s="261"/>
      <c r="EI396" s="261"/>
      <c r="EJ396" s="261"/>
      <c r="EK396" s="261"/>
      <c r="EL396" s="261"/>
      <c r="EM396" s="261"/>
      <c r="EN396" s="261"/>
      <c r="EO396" s="261"/>
      <c r="EP396" s="261"/>
      <c r="EQ396" s="261"/>
      <c r="ER396" s="261"/>
      <c r="ES396" s="261"/>
      <c r="ET396" s="261"/>
      <c r="EU396" s="261"/>
      <c r="EV396" s="261"/>
      <c r="EW396" s="261"/>
      <c r="EX396" s="261"/>
      <c r="EY396" s="261"/>
      <c r="EZ396" s="261"/>
      <c r="FA396" s="13"/>
      <c r="FB396" s="261"/>
      <c r="FC396" s="14"/>
      <c r="FD396" s="15"/>
      <c r="FE396" s="15"/>
      <c r="FF396" s="15"/>
      <c r="FG396" s="15"/>
      <c r="FH396" s="15"/>
      <c r="FI396" s="15"/>
      <c r="FJ396" s="15"/>
      <c r="FK396" s="15"/>
      <c r="FL396" s="15"/>
      <c r="FM396" s="15"/>
      <c r="FN396" s="15"/>
      <c r="FO396" s="15"/>
      <c r="FP396" s="15"/>
      <c r="FQ396" s="15"/>
      <c r="FR396" s="16"/>
      <c r="FS396" s="13"/>
      <c r="FT396" s="261"/>
      <c r="FU396" s="261"/>
      <c r="FV396" s="261"/>
      <c r="FW396" s="261"/>
      <c r="FX396" s="261"/>
      <c r="FY396" s="261"/>
      <c r="FZ396" s="13"/>
      <c r="GA396" s="261"/>
      <c r="GB396" s="13"/>
      <c r="GV396" s="266"/>
      <c r="GW396" s="266"/>
      <c r="GX396" s="266"/>
      <c r="GY396" s="266"/>
      <c r="GZ396" s="264"/>
      <c r="HA396" s="263"/>
      <c r="HB396" s="271"/>
      <c r="HC396" s="267"/>
      <c r="HD396" s="267"/>
      <c r="HE396" s="267"/>
      <c r="HF396" s="267"/>
      <c r="HG396" s="267"/>
      <c r="HH396" s="267"/>
      <c r="HI396" s="267"/>
      <c r="HJ396" s="267"/>
      <c r="HK396" s="267"/>
      <c r="HL396" s="267"/>
      <c r="HM396" s="267"/>
      <c r="HN396" s="267"/>
      <c r="HO396" s="267"/>
      <c r="HP396" s="267"/>
      <c r="HQ396" s="267"/>
      <c r="HR396" s="267"/>
      <c r="HS396" s="271"/>
      <c r="HT396" s="267"/>
      <c r="HU396" s="267"/>
      <c r="HV396" s="267"/>
      <c r="HW396" s="267"/>
      <c r="HX396" s="267"/>
      <c r="HY396" s="267"/>
      <c r="HZ396" s="267"/>
      <c r="IA396" s="271"/>
      <c r="IB396" s="271"/>
      <c r="IC396" s="267"/>
      <c r="ID396" s="267"/>
      <c r="IE396" s="267"/>
      <c r="IF396" s="267"/>
      <c r="IG396" s="267"/>
      <c r="IH396" s="267"/>
      <c r="II396" s="267"/>
      <c r="IJ396" s="272"/>
      <c r="IK396" s="272"/>
      <c r="IL396" s="267"/>
      <c r="IM396" s="267"/>
      <c r="IN396" s="267"/>
      <c r="IO396" s="267"/>
      <c r="IP396" s="267"/>
      <c r="IQ396" s="267"/>
      <c r="IR396" s="267"/>
      <c r="IS396" s="267"/>
      <c r="IT396" s="272"/>
      <c r="IU396" s="264"/>
      <c r="IV396" s="263"/>
      <c r="IW396" s="263"/>
      <c r="IX396" s="263"/>
      <c r="IY396" s="263"/>
      <c r="IZ396" s="265"/>
      <c r="JA396" s="263"/>
      <c r="JB396" s="265"/>
      <c r="JC396" s="266"/>
      <c r="JD396" s="263"/>
      <c r="JE396" s="263"/>
      <c r="JF396" s="263"/>
      <c r="JG396" s="266"/>
      <c r="JH396" s="266"/>
      <c r="JI396" s="266"/>
      <c r="JJ396" s="263"/>
      <c r="JK396" s="263"/>
      <c r="JL396" s="263"/>
      <c r="JM396" s="261"/>
      <c r="JN396" s="261"/>
      <c r="JO396" s="263"/>
      <c r="JP396" s="263"/>
      <c r="JQ396" s="261"/>
    </row>
    <row r="397" spans="40:277" ht="18" customHeight="1" x14ac:dyDescent="0.2">
      <c r="DY397" s="12"/>
      <c r="DZ397" s="261"/>
      <c r="EA397" s="12"/>
      <c r="EB397" s="261"/>
      <c r="EC397" s="261"/>
      <c r="ED397" s="261"/>
      <c r="EE397" s="261"/>
      <c r="EF397" s="261"/>
      <c r="EG397" s="261"/>
      <c r="EH397" s="261"/>
      <c r="EI397" s="261"/>
      <c r="EJ397" s="261"/>
      <c r="EK397" s="261"/>
      <c r="EL397" s="261"/>
      <c r="EM397" s="261"/>
      <c r="EN397" s="261"/>
      <c r="EO397" s="261"/>
      <c r="EP397" s="261"/>
      <c r="EQ397" s="261"/>
      <c r="ER397" s="261"/>
      <c r="ES397" s="261"/>
      <c r="ET397" s="261"/>
      <c r="EU397" s="261"/>
      <c r="EV397" s="261"/>
      <c r="EW397" s="261"/>
      <c r="EX397" s="261"/>
      <c r="EY397" s="261"/>
      <c r="EZ397" s="261"/>
      <c r="FA397" s="13"/>
      <c r="FB397" s="261"/>
      <c r="FC397" s="14"/>
      <c r="FD397" s="15"/>
      <c r="FE397" s="15"/>
      <c r="FF397" s="15"/>
      <c r="FG397" s="15"/>
      <c r="FH397" s="15"/>
      <c r="FI397" s="15"/>
      <c r="FJ397" s="15"/>
      <c r="FK397" s="15"/>
      <c r="FL397" s="15"/>
      <c r="FM397" s="15"/>
      <c r="FN397" s="15"/>
      <c r="FO397" s="15"/>
      <c r="FP397" s="15"/>
      <c r="FQ397" s="15"/>
      <c r="FR397" s="15"/>
      <c r="FS397" s="16"/>
      <c r="FT397" s="261"/>
      <c r="FU397" s="261"/>
      <c r="FV397" s="261"/>
      <c r="FW397" s="261"/>
      <c r="FX397" s="261"/>
      <c r="FY397" s="261"/>
      <c r="FZ397" s="13"/>
      <c r="GA397" s="261"/>
      <c r="GB397" s="13"/>
      <c r="GV397" s="266"/>
      <c r="GW397" s="266"/>
      <c r="GX397" s="266"/>
      <c r="GY397" s="266"/>
      <c r="GZ397" s="96"/>
      <c r="HA397" s="262"/>
      <c r="HB397" s="276"/>
      <c r="HC397" s="274"/>
      <c r="HD397" s="274"/>
      <c r="HE397" s="274"/>
      <c r="HF397" s="274"/>
      <c r="HG397" s="274"/>
      <c r="HH397" s="274"/>
      <c r="HI397" s="274"/>
      <c r="HJ397" s="274"/>
      <c r="HK397" s="274"/>
      <c r="HL397" s="274"/>
      <c r="HM397" s="274"/>
      <c r="HN397" s="274"/>
      <c r="HO397" s="274"/>
      <c r="HP397" s="274"/>
      <c r="HQ397" s="274"/>
      <c r="HR397" s="274"/>
      <c r="HS397" s="274"/>
      <c r="HT397" s="274"/>
      <c r="HU397" s="274"/>
      <c r="HV397" s="274"/>
      <c r="HW397" s="274"/>
      <c r="HX397" s="274"/>
      <c r="HY397" s="274"/>
      <c r="HZ397" s="212"/>
      <c r="IA397" s="279"/>
      <c r="IB397" s="267"/>
      <c r="IC397" s="267"/>
      <c r="ID397" s="267"/>
      <c r="IE397" s="267"/>
      <c r="IF397" s="267"/>
      <c r="IG397" s="267"/>
      <c r="IH397" s="267"/>
      <c r="II397" s="267"/>
      <c r="IJ397" s="272"/>
      <c r="IK397" s="272"/>
      <c r="IL397" s="267"/>
      <c r="IM397" s="267"/>
      <c r="IN397" s="267"/>
      <c r="IO397" s="267"/>
      <c r="IP397" s="267"/>
      <c r="IQ397" s="267"/>
      <c r="IR397" s="267"/>
      <c r="IS397" s="267"/>
      <c r="IT397" s="267"/>
      <c r="IU397" s="264"/>
      <c r="IV397" s="263"/>
      <c r="IW397" s="263"/>
      <c r="IX397" s="263"/>
      <c r="IY397" s="263"/>
      <c r="IZ397" s="265"/>
      <c r="JA397" s="262"/>
      <c r="JB397" s="98"/>
      <c r="JC397" s="266"/>
      <c r="JD397" s="263"/>
      <c r="JE397" s="263"/>
      <c r="JF397" s="263"/>
      <c r="JG397" s="266"/>
      <c r="JH397" s="266"/>
      <c r="JI397" s="266"/>
      <c r="JJ397" s="263"/>
      <c r="JK397" s="263"/>
      <c r="JL397" s="263"/>
      <c r="JM397" s="261"/>
      <c r="JN397" s="261"/>
      <c r="JO397" s="263"/>
      <c r="JP397" s="263"/>
      <c r="JQ397" s="261"/>
    </row>
    <row r="398" spans="40:277" ht="18" customHeight="1" x14ac:dyDescent="0.2">
      <c r="DY398" s="12"/>
      <c r="DZ398" s="261"/>
      <c r="EA398" s="12"/>
      <c r="EB398" s="261"/>
      <c r="EC398" s="261"/>
      <c r="ED398" s="261"/>
      <c r="EE398" s="261"/>
      <c r="EF398" s="261"/>
      <c r="EG398" s="261"/>
      <c r="EH398" s="261"/>
      <c r="EI398" s="261"/>
      <c r="EJ398" s="261"/>
      <c r="EK398" s="261"/>
      <c r="EL398" s="261"/>
      <c r="EM398" s="261"/>
      <c r="EN398" s="261"/>
      <c r="EO398" s="261"/>
      <c r="EP398" s="261"/>
      <c r="EQ398" s="261"/>
      <c r="ER398" s="261"/>
      <c r="ES398" s="261"/>
      <c r="ET398" s="261"/>
      <c r="EU398" s="261"/>
      <c r="EV398" s="261"/>
      <c r="EW398" s="261"/>
      <c r="EX398" s="261"/>
      <c r="EY398" s="261"/>
      <c r="EZ398" s="261"/>
      <c r="FA398" s="13"/>
      <c r="FB398" s="261"/>
      <c r="FC398" s="12"/>
      <c r="FD398" s="261"/>
      <c r="FE398" s="261"/>
      <c r="FF398" s="261"/>
      <c r="FG398" s="261"/>
      <c r="FH398" s="261"/>
      <c r="FI398" s="261"/>
      <c r="FJ398" s="261"/>
      <c r="FK398" s="261"/>
      <c r="FL398" s="261"/>
      <c r="FM398" s="261"/>
      <c r="FN398" s="261"/>
      <c r="FO398" s="261"/>
      <c r="FP398" s="261"/>
      <c r="FQ398" s="261"/>
      <c r="FR398" s="261"/>
      <c r="FS398" s="261"/>
      <c r="FT398" s="261"/>
      <c r="FU398" s="261"/>
      <c r="FV398" s="261"/>
      <c r="FW398" s="261"/>
      <c r="FX398" s="261"/>
      <c r="FY398" s="261"/>
      <c r="FZ398" s="13"/>
      <c r="GA398" s="261"/>
      <c r="GB398" s="13"/>
      <c r="GV398" s="266"/>
      <c r="GW398" s="266"/>
      <c r="GX398" s="266"/>
      <c r="GY398" s="266"/>
      <c r="GZ398" s="96"/>
      <c r="HA398" s="262"/>
      <c r="HB398" s="268"/>
      <c r="HC398" s="269"/>
      <c r="HD398" s="269"/>
      <c r="HE398" s="269"/>
      <c r="HF398" s="269"/>
      <c r="HG398" s="269"/>
      <c r="HH398" s="269"/>
      <c r="HI398" s="269"/>
      <c r="HJ398" s="269"/>
      <c r="HK398" s="269"/>
      <c r="HL398" s="269"/>
      <c r="HM398" s="269"/>
      <c r="HN398" s="269"/>
      <c r="HO398" s="269"/>
      <c r="HP398" s="269"/>
      <c r="HQ398" s="269"/>
      <c r="HR398" s="269"/>
      <c r="HS398" s="269"/>
      <c r="HT398" s="269"/>
      <c r="HU398" s="269"/>
      <c r="HV398" s="269"/>
      <c r="HW398" s="269"/>
      <c r="HX398" s="269"/>
      <c r="HY398" s="269"/>
      <c r="HZ398" s="262"/>
      <c r="IA398" s="280"/>
      <c r="IB398" s="269"/>
      <c r="IC398" s="269"/>
      <c r="ID398" s="269"/>
      <c r="IE398" s="269"/>
      <c r="IF398" s="269"/>
      <c r="IG398" s="269"/>
      <c r="IH398" s="269"/>
      <c r="II398" s="263"/>
      <c r="IJ398" s="263"/>
      <c r="IK398" s="263"/>
      <c r="IL398" s="268"/>
      <c r="IM398" s="269"/>
      <c r="IN398" s="269"/>
      <c r="IO398" s="269"/>
      <c r="IP398" s="269"/>
      <c r="IQ398" s="269"/>
      <c r="IR398" s="269"/>
      <c r="IS398" s="269"/>
      <c r="IT398" s="270"/>
      <c r="IU398" s="264"/>
      <c r="IV398" s="263"/>
      <c r="IW398" s="263"/>
      <c r="IX398" s="263"/>
      <c r="IY398" s="263"/>
      <c r="IZ398" s="265"/>
      <c r="JA398" s="262"/>
      <c r="JB398" s="98"/>
      <c r="JC398" s="266"/>
      <c r="JD398" s="263"/>
      <c r="JE398" s="263"/>
      <c r="JF398" s="263"/>
      <c r="JG398" s="266"/>
      <c r="JH398" s="266"/>
      <c r="JI398" s="266"/>
      <c r="JJ398" s="263"/>
      <c r="JK398" s="263"/>
      <c r="JL398" s="263"/>
      <c r="JM398" s="261"/>
      <c r="JN398" s="261"/>
      <c r="JO398" s="263"/>
      <c r="JP398" s="263"/>
      <c r="JQ398" s="261"/>
    </row>
    <row r="399" spans="40:277" ht="18" customHeight="1" x14ac:dyDescent="0.2">
      <c r="DY399" s="12"/>
      <c r="DZ399" s="261"/>
      <c r="EA399" s="12"/>
      <c r="EB399" s="261"/>
      <c r="EC399" s="261"/>
      <c r="ED399" s="261"/>
      <c r="EE399" s="261"/>
      <c r="EF399" s="261"/>
      <c r="EG399" s="261"/>
      <c r="EH399" s="261"/>
      <c r="EI399" s="261"/>
      <c r="EJ399" s="261"/>
      <c r="EK399" s="261"/>
      <c r="EL399" s="261"/>
      <c r="EM399" s="261"/>
      <c r="EN399" s="261"/>
      <c r="EO399" s="261"/>
      <c r="EP399" s="261"/>
      <c r="EQ399" s="261"/>
      <c r="ER399" s="261"/>
      <c r="ES399" s="261"/>
      <c r="ET399" s="261"/>
      <c r="EU399" s="261"/>
      <c r="EV399" s="261"/>
      <c r="EW399" s="261"/>
      <c r="EX399" s="261"/>
      <c r="EY399" s="261"/>
      <c r="EZ399" s="261"/>
      <c r="FA399" s="13"/>
      <c r="FB399" s="261"/>
      <c r="FC399" s="12"/>
      <c r="FD399" s="261"/>
      <c r="FE399" s="261"/>
      <c r="FF399" s="261"/>
      <c r="FG399" s="261"/>
      <c r="FH399" s="261"/>
      <c r="FI399" s="261"/>
      <c r="FJ399" s="261"/>
      <c r="FK399" s="261"/>
      <c r="FL399" s="261"/>
      <c r="FM399" s="261"/>
      <c r="FN399" s="261"/>
      <c r="FO399" s="261"/>
      <c r="FP399" s="261"/>
      <c r="FQ399" s="261"/>
      <c r="FR399" s="261"/>
      <c r="FS399" s="261"/>
      <c r="FT399" s="261"/>
      <c r="FU399" s="261"/>
      <c r="FV399" s="261"/>
      <c r="FW399" s="261"/>
      <c r="FX399" s="261"/>
      <c r="FY399" s="261"/>
      <c r="FZ399" s="13"/>
      <c r="GA399" s="261"/>
      <c r="GB399" s="13"/>
      <c r="GV399" s="266"/>
      <c r="GW399" s="266"/>
      <c r="GX399" s="266"/>
      <c r="GY399" s="266"/>
      <c r="GZ399" s="264"/>
      <c r="HA399" s="263"/>
      <c r="HB399" s="264"/>
      <c r="HC399" s="263"/>
      <c r="HD399" s="263"/>
      <c r="HE399" s="263"/>
      <c r="HF399" s="263"/>
      <c r="HG399" s="263"/>
      <c r="HH399" s="263"/>
      <c r="HI399" s="263"/>
      <c r="HJ399" s="263"/>
      <c r="HK399" s="263"/>
      <c r="HL399" s="263"/>
      <c r="HM399" s="263"/>
      <c r="HN399" s="263"/>
      <c r="HO399" s="263"/>
      <c r="HP399" s="263"/>
      <c r="HQ399" s="263"/>
      <c r="HR399" s="263"/>
      <c r="HS399" s="263"/>
      <c r="HT399" s="263"/>
      <c r="HU399" s="263"/>
      <c r="HV399" s="263"/>
      <c r="HW399" s="263"/>
      <c r="HX399" s="263"/>
      <c r="HY399" s="263"/>
      <c r="HZ399" s="265"/>
      <c r="IA399" s="273"/>
      <c r="IB399" s="263"/>
      <c r="IC399" s="263"/>
      <c r="ID399" s="263"/>
      <c r="IE399" s="263"/>
      <c r="IF399" s="263"/>
      <c r="IG399" s="263"/>
      <c r="IH399" s="263"/>
      <c r="II399" s="263"/>
      <c r="IJ399" s="263"/>
      <c r="IK399" s="263"/>
      <c r="IL399" s="264"/>
      <c r="IM399" s="263"/>
      <c r="IN399" s="263"/>
      <c r="IO399" s="263"/>
      <c r="IP399" s="263"/>
      <c r="IQ399" s="263"/>
      <c r="IR399" s="263"/>
      <c r="IS399" s="263"/>
      <c r="IT399" s="265"/>
      <c r="IU399" s="264"/>
      <c r="IV399" s="263"/>
      <c r="IW399" s="263"/>
      <c r="IX399" s="263"/>
      <c r="IY399" s="263"/>
      <c r="IZ399" s="265"/>
      <c r="JA399" s="263"/>
      <c r="JB399" s="265"/>
      <c r="JC399" s="266"/>
      <c r="JD399" s="263"/>
      <c r="JE399" s="263"/>
      <c r="JF399" s="263"/>
      <c r="JG399" s="266"/>
      <c r="JH399" s="266"/>
      <c r="JI399" s="266"/>
      <c r="JJ399" s="263"/>
      <c r="JK399" s="263"/>
      <c r="JL399" s="263"/>
      <c r="JM399" s="261"/>
      <c r="JN399" s="261"/>
      <c r="JO399" s="263"/>
      <c r="JP399" s="263"/>
      <c r="JQ399" s="261"/>
    </row>
    <row r="400" spans="40:277" ht="18" customHeight="1" x14ac:dyDescent="0.2">
      <c r="DY400" s="12"/>
      <c r="DZ400" s="261"/>
      <c r="EA400" s="12"/>
      <c r="EB400" s="261"/>
      <c r="EC400" s="261"/>
      <c r="ED400" s="261"/>
      <c r="EE400" s="261"/>
      <c r="EF400" s="261"/>
      <c r="EG400" s="261"/>
      <c r="EH400" s="261"/>
      <c r="EI400" s="261"/>
      <c r="EJ400" s="261"/>
      <c r="EK400" s="261"/>
      <c r="EL400" s="261"/>
      <c r="EM400" s="261"/>
      <c r="EN400" s="261"/>
      <c r="EO400" s="261"/>
      <c r="EP400" s="261"/>
      <c r="EQ400" s="261"/>
      <c r="ER400" s="261"/>
      <c r="ES400" s="261"/>
      <c r="ET400" s="261"/>
      <c r="EU400" s="261"/>
      <c r="EV400" s="261"/>
      <c r="EW400" s="261"/>
      <c r="EX400" s="261"/>
      <c r="EY400" s="261"/>
      <c r="EZ400" s="261"/>
      <c r="FA400" s="13"/>
      <c r="FB400" s="261"/>
      <c r="FC400" s="12"/>
      <c r="FD400" s="261"/>
      <c r="FE400" s="261"/>
      <c r="FF400" s="261"/>
      <c r="FG400" s="261"/>
      <c r="FH400" s="261"/>
      <c r="FI400" s="261"/>
      <c r="FJ400" s="261"/>
      <c r="FK400" s="261"/>
      <c r="FL400" s="261"/>
      <c r="FM400" s="261"/>
      <c r="FN400" s="261"/>
      <c r="FO400" s="261"/>
      <c r="FP400" s="261"/>
      <c r="FQ400" s="261"/>
      <c r="FR400" s="261"/>
      <c r="FS400" s="261"/>
      <c r="FT400" s="261"/>
      <c r="FU400" s="261"/>
      <c r="FV400" s="261"/>
      <c r="FW400" s="261"/>
      <c r="FX400" s="261"/>
      <c r="FY400" s="261"/>
      <c r="FZ400" s="13"/>
      <c r="GA400" s="261"/>
      <c r="GB400" s="13"/>
      <c r="GV400" s="266"/>
      <c r="GW400" s="266"/>
      <c r="GX400" s="266"/>
      <c r="GY400" s="266"/>
      <c r="GZ400" s="264"/>
      <c r="HA400" s="263"/>
      <c r="HB400" s="264"/>
      <c r="HC400" s="263"/>
      <c r="HD400" s="263"/>
      <c r="HE400" s="263"/>
      <c r="HF400" s="263"/>
      <c r="HG400" s="263"/>
      <c r="HH400" s="263"/>
      <c r="HI400" s="263"/>
      <c r="HJ400" s="263"/>
      <c r="HK400" s="263"/>
      <c r="HL400" s="263"/>
      <c r="HM400" s="263"/>
      <c r="HN400" s="263"/>
      <c r="HO400" s="263"/>
      <c r="HP400" s="263"/>
      <c r="HQ400" s="263"/>
      <c r="HR400" s="263"/>
      <c r="HS400" s="263"/>
      <c r="HT400" s="263"/>
      <c r="HU400" s="263"/>
      <c r="HV400" s="263"/>
      <c r="HW400" s="263"/>
      <c r="HX400" s="263"/>
      <c r="HY400" s="263"/>
      <c r="HZ400" s="265"/>
      <c r="IA400" s="273"/>
      <c r="IB400" s="263"/>
      <c r="IC400" s="263"/>
      <c r="ID400" s="263"/>
      <c r="IE400" s="263"/>
      <c r="IF400" s="263"/>
      <c r="IG400" s="263"/>
      <c r="IH400" s="263"/>
      <c r="II400" s="263"/>
      <c r="IJ400" s="263"/>
      <c r="IK400" s="263"/>
      <c r="IL400" s="264"/>
      <c r="IM400" s="263"/>
      <c r="IN400" s="263"/>
      <c r="IO400" s="263"/>
      <c r="IP400" s="263"/>
      <c r="IQ400" s="263"/>
      <c r="IR400" s="263"/>
      <c r="IS400" s="263"/>
      <c r="IT400" s="265"/>
      <c r="IU400" s="264"/>
      <c r="IV400" s="263"/>
      <c r="IW400" s="263"/>
      <c r="IX400" s="263"/>
      <c r="IY400" s="263"/>
      <c r="IZ400" s="265"/>
      <c r="JA400" s="263"/>
      <c r="JB400" s="265"/>
      <c r="JC400" s="266"/>
      <c r="JD400" s="263"/>
      <c r="JE400" s="263"/>
      <c r="JF400" s="263"/>
      <c r="JG400" s="266"/>
      <c r="JH400" s="266"/>
      <c r="JI400" s="266"/>
      <c r="JJ400" s="263"/>
      <c r="JK400" s="263"/>
      <c r="JL400" s="263"/>
      <c r="JM400" s="261"/>
      <c r="JN400" s="261"/>
      <c r="JO400" s="263"/>
      <c r="JP400" s="263"/>
      <c r="JQ400" s="261"/>
    </row>
    <row r="401" spans="129:277" ht="18" customHeight="1" x14ac:dyDescent="0.2">
      <c r="DY401" s="12"/>
      <c r="DZ401" s="261"/>
      <c r="EA401" s="12"/>
      <c r="EB401" s="261"/>
      <c r="EC401" s="261"/>
      <c r="ED401" s="261"/>
      <c r="EE401" s="261"/>
      <c r="EF401" s="261"/>
      <c r="EG401" s="261"/>
      <c r="EH401" s="261"/>
      <c r="EI401" s="261"/>
      <c r="EJ401" s="261"/>
      <c r="EK401" s="261"/>
      <c r="EL401" s="261"/>
      <c r="EM401" s="261"/>
      <c r="EN401" s="261"/>
      <c r="EO401" s="261"/>
      <c r="EP401" s="261"/>
      <c r="EQ401" s="261"/>
      <c r="ER401" s="261"/>
      <c r="ES401" s="261"/>
      <c r="ET401" s="261"/>
      <c r="EU401" s="261"/>
      <c r="EV401" s="261"/>
      <c r="EW401" s="261"/>
      <c r="EX401" s="261"/>
      <c r="EY401" s="261"/>
      <c r="EZ401" s="261"/>
      <c r="FA401" s="13"/>
      <c r="FB401" s="261"/>
      <c r="FC401" s="12"/>
      <c r="FD401" s="261"/>
      <c r="FE401" s="261"/>
      <c r="FF401" s="261"/>
      <c r="FG401" s="261"/>
      <c r="FH401" s="261"/>
      <c r="FI401" s="261"/>
      <c r="FJ401" s="261"/>
      <c r="FK401" s="261"/>
      <c r="FL401" s="261"/>
      <c r="FM401" s="261"/>
      <c r="FN401" s="261"/>
      <c r="FO401" s="261"/>
      <c r="FP401" s="261"/>
      <c r="FQ401" s="261"/>
      <c r="FR401" s="261"/>
      <c r="FS401" s="261"/>
      <c r="FT401" s="261"/>
      <c r="FU401" s="261"/>
      <c r="FV401" s="261"/>
      <c r="FW401" s="261"/>
      <c r="FX401" s="261"/>
      <c r="FY401" s="261"/>
      <c r="FZ401" s="13"/>
      <c r="GA401" s="261"/>
      <c r="GB401" s="13"/>
      <c r="GV401" s="266"/>
      <c r="GW401" s="266"/>
      <c r="GX401" s="266"/>
      <c r="GY401" s="266"/>
      <c r="GZ401" s="264"/>
      <c r="HA401" s="263"/>
      <c r="HB401" s="264"/>
      <c r="HC401" s="263"/>
      <c r="HD401" s="263"/>
      <c r="HE401" s="263"/>
      <c r="HF401" s="263"/>
      <c r="HG401" s="263"/>
      <c r="HH401" s="263"/>
      <c r="HI401" s="263"/>
      <c r="HJ401" s="263"/>
      <c r="HK401" s="263"/>
      <c r="HL401" s="263"/>
      <c r="HM401" s="263"/>
      <c r="HN401" s="263"/>
      <c r="HO401" s="263"/>
      <c r="HP401" s="263"/>
      <c r="HQ401" s="263"/>
      <c r="HR401" s="263"/>
      <c r="HS401" s="263"/>
      <c r="HT401" s="263"/>
      <c r="HU401" s="263"/>
      <c r="HV401" s="263"/>
      <c r="HW401" s="263"/>
      <c r="HX401" s="263"/>
      <c r="HY401" s="263"/>
      <c r="HZ401" s="265"/>
      <c r="IA401" s="265"/>
      <c r="IB401" s="263"/>
      <c r="IC401" s="263"/>
      <c r="ID401" s="263"/>
      <c r="IE401" s="263"/>
      <c r="IF401" s="263"/>
      <c r="IG401" s="263"/>
      <c r="IH401" s="263"/>
      <c r="II401" s="263"/>
      <c r="IJ401" s="263"/>
      <c r="IK401" s="263"/>
      <c r="IL401" s="264"/>
      <c r="IM401" s="263"/>
      <c r="IN401" s="263"/>
      <c r="IO401" s="263"/>
      <c r="IP401" s="263"/>
      <c r="IQ401" s="263"/>
      <c r="IR401" s="263"/>
      <c r="IS401" s="263"/>
      <c r="IT401" s="265"/>
      <c r="IU401" s="264"/>
      <c r="IV401" s="263"/>
      <c r="IW401" s="263"/>
      <c r="IX401" s="263"/>
      <c r="IY401" s="263"/>
      <c r="IZ401" s="265"/>
      <c r="JA401" s="263"/>
      <c r="JB401" s="265"/>
      <c r="JC401" s="266"/>
      <c r="JD401" s="263"/>
      <c r="JE401" s="263"/>
      <c r="JF401" s="263"/>
      <c r="JG401" s="266"/>
      <c r="JH401" s="266"/>
      <c r="JI401" s="266"/>
      <c r="JJ401" s="263"/>
      <c r="JK401" s="263"/>
      <c r="JL401" s="263"/>
      <c r="JM401" s="261"/>
      <c r="JN401" s="261"/>
      <c r="JO401" s="263"/>
      <c r="JP401" s="263"/>
      <c r="JQ401" s="261"/>
    </row>
    <row r="402" spans="129:277" ht="18" customHeight="1" x14ac:dyDescent="0.2">
      <c r="DY402" s="12"/>
      <c r="DZ402" s="261"/>
      <c r="EA402" s="12"/>
      <c r="EB402" s="261"/>
      <c r="EC402" s="261"/>
      <c r="ED402" s="261"/>
      <c r="EE402" s="261"/>
      <c r="EF402" s="261"/>
      <c r="EG402" s="261"/>
      <c r="EH402" s="261"/>
      <c r="EI402" s="261"/>
      <c r="EJ402" s="261"/>
      <c r="EK402" s="261"/>
      <c r="EL402" s="261"/>
      <c r="EM402" s="261"/>
      <c r="EN402" s="261"/>
      <c r="EO402" s="261"/>
      <c r="EP402" s="261"/>
      <c r="EQ402" s="261"/>
      <c r="ER402" s="261"/>
      <c r="ES402" s="261"/>
      <c r="ET402" s="261"/>
      <c r="EU402" s="261"/>
      <c r="EV402" s="261"/>
      <c r="EW402" s="261"/>
      <c r="EX402" s="261"/>
      <c r="EY402" s="261"/>
      <c r="EZ402" s="261"/>
      <c r="FA402" s="13"/>
      <c r="FB402" s="261"/>
      <c r="FC402" s="12"/>
      <c r="FD402" s="261"/>
      <c r="FE402" s="261"/>
      <c r="FF402" s="261"/>
      <c r="FG402" s="261"/>
      <c r="FH402" s="261"/>
      <c r="FI402" s="261"/>
      <c r="FJ402" s="261"/>
      <c r="FK402" s="261"/>
      <c r="FL402" s="261"/>
      <c r="FM402" s="261"/>
      <c r="FN402" s="261"/>
      <c r="FO402" s="261"/>
      <c r="FP402" s="261"/>
      <c r="FQ402" s="261"/>
      <c r="FR402" s="261"/>
      <c r="FS402" s="261"/>
      <c r="FT402" s="261"/>
      <c r="FU402" s="261"/>
      <c r="FV402" s="261"/>
      <c r="FW402" s="261"/>
      <c r="FX402" s="261"/>
      <c r="FY402" s="261"/>
      <c r="FZ402" s="13"/>
      <c r="GA402" s="261"/>
      <c r="GB402" s="13"/>
      <c r="GV402" s="266"/>
      <c r="GW402" s="266"/>
      <c r="GX402" s="266"/>
      <c r="GY402" s="266"/>
      <c r="GZ402" s="264"/>
      <c r="HA402" s="263"/>
      <c r="HB402" s="264"/>
      <c r="HC402" s="263"/>
      <c r="HD402" s="263"/>
      <c r="HE402" s="263"/>
      <c r="HF402" s="263"/>
      <c r="HG402" s="263"/>
      <c r="HH402" s="263"/>
      <c r="HI402" s="263"/>
      <c r="HJ402" s="263"/>
      <c r="HK402" s="263"/>
      <c r="HL402" s="263"/>
      <c r="HM402" s="263"/>
      <c r="HN402" s="263"/>
      <c r="HO402" s="263"/>
      <c r="HP402" s="263"/>
      <c r="HQ402" s="263"/>
      <c r="HR402" s="263"/>
      <c r="HS402" s="263"/>
      <c r="HT402" s="263"/>
      <c r="HU402" s="263"/>
      <c r="HV402" s="263"/>
      <c r="HW402" s="263"/>
      <c r="HX402" s="263"/>
      <c r="HY402" s="263"/>
      <c r="HZ402" s="265"/>
      <c r="IA402" s="265"/>
      <c r="IB402" s="263"/>
      <c r="IC402" s="263"/>
      <c r="ID402" s="263"/>
      <c r="IE402" s="263"/>
      <c r="IF402" s="263"/>
      <c r="IG402" s="263"/>
      <c r="IH402" s="263"/>
      <c r="II402" s="263"/>
      <c r="IJ402" s="263"/>
      <c r="IK402" s="263"/>
      <c r="IL402" s="264"/>
      <c r="IM402" s="263"/>
      <c r="IN402" s="263"/>
      <c r="IO402" s="263"/>
      <c r="IP402" s="263"/>
      <c r="IQ402" s="263"/>
      <c r="IR402" s="263"/>
      <c r="IS402" s="263"/>
      <c r="IT402" s="265"/>
      <c r="IU402" s="264"/>
      <c r="IV402" s="263"/>
      <c r="IW402" s="263"/>
      <c r="IX402" s="263"/>
      <c r="IY402" s="263"/>
      <c r="IZ402" s="265"/>
      <c r="JA402" s="263"/>
      <c r="JB402" s="265"/>
      <c r="JC402" s="266"/>
      <c r="JD402" s="263"/>
      <c r="JE402" s="263"/>
      <c r="JF402" s="263"/>
      <c r="JG402" s="266"/>
      <c r="JH402" s="266"/>
      <c r="JI402" s="266"/>
      <c r="JJ402" s="263"/>
      <c r="JK402" s="263"/>
      <c r="JL402" s="263"/>
      <c r="JM402" s="261"/>
      <c r="JN402" s="261"/>
      <c r="JO402" s="263"/>
      <c r="JP402" s="263"/>
      <c r="JQ402" s="261"/>
    </row>
    <row r="403" spans="129:277" ht="18" customHeight="1" x14ac:dyDescent="0.2">
      <c r="DY403" s="12"/>
      <c r="DZ403" s="261"/>
      <c r="EA403" s="12"/>
      <c r="EB403" s="261"/>
      <c r="EC403" s="261"/>
      <c r="ED403" s="261"/>
      <c r="EE403" s="261"/>
      <c r="EF403" s="261"/>
      <c r="EG403" s="261"/>
      <c r="EH403" s="261"/>
      <c r="EI403" s="261"/>
      <c r="EJ403" s="261"/>
      <c r="EK403" s="261"/>
      <c r="EL403" s="261"/>
      <c r="EM403" s="261"/>
      <c r="EN403" s="261"/>
      <c r="EO403" s="261"/>
      <c r="EP403" s="261"/>
      <c r="EQ403" s="261"/>
      <c r="ER403" s="261"/>
      <c r="ES403" s="261"/>
      <c r="ET403" s="261"/>
      <c r="EU403" s="261"/>
      <c r="EV403" s="261"/>
      <c r="EW403" s="261"/>
      <c r="EX403" s="261"/>
      <c r="EY403" s="261"/>
      <c r="EZ403" s="261"/>
      <c r="FA403" s="13"/>
      <c r="FB403" s="261"/>
      <c r="FC403" s="12"/>
      <c r="FD403" s="261"/>
      <c r="FE403" s="261"/>
      <c r="FF403" s="261"/>
      <c r="FG403" s="261"/>
      <c r="FH403" s="261"/>
      <c r="FI403" s="261"/>
      <c r="FJ403" s="261"/>
      <c r="FK403" s="261"/>
      <c r="FL403" s="261"/>
      <c r="FM403" s="261"/>
      <c r="FN403" s="261"/>
      <c r="FO403" s="261"/>
      <c r="FP403" s="261"/>
      <c r="FQ403" s="261"/>
      <c r="FR403" s="261"/>
      <c r="FS403" s="261"/>
      <c r="FT403" s="261"/>
      <c r="FU403" s="261"/>
      <c r="FV403" s="261"/>
      <c r="FW403" s="261"/>
      <c r="FX403" s="261"/>
      <c r="FY403" s="261"/>
      <c r="FZ403" s="13"/>
      <c r="GA403" s="261"/>
      <c r="GB403" s="13"/>
      <c r="GV403" s="266"/>
      <c r="GW403" s="266"/>
      <c r="GX403" s="266"/>
      <c r="GY403" s="266"/>
      <c r="GZ403" s="264"/>
      <c r="HA403" s="263"/>
      <c r="HB403" s="264"/>
      <c r="HC403" s="263"/>
      <c r="HD403" s="263"/>
      <c r="HE403" s="263"/>
      <c r="HF403" s="263"/>
      <c r="HG403" s="263"/>
      <c r="HH403" s="263"/>
      <c r="HI403" s="263"/>
      <c r="HJ403" s="263"/>
      <c r="HK403" s="263"/>
      <c r="HL403" s="263"/>
      <c r="HM403" s="263"/>
      <c r="HN403" s="263"/>
      <c r="HO403" s="263"/>
      <c r="HP403" s="263"/>
      <c r="HQ403" s="263"/>
      <c r="HR403" s="263"/>
      <c r="HS403" s="263"/>
      <c r="HT403" s="263"/>
      <c r="HU403" s="263"/>
      <c r="HV403" s="263"/>
      <c r="HW403" s="263"/>
      <c r="HX403" s="263"/>
      <c r="HY403" s="263"/>
      <c r="HZ403" s="265"/>
      <c r="IA403" s="265"/>
      <c r="IB403" s="263"/>
      <c r="IC403" s="263"/>
      <c r="ID403" s="263"/>
      <c r="IE403" s="263"/>
      <c r="IF403" s="263"/>
      <c r="IG403" s="263"/>
      <c r="IH403" s="263"/>
      <c r="II403" s="263"/>
      <c r="IJ403" s="263"/>
      <c r="IK403" s="263"/>
      <c r="IL403" s="271"/>
      <c r="IM403" s="267"/>
      <c r="IN403" s="267"/>
      <c r="IO403" s="267"/>
      <c r="IP403" s="267"/>
      <c r="IQ403" s="267"/>
      <c r="IR403" s="267"/>
      <c r="IS403" s="267"/>
      <c r="IT403" s="272"/>
      <c r="IU403" s="271"/>
      <c r="IV403" s="267"/>
      <c r="IW403" s="267"/>
      <c r="IX403" s="267"/>
      <c r="IY403" s="267"/>
      <c r="IZ403" s="272"/>
      <c r="JA403" s="263"/>
      <c r="JB403" s="265"/>
      <c r="JC403" s="266"/>
      <c r="JD403" s="263"/>
      <c r="JE403" s="263"/>
      <c r="JF403" s="263"/>
      <c r="JG403" s="266"/>
      <c r="JH403" s="266"/>
      <c r="JI403" s="266"/>
      <c r="JJ403" s="263"/>
      <c r="JK403" s="263"/>
      <c r="JL403" s="263"/>
      <c r="JM403" s="261"/>
      <c r="JN403" s="261"/>
      <c r="JO403" s="263"/>
      <c r="JP403" s="263"/>
      <c r="JQ403" s="261"/>
    </row>
    <row r="404" spans="129:277" ht="18" customHeight="1" x14ac:dyDescent="0.2">
      <c r="DY404" s="12"/>
      <c r="DZ404" s="261"/>
      <c r="EA404" s="12"/>
      <c r="EB404" s="261"/>
      <c r="EC404" s="261"/>
      <c r="ED404" s="261"/>
      <c r="EE404" s="261"/>
      <c r="EF404" s="261"/>
      <c r="EG404" s="261"/>
      <c r="EH404" s="261"/>
      <c r="EI404" s="261"/>
      <c r="EJ404" s="261"/>
      <c r="EK404" s="261"/>
      <c r="EL404" s="261"/>
      <c r="EM404" s="261"/>
      <c r="EN404" s="261"/>
      <c r="EO404" s="261"/>
      <c r="EP404" s="261"/>
      <c r="EQ404" s="261"/>
      <c r="ER404" s="261"/>
      <c r="ES404" s="261"/>
      <c r="ET404" s="261"/>
      <c r="EU404" s="261"/>
      <c r="EV404" s="261"/>
      <c r="EW404" s="261"/>
      <c r="EX404" s="261"/>
      <c r="EY404" s="261"/>
      <c r="EZ404" s="261"/>
      <c r="FA404" s="13"/>
      <c r="FB404" s="261"/>
      <c r="FC404" s="12"/>
      <c r="FD404" s="261"/>
      <c r="FE404" s="261"/>
      <c r="FF404" s="261"/>
      <c r="FG404" s="261"/>
      <c r="FH404" s="261"/>
      <c r="FI404" s="261"/>
      <c r="FJ404" s="261"/>
      <c r="FK404" s="261"/>
      <c r="FL404" s="261"/>
      <c r="FM404" s="261"/>
      <c r="FN404" s="261"/>
      <c r="FO404" s="261"/>
      <c r="FP404" s="261"/>
      <c r="FQ404" s="261"/>
      <c r="FR404" s="261"/>
      <c r="FS404" s="261"/>
      <c r="FT404" s="261"/>
      <c r="FU404" s="261"/>
      <c r="FV404" s="261"/>
      <c r="FW404" s="261"/>
      <c r="FX404" s="261"/>
      <c r="FY404" s="261"/>
      <c r="FZ404" s="13"/>
      <c r="GA404" s="261"/>
      <c r="GB404" s="13"/>
      <c r="GV404" s="266"/>
      <c r="GW404" s="266"/>
      <c r="GX404" s="266"/>
      <c r="GY404" s="266"/>
      <c r="GZ404" s="264"/>
      <c r="HA404" s="263"/>
      <c r="HB404" s="264"/>
      <c r="HC404" s="263"/>
      <c r="HD404" s="263"/>
      <c r="HE404" s="263"/>
      <c r="HF404" s="263"/>
      <c r="HG404" s="263"/>
      <c r="HH404" s="263"/>
      <c r="HI404" s="263"/>
      <c r="HJ404" s="263"/>
      <c r="HK404" s="263"/>
      <c r="HL404" s="263"/>
      <c r="HM404" s="263"/>
      <c r="HN404" s="263"/>
      <c r="HO404" s="263"/>
      <c r="HP404" s="263"/>
      <c r="HQ404" s="263"/>
      <c r="HR404" s="263"/>
      <c r="HS404" s="263"/>
      <c r="HT404" s="263"/>
      <c r="HU404" s="263"/>
      <c r="HV404" s="263"/>
      <c r="HW404" s="263"/>
      <c r="HX404" s="263"/>
      <c r="HY404" s="263"/>
      <c r="HZ404" s="265"/>
      <c r="IA404" s="265"/>
      <c r="IB404" s="263"/>
      <c r="IC404" s="263"/>
      <c r="ID404" s="263"/>
      <c r="IE404" s="263"/>
      <c r="IF404" s="263"/>
      <c r="IG404" s="263"/>
      <c r="IH404" s="263"/>
      <c r="II404" s="263"/>
      <c r="IJ404" s="263"/>
      <c r="IK404" s="263"/>
      <c r="IL404" s="276"/>
      <c r="IM404" s="274"/>
      <c r="IN404" s="274"/>
      <c r="IO404" s="274"/>
      <c r="IP404" s="274"/>
      <c r="IQ404" s="274"/>
      <c r="IR404" s="274"/>
      <c r="IS404" s="274"/>
      <c r="IT404" s="274"/>
      <c r="IU404" s="274"/>
      <c r="IV404" s="274"/>
      <c r="IW404" s="274"/>
      <c r="IX404" s="274"/>
      <c r="IY404" s="274"/>
      <c r="IZ404" s="275"/>
      <c r="JA404" s="263"/>
      <c r="JB404" s="265"/>
      <c r="JC404" s="266"/>
      <c r="JD404" s="263"/>
      <c r="JE404" s="263"/>
      <c r="JF404" s="263"/>
      <c r="JG404" s="266"/>
      <c r="JH404" s="266"/>
      <c r="JI404" s="266"/>
      <c r="JJ404" s="263"/>
      <c r="JK404" s="263"/>
      <c r="JL404" s="263"/>
      <c r="JM404" s="261"/>
      <c r="JN404" s="261"/>
      <c r="JO404" s="263"/>
      <c r="JP404" s="263"/>
      <c r="JQ404" s="261"/>
    </row>
    <row r="405" spans="129:277" ht="18" customHeight="1" x14ac:dyDescent="0.2">
      <c r="DY405" s="12"/>
      <c r="DZ405" s="261"/>
      <c r="EA405" s="12"/>
      <c r="EB405" s="261"/>
      <c r="EC405" s="261"/>
      <c r="ED405" s="261"/>
      <c r="EE405" s="261"/>
      <c r="EF405" s="261"/>
      <c r="EG405" s="261"/>
      <c r="EH405" s="261"/>
      <c r="EI405" s="261"/>
      <c r="EJ405" s="261"/>
      <c r="EK405" s="261"/>
      <c r="EL405" s="261"/>
      <c r="EM405" s="261"/>
      <c r="EN405" s="261"/>
      <c r="EO405" s="261"/>
      <c r="EP405" s="261"/>
      <c r="EQ405" s="261"/>
      <c r="ER405" s="261"/>
      <c r="ES405" s="261"/>
      <c r="ET405" s="261"/>
      <c r="EU405" s="261"/>
      <c r="EV405" s="261"/>
      <c r="EW405" s="261"/>
      <c r="EX405" s="261"/>
      <c r="EY405" s="261"/>
      <c r="EZ405" s="261"/>
      <c r="FA405" s="13"/>
      <c r="FB405" s="261"/>
      <c r="FC405" s="12"/>
      <c r="FD405" s="261"/>
      <c r="FE405" s="261"/>
      <c r="FF405" s="261"/>
      <c r="FG405" s="261"/>
      <c r="FH405" s="261"/>
      <c r="FI405" s="261"/>
      <c r="FJ405" s="261"/>
      <c r="FK405" s="261"/>
      <c r="FL405" s="261"/>
      <c r="FM405" s="261"/>
      <c r="FN405" s="261"/>
      <c r="FO405" s="261"/>
      <c r="FP405" s="261"/>
      <c r="FQ405" s="261"/>
      <c r="FR405" s="261"/>
      <c r="FS405" s="261"/>
      <c r="FT405" s="261"/>
      <c r="FU405" s="261"/>
      <c r="FV405" s="261"/>
      <c r="FW405" s="261"/>
      <c r="FX405" s="261"/>
      <c r="FY405" s="261"/>
      <c r="FZ405" s="13"/>
      <c r="GA405" s="261"/>
      <c r="GB405" s="13"/>
      <c r="GV405" s="266"/>
      <c r="GW405" s="266"/>
      <c r="GX405" s="266"/>
      <c r="GY405" s="266"/>
      <c r="GZ405" s="264"/>
      <c r="HA405" s="263"/>
      <c r="HB405" s="264"/>
      <c r="HC405" s="263"/>
      <c r="HD405" s="263"/>
      <c r="HE405" s="263"/>
      <c r="HF405" s="263"/>
      <c r="HG405" s="263"/>
      <c r="HH405" s="263"/>
      <c r="HI405" s="263"/>
      <c r="HJ405" s="263"/>
      <c r="HK405" s="263"/>
      <c r="HL405" s="263"/>
      <c r="HM405" s="263"/>
      <c r="HN405" s="263"/>
      <c r="HO405" s="263"/>
      <c r="HP405" s="263"/>
      <c r="HQ405" s="263"/>
      <c r="HR405" s="263"/>
      <c r="HS405" s="263"/>
      <c r="HT405" s="263"/>
      <c r="HU405" s="263"/>
      <c r="HV405" s="263"/>
      <c r="HW405" s="263"/>
      <c r="HX405" s="263"/>
      <c r="HY405" s="263"/>
      <c r="HZ405" s="265"/>
      <c r="IA405" s="265"/>
      <c r="IB405" s="263"/>
      <c r="IC405" s="263"/>
      <c r="ID405" s="263"/>
      <c r="IE405" s="263"/>
      <c r="IF405" s="263"/>
      <c r="IG405" s="263"/>
      <c r="IH405" s="263"/>
      <c r="II405" s="263"/>
      <c r="IJ405" s="263"/>
      <c r="IK405" s="263"/>
      <c r="IL405" s="263"/>
      <c r="IM405" s="263"/>
      <c r="IN405" s="263"/>
      <c r="IO405" s="263"/>
      <c r="IP405" s="263"/>
      <c r="IQ405" s="263"/>
      <c r="IR405" s="263"/>
      <c r="IS405" s="263"/>
      <c r="IT405" s="263"/>
      <c r="IU405" s="263"/>
      <c r="IV405" s="263"/>
      <c r="IW405" s="263"/>
      <c r="IX405" s="263"/>
      <c r="IY405" s="263"/>
      <c r="IZ405" s="265"/>
      <c r="JA405" s="263"/>
      <c r="JB405" s="265"/>
      <c r="JC405" s="266"/>
      <c r="JD405" s="263"/>
      <c r="JE405" s="263"/>
      <c r="JF405" s="263"/>
      <c r="JG405" s="266"/>
      <c r="JH405" s="266"/>
      <c r="JI405" s="266"/>
      <c r="JJ405" s="263"/>
      <c r="JK405" s="263"/>
      <c r="JL405" s="263"/>
      <c r="JM405" s="261"/>
      <c r="JN405" s="261"/>
      <c r="JO405" s="263"/>
      <c r="JP405" s="263"/>
      <c r="JQ405" s="261"/>
    </row>
    <row r="406" spans="129:277" ht="18" customHeight="1" x14ac:dyDescent="0.2">
      <c r="DY406" s="12"/>
      <c r="DZ406" s="261"/>
      <c r="EA406" s="12"/>
      <c r="EB406" s="261"/>
      <c r="EC406" s="261"/>
      <c r="ED406" s="261"/>
      <c r="EE406" s="261"/>
      <c r="EF406" s="261"/>
      <c r="EG406" s="261"/>
      <c r="EH406" s="261"/>
      <c r="EI406" s="261"/>
      <c r="EJ406" s="261"/>
      <c r="EK406" s="261"/>
      <c r="EL406" s="261"/>
      <c r="EM406" s="261"/>
      <c r="EN406" s="261"/>
      <c r="EO406" s="261"/>
      <c r="EP406" s="261"/>
      <c r="EQ406" s="261"/>
      <c r="ER406" s="261"/>
      <c r="ES406" s="261"/>
      <c r="ET406" s="261"/>
      <c r="EU406" s="261"/>
      <c r="EV406" s="261"/>
      <c r="EW406" s="261"/>
      <c r="EX406" s="261"/>
      <c r="EY406" s="261"/>
      <c r="EZ406" s="261"/>
      <c r="FA406" s="13"/>
      <c r="FB406" s="261"/>
      <c r="FC406" s="12"/>
      <c r="FD406" s="261"/>
      <c r="FE406" s="261"/>
      <c r="FF406" s="261"/>
      <c r="FG406" s="261"/>
      <c r="FH406" s="261"/>
      <c r="FI406" s="261"/>
      <c r="FJ406" s="261"/>
      <c r="FK406" s="261"/>
      <c r="FL406" s="261"/>
      <c r="FM406" s="261"/>
      <c r="FN406" s="261"/>
      <c r="FO406" s="261"/>
      <c r="FP406" s="261"/>
      <c r="FQ406" s="261"/>
      <c r="FR406" s="261"/>
      <c r="FS406" s="261"/>
      <c r="FT406" s="261"/>
      <c r="FU406" s="261"/>
      <c r="FV406" s="261"/>
      <c r="FW406" s="261"/>
      <c r="FX406" s="261"/>
      <c r="FY406" s="261"/>
      <c r="FZ406" s="13"/>
      <c r="GA406" s="261"/>
      <c r="GB406" s="13"/>
      <c r="GV406" s="266"/>
      <c r="GW406" s="266"/>
      <c r="GX406" s="266"/>
      <c r="GY406" s="266"/>
      <c r="GZ406" s="264"/>
      <c r="HA406" s="263"/>
      <c r="HB406" s="264"/>
      <c r="HC406" s="263"/>
      <c r="HD406" s="263"/>
      <c r="HE406" s="263"/>
      <c r="HF406" s="263"/>
      <c r="HG406" s="263"/>
      <c r="HH406" s="263"/>
      <c r="HI406" s="263"/>
      <c r="HJ406" s="263"/>
      <c r="HK406" s="263"/>
      <c r="HL406" s="263"/>
      <c r="HM406" s="263"/>
      <c r="HN406" s="263"/>
      <c r="HO406" s="263"/>
      <c r="HP406" s="263"/>
      <c r="HQ406" s="263"/>
      <c r="HR406" s="263"/>
      <c r="HS406" s="263"/>
      <c r="HT406" s="263"/>
      <c r="HU406" s="263"/>
      <c r="HV406" s="263"/>
      <c r="HW406" s="263"/>
      <c r="HX406" s="263"/>
      <c r="HY406" s="263"/>
      <c r="HZ406" s="265"/>
      <c r="IA406" s="265"/>
      <c r="IB406" s="263"/>
      <c r="IC406" s="263"/>
      <c r="ID406" s="263"/>
      <c r="IE406" s="263"/>
      <c r="IF406" s="263"/>
      <c r="IG406" s="263"/>
      <c r="IH406" s="263"/>
      <c r="II406" s="263"/>
      <c r="IJ406" s="263"/>
      <c r="IK406" s="263"/>
      <c r="IL406" s="263"/>
      <c r="IM406" s="263"/>
      <c r="IN406" s="263"/>
      <c r="IO406" s="263"/>
      <c r="IP406" s="263"/>
      <c r="IQ406" s="263"/>
      <c r="IR406" s="263"/>
      <c r="IS406" s="263"/>
      <c r="IT406" s="263"/>
      <c r="IU406" s="263"/>
      <c r="IV406" s="263"/>
      <c r="IW406" s="263"/>
      <c r="IX406" s="263"/>
      <c r="IY406" s="263"/>
      <c r="IZ406" s="265"/>
      <c r="JA406" s="263"/>
      <c r="JB406" s="265"/>
      <c r="JC406" s="266"/>
      <c r="JD406" s="263"/>
      <c r="JE406" s="263"/>
      <c r="JF406" s="263"/>
      <c r="JG406" s="266"/>
      <c r="JH406" s="266"/>
      <c r="JI406" s="266"/>
      <c r="JJ406" s="263"/>
      <c r="JK406" s="263"/>
      <c r="JL406" s="263"/>
      <c r="JM406" s="261"/>
      <c r="JN406" s="261"/>
      <c r="JO406" s="263"/>
      <c r="JP406" s="263"/>
      <c r="JQ406" s="261"/>
    </row>
    <row r="407" spans="129:277" ht="18" customHeight="1" x14ac:dyDescent="0.2">
      <c r="DY407" s="12"/>
      <c r="DZ407" s="261"/>
      <c r="EA407" s="12"/>
      <c r="EB407" s="261"/>
      <c r="EC407" s="261"/>
      <c r="ED407" s="261"/>
      <c r="EE407" s="261"/>
      <c r="EF407" s="261"/>
      <c r="EG407" s="261"/>
      <c r="EH407" s="261"/>
      <c r="EI407" s="261"/>
      <c r="EJ407" s="261"/>
      <c r="EK407" s="261"/>
      <c r="EL407" s="261"/>
      <c r="EM407" s="261"/>
      <c r="EN407" s="261"/>
      <c r="EO407" s="261"/>
      <c r="EP407" s="261"/>
      <c r="EQ407" s="261"/>
      <c r="ER407" s="261"/>
      <c r="ES407" s="261"/>
      <c r="ET407" s="261"/>
      <c r="EU407" s="261"/>
      <c r="EV407" s="261"/>
      <c r="EW407" s="261"/>
      <c r="EX407" s="261"/>
      <c r="EY407" s="261"/>
      <c r="EZ407" s="261"/>
      <c r="FA407" s="13"/>
      <c r="FB407" s="261"/>
      <c r="FC407" s="12"/>
      <c r="FD407" s="261"/>
      <c r="FE407" s="261"/>
      <c r="FF407" s="261"/>
      <c r="FG407" s="261"/>
      <c r="FH407" s="261"/>
      <c r="FI407" s="261"/>
      <c r="FJ407" s="261"/>
      <c r="FK407" s="261"/>
      <c r="FL407" s="261"/>
      <c r="FM407" s="261"/>
      <c r="FN407" s="261"/>
      <c r="FO407" s="261"/>
      <c r="FP407" s="261"/>
      <c r="FQ407" s="261"/>
      <c r="FR407" s="261"/>
      <c r="FS407" s="261"/>
      <c r="FT407" s="261"/>
      <c r="FU407" s="261"/>
      <c r="FV407" s="261"/>
      <c r="FW407" s="261"/>
      <c r="FX407" s="261"/>
      <c r="FY407" s="261"/>
      <c r="FZ407" s="13"/>
      <c r="GA407" s="261"/>
      <c r="GB407" s="13"/>
      <c r="GV407" s="266"/>
      <c r="GW407" s="266"/>
      <c r="GX407" s="266"/>
      <c r="GY407" s="266"/>
      <c r="GZ407" s="264"/>
      <c r="HA407" s="263"/>
      <c r="HB407" s="264"/>
      <c r="HC407" s="263"/>
      <c r="HD407" s="263"/>
      <c r="HE407" s="263"/>
      <c r="HF407" s="263"/>
      <c r="HG407" s="263"/>
      <c r="HH407" s="263"/>
      <c r="HI407" s="263"/>
      <c r="HJ407" s="263"/>
      <c r="HK407" s="263"/>
      <c r="HL407" s="263"/>
      <c r="HM407" s="263"/>
      <c r="HN407" s="263"/>
      <c r="HO407" s="263"/>
      <c r="HP407" s="263"/>
      <c r="HQ407" s="263"/>
      <c r="HR407" s="263"/>
      <c r="HS407" s="263"/>
      <c r="HT407" s="263"/>
      <c r="HU407" s="263"/>
      <c r="HV407" s="263"/>
      <c r="HW407" s="263"/>
      <c r="HX407" s="263"/>
      <c r="HY407" s="263"/>
      <c r="HZ407" s="265"/>
      <c r="IA407" s="265"/>
      <c r="IB407" s="263"/>
      <c r="IC407" s="263"/>
      <c r="ID407" s="263"/>
      <c r="IE407" s="263"/>
      <c r="IF407" s="263"/>
      <c r="IG407" s="263"/>
      <c r="IH407" s="263"/>
      <c r="II407" s="263"/>
      <c r="IJ407" s="263"/>
      <c r="IK407" s="263"/>
      <c r="IL407" s="263"/>
      <c r="IM407" s="263"/>
      <c r="IN407" s="263"/>
      <c r="IO407" s="263"/>
      <c r="IP407" s="263"/>
      <c r="IQ407" s="263"/>
      <c r="IR407" s="263"/>
      <c r="IS407" s="263"/>
      <c r="IT407" s="263"/>
      <c r="IU407" s="263"/>
      <c r="IV407" s="263"/>
      <c r="IW407" s="263"/>
      <c r="IX407" s="263"/>
      <c r="IY407" s="263"/>
      <c r="IZ407" s="265"/>
      <c r="JA407" s="263"/>
      <c r="JB407" s="265"/>
      <c r="JC407" s="266"/>
      <c r="JD407" s="263"/>
      <c r="JE407" s="263"/>
      <c r="JF407" s="263"/>
      <c r="JG407" s="266"/>
      <c r="JH407" s="266"/>
      <c r="JI407" s="266"/>
      <c r="JJ407" s="266"/>
      <c r="JK407" s="266"/>
      <c r="JL407" s="266"/>
      <c r="JO407" s="266"/>
      <c r="JP407" s="263"/>
      <c r="JQ407" s="261"/>
    </row>
    <row r="408" spans="129:277" ht="18" customHeight="1" x14ac:dyDescent="0.2">
      <c r="DY408" s="12"/>
      <c r="DZ408" s="261"/>
      <c r="EA408" s="12"/>
      <c r="EB408" s="261"/>
      <c r="EC408" s="261"/>
      <c r="ED408" s="261"/>
      <c r="EE408" s="261"/>
      <c r="EF408" s="261"/>
      <c r="EG408" s="261"/>
      <c r="EH408" s="261"/>
      <c r="EI408" s="261"/>
      <c r="EJ408" s="261"/>
      <c r="EK408" s="261"/>
      <c r="EL408" s="261"/>
      <c r="EM408" s="261"/>
      <c r="EN408" s="261"/>
      <c r="EO408" s="261"/>
      <c r="EP408" s="261"/>
      <c r="EQ408" s="261"/>
      <c r="ER408" s="261"/>
      <c r="ES408" s="261"/>
      <c r="ET408" s="261"/>
      <c r="EU408" s="261"/>
      <c r="EV408" s="261"/>
      <c r="EW408" s="261"/>
      <c r="EX408" s="261"/>
      <c r="EY408" s="261"/>
      <c r="EZ408" s="261"/>
      <c r="FA408" s="13"/>
      <c r="FB408" s="261"/>
      <c r="FC408" s="12"/>
      <c r="FD408" s="261"/>
      <c r="FE408" s="261"/>
      <c r="FF408" s="261"/>
      <c r="FG408" s="261"/>
      <c r="FH408" s="261"/>
      <c r="FI408" s="261"/>
      <c r="FJ408" s="261"/>
      <c r="FK408" s="261"/>
      <c r="FL408" s="261"/>
      <c r="FM408" s="261"/>
      <c r="FN408" s="261"/>
      <c r="FO408" s="261"/>
      <c r="FP408" s="261"/>
      <c r="FQ408" s="261"/>
      <c r="FR408" s="261"/>
      <c r="FS408" s="261"/>
      <c r="FT408" s="261"/>
      <c r="FU408" s="261"/>
      <c r="FV408" s="261"/>
      <c r="FW408" s="261"/>
      <c r="FX408" s="261"/>
      <c r="FY408" s="261"/>
      <c r="FZ408" s="13"/>
      <c r="GA408" s="261"/>
      <c r="GB408" s="13"/>
      <c r="GV408" s="266"/>
      <c r="GW408" s="266"/>
      <c r="GX408" s="266"/>
      <c r="GY408" s="266"/>
      <c r="GZ408" s="264"/>
      <c r="HA408" s="263"/>
      <c r="HB408" s="264"/>
      <c r="HC408" s="263"/>
      <c r="HD408" s="263"/>
      <c r="HE408" s="263"/>
      <c r="HF408" s="263"/>
      <c r="HG408" s="263"/>
      <c r="HH408" s="263"/>
      <c r="HI408" s="263"/>
      <c r="HJ408" s="263"/>
      <c r="HK408" s="263"/>
      <c r="HL408" s="263"/>
      <c r="HM408" s="263"/>
      <c r="HN408" s="263"/>
      <c r="HO408" s="263"/>
      <c r="HP408" s="263"/>
      <c r="HQ408" s="263"/>
      <c r="HR408" s="263"/>
      <c r="HS408" s="263"/>
      <c r="HT408" s="263"/>
      <c r="HU408" s="263"/>
      <c r="HV408" s="263"/>
      <c r="HW408" s="263"/>
      <c r="HX408" s="263"/>
      <c r="HY408" s="263"/>
      <c r="HZ408" s="265"/>
      <c r="IA408" s="265"/>
      <c r="IB408" s="263"/>
      <c r="IC408" s="263"/>
      <c r="ID408" s="263"/>
      <c r="IE408" s="263"/>
      <c r="IF408" s="263"/>
      <c r="IG408" s="263"/>
      <c r="IH408" s="263"/>
      <c r="II408" s="263"/>
      <c r="IJ408" s="263"/>
      <c r="IK408" s="263"/>
      <c r="IL408" s="263"/>
      <c r="IM408" s="263"/>
      <c r="IN408" s="263"/>
      <c r="IO408" s="263"/>
      <c r="IP408" s="263"/>
      <c r="IQ408" s="263"/>
      <c r="IR408" s="263"/>
      <c r="IS408" s="263"/>
      <c r="IT408" s="263"/>
      <c r="IU408" s="263"/>
      <c r="IV408" s="263"/>
      <c r="IW408" s="263"/>
      <c r="IX408" s="263"/>
      <c r="IY408" s="263"/>
      <c r="IZ408" s="265"/>
      <c r="JA408" s="263"/>
      <c r="JB408" s="265"/>
      <c r="JC408" s="266"/>
      <c r="JD408" s="263"/>
      <c r="JE408" s="263"/>
      <c r="JF408" s="263"/>
      <c r="JG408" s="266"/>
      <c r="JH408" s="266"/>
      <c r="JI408" s="266"/>
      <c r="JJ408" s="266"/>
      <c r="JK408" s="266"/>
      <c r="JL408" s="266"/>
      <c r="JO408" s="266"/>
      <c r="JP408" s="263"/>
      <c r="JQ408" s="261"/>
    </row>
    <row r="409" spans="129:277" ht="18" customHeight="1" x14ac:dyDescent="0.2">
      <c r="DY409" s="12"/>
      <c r="DZ409" s="261"/>
      <c r="EA409" s="12"/>
      <c r="EB409" s="261"/>
      <c r="EC409" s="261"/>
      <c r="ED409" s="261"/>
      <c r="EE409" s="261"/>
      <c r="EF409" s="261"/>
      <c r="EG409" s="261"/>
      <c r="EH409" s="261"/>
      <c r="EI409" s="261"/>
      <c r="EJ409" s="261"/>
      <c r="EK409" s="261"/>
      <c r="EL409" s="261"/>
      <c r="EM409" s="261"/>
      <c r="EN409" s="261"/>
      <c r="EO409" s="261"/>
      <c r="EP409" s="261"/>
      <c r="EQ409" s="261"/>
      <c r="ER409" s="261"/>
      <c r="ES409" s="261"/>
      <c r="ET409" s="261"/>
      <c r="EU409" s="261"/>
      <c r="EV409" s="261"/>
      <c r="EW409" s="261"/>
      <c r="EX409" s="261"/>
      <c r="EY409" s="261"/>
      <c r="EZ409" s="261"/>
      <c r="FA409" s="13"/>
      <c r="FB409" s="261"/>
      <c r="FC409" s="12"/>
      <c r="FD409" s="261"/>
      <c r="FE409" s="261"/>
      <c r="FF409" s="261"/>
      <c r="FG409" s="261"/>
      <c r="FH409" s="261"/>
      <c r="FI409" s="261"/>
      <c r="FJ409" s="261"/>
      <c r="FK409" s="261"/>
      <c r="FL409" s="261"/>
      <c r="FM409" s="261"/>
      <c r="FN409" s="261"/>
      <c r="FO409" s="261"/>
      <c r="FP409" s="261"/>
      <c r="FQ409" s="261"/>
      <c r="FR409" s="261"/>
      <c r="FS409" s="261"/>
      <c r="FT409" s="261"/>
      <c r="FU409" s="261"/>
      <c r="FV409" s="261"/>
      <c r="FW409" s="261"/>
      <c r="FX409" s="261"/>
      <c r="FY409" s="261"/>
      <c r="FZ409" s="13"/>
      <c r="GA409" s="261"/>
      <c r="GB409" s="13"/>
      <c r="GV409" s="266"/>
      <c r="GW409" s="266"/>
      <c r="GX409" s="266"/>
      <c r="GY409" s="266"/>
      <c r="GZ409" s="264"/>
      <c r="HA409" s="263"/>
      <c r="HB409" s="264"/>
      <c r="HC409" s="263"/>
      <c r="HD409" s="263"/>
      <c r="HE409" s="263"/>
      <c r="HF409" s="263"/>
      <c r="HG409" s="263"/>
      <c r="HH409" s="263"/>
      <c r="HI409" s="263"/>
      <c r="HJ409" s="263"/>
      <c r="HK409" s="263"/>
      <c r="HL409" s="263"/>
      <c r="HM409" s="263"/>
      <c r="HN409" s="263"/>
      <c r="HO409" s="263"/>
      <c r="HP409" s="263"/>
      <c r="HQ409" s="263"/>
      <c r="HR409" s="263"/>
      <c r="HS409" s="263"/>
      <c r="HT409" s="263"/>
      <c r="HU409" s="263"/>
      <c r="HV409" s="263"/>
      <c r="HW409" s="263"/>
      <c r="HX409" s="263"/>
      <c r="HY409" s="263"/>
      <c r="HZ409" s="265"/>
      <c r="IA409" s="265"/>
      <c r="IB409" s="263"/>
      <c r="IC409" s="263"/>
      <c r="ID409" s="263"/>
      <c r="IE409" s="263"/>
      <c r="IF409" s="263"/>
      <c r="IG409" s="263"/>
      <c r="IH409" s="263"/>
      <c r="II409" s="263"/>
      <c r="IJ409" s="263"/>
      <c r="IK409" s="263"/>
      <c r="IL409" s="263"/>
      <c r="IM409" s="263"/>
      <c r="IN409" s="263"/>
      <c r="IO409" s="263"/>
      <c r="IP409" s="263"/>
      <c r="IQ409" s="263"/>
      <c r="IR409" s="263"/>
      <c r="IS409" s="263"/>
      <c r="IT409" s="263"/>
      <c r="IU409" s="263"/>
      <c r="IV409" s="263"/>
      <c r="IW409" s="263"/>
      <c r="IX409" s="263"/>
      <c r="IY409" s="263"/>
      <c r="IZ409" s="265"/>
      <c r="JA409" s="263"/>
      <c r="JB409" s="265"/>
      <c r="JC409" s="266"/>
      <c r="JD409" s="263"/>
      <c r="JE409" s="263"/>
      <c r="JF409" s="263"/>
      <c r="JG409" s="266"/>
      <c r="JH409" s="266"/>
      <c r="JI409" s="266"/>
      <c r="JJ409" s="266"/>
      <c r="JK409" s="266"/>
      <c r="JL409" s="266"/>
      <c r="JO409" s="266"/>
      <c r="JP409" s="263"/>
      <c r="JQ409" s="261"/>
    </row>
    <row r="410" spans="129:277" ht="18" customHeight="1" x14ac:dyDescent="0.2">
      <c r="DY410" s="12"/>
      <c r="DZ410" s="261"/>
      <c r="EA410" s="12"/>
      <c r="EB410" s="261"/>
      <c r="EC410" s="261"/>
      <c r="ED410" s="261"/>
      <c r="EE410" s="261"/>
      <c r="EF410" s="261"/>
      <c r="EG410" s="261"/>
      <c r="EH410" s="261"/>
      <c r="EI410" s="261"/>
      <c r="EJ410" s="261"/>
      <c r="EK410" s="261"/>
      <c r="EL410" s="261"/>
      <c r="EM410" s="261"/>
      <c r="EN410" s="261"/>
      <c r="EO410" s="261"/>
      <c r="EP410" s="261"/>
      <c r="EQ410" s="261"/>
      <c r="ER410" s="261"/>
      <c r="ES410" s="261"/>
      <c r="ET410" s="261"/>
      <c r="EU410" s="261"/>
      <c r="EV410" s="261"/>
      <c r="EW410" s="261"/>
      <c r="EX410" s="261"/>
      <c r="EY410" s="261"/>
      <c r="EZ410" s="261"/>
      <c r="FA410" s="13"/>
      <c r="FB410" s="261"/>
      <c r="FC410" s="12"/>
      <c r="FD410" s="261"/>
      <c r="FE410" s="261"/>
      <c r="FF410" s="261"/>
      <c r="FG410" s="261"/>
      <c r="FH410" s="261"/>
      <c r="FI410" s="261"/>
      <c r="FJ410" s="261"/>
      <c r="FK410" s="261"/>
      <c r="FL410" s="261"/>
      <c r="FM410" s="261"/>
      <c r="FN410" s="261"/>
      <c r="FO410" s="261"/>
      <c r="FP410" s="261"/>
      <c r="FQ410" s="261"/>
      <c r="FR410" s="261"/>
      <c r="FS410" s="261"/>
      <c r="FT410" s="261"/>
      <c r="FU410" s="261"/>
      <c r="FV410" s="261"/>
      <c r="FW410" s="261"/>
      <c r="FX410" s="261"/>
      <c r="FY410" s="261"/>
      <c r="FZ410" s="13"/>
      <c r="GA410" s="261"/>
      <c r="GB410" s="13"/>
      <c r="GV410" s="266"/>
      <c r="GW410" s="266"/>
      <c r="GX410" s="266"/>
      <c r="GY410" s="266"/>
      <c r="GZ410" s="264"/>
      <c r="HA410" s="263"/>
      <c r="HB410" s="264"/>
      <c r="HC410" s="263"/>
      <c r="HD410" s="263"/>
      <c r="HE410" s="263"/>
      <c r="HF410" s="263"/>
      <c r="HG410" s="263"/>
      <c r="HH410" s="263"/>
      <c r="HI410" s="263"/>
      <c r="HJ410" s="263"/>
      <c r="HK410" s="263"/>
      <c r="HL410" s="263"/>
      <c r="HM410" s="263"/>
      <c r="HN410" s="263"/>
      <c r="HO410" s="263"/>
      <c r="HP410" s="263"/>
      <c r="HQ410" s="263"/>
      <c r="HR410" s="263"/>
      <c r="HS410" s="263"/>
      <c r="HT410" s="263"/>
      <c r="HU410" s="263"/>
      <c r="HV410" s="263"/>
      <c r="HW410" s="263"/>
      <c r="HX410" s="263"/>
      <c r="HY410" s="263"/>
      <c r="HZ410" s="265"/>
      <c r="IA410" s="265"/>
      <c r="IB410" s="263"/>
      <c r="IC410" s="263"/>
      <c r="ID410" s="263"/>
      <c r="IE410" s="263"/>
      <c r="IF410" s="263"/>
      <c r="IG410" s="263"/>
      <c r="IH410" s="263"/>
      <c r="II410" s="263"/>
      <c r="IJ410" s="263"/>
      <c r="IK410" s="263"/>
      <c r="IL410" s="263"/>
      <c r="IM410" s="263"/>
      <c r="IN410" s="263"/>
      <c r="IO410" s="263"/>
      <c r="IP410" s="263"/>
      <c r="IQ410" s="263"/>
      <c r="IR410" s="263"/>
      <c r="IS410" s="263"/>
      <c r="IT410" s="263"/>
      <c r="IU410" s="263"/>
      <c r="IV410" s="263"/>
      <c r="IW410" s="263"/>
      <c r="IX410" s="263"/>
      <c r="IY410" s="263"/>
      <c r="IZ410" s="265"/>
      <c r="JA410" s="263"/>
      <c r="JB410" s="265"/>
      <c r="JC410" s="266"/>
      <c r="JD410" s="263"/>
      <c r="JE410" s="263"/>
      <c r="JF410" s="263"/>
      <c r="JG410" s="266"/>
      <c r="JH410" s="266"/>
      <c r="JI410" s="266"/>
      <c r="JJ410" s="266"/>
      <c r="JK410" s="266"/>
      <c r="JL410" s="266"/>
      <c r="JO410" s="266"/>
      <c r="JP410" s="263"/>
      <c r="JQ410" s="261"/>
    </row>
    <row r="411" spans="129:277" ht="18" customHeight="1" x14ac:dyDescent="0.2">
      <c r="DY411" s="12"/>
      <c r="DZ411" s="261"/>
      <c r="EA411" s="14"/>
      <c r="EB411" s="15"/>
      <c r="EC411" s="15"/>
      <c r="ED411" s="15"/>
      <c r="EE411" s="15"/>
      <c r="EF411" s="15"/>
      <c r="EG411" s="15"/>
      <c r="EH411" s="15"/>
      <c r="EI411" s="15"/>
      <c r="EJ411" s="15"/>
      <c r="EK411" s="15"/>
      <c r="EL411" s="15"/>
      <c r="EM411" s="15"/>
      <c r="EN411" s="15"/>
      <c r="EO411" s="15"/>
      <c r="EP411" s="15"/>
      <c r="EQ411" s="15"/>
      <c r="ER411" s="15"/>
      <c r="ES411" s="15"/>
      <c r="ET411" s="15"/>
      <c r="EU411" s="15"/>
      <c r="EV411" s="15"/>
      <c r="EW411" s="15"/>
      <c r="EX411" s="15"/>
      <c r="EY411" s="15"/>
      <c r="EZ411" s="15"/>
      <c r="FA411" s="16"/>
      <c r="FB411" s="261"/>
      <c r="FC411" s="12"/>
      <c r="FD411" s="261"/>
      <c r="FE411" s="261"/>
      <c r="FF411" s="261"/>
      <c r="FG411" s="261"/>
      <c r="FH411" s="261"/>
      <c r="FI411" s="261"/>
      <c r="FJ411" s="261"/>
      <c r="FK411" s="261"/>
      <c r="FL411" s="261"/>
      <c r="FM411" s="261"/>
      <c r="FN411" s="261"/>
      <c r="FO411" s="261"/>
      <c r="FP411" s="261"/>
      <c r="FQ411" s="261"/>
      <c r="FR411" s="261"/>
      <c r="FS411" s="261"/>
      <c r="FT411" s="261"/>
      <c r="FU411" s="261"/>
      <c r="FV411" s="261"/>
      <c r="FW411" s="261"/>
      <c r="FX411" s="261"/>
      <c r="FY411" s="261"/>
      <c r="FZ411" s="13"/>
      <c r="GA411" s="261"/>
      <c r="GB411" s="13"/>
      <c r="GV411" s="266"/>
      <c r="GW411" s="266"/>
      <c r="GX411" s="266"/>
      <c r="GY411" s="266"/>
      <c r="GZ411" s="264"/>
      <c r="HA411" s="263"/>
      <c r="HB411" s="264"/>
      <c r="HC411" s="263"/>
      <c r="HD411" s="263"/>
      <c r="HE411" s="263"/>
      <c r="HF411" s="263"/>
      <c r="HG411" s="263"/>
      <c r="HH411" s="263"/>
      <c r="HI411" s="263"/>
      <c r="HJ411" s="263"/>
      <c r="HK411" s="263"/>
      <c r="HL411" s="263"/>
      <c r="HM411" s="263"/>
      <c r="HN411" s="263"/>
      <c r="HO411" s="263"/>
      <c r="HP411" s="263"/>
      <c r="HQ411" s="263"/>
      <c r="HR411" s="263"/>
      <c r="HS411" s="263"/>
      <c r="HT411" s="263"/>
      <c r="HU411" s="263"/>
      <c r="HV411" s="263"/>
      <c r="HW411" s="263"/>
      <c r="HX411" s="263"/>
      <c r="HY411" s="263"/>
      <c r="HZ411" s="265"/>
      <c r="IA411" s="265"/>
      <c r="IB411" s="263"/>
      <c r="IC411" s="263"/>
      <c r="ID411" s="263"/>
      <c r="IE411" s="263"/>
      <c r="IF411" s="263"/>
      <c r="IG411" s="263"/>
      <c r="IH411" s="263"/>
      <c r="II411" s="263"/>
      <c r="IJ411" s="263"/>
      <c r="IK411" s="263"/>
      <c r="IL411" s="263"/>
      <c r="IM411" s="263"/>
      <c r="IN411" s="263"/>
      <c r="IO411" s="263"/>
      <c r="IP411" s="263"/>
      <c r="IQ411" s="263"/>
      <c r="IR411" s="263"/>
      <c r="IS411" s="263"/>
      <c r="IT411" s="263"/>
      <c r="IU411" s="263"/>
      <c r="IV411" s="263"/>
      <c r="IW411" s="263"/>
      <c r="IX411" s="263"/>
      <c r="IY411" s="263"/>
      <c r="IZ411" s="265"/>
      <c r="JA411" s="263"/>
      <c r="JB411" s="265"/>
      <c r="JC411" s="266"/>
      <c r="JD411" s="263"/>
      <c r="JE411" s="263"/>
      <c r="JF411" s="263"/>
      <c r="JG411" s="266"/>
      <c r="JH411" s="266"/>
      <c r="JI411" s="266"/>
      <c r="JJ411" s="266"/>
      <c r="JK411" s="266"/>
      <c r="JL411" s="266"/>
      <c r="JO411" s="266"/>
      <c r="JP411" s="263"/>
      <c r="JQ411" s="261"/>
    </row>
    <row r="412" spans="129:277" ht="18" customHeight="1" x14ac:dyDescent="0.2">
      <c r="DY412" s="12"/>
      <c r="DZ412" s="261"/>
      <c r="EA412" s="12"/>
      <c r="EB412" s="261"/>
      <c r="EC412" s="261"/>
      <c r="ED412" s="261"/>
      <c r="EE412" s="261"/>
      <c r="EF412" s="261"/>
      <c r="EG412" s="261"/>
      <c r="EH412" s="261"/>
      <c r="EI412" s="261"/>
      <c r="EJ412" s="261"/>
      <c r="EK412" s="261"/>
      <c r="EL412" s="261"/>
      <c r="EM412" s="261"/>
      <c r="EN412" s="261"/>
      <c r="EO412" s="261"/>
      <c r="EP412" s="261"/>
      <c r="EQ412" s="261"/>
      <c r="ER412" s="261"/>
      <c r="ES412" s="261"/>
      <c r="ET412" s="261"/>
      <c r="EU412" s="261"/>
      <c r="EV412" s="261"/>
      <c r="EW412" s="261"/>
      <c r="EX412" s="261"/>
      <c r="EY412" s="261"/>
      <c r="EZ412" s="261"/>
      <c r="FA412" s="261"/>
      <c r="FB412" s="261"/>
      <c r="FC412" s="12"/>
      <c r="FD412" s="261"/>
      <c r="FE412" s="261"/>
      <c r="FF412" s="261"/>
      <c r="FG412" s="261"/>
      <c r="FH412" s="261"/>
      <c r="FI412" s="261"/>
      <c r="FJ412" s="261"/>
      <c r="FK412" s="261"/>
      <c r="FL412" s="261"/>
      <c r="FM412" s="261"/>
      <c r="FN412" s="261"/>
      <c r="FO412" s="261"/>
      <c r="FP412" s="261"/>
      <c r="FQ412" s="261"/>
      <c r="FR412" s="261"/>
      <c r="FS412" s="261"/>
      <c r="FT412" s="261"/>
      <c r="FU412" s="261"/>
      <c r="FV412" s="261"/>
      <c r="FW412" s="261"/>
      <c r="FX412" s="261"/>
      <c r="FY412" s="261"/>
      <c r="FZ412" s="13"/>
      <c r="GA412" s="261"/>
      <c r="GB412" s="13"/>
      <c r="GV412" s="266"/>
      <c r="GW412" s="266"/>
      <c r="GX412" s="266"/>
      <c r="GY412" s="266"/>
      <c r="GZ412" s="264"/>
      <c r="HA412" s="263"/>
      <c r="HB412" s="264"/>
      <c r="HC412" s="263"/>
      <c r="HD412" s="263"/>
      <c r="HE412" s="263"/>
      <c r="HF412" s="263"/>
      <c r="HG412" s="263"/>
      <c r="HH412" s="263"/>
      <c r="HI412" s="263"/>
      <c r="HJ412" s="263"/>
      <c r="HK412" s="263"/>
      <c r="HL412" s="263"/>
      <c r="HM412" s="263"/>
      <c r="HN412" s="263"/>
      <c r="HO412" s="263"/>
      <c r="HP412" s="263"/>
      <c r="HQ412" s="263"/>
      <c r="HR412" s="263"/>
      <c r="HS412" s="263"/>
      <c r="HT412" s="263"/>
      <c r="HU412" s="263"/>
      <c r="HV412" s="263"/>
      <c r="HW412" s="263"/>
      <c r="HX412" s="263"/>
      <c r="HY412" s="263"/>
      <c r="HZ412" s="265"/>
      <c r="IA412" s="265"/>
      <c r="IB412" s="263"/>
      <c r="IC412" s="263"/>
      <c r="ID412" s="263"/>
      <c r="IE412" s="263"/>
      <c r="IF412" s="263"/>
      <c r="IG412" s="263"/>
      <c r="IH412" s="263"/>
      <c r="II412" s="263"/>
      <c r="IJ412" s="263"/>
      <c r="IK412" s="263"/>
      <c r="IL412" s="263"/>
      <c r="IM412" s="263"/>
      <c r="IN412" s="263"/>
      <c r="IO412" s="263"/>
      <c r="IP412" s="263"/>
      <c r="IQ412" s="263"/>
      <c r="IR412" s="263"/>
      <c r="IS412" s="263"/>
      <c r="IT412" s="263"/>
      <c r="IU412" s="263"/>
      <c r="IV412" s="263"/>
      <c r="IW412" s="263"/>
      <c r="IX412" s="263"/>
      <c r="IY412" s="263"/>
      <c r="IZ412" s="265"/>
      <c r="JA412" s="263"/>
      <c r="JB412" s="265"/>
      <c r="JC412" s="266"/>
      <c r="JD412" s="263"/>
      <c r="JE412" s="263"/>
      <c r="JF412" s="263"/>
      <c r="JG412" s="266"/>
      <c r="JH412" s="266"/>
      <c r="JI412" s="266"/>
      <c r="JJ412" s="266"/>
      <c r="JK412" s="266"/>
      <c r="JL412" s="266"/>
      <c r="JO412" s="266"/>
      <c r="JP412" s="263"/>
      <c r="JQ412" s="261"/>
    </row>
    <row r="413" spans="129:277" ht="18" customHeight="1" x14ac:dyDescent="0.2">
      <c r="DY413" s="12"/>
      <c r="DZ413" s="261"/>
      <c r="EA413" s="9"/>
      <c r="EB413" s="10"/>
      <c r="EC413" s="10"/>
      <c r="ED413" s="10"/>
      <c r="EE413" s="10"/>
      <c r="EF413" s="11"/>
      <c r="EG413" s="261"/>
      <c r="EH413" s="9"/>
      <c r="EI413" s="10"/>
      <c r="EJ413" s="10"/>
      <c r="EK413" s="11"/>
      <c r="EL413" s="10"/>
      <c r="EM413" s="10"/>
      <c r="EN413" s="10"/>
      <c r="EO413" s="10"/>
      <c r="EP413" s="10"/>
      <c r="EQ413" s="10"/>
      <c r="ER413" s="10"/>
      <c r="ES413" s="10"/>
      <c r="ET413" s="10"/>
      <c r="EU413" s="10"/>
      <c r="EV413" s="10"/>
      <c r="EW413" s="10"/>
      <c r="EX413" s="9"/>
      <c r="EY413" s="10"/>
      <c r="EZ413" s="10"/>
      <c r="FA413" s="11"/>
      <c r="FB413" s="261"/>
      <c r="FC413" s="12"/>
      <c r="FD413" s="261"/>
      <c r="FE413" s="261"/>
      <c r="FF413" s="261"/>
      <c r="FG413" s="261"/>
      <c r="FH413" s="261"/>
      <c r="FI413" s="261"/>
      <c r="FJ413" s="261"/>
      <c r="FK413" s="261"/>
      <c r="FL413" s="261"/>
      <c r="FM413" s="261"/>
      <c r="FN413" s="261"/>
      <c r="FO413" s="261"/>
      <c r="FP413" s="261"/>
      <c r="FQ413" s="261"/>
      <c r="FR413" s="261"/>
      <c r="FS413" s="261"/>
      <c r="FT413" s="261"/>
      <c r="FU413" s="261"/>
      <c r="FV413" s="261"/>
      <c r="FW413" s="261"/>
      <c r="FX413" s="261"/>
      <c r="FY413" s="261"/>
      <c r="FZ413" s="13"/>
      <c r="GA413" s="261"/>
      <c r="GB413" s="13"/>
      <c r="GV413" s="266"/>
      <c r="GW413" s="266"/>
      <c r="GX413" s="266"/>
      <c r="GY413" s="266"/>
      <c r="GZ413" s="264"/>
      <c r="HA413" s="263"/>
      <c r="HB413" s="264"/>
      <c r="HC413" s="263"/>
      <c r="HD413" s="263"/>
      <c r="HE413" s="263"/>
      <c r="HF413" s="263"/>
      <c r="HG413" s="263"/>
      <c r="HH413" s="263"/>
      <c r="HI413" s="263"/>
      <c r="HJ413" s="263"/>
      <c r="HK413" s="263"/>
      <c r="HL413" s="263"/>
      <c r="HM413" s="263"/>
      <c r="HN413" s="263"/>
      <c r="HO413" s="263"/>
      <c r="HP413" s="263"/>
      <c r="HQ413" s="263"/>
      <c r="HR413" s="263"/>
      <c r="HS413" s="263"/>
      <c r="HT413" s="263"/>
      <c r="HU413" s="263"/>
      <c r="HV413" s="263"/>
      <c r="HW413" s="263"/>
      <c r="HX413" s="263"/>
      <c r="HY413" s="263"/>
      <c r="HZ413" s="265"/>
      <c r="IA413" s="265"/>
      <c r="IB413" s="263"/>
      <c r="IC413" s="263"/>
      <c r="ID413" s="263"/>
      <c r="IE413" s="263"/>
      <c r="IF413" s="263"/>
      <c r="IG413" s="263"/>
      <c r="IH413" s="263"/>
      <c r="II413" s="263"/>
      <c r="IJ413" s="263"/>
      <c r="IK413" s="263"/>
      <c r="IL413" s="263"/>
      <c r="IM413" s="263"/>
      <c r="IN413" s="263"/>
      <c r="IO413" s="263"/>
      <c r="IP413" s="263"/>
      <c r="IQ413" s="263"/>
      <c r="IR413" s="263"/>
      <c r="IS413" s="263"/>
      <c r="IT413" s="263"/>
      <c r="IU413" s="263"/>
      <c r="IV413" s="263"/>
      <c r="IW413" s="263"/>
      <c r="IX413" s="263"/>
      <c r="IY413" s="263"/>
      <c r="IZ413" s="265"/>
      <c r="JA413" s="263"/>
      <c r="JB413" s="265"/>
      <c r="JC413" s="266"/>
      <c r="JD413" s="263"/>
      <c r="JE413" s="263"/>
      <c r="JF413" s="263"/>
      <c r="JG413" s="266"/>
      <c r="JH413" s="266"/>
      <c r="JI413" s="266"/>
      <c r="JJ413" s="266"/>
      <c r="JK413" s="266"/>
      <c r="JL413" s="266"/>
      <c r="JO413" s="266"/>
      <c r="JP413" s="263"/>
      <c r="JQ413" s="261"/>
    </row>
    <row r="414" spans="129:277" ht="18" customHeight="1" x14ac:dyDescent="0.2">
      <c r="DY414" s="12"/>
      <c r="DZ414" s="261"/>
      <c r="EA414" s="12"/>
      <c r="EB414" s="261"/>
      <c r="EC414" s="261"/>
      <c r="ED414" s="261"/>
      <c r="EE414" s="261"/>
      <c r="EF414" s="13"/>
      <c r="EG414" s="261"/>
      <c r="EH414" s="12"/>
      <c r="EI414" s="261"/>
      <c r="EJ414" s="261"/>
      <c r="EK414" s="13"/>
      <c r="EL414" s="261"/>
      <c r="EM414" s="261"/>
      <c r="EN414" s="261"/>
      <c r="EO414" s="261"/>
      <c r="EP414" s="261"/>
      <c r="EQ414" s="261"/>
      <c r="ER414" s="261"/>
      <c r="ES414" s="261"/>
      <c r="ET414" s="261"/>
      <c r="EU414" s="261"/>
      <c r="EV414" s="261"/>
      <c r="EW414" s="261"/>
      <c r="EX414" s="12"/>
      <c r="EY414" s="261"/>
      <c r="EZ414" s="261"/>
      <c r="FA414" s="13"/>
      <c r="FB414" s="261"/>
      <c r="FC414" s="12"/>
      <c r="FD414" s="261"/>
      <c r="FE414" s="261"/>
      <c r="FF414" s="261"/>
      <c r="FG414" s="261"/>
      <c r="FH414" s="261"/>
      <c r="FI414" s="261"/>
      <c r="FJ414" s="261"/>
      <c r="FK414" s="261"/>
      <c r="FL414" s="261"/>
      <c r="FM414" s="261"/>
      <c r="FN414" s="261"/>
      <c r="FO414" s="261"/>
      <c r="FP414" s="261"/>
      <c r="FQ414" s="261"/>
      <c r="FR414" s="261"/>
      <c r="FS414" s="261"/>
      <c r="FT414" s="261"/>
      <c r="FU414" s="261"/>
      <c r="FV414" s="261"/>
      <c r="FW414" s="261"/>
      <c r="FX414" s="261"/>
      <c r="FY414" s="261"/>
      <c r="FZ414" s="13"/>
      <c r="GA414" s="261"/>
      <c r="GB414" s="13"/>
      <c r="GV414" s="266"/>
      <c r="GW414" s="266"/>
      <c r="GX414" s="266"/>
      <c r="GY414" s="266"/>
      <c r="GZ414" s="264"/>
      <c r="HA414" s="263"/>
      <c r="HB414" s="264"/>
      <c r="HC414" s="263"/>
      <c r="HD414" s="263"/>
      <c r="HE414" s="263"/>
      <c r="HF414" s="263"/>
      <c r="HG414" s="263"/>
      <c r="HH414" s="263"/>
      <c r="HI414" s="263"/>
      <c r="HJ414" s="263"/>
      <c r="HK414" s="263"/>
      <c r="HL414" s="263"/>
      <c r="HM414" s="263"/>
      <c r="HN414" s="263"/>
      <c r="HO414" s="263"/>
      <c r="HP414" s="263"/>
      <c r="HQ414" s="263"/>
      <c r="HR414" s="263"/>
      <c r="HS414" s="263"/>
      <c r="HT414" s="263"/>
      <c r="HU414" s="263"/>
      <c r="HV414" s="263"/>
      <c r="HW414" s="263"/>
      <c r="HX414" s="263"/>
      <c r="HY414" s="263"/>
      <c r="HZ414" s="265"/>
      <c r="IA414" s="265"/>
      <c r="IB414" s="263"/>
      <c r="IC414" s="263"/>
      <c r="ID414" s="263"/>
      <c r="IE414" s="263"/>
      <c r="IF414" s="263"/>
      <c r="IG414" s="263"/>
      <c r="IH414" s="263"/>
      <c r="II414" s="263"/>
      <c r="IJ414" s="263"/>
      <c r="IK414" s="263"/>
      <c r="IL414" s="263"/>
      <c r="IM414" s="263"/>
      <c r="IN414" s="263"/>
      <c r="IO414" s="263"/>
      <c r="IP414" s="263"/>
      <c r="IQ414" s="263"/>
      <c r="IR414" s="263"/>
      <c r="IS414" s="263"/>
      <c r="IT414" s="263"/>
      <c r="IU414" s="263"/>
      <c r="IV414" s="263"/>
      <c r="IW414" s="263"/>
      <c r="IX414" s="263"/>
      <c r="IY414" s="263"/>
      <c r="IZ414" s="265"/>
      <c r="JA414" s="263"/>
      <c r="JB414" s="265"/>
      <c r="JC414" s="266"/>
      <c r="JD414" s="263"/>
      <c r="JE414" s="263"/>
      <c r="JF414" s="263"/>
      <c r="JG414" s="266"/>
      <c r="JH414" s="266"/>
      <c r="JI414" s="266"/>
      <c r="JJ414" s="266"/>
      <c r="JK414" s="266"/>
      <c r="JL414" s="266"/>
      <c r="JO414" s="266"/>
      <c r="JP414" s="263"/>
      <c r="JQ414" s="261"/>
    </row>
    <row r="415" spans="129:277" ht="18" customHeight="1" x14ac:dyDescent="0.2">
      <c r="DY415" s="12"/>
      <c r="DZ415" s="261"/>
      <c r="EA415" s="12"/>
      <c r="EB415" s="261"/>
      <c r="EC415" s="261"/>
      <c r="ED415" s="261"/>
      <c r="EE415" s="261"/>
      <c r="EF415" s="13"/>
      <c r="EG415" s="261"/>
      <c r="EH415" s="12"/>
      <c r="EI415" s="261"/>
      <c r="EJ415" s="261"/>
      <c r="EK415" s="13"/>
      <c r="EL415" s="261"/>
      <c r="EM415" s="261"/>
      <c r="EN415" s="261"/>
      <c r="EO415" s="261"/>
      <c r="EP415" s="261"/>
      <c r="EQ415" s="261"/>
      <c r="ER415" s="261"/>
      <c r="ES415" s="261"/>
      <c r="ET415" s="261"/>
      <c r="EU415" s="261"/>
      <c r="EV415" s="261"/>
      <c r="EW415" s="261"/>
      <c r="EX415" s="12"/>
      <c r="EY415" s="261"/>
      <c r="EZ415" s="261"/>
      <c r="FA415" s="13"/>
      <c r="FB415" s="261"/>
      <c r="FC415" s="12"/>
      <c r="FD415" s="261"/>
      <c r="FE415" s="261"/>
      <c r="FF415" s="261"/>
      <c r="FG415" s="261"/>
      <c r="FH415" s="261"/>
      <c r="FI415" s="261"/>
      <c r="FJ415" s="261"/>
      <c r="FK415" s="261"/>
      <c r="FL415" s="261"/>
      <c r="FM415" s="261"/>
      <c r="FN415" s="261"/>
      <c r="FO415" s="261"/>
      <c r="FP415" s="261"/>
      <c r="FQ415" s="261"/>
      <c r="FR415" s="261"/>
      <c r="FS415" s="261"/>
      <c r="FT415" s="261"/>
      <c r="FU415" s="261"/>
      <c r="FV415" s="261"/>
      <c r="FW415" s="261"/>
      <c r="FX415" s="261"/>
      <c r="FY415" s="261"/>
      <c r="FZ415" s="13"/>
      <c r="GA415" s="261"/>
      <c r="GB415" s="13"/>
      <c r="GV415" s="266"/>
      <c r="GW415" s="266"/>
      <c r="GX415" s="266"/>
      <c r="GY415" s="266"/>
      <c r="GZ415" s="264"/>
      <c r="HA415" s="263"/>
      <c r="HB415" s="264"/>
      <c r="HC415" s="263"/>
      <c r="HD415" s="263"/>
      <c r="HE415" s="263"/>
      <c r="HF415" s="263"/>
      <c r="HG415" s="263"/>
      <c r="HH415" s="263"/>
      <c r="HI415" s="263"/>
      <c r="HJ415" s="263"/>
      <c r="HK415" s="263"/>
      <c r="HL415" s="263"/>
      <c r="HM415" s="263"/>
      <c r="HN415" s="263"/>
      <c r="HO415" s="263"/>
      <c r="HP415" s="263"/>
      <c r="HQ415" s="263"/>
      <c r="HR415" s="263"/>
      <c r="HS415" s="263"/>
      <c r="HT415" s="263"/>
      <c r="HU415" s="263"/>
      <c r="HV415" s="263"/>
      <c r="HW415" s="263"/>
      <c r="HX415" s="263"/>
      <c r="HY415" s="263"/>
      <c r="HZ415" s="265"/>
      <c r="IA415" s="265"/>
      <c r="IB415" s="263"/>
      <c r="IC415" s="263"/>
      <c r="ID415" s="263"/>
      <c r="IE415" s="263"/>
      <c r="IF415" s="263"/>
      <c r="IG415" s="263"/>
      <c r="IH415" s="263"/>
      <c r="II415" s="263"/>
      <c r="IJ415" s="263"/>
      <c r="IK415" s="263"/>
      <c r="IL415" s="263"/>
      <c r="IM415" s="263"/>
      <c r="IN415" s="263"/>
      <c r="IO415" s="263"/>
      <c r="IP415" s="263"/>
      <c r="IQ415" s="263"/>
      <c r="IR415" s="263"/>
      <c r="IS415" s="263"/>
      <c r="IT415" s="263"/>
      <c r="IU415" s="263"/>
      <c r="IV415" s="263"/>
      <c r="IW415" s="263"/>
      <c r="IX415" s="263"/>
      <c r="IY415" s="263"/>
      <c r="IZ415" s="265"/>
      <c r="JA415" s="263"/>
      <c r="JB415" s="265"/>
      <c r="JC415" s="266"/>
      <c r="JD415" s="263"/>
      <c r="JE415" s="263"/>
      <c r="JF415" s="263"/>
      <c r="JG415" s="266"/>
      <c r="JH415" s="266"/>
      <c r="JI415" s="266"/>
      <c r="JJ415" s="266"/>
      <c r="JK415" s="266"/>
      <c r="JL415" s="266"/>
      <c r="JO415" s="266"/>
      <c r="JP415" s="263"/>
      <c r="JQ415" s="261"/>
    </row>
    <row r="416" spans="129:277" ht="18" customHeight="1" x14ac:dyDescent="0.2">
      <c r="DY416" s="12"/>
      <c r="DZ416" s="261"/>
      <c r="EA416" s="12"/>
      <c r="EB416" s="261"/>
      <c r="EC416" s="261"/>
      <c r="ED416" s="261"/>
      <c r="EE416" s="261"/>
      <c r="EF416" s="13"/>
      <c r="EG416" s="261"/>
      <c r="EH416" s="14"/>
      <c r="EI416" s="15"/>
      <c r="EJ416" s="15"/>
      <c r="EK416" s="16"/>
      <c r="EL416" s="15"/>
      <c r="EM416" s="15"/>
      <c r="EN416" s="15"/>
      <c r="EO416" s="15"/>
      <c r="EP416" s="15"/>
      <c r="EQ416" s="15"/>
      <c r="ER416" s="15"/>
      <c r="ES416" s="15"/>
      <c r="ET416" s="15"/>
      <c r="EU416" s="15"/>
      <c r="EV416" s="15"/>
      <c r="EW416" s="15"/>
      <c r="EX416" s="14"/>
      <c r="EY416" s="15"/>
      <c r="EZ416" s="15"/>
      <c r="FA416" s="16"/>
      <c r="FB416" s="261"/>
      <c r="FC416" s="12"/>
      <c r="FD416" s="261"/>
      <c r="FE416" s="261"/>
      <c r="FF416" s="261"/>
      <c r="FG416" s="261"/>
      <c r="FH416" s="261"/>
      <c r="FI416" s="261"/>
      <c r="FJ416" s="261"/>
      <c r="FK416" s="261"/>
      <c r="FL416" s="261"/>
      <c r="FM416" s="261"/>
      <c r="FN416" s="261"/>
      <c r="FO416" s="261"/>
      <c r="FP416" s="261"/>
      <c r="FQ416" s="261"/>
      <c r="FR416" s="261"/>
      <c r="FS416" s="261"/>
      <c r="FT416" s="261"/>
      <c r="FU416" s="261"/>
      <c r="FV416" s="261"/>
      <c r="FW416" s="261"/>
      <c r="FX416" s="261"/>
      <c r="FY416" s="261"/>
      <c r="FZ416" s="13"/>
      <c r="GA416" s="261"/>
      <c r="GB416" s="13"/>
      <c r="GV416" s="266"/>
      <c r="GW416" s="266"/>
      <c r="GX416" s="266"/>
      <c r="GY416" s="266"/>
      <c r="GZ416" s="264"/>
      <c r="HA416" s="263"/>
      <c r="HB416" s="264"/>
      <c r="HC416" s="263"/>
      <c r="HD416" s="263"/>
      <c r="HE416" s="263"/>
      <c r="HF416" s="263"/>
      <c r="HG416" s="263"/>
      <c r="HH416" s="263"/>
      <c r="HI416" s="263"/>
      <c r="HJ416" s="263"/>
      <c r="HK416" s="263"/>
      <c r="HL416" s="263"/>
      <c r="HM416" s="263"/>
      <c r="HN416" s="263"/>
      <c r="HO416" s="263"/>
      <c r="HP416" s="263"/>
      <c r="HQ416" s="263"/>
      <c r="HR416" s="263"/>
      <c r="HS416" s="263"/>
      <c r="HT416" s="263"/>
      <c r="HU416" s="263"/>
      <c r="HV416" s="263"/>
      <c r="HW416" s="263"/>
      <c r="HX416" s="263"/>
      <c r="HY416" s="263"/>
      <c r="HZ416" s="265"/>
      <c r="IA416" s="265"/>
      <c r="IB416" s="263"/>
      <c r="IC416" s="263"/>
      <c r="ID416" s="263"/>
      <c r="IE416" s="263"/>
      <c r="IF416" s="263"/>
      <c r="IG416" s="263"/>
      <c r="IH416" s="263"/>
      <c r="II416" s="263"/>
      <c r="IJ416" s="263"/>
      <c r="IK416" s="263"/>
      <c r="IL416" s="263"/>
      <c r="IM416" s="263"/>
      <c r="IN416" s="263"/>
      <c r="IO416" s="263"/>
      <c r="IP416" s="263"/>
      <c r="IQ416" s="263"/>
      <c r="IR416" s="263"/>
      <c r="IS416" s="263"/>
      <c r="IT416" s="263"/>
      <c r="IU416" s="263"/>
      <c r="IV416" s="263"/>
      <c r="IW416" s="263"/>
      <c r="IX416" s="263"/>
      <c r="IY416" s="263"/>
      <c r="IZ416" s="265"/>
      <c r="JA416" s="263"/>
      <c r="JB416" s="265"/>
      <c r="JC416" s="266"/>
      <c r="JD416" s="263"/>
      <c r="JE416" s="263"/>
      <c r="JF416" s="263"/>
      <c r="JG416" s="266"/>
      <c r="JH416" s="266"/>
      <c r="JI416" s="266"/>
      <c r="JJ416" s="266"/>
      <c r="JK416" s="266"/>
      <c r="JL416" s="266"/>
      <c r="JO416" s="266"/>
      <c r="JP416" s="263"/>
      <c r="JQ416" s="261"/>
    </row>
    <row r="417" spans="32:277" ht="18" customHeight="1" x14ac:dyDescent="0.2">
      <c r="DY417" s="12"/>
      <c r="DZ417" s="261"/>
      <c r="EA417" s="12"/>
      <c r="EB417" s="261"/>
      <c r="EC417" s="261"/>
      <c r="ED417" s="261"/>
      <c r="EE417" s="261"/>
      <c r="EF417" s="13"/>
      <c r="EG417" s="261"/>
      <c r="EH417" s="12"/>
      <c r="EI417" s="261"/>
      <c r="EJ417" s="261"/>
      <c r="EK417" s="13"/>
      <c r="EL417" s="261"/>
      <c r="EM417" s="261"/>
      <c r="EN417" s="261"/>
      <c r="EO417" s="261"/>
      <c r="EP417" s="261"/>
      <c r="EQ417" s="261"/>
      <c r="ER417" s="261"/>
      <c r="ES417" s="261"/>
      <c r="ET417" s="261"/>
      <c r="EU417" s="261"/>
      <c r="EV417" s="261"/>
      <c r="EW417" s="261"/>
      <c r="EX417" s="9"/>
      <c r="EY417" s="10"/>
      <c r="EZ417" s="10"/>
      <c r="FA417" s="11"/>
      <c r="FB417" s="261"/>
      <c r="FC417" s="12"/>
      <c r="FD417" s="261"/>
      <c r="FE417" s="261"/>
      <c r="FF417" s="261"/>
      <c r="FG417" s="261"/>
      <c r="FH417" s="261"/>
      <c r="FI417" s="261"/>
      <c r="FJ417" s="261"/>
      <c r="FK417" s="261"/>
      <c r="FL417" s="261"/>
      <c r="FM417" s="261"/>
      <c r="FN417" s="261"/>
      <c r="FO417" s="261"/>
      <c r="FP417" s="261"/>
      <c r="FQ417" s="261"/>
      <c r="FR417" s="261"/>
      <c r="FS417" s="261"/>
      <c r="FT417" s="261"/>
      <c r="FU417" s="261"/>
      <c r="FV417" s="261"/>
      <c r="FW417" s="261"/>
      <c r="FX417" s="261"/>
      <c r="FY417" s="261"/>
      <c r="FZ417" s="13"/>
      <c r="GA417" s="261"/>
      <c r="GB417" s="13"/>
      <c r="GV417" s="266"/>
      <c r="GW417" s="266"/>
      <c r="GX417" s="266"/>
      <c r="GY417" s="266"/>
      <c r="GZ417" s="96"/>
      <c r="HA417" s="262"/>
      <c r="HB417" s="276"/>
      <c r="HC417" s="274"/>
      <c r="HD417" s="274"/>
      <c r="HE417" s="274"/>
      <c r="HF417" s="274"/>
      <c r="HG417" s="274"/>
      <c r="HH417" s="274"/>
      <c r="HI417" s="274"/>
      <c r="HJ417" s="274"/>
      <c r="HK417" s="274"/>
      <c r="HL417" s="274"/>
      <c r="HM417" s="274"/>
      <c r="HN417" s="274"/>
      <c r="HO417" s="274"/>
      <c r="HP417" s="274"/>
      <c r="HQ417" s="274"/>
      <c r="HR417" s="275"/>
      <c r="HS417" s="276"/>
      <c r="HT417" s="274"/>
      <c r="HU417" s="274"/>
      <c r="HV417" s="274"/>
      <c r="HW417" s="274"/>
      <c r="HX417" s="274"/>
      <c r="HY417" s="274"/>
      <c r="HZ417" s="212"/>
      <c r="IA417" s="213"/>
      <c r="IB417" s="263"/>
      <c r="IC417" s="263"/>
      <c r="ID417" s="263"/>
      <c r="IE417" s="263"/>
      <c r="IF417" s="263"/>
      <c r="IG417" s="263"/>
      <c r="IH417" s="263"/>
      <c r="II417" s="263"/>
      <c r="IJ417" s="263"/>
      <c r="IK417" s="263"/>
      <c r="IL417" s="263"/>
      <c r="IM417" s="263"/>
      <c r="IN417" s="263"/>
      <c r="IO417" s="263"/>
      <c r="IP417" s="263"/>
      <c r="IQ417" s="263"/>
      <c r="IR417" s="263"/>
      <c r="IS417" s="263"/>
      <c r="IT417" s="263"/>
      <c r="IU417" s="263"/>
      <c r="IV417" s="263"/>
      <c r="IW417" s="263"/>
      <c r="IX417" s="263"/>
      <c r="IY417" s="263"/>
      <c r="IZ417" s="265"/>
      <c r="JA417" s="262"/>
      <c r="JB417" s="98"/>
      <c r="JC417" s="266"/>
      <c r="JD417" s="263"/>
      <c r="JE417" s="263"/>
      <c r="JF417" s="263"/>
      <c r="JG417" s="266"/>
      <c r="JH417" s="266"/>
      <c r="JI417" s="266"/>
      <c r="JJ417" s="266"/>
      <c r="JK417" s="266"/>
      <c r="JL417" s="266"/>
      <c r="JO417" s="266"/>
      <c r="JP417" s="263"/>
      <c r="JQ417" s="261"/>
    </row>
    <row r="418" spans="32:277" ht="18" customHeight="1" x14ac:dyDescent="0.2">
      <c r="DY418" s="12"/>
      <c r="DZ418" s="261"/>
      <c r="EA418" s="12"/>
      <c r="EB418" s="261"/>
      <c r="EC418" s="261"/>
      <c r="ED418" s="261"/>
      <c r="EE418" s="261"/>
      <c r="EF418" s="13"/>
      <c r="EG418" s="261"/>
      <c r="EH418" s="12"/>
      <c r="EI418" s="261"/>
      <c r="EJ418" s="261"/>
      <c r="EK418" s="13"/>
      <c r="EL418" s="261"/>
      <c r="EM418" s="261"/>
      <c r="EN418" s="261"/>
      <c r="EO418" s="261"/>
      <c r="EP418" s="261"/>
      <c r="EQ418" s="261"/>
      <c r="ER418" s="261"/>
      <c r="ES418" s="261"/>
      <c r="ET418" s="261"/>
      <c r="EU418" s="261"/>
      <c r="EV418" s="261"/>
      <c r="EW418" s="261"/>
      <c r="EX418" s="12"/>
      <c r="EY418" s="261"/>
      <c r="EZ418" s="261"/>
      <c r="FA418" s="13"/>
      <c r="FB418" s="261"/>
      <c r="FC418" s="12"/>
      <c r="FD418" s="261"/>
      <c r="FE418" s="261"/>
      <c r="FF418" s="261"/>
      <c r="FG418" s="261"/>
      <c r="FH418" s="261"/>
      <c r="FI418" s="261"/>
      <c r="FJ418" s="261"/>
      <c r="FK418" s="261"/>
      <c r="FL418" s="261"/>
      <c r="FM418" s="261"/>
      <c r="FN418" s="261"/>
      <c r="FO418" s="261"/>
      <c r="FP418" s="261"/>
      <c r="FQ418" s="261"/>
      <c r="FR418" s="261"/>
      <c r="FS418" s="261"/>
      <c r="FT418" s="261"/>
      <c r="FU418" s="261"/>
      <c r="FV418" s="261"/>
      <c r="FW418" s="261"/>
      <c r="FX418" s="261"/>
      <c r="FY418" s="261"/>
      <c r="FZ418" s="13"/>
      <c r="GA418" s="261"/>
      <c r="GB418" s="13"/>
      <c r="GV418" s="266"/>
      <c r="GW418" s="266"/>
      <c r="GX418" s="266"/>
      <c r="GY418" s="266"/>
      <c r="GZ418" s="96"/>
      <c r="HA418" s="262"/>
      <c r="HB418" s="264"/>
      <c r="HC418" s="263"/>
      <c r="HD418" s="263"/>
      <c r="HE418" s="263"/>
      <c r="HF418" s="263"/>
      <c r="HG418" s="263"/>
      <c r="HH418" s="263"/>
      <c r="HI418" s="263"/>
      <c r="HJ418" s="263"/>
      <c r="HK418" s="263"/>
      <c r="HL418" s="263"/>
      <c r="HM418" s="263"/>
      <c r="HN418" s="263"/>
      <c r="HO418" s="263"/>
      <c r="HP418" s="263"/>
      <c r="HQ418" s="265"/>
      <c r="HR418" s="265"/>
      <c r="HS418" s="264"/>
      <c r="HT418" s="263"/>
      <c r="HU418" s="263"/>
      <c r="HV418" s="263"/>
      <c r="HW418" s="263"/>
      <c r="HX418" s="263"/>
      <c r="HY418" s="263"/>
      <c r="HZ418" s="262"/>
      <c r="IA418" s="262"/>
      <c r="IB418" s="263"/>
      <c r="IC418" s="263"/>
      <c r="ID418" s="261"/>
      <c r="IE418" s="261"/>
      <c r="IF418" s="261"/>
      <c r="IG418" s="261"/>
      <c r="IH418" s="261"/>
      <c r="II418" s="261"/>
      <c r="IJ418" s="261"/>
      <c r="IK418" s="261"/>
      <c r="IL418" s="263"/>
      <c r="IM418" s="263"/>
      <c r="IN418" s="263"/>
      <c r="IO418" s="263"/>
      <c r="IP418" s="263"/>
      <c r="IQ418" s="263"/>
      <c r="IR418" s="263"/>
      <c r="IS418" s="263"/>
      <c r="IT418" s="263"/>
      <c r="IU418" s="263"/>
      <c r="IV418" s="263"/>
      <c r="IW418" s="263"/>
      <c r="IX418" s="263"/>
      <c r="IY418" s="263"/>
      <c r="IZ418" s="265"/>
      <c r="JA418" s="262"/>
      <c r="JB418" s="98"/>
      <c r="JC418" s="266"/>
      <c r="JD418" s="263"/>
      <c r="JE418" s="263"/>
      <c r="JF418" s="263"/>
      <c r="JG418" s="266"/>
      <c r="JH418" s="266"/>
      <c r="JI418" s="266"/>
      <c r="JJ418" s="266"/>
      <c r="JK418" s="266"/>
      <c r="JL418" s="266"/>
      <c r="JO418" s="266"/>
      <c r="JP418" s="263"/>
      <c r="JQ418" s="261"/>
    </row>
    <row r="419" spans="32:277" ht="18" customHeight="1" x14ac:dyDescent="0.2">
      <c r="DY419" s="12"/>
      <c r="DZ419" s="261"/>
      <c r="EA419" s="12"/>
      <c r="EB419" s="261"/>
      <c r="EC419" s="261"/>
      <c r="ED419" s="261"/>
      <c r="EE419" s="261"/>
      <c r="EF419" s="13"/>
      <c r="EG419" s="261"/>
      <c r="EH419" s="12"/>
      <c r="EI419" s="261"/>
      <c r="EJ419" s="261"/>
      <c r="EK419" s="13"/>
      <c r="EL419" s="261"/>
      <c r="EM419" s="261"/>
      <c r="EN419" s="261"/>
      <c r="EO419" s="261"/>
      <c r="EP419" s="261"/>
      <c r="EQ419" s="261"/>
      <c r="ER419" s="261"/>
      <c r="ES419" s="261"/>
      <c r="ET419" s="261"/>
      <c r="EU419" s="261"/>
      <c r="EV419" s="261"/>
      <c r="EW419" s="261"/>
      <c r="EX419" s="12"/>
      <c r="EY419" s="261"/>
      <c r="EZ419" s="261"/>
      <c r="FA419" s="13"/>
      <c r="FB419" s="261"/>
      <c r="FC419" s="12"/>
      <c r="FD419" s="261"/>
      <c r="FE419" s="261"/>
      <c r="FF419" s="261"/>
      <c r="FG419" s="261"/>
      <c r="FH419" s="261"/>
      <c r="FI419" s="261"/>
      <c r="FJ419" s="261"/>
      <c r="FK419" s="261"/>
      <c r="FL419" s="261"/>
      <c r="FM419" s="261"/>
      <c r="FN419" s="261"/>
      <c r="FO419" s="261"/>
      <c r="FP419" s="261"/>
      <c r="FQ419" s="261"/>
      <c r="FR419" s="261"/>
      <c r="FS419" s="261"/>
      <c r="FT419" s="261"/>
      <c r="FU419" s="261"/>
      <c r="FV419" s="261"/>
      <c r="FW419" s="261"/>
      <c r="FX419" s="261"/>
      <c r="FY419" s="261"/>
      <c r="FZ419" s="13"/>
      <c r="GA419" s="261"/>
      <c r="GB419" s="13"/>
      <c r="GV419" s="266"/>
      <c r="GW419" s="266"/>
      <c r="GX419" s="266"/>
      <c r="GY419" s="266"/>
      <c r="GZ419" s="264"/>
      <c r="HA419" s="263"/>
      <c r="HB419" s="264"/>
      <c r="HC419" s="263"/>
      <c r="HD419" s="263"/>
      <c r="HE419" s="263"/>
      <c r="HF419" s="263"/>
      <c r="HG419" s="263"/>
      <c r="HH419" s="263"/>
      <c r="HI419" s="263"/>
      <c r="HJ419" s="263"/>
      <c r="HK419" s="263"/>
      <c r="HL419" s="263"/>
      <c r="HM419" s="263"/>
      <c r="HN419" s="263"/>
      <c r="HO419" s="263"/>
      <c r="HP419" s="263"/>
      <c r="HQ419" s="265"/>
      <c r="HR419" s="265"/>
      <c r="HS419" s="264"/>
      <c r="HT419" s="263"/>
      <c r="HU419" s="263"/>
      <c r="HV419" s="263"/>
      <c r="HW419" s="263"/>
      <c r="HX419" s="263"/>
      <c r="HY419" s="263"/>
      <c r="HZ419" s="263"/>
      <c r="IA419" s="263"/>
      <c r="IB419" s="265"/>
      <c r="IC419" s="268"/>
      <c r="ID419" s="269"/>
      <c r="IE419" s="274"/>
      <c r="IF419" s="274"/>
      <c r="IG419" s="274"/>
      <c r="IH419" s="275"/>
      <c r="II419" s="261"/>
      <c r="IJ419" s="263"/>
      <c r="IK419" s="263"/>
      <c r="IL419" s="263"/>
      <c r="IM419" s="263"/>
      <c r="IN419" s="263"/>
      <c r="IO419" s="263"/>
      <c r="IP419" s="263"/>
      <c r="IQ419" s="263"/>
      <c r="IR419" s="263"/>
      <c r="IS419" s="263"/>
      <c r="IT419" s="263"/>
      <c r="IU419" s="263"/>
      <c r="IV419" s="263"/>
      <c r="IW419" s="263"/>
      <c r="IX419" s="263"/>
      <c r="IY419" s="263"/>
      <c r="IZ419" s="265"/>
      <c r="JA419" s="263"/>
      <c r="JB419" s="265"/>
      <c r="JC419" s="266"/>
      <c r="JD419" s="263"/>
      <c r="JE419" s="263"/>
      <c r="JF419" s="263"/>
      <c r="JG419" s="266"/>
      <c r="JH419" s="266"/>
      <c r="JI419" s="266"/>
      <c r="JJ419" s="266"/>
      <c r="JK419" s="266"/>
      <c r="JL419" s="266"/>
      <c r="JO419" s="266"/>
      <c r="JP419" s="263"/>
      <c r="JQ419" s="261"/>
    </row>
    <row r="420" spans="32:277" ht="18" customHeight="1" x14ac:dyDescent="0.2">
      <c r="DY420" s="12"/>
      <c r="DZ420" s="261"/>
      <c r="EA420" s="12"/>
      <c r="EB420" s="261"/>
      <c r="EC420" s="261"/>
      <c r="ED420" s="261"/>
      <c r="EE420" s="261"/>
      <c r="EF420" s="13"/>
      <c r="EG420" s="261"/>
      <c r="EH420" s="12"/>
      <c r="EI420" s="261"/>
      <c r="EJ420" s="261"/>
      <c r="EK420" s="13"/>
      <c r="EL420" s="261"/>
      <c r="EM420" s="261"/>
      <c r="EN420" s="261"/>
      <c r="EO420" s="261"/>
      <c r="EP420" s="261"/>
      <c r="EQ420" s="261"/>
      <c r="ER420" s="261"/>
      <c r="ES420" s="261"/>
      <c r="ET420" s="261"/>
      <c r="EU420" s="261"/>
      <c r="EV420" s="261"/>
      <c r="EW420" s="261"/>
      <c r="EX420" s="12"/>
      <c r="EY420" s="261"/>
      <c r="EZ420" s="261"/>
      <c r="FA420" s="13"/>
      <c r="FB420" s="261"/>
      <c r="FC420" s="12"/>
      <c r="FD420" s="261"/>
      <c r="FE420" s="261"/>
      <c r="FF420" s="261"/>
      <c r="FG420" s="261"/>
      <c r="FH420" s="261"/>
      <c r="FI420" s="261"/>
      <c r="FJ420" s="261"/>
      <c r="FK420" s="261"/>
      <c r="FL420" s="261"/>
      <c r="FM420" s="261"/>
      <c r="FN420" s="261"/>
      <c r="FO420" s="261"/>
      <c r="FP420" s="261"/>
      <c r="FQ420" s="261"/>
      <c r="FR420" s="261"/>
      <c r="FS420" s="261"/>
      <c r="FT420" s="261"/>
      <c r="FU420" s="261"/>
      <c r="FV420" s="261"/>
      <c r="FW420" s="261"/>
      <c r="FX420" s="261"/>
      <c r="FY420" s="261"/>
      <c r="FZ420" s="13"/>
      <c r="GA420" s="261"/>
      <c r="GB420" s="13"/>
      <c r="GV420" s="266"/>
      <c r="GW420" s="266"/>
      <c r="GX420" s="266"/>
      <c r="GY420" s="266"/>
      <c r="GZ420" s="264"/>
      <c r="HA420" s="263"/>
      <c r="HB420" s="264"/>
      <c r="HC420" s="263"/>
      <c r="HD420" s="263"/>
      <c r="HE420" s="263"/>
      <c r="HF420" s="263"/>
      <c r="HG420" s="263"/>
      <c r="HH420" s="263"/>
      <c r="HI420" s="263"/>
      <c r="HJ420" s="263"/>
      <c r="HK420" s="263"/>
      <c r="HL420" s="263"/>
      <c r="HM420" s="263"/>
      <c r="HN420" s="263"/>
      <c r="HO420" s="263"/>
      <c r="HP420" s="263"/>
      <c r="HQ420" s="265"/>
      <c r="HR420" s="265"/>
      <c r="HS420" s="264"/>
      <c r="HT420" s="263"/>
      <c r="HU420" s="263"/>
      <c r="HV420" s="263"/>
      <c r="HW420" s="263"/>
      <c r="HX420" s="263"/>
      <c r="HY420" s="263"/>
      <c r="HZ420" s="263"/>
      <c r="IA420" s="263"/>
      <c r="IB420" s="265"/>
      <c r="IC420" s="264"/>
      <c r="ID420" s="265"/>
      <c r="IE420" s="263"/>
      <c r="IF420" s="263"/>
      <c r="IG420" s="263"/>
      <c r="IH420" s="265"/>
      <c r="II420" s="261"/>
      <c r="IJ420" s="263"/>
      <c r="IK420" s="263"/>
      <c r="IL420" s="263"/>
      <c r="IM420" s="263"/>
      <c r="IN420" s="263"/>
      <c r="IO420" s="263"/>
      <c r="IP420" s="263"/>
      <c r="IQ420" s="263"/>
      <c r="IR420" s="263"/>
      <c r="IS420" s="263"/>
      <c r="IT420" s="263"/>
      <c r="IU420" s="263"/>
      <c r="IV420" s="263"/>
      <c r="IW420" s="263"/>
      <c r="IX420" s="263"/>
      <c r="IY420" s="263"/>
      <c r="IZ420" s="265"/>
      <c r="JA420" s="263"/>
      <c r="JB420" s="265"/>
      <c r="JC420" s="266"/>
      <c r="JD420" s="263"/>
      <c r="JE420" s="263"/>
      <c r="JF420" s="263"/>
      <c r="JG420" s="266"/>
      <c r="JH420" s="266"/>
      <c r="JI420" s="266"/>
      <c r="JJ420" s="266"/>
      <c r="JK420" s="266"/>
      <c r="JL420" s="266"/>
      <c r="JO420" s="266"/>
      <c r="JP420" s="263"/>
      <c r="JQ420" s="261"/>
    </row>
    <row r="421" spans="32:277" ht="18" customHeight="1" x14ac:dyDescent="0.2">
      <c r="DY421" s="12"/>
      <c r="DZ421" s="261"/>
      <c r="EA421" s="14"/>
      <c r="EB421" s="15"/>
      <c r="EC421" s="15"/>
      <c r="ED421" s="15"/>
      <c r="EE421" s="15"/>
      <c r="EF421" s="16"/>
      <c r="EG421" s="261"/>
      <c r="EH421" s="12"/>
      <c r="EI421" s="261"/>
      <c r="EJ421" s="261"/>
      <c r="EK421" s="13"/>
      <c r="EL421" s="261"/>
      <c r="EM421" s="261"/>
      <c r="EN421" s="261"/>
      <c r="EO421" s="261"/>
      <c r="EP421" s="261"/>
      <c r="EQ421" s="261"/>
      <c r="ER421" s="261"/>
      <c r="ES421" s="261"/>
      <c r="ET421" s="261"/>
      <c r="EU421" s="261"/>
      <c r="EV421" s="261"/>
      <c r="EW421" s="261"/>
      <c r="EX421" s="12"/>
      <c r="EY421" s="261"/>
      <c r="EZ421" s="261"/>
      <c r="FA421" s="13"/>
      <c r="FB421" s="261"/>
      <c r="FC421" s="12"/>
      <c r="FD421" s="261"/>
      <c r="FE421" s="261"/>
      <c r="FF421" s="261"/>
      <c r="FG421" s="261"/>
      <c r="FH421" s="261"/>
      <c r="FI421" s="261"/>
      <c r="FJ421" s="261"/>
      <c r="FK421" s="261"/>
      <c r="FL421" s="261"/>
      <c r="FM421" s="261"/>
      <c r="FN421" s="261"/>
      <c r="FO421" s="261"/>
      <c r="FP421" s="261"/>
      <c r="FQ421" s="261"/>
      <c r="FR421" s="261"/>
      <c r="FS421" s="261"/>
      <c r="FT421" s="261"/>
      <c r="FU421" s="261"/>
      <c r="FV421" s="261"/>
      <c r="FW421" s="261"/>
      <c r="FX421" s="261"/>
      <c r="FY421" s="261"/>
      <c r="FZ421" s="13"/>
      <c r="GA421" s="261"/>
      <c r="GB421" s="13"/>
      <c r="GV421" s="266"/>
      <c r="GW421" s="266"/>
      <c r="GX421" s="266"/>
      <c r="GY421" s="266"/>
      <c r="GZ421" s="264"/>
      <c r="HA421" s="263"/>
      <c r="HB421" s="264"/>
      <c r="HC421" s="263"/>
      <c r="HD421" s="263"/>
      <c r="HE421" s="263"/>
      <c r="HF421" s="263"/>
      <c r="HG421" s="263"/>
      <c r="HH421" s="263"/>
      <c r="HI421" s="263"/>
      <c r="HJ421" s="263"/>
      <c r="HK421" s="263"/>
      <c r="HL421" s="263"/>
      <c r="HM421" s="263"/>
      <c r="HN421" s="263"/>
      <c r="HO421" s="263"/>
      <c r="HP421" s="263"/>
      <c r="HQ421" s="265"/>
      <c r="HR421" s="265"/>
      <c r="HS421" s="264"/>
      <c r="HT421" s="263"/>
      <c r="HU421" s="263"/>
      <c r="HV421" s="263"/>
      <c r="HW421" s="263"/>
      <c r="HX421" s="263"/>
      <c r="HY421" s="263"/>
      <c r="HZ421" s="263"/>
      <c r="IA421" s="263"/>
      <c r="IB421" s="265"/>
      <c r="IC421" s="264"/>
      <c r="ID421" s="265"/>
      <c r="IE421" s="263"/>
      <c r="IF421" s="263"/>
      <c r="IG421" s="263"/>
      <c r="IH421" s="265"/>
      <c r="II421" s="261"/>
      <c r="IJ421" s="263"/>
      <c r="IK421" s="263"/>
      <c r="IL421" s="263"/>
      <c r="IM421" s="263"/>
      <c r="IN421" s="263"/>
      <c r="IO421" s="263"/>
      <c r="IP421" s="263"/>
      <c r="IQ421" s="263"/>
      <c r="IR421" s="263"/>
      <c r="IS421" s="263"/>
      <c r="IT421" s="263"/>
      <c r="IU421" s="263"/>
      <c r="IV421" s="263"/>
      <c r="IW421" s="263"/>
      <c r="IX421" s="263"/>
      <c r="IY421" s="263"/>
      <c r="IZ421" s="265"/>
      <c r="JA421" s="263"/>
      <c r="JB421" s="265"/>
      <c r="JC421" s="266"/>
      <c r="JD421" s="263"/>
      <c r="JE421" s="263"/>
      <c r="JF421" s="263"/>
      <c r="JG421" s="266"/>
      <c r="JH421" s="266"/>
      <c r="JI421" s="266"/>
      <c r="JJ421" s="266"/>
      <c r="JK421" s="266"/>
      <c r="JL421" s="266"/>
      <c r="JO421" s="266"/>
      <c r="JP421" s="263"/>
      <c r="JQ421" s="261"/>
    </row>
    <row r="422" spans="32:277" ht="18" customHeight="1" x14ac:dyDescent="0.2">
      <c r="DY422" s="12"/>
      <c r="DZ422" s="261"/>
      <c r="EA422" s="12"/>
      <c r="EB422" s="261"/>
      <c r="EC422" s="261"/>
      <c r="ED422" s="261"/>
      <c r="EE422" s="261"/>
      <c r="EF422" s="261"/>
      <c r="EG422" s="261"/>
      <c r="EH422" s="12"/>
      <c r="EI422" s="261"/>
      <c r="EJ422" s="261"/>
      <c r="EK422" s="13"/>
      <c r="EL422" s="261"/>
      <c r="EM422" s="261"/>
      <c r="EN422" s="261"/>
      <c r="EO422" s="261"/>
      <c r="EP422" s="261"/>
      <c r="EQ422" s="261"/>
      <c r="ER422" s="261"/>
      <c r="ES422" s="261"/>
      <c r="ET422" s="261"/>
      <c r="EU422" s="261"/>
      <c r="EV422" s="261"/>
      <c r="EW422" s="261"/>
      <c r="EX422" s="12"/>
      <c r="EY422" s="261"/>
      <c r="EZ422" s="261"/>
      <c r="FA422" s="13"/>
      <c r="FB422" s="261"/>
      <c r="FC422" s="12"/>
      <c r="FD422" s="261"/>
      <c r="FE422" s="261"/>
      <c r="FF422" s="261"/>
      <c r="FG422" s="261"/>
      <c r="FH422" s="261"/>
      <c r="FI422" s="261"/>
      <c r="FJ422" s="261"/>
      <c r="FK422" s="261"/>
      <c r="FL422" s="261"/>
      <c r="FM422" s="261"/>
      <c r="FN422" s="261"/>
      <c r="FO422" s="261"/>
      <c r="FP422" s="261"/>
      <c r="FQ422" s="261"/>
      <c r="FR422" s="261"/>
      <c r="FS422" s="261"/>
      <c r="FT422" s="261"/>
      <c r="FU422" s="261"/>
      <c r="FV422" s="261"/>
      <c r="FW422" s="261"/>
      <c r="FX422" s="261"/>
      <c r="FY422" s="261"/>
      <c r="FZ422" s="13"/>
      <c r="GA422" s="261"/>
      <c r="GB422" s="13"/>
      <c r="GV422" s="266"/>
      <c r="GW422" s="266"/>
      <c r="GX422" s="266"/>
      <c r="GY422" s="266"/>
      <c r="GZ422" s="264"/>
      <c r="HA422" s="263"/>
      <c r="HB422" s="264"/>
      <c r="HC422" s="263"/>
      <c r="HD422" s="263"/>
      <c r="HE422" s="263"/>
      <c r="HF422" s="263"/>
      <c r="HG422" s="263"/>
      <c r="HH422" s="263"/>
      <c r="HI422" s="263"/>
      <c r="HJ422" s="263"/>
      <c r="HK422" s="263"/>
      <c r="HL422" s="263"/>
      <c r="HM422" s="263"/>
      <c r="HN422" s="263"/>
      <c r="HO422" s="263"/>
      <c r="HP422" s="263"/>
      <c r="HQ422" s="265"/>
      <c r="HR422" s="265"/>
      <c r="HS422" s="264"/>
      <c r="HT422" s="263"/>
      <c r="HU422" s="263"/>
      <c r="HV422" s="263"/>
      <c r="HW422" s="263"/>
      <c r="HX422" s="263"/>
      <c r="HY422" s="263"/>
      <c r="HZ422" s="263"/>
      <c r="IA422" s="263"/>
      <c r="IB422" s="265"/>
      <c r="IC422" s="264"/>
      <c r="ID422" s="265"/>
      <c r="IE422" s="263"/>
      <c r="IF422" s="263"/>
      <c r="IG422" s="263"/>
      <c r="IH422" s="265"/>
      <c r="II422" s="261"/>
      <c r="IJ422" s="263"/>
      <c r="IK422" s="263"/>
      <c r="IL422" s="263"/>
      <c r="IM422" s="263"/>
      <c r="IN422" s="263"/>
      <c r="IO422" s="263"/>
      <c r="IP422" s="263"/>
      <c r="IQ422" s="263"/>
      <c r="IR422" s="263"/>
      <c r="IS422" s="263"/>
      <c r="IT422" s="263"/>
      <c r="IU422" s="263"/>
      <c r="IV422" s="268"/>
      <c r="IW422" s="269"/>
      <c r="IX422" s="270"/>
      <c r="IY422" s="263"/>
      <c r="IZ422" s="265"/>
      <c r="JA422" s="263"/>
      <c r="JB422" s="265"/>
      <c r="JC422" s="266"/>
      <c r="JD422" s="263"/>
      <c r="JE422" s="263"/>
      <c r="JF422" s="263"/>
      <c r="JG422" s="266"/>
      <c r="JH422" s="266"/>
      <c r="JI422" s="266"/>
      <c r="JJ422" s="266"/>
      <c r="JK422" s="266"/>
      <c r="JL422" s="266"/>
      <c r="JO422" s="266"/>
      <c r="JP422" s="263"/>
      <c r="JQ422" s="261"/>
    </row>
    <row r="423" spans="32:277" ht="18" customHeight="1" x14ac:dyDescent="0.2">
      <c r="AF423" s="9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1"/>
      <c r="DY423" s="12"/>
      <c r="DZ423" s="261"/>
      <c r="EA423" s="9"/>
      <c r="EB423" s="10"/>
      <c r="EC423" s="10"/>
      <c r="ED423" s="10"/>
      <c r="EE423" s="10"/>
      <c r="EF423" s="11"/>
      <c r="EG423" s="261"/>
      <c r="EH423" s="12"/>
      <c r="EI423" s="261"/>
      <c r="EJ423" s="261"/>
      <c r="EK423" s="13"/>
      <c r="EL423" s="261"/>
      <c r="EM423" s="261"/>
      <c r="EN423" s="261"/>
      <c r="EO423" s="261"/>
      <c r="EP423" s="261"/>
      <c r="EQ423" s="261"/>
      <c r="ER423" s="261"/>
      <c r="ES423" s="261"/>
      <c r="ET423" s="261"/>
      <c r="EU423" s="261"/>
      <c r="EV423" s="261"/>
      <c r="EW423" s="261"/>
      <c r="EX423" s="12"/>
      <c r="EY423" s="261"/>
      <c r="EZ423" s="261"/>
      <c r="FA423" s="13"/>
      <c r="FB423" s="261"/>
      <c r="FC423" s="12"/>
      <c r="FD423" s="261"/>
      <c r="FE423" s="261"/>
      <c r="FF423" s="261"/>
      <c r="FG423" s="261"/>
      <c r="FH423" s="261"/>
      <c r="FI423" s="261"/>
      <c r="FJ423" s="261"/>
      <c r="FK423" s="261"/>
      <c r="FL423" s="261"/>
      <c r="FM423" s="261"/>
      <c r="FN423" s="261"/>
      <c r="FO423" s="261"/>
      <c r="FP423" s="261"/>
      <c r="FQ423" s="261"/>
      <c r="FR423" s="261"/>
      <c r="FS423" s="261"/>
      <c r="FT423" s="261"/>
      <c r="FU423" s="261"/>
      <c r="FV423" s="261"/>
      <c r="FW423" s="261"/>
      <c r="FX423" s="261"/>
      <c r="FY423" s="261"/>
      <c r="FZ423" s="13"/>
      <c r="GA423" s="261"/>
      <c r="GB423" s="13"/>
      <c r="GV423" s="266"/>
      <c r="GW423" s="266"/>
      <c r="GX423" s="266"/>
      <c r="GY423" s="266"/>
      <c r="GZ423" s="264"/>
      <c r="HA423" s="263"/>
      <c r="HB423" s="264"/>
      <c r="HC423" s="263"/>
      <c r="HD423" s="263"/>
      <c r="HE423" s="263"/>
      <c r="HF423" s="263"/>
      <c r="HG423" s="263"/>
      <c r="HH423" s="263"/>
      <c r="HI423" s="263"/>
      <c r="HJ423" s="263"/>
      <c r="HK423" s="263"/>
      <c r="HL423" s="263"/>
      <c r="HM423" s="263"/>
      <c r="HN423" s="263"/>
      <c r="HO423" s="263"/>
      <c r="HP423" s="263"/>
      <c r="HQ423" s="265"/>
      <c r="HR423" s="265"/>
      <c r="HS423" s="264"/>
      <c r="HT423" s="263"/>
      <c r="HU423" s="263"/>
      <c r="HV423" s="263"/>
      <c r="HW423" s="263"/>
      <c r="HX423" s="263"/>
      <c r="HY423" s="263"/>
      <c r="HZ423" s="263"/>
      <c r="IA423" s="263"/>
      <c r="IB423" s="265"/>
      <c r="IC423" s="264"/>
      <c r="ID423" s="265"/>
      <c r="IE423" s="263"/>
      <c r="IF423" s="263"/>
      <c r="IG423" s="263"/>
      <c r="IH423" s="265"/>
      <c r="II423" s="261"/>
      <c r="IJ423" s="263"/>
      <c r="IK423" s="263"/>
      <c r="IL423" s="263"/>
      <c r="IM423" s="263"/>
      <c r="IN423" s="263"/>
      <c r="IO423" s="263"/>
      <c r="IP423" s="263"/>
      <c r="IQ423" s="263"/>
      <c r="IR423" s="263"/>
      <c r="IS423" s="263"/>
      <c r="IT423" s="263"/>
      <c r="IU423" s="263"/>
      <c r="IV423" s="264"/>
      <c r="IW423" s="263"/>
      <c r="IX423" s="281"/>
      <c r="IY423" s="263"/>
      <c r="IZ423" s="265"/>
      <c r="JA423" s="263"/>
      <c r="JB423" s="265"/>
      <c r="JC423" s="266"/>
      <c r="JD423" s="263"/>
      <c r="JE423" s="263"/>
      <c r="JF423" s="263"/>
      <c r="JG423" s="266"/>
      <c r="JH423" s="266"/>
      <c r="JI423" s="266"/>
      <c r="JJ423" s="266"/>
      <c r="JK423" s="266"/>
      <c r="JL423" s="266"/>
      <c r="JO423" s="266"/>
      <c r="JP423" s="263"/>
      <c r="JQ423" s="261"/>
    </row>
    <row r="424" spans="32:277" ht="18" customHeight="1" x14ac:dyDescent="0.2">
      <c r="AF424" s="12"/>
      <c r="AG424" s="9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1"/>
      <c r="BG424" s="13"/>
      <c r="DY424" s="12"/>
      <c r="DZ424" s="261"/>
      <c r="EA424" s="12"/>
      <c r="EB424" s="261"/>
      <c r="EC424" s="261"/>
      <c r="ED424" s="261"/>
      <c r="EE424" s="261"/>
      <c r="EF424" s="13"/>
      <c r="EG424" s="261"/>
      <c r="EH424" s="12"/>
      <c r="EI424" s="261"/>
      <c r="EJ424" s="261"/>
      <c r="EK424" s="13"/>
      <c r="EL424" s="261"/>
      <c r="EM424" s="261"/>
      <c r="EN424" s="261"/>
      <c r="EO424" s="261"/>
      <c r="EP424" s="261"/>
      <c r="EQ424" s="261"/>
      <c r="ER424" s="261"/>
      <c r="ES424" s="261"/>
      <c r="ET424" s="261"/>
      <c r="EU424" s="261"/>
      <c r="EV424" s="261"/>
      <c r="EW424" s="261"/>
      <c r="EX424" s="12"/>
      <c r="EY424" s="261"/>
      <c r="EZ424" s="261"/>
      <c r="FA424" s="13"/>
      <c r="FB424" s="261"/>
      <c r="FC424" s="12"/>
      <c r="FD424" s="261"/>
      <c r="FE424" s="261"/>
      <c r="FF424" s="261"/>
      <c r="FG424" s="261"/>
      <c r="FH424" s="261"/>
      <c r="FI424" s="261"/>
      <c r="FJ424" s="261"/>
      <c r="FK424" s="261"/>
      <c r="FL424" s="261"/>
      <c r="FM424" s="261"/>
      <c r="FN424" s="261"/>
      <c r="FO424" s="261"/>
      <c r="FP424" s="261"/>
      <c r="FQ424" s="261"/>
      <c r="FR424" s="261"/>
      <c r="FS424" s="261"/>
      <c r="FT424" s="261"/>
      <c r="FU424" s="261"/>
      <c r="FV424" s="261"/>
      <c r="FW424" s="261"/>
      <c r="FX424" s="261"/>
      <c r="FY424" s="261"/>
      <c r="FZ424" s="13"/>
      <c r="GA424" s="261"/>
      <c r="GB424" s="13"/>
      <c r="GV424" s="266"/>
      <c r="GW424" s="266"/>
      <c r="GX424" s="266"/>
      <c r="GY424" s="266"/>
      <c r="GZ424" s="264"/>
      <c r="HA424" s="263"/>
      <c r="HB424" s="264"/>
      <c r="HC424" s="263"/>
      <c r="HD424" s="263"/>
      <c r="HE424" s="263"/>
      <c r="HF424" s="263"/>
      <c r="HG424" s="263"/>
      <c r="HH424" s="263"/>
      <c r="HI424" s="263"/>
      <c r="HJ424" s="263"/>
      <c r="HK424" s="263"/>
      <c r="HL424" s="263"/>
      <c r="HM424" s="263"/>
      <c r="HN424" s="263"/>
      <c r="HO424" s="263"/>
      <c r="HP424" s="263"/>
      <c r="HQ424" s="265"/>
      <c r="HR424" s="265"/>
      <c r="HS424" s="264"/>
      <c r="HT424" s="263"/>
      <c r="HU424" s="263"/>
      <c r="HV424" s="263"/>
      <c r="HW424" s="263"/>
      <c r="HX424" s="263"/>
      <c r="HY424" s="263"/>
      <c r="HZ424" s="263"/>
      <c r="IA424" s="263"/>
      <c r="IB424" s="265"/>
      <c r="IC424" s="264"/>
      <c r="ID424" s="265"/>
      <c r="IE424" s="268"/>
      <c r="IF424" s="269"/>
      <c r="IG424" s="269"/>
      <c r="IH424" s="270"/>
      <c r="II424" s="261"/>
      <c r="IJ424" s="263"/>
      <c r="IK424" s="263"/>
      <c r="IL424" s="263"/>
      <c r="IM424" s="263"/>
      <c r="IN424" s="263"/>
      <c r="IO424" s="263"/>
      <c r="IP424" s="263"/>
      <c r="IQ424" s="263"/>
      <c r="IR424" s="263"/>
      <c r="IS424" s="263"/>
      <c r="IT424" s="263"/>
      <c r="IU424" s="263"/>
      <c r="IV424" s="264"/>
      <c r="IW424" s="263"/>
      <c r="IX424" s="281"/>
      <c r="IY424" s="263"/>
      <c r="IZ424" s="265"/>
      <c r="JA424" s="263"/>
      <c r="JB424" s="265"/>
      <c r="JC424" s="266"/>
      <c r="JD424" s="263"/>
      <c r="JE424" s="263"/>
      <c r="JF424" s="263"/>
      <c r="JG424" s="266"/>
      <c r="JH424" s="266"/>
      <c r="JI424" s="266"/>
      <c r="JJ424" s="266"/>
      <c r="JK424" s="266"/>
      <c r="JL424" s="266"/>
      <c r="JO424" s="266"/>
      <c r="JP424" s="263"/>
      <c r="JQ424" s="261"/>
    </row>
    <row r="425" spans="32:277" ht="18" customHeight="1" x14ac:dyDescent="0.2">
      <c r="AF425" s="12"/>
      <c r="AG425" s="12"/>
      <c r="BF425" s="13"/>
      <c r="BG425" s="13"/>
      <c r="DY425" s="12"/>
      <c r="DZ425" s="261"/>
      <c r="EA425" s="12"/>
      <c r="EB425" s="261"/>
      <c r="EC425" s="261"/>
      <c r="ED425" s="261"/>
      <c r="EE425" s="261"/>
      <c r="EF425" s="13"/>
      <c r="EG425" s="261"/>
      <c r="EH425" s="12"/>
      <c r="EI425" s="261"/>
      <c r="EJ425" s="261"/>
      <c r="EK425" s="13"/>
      <c r="EL425" s="261"/>
      <c r="EM425" s="261"/>
      <c r="EN425" s="261"/>
      <c r="EO425" s="261"/>
      <c r="EP425" s="261"/>
      <c r="EQ425" s="261"/>
      <c r="ER425" s="261"/>
      <c r="ES425" s="261"/>
      <c r="ET425" s="261"/>
      <c r="EU425" s="261"/>
      <c r="EV425" s="261"/>
      <c r="EW425" s="261"/>
      <c r="EX425" s="12"/>
      <c r="EY425" s="261"/>
      <c r="EZ425" s="261"/>
      <c r="FA425" s="13"/>
      <c r="FB425" s="261"/>
      <c r="FC425" s="12"/>
      <c r="FD425" s="261"/>
      <c r="FE425" s="261"/>
      <c r="FF425" s="261"/>
      <c r="FG425" s="261"/>
      <c r="FH425" s="261"/>
      <c r="FI425" s="261"/>
      <c r="FJ425" s="261"/>
      <c r="FK425" s="261"/>
      <c r="FL425" s="261"/>
      <c r="FM425" s="261"/>
      <c r="FN425" s="261"/>
      <c r="FO425" s="261"/>
      <c r="FP425" s="261"/>
      <c r="FQ425" s="261"/>
      <c r="FR425" s="261"/>
      <c r="FS425" s="261"/>
      <c r="FT425" s="261"/>
      <c r="FU425" s="261"/>
      <c r="FV425" s="261"/>
      <c r="FW425" s="261"/>
      <c r="FX425" s="261"/>
      <c r="FY425" s="261"/>
      <c r="FZ425" s="13"/>
      <c r="GA425" s="261"/>
      <c r="GB425" s="13"/>
      <c r="GV425" s="266"/>
      <c r="GW425" s="266"/>
      <c r="GX425" s="266"/>
      <c r="GY425" s="266"/>
      <c r="GZ425" s="264"/>
      <c r="HA425" s="263"/>
      <c r="HB425" s="264"/>
      <c r="HC425" s="263"/>
      <c r="HD425" s="263"/>
      <c r="HE425" s="263"/>
      <c r="HF425" s="263"/>
      <c r="HG425" s="263"/>
      <c r="HH425" s="263"/>
      <c r="HI425" s="263"/>
      <c r="HJ425" s="263"/>
      <c r="HK425" s="263"/>
      <c r="HL425" s="263"/>
      <c r="HM425" s="263"/>
      <c r="HN425" s="263"/>
      <c r="HO425" s="263"/>
      <c r="HP425" s="263"/>
      <c r="HQ425" s="265"/>
      <c r="HR425" s="265"/>
      <c r="HS425" s="264"/>
      <c r="HT425" s="263"/>
      <c r="HU425" s="263"/>
      <c r="HV425" s="263"/>
      <c r="HW425" s="263"/>
      <c r="HX425" s="263"/>
      <c r="HY425" s="263"/>
      <c r="HZ425" s="263"/>
      <c r="IA425" s="263"/>
      <c r="IB425" s="265"/>
      <c r="IC425" s="264"/>
      <c r="ID425" s="265"/>
      <c r="IE425" s="264"/>
      <c r="IF425" s="263"/>
      <c r="IG425" s="263"/>
      <c r="IH425" s="265"/>
      <c r="II425" s="261"/>
      <c r="IJ425" s="263"/>
      <c r="IK425" s="263"/>
      <c r="IL425" s="263"/>
      <c r="IM425" s="263"/>
      <c r="IN425" s="263"/>
      <c r="IO425" s="263"/>
      <c r="IP425" s="263"/>
      <c r="IQ425" s="263"/>
      <c r="IR425" s="263"/>
      <c r="IS425" s="263"/>
      <c r="IT425" s="263"/>
      <c r="IU425" s="263"/>
      <c r="IV425" s="264"/>
      <c r="IW425" s="263"/>
      <c r="IX425" s="281"/>
      <c r="IY425" s="263"/>
      <c r="IZ425" s="265"/>
      <c r="JA425" s="263"/>
      <c r="JB425" s="265"/>
      <c r="JC425" s="266"/>
      <c r="JD425" s="263"/>
      <c r="JE425" s="263"/>
      <c r="JF425" s="263"/>
      <c r="JG425" s="266"/>
      <c r="JH425" s="266"/>
      <c r="JI425" s="266"/>
      <c r="JJ425" s="266"/>
      <c r="JK425" s="266"/>
      <c r="JL425" s="266"/>
      <c r="JO425" s="266"/>
      <c r="JP425" s="263"/>
      <c r="JQ425" s="261"/>
    </row>
    <row r="426" spans="32:277" ht="18" customHeight="1" x14ac:dyDescent="0.2">
      <c r="AF426" s="12"/>
      <c r="AG426" s="12"/>
      <c r="BF426" s="13"/>
      <c r="BG426" s="13"/>
      <c r="DY426" s="12"/>
      <c r="DZ426" s="261"/>
      <c r="EA426" s="12"/>
      <c r="EB426" s="261"/>
      <c r="EC426" s="261"/>
      <c r="ED426" s="261"/>
      <c r="EE426" s="261"/>
      <c r="EF426" s="13"/>
      <c r="EG426" s="261"/>
      <c r="EH426" s="12"/>
      <c r="EI426" s="261"/>
      <c r="EJ426" s="261"/>
      <c r="EK426" s="13"/>
      <c r="EL426" s="261"/>
      <c r="EM426" s="261"/>
      <c r="EN426" s="261"/>
      <c r="EO426" s="261"/>
      <c r="EP426" s="261"/>
      <c r="EQ426" s="261"/>
      <c r="ER426" s="261"/>
      <c r="ES426" s="261"/>
      <c r="ET426" s="261"/>
      <c r="EU426" s="261"/>
      <c r="EV426" s="261"/>
      <c r="EW426" s="261"/>
      <c r="EX426" s="14"/>
      <c r="EY426" s="15"/>
      <c r="EZ426" s="15"/>
      <c r="FA426" s="16"/>
      <c r="FB426" s="261"/>
      <c r="FC426" s="12"/>
      <c r="FD426" s="261"/>
      <c r="FE426" s="261"/>
      <c r="FF426" s="261"/>
      <c r="FG426" s="261"/>
      <c r="FH426" s="261"/>
      <c r="FI426" s="261"/>
      <c r="FJ426" s="261"/>
      <c r="FK426" s="261"/>
      <c r="FL426" s="261"/>
      <c r="FM426" s="261"/>
      <c r="FN426" s="261"/>
      <c r="FO426" s="261"/>
      <c r="FP426" s="261"/>
      <c r="FQ426" s="261"/>
      <c r="FR426" s="261"/>
      <c r="FS426" s="261"/>
      <c r="FT426" s="261"/>
      <c r="FU426" s="261"/>
      <c r="FV426" s="261"/>
      <c r="FW426" s="261"/>
      <c r="FX426" s="261"/>
      <c r="FY426" s="261"/>
      <c r="FZ426" s="13"/>
      <c r="GA426" s="261"/>
      <c r="GB426" s="13"/>
      <c r="GV426" s="266"/>
      <c r="GW426" s="266"/>
      <c r="GX426" s="266"/>
      <c r="GY426" s="266"/>
      <c r="GZ426" s="264"/>
      <c r="HA426" s="263"/>
      <c r="HB426" s="271"/>
      <c r="HC426" s="267"/>
      <c r="HD426" s="267"/>
      <c r="HE426" s="267"/>
      <c r="HF426" s="267"/>
      <c r="HG426" s="267"/>
      <c r="HH426" s="267"/>
      <c r="HI426" s="267"/>
      <c r="HJ426" s="267"/>
      <c r="HK426" s="267"/>
      <c r="HL426" s="267"/>
      <c r="HM426" s="267"/>
      <c r="HN426" s="267"/>
      <c r="HO426" s="267"/>
      <c r="HP426" s="267"/>
      <c r="HQ426" s="272"/>
      <c r="HR426" s="265"/>
      <c r="HS426" s="264"/>
      <c r="HT426" s="263"/>
      <c r="HU426" s="263"/>
      <c r="HV426" s="263"/>
      <c r="HW426" s="263"/>
      <c r="HX426" s="263"/>
      <c r="HY426" s="263"/>
      <c r="HZ426" s="263"/>
      <c r="IA426" s="263"/>
      <c r="IB426" s="265"/>
      <c r="IC426" s="264"/>
      <c r="ID426" s="265"/>
      <c r="IE426" s="264"/>
      <c r="IF426" s="263"/>
      <c r="IG426" s="263"/>
      <c r="IH426" s="265"/>
      <c r="II426" s="261"/>
      <c r="IJ426" s="263"/>
      <c r="IK426" s="263"/>
      <c r="IL426" s="263"/>
      <c r="IM426" s="263"/>
      <c r="IN426" s="263"/>
      <c r="IO426" s="263"/>
      <c r="IP426" s="263"/>
      <c r="IQ426" s="263"/>
      <c r="IR426" s="263"/>
      <c r="IS426" s="263"/>
      <c r="IT426" s="263"/>
      <c r="IU426" s="263"/>
      <c r="IV426" s="264"/>
      <c r="IW426" s="263"/>
      <c r="IX426" s="281"/>
      <c r="IY426" s="263"/>
      <c r="IZ426" s="265"/>
      <c r="JA426" s="263"/>
      <c r="JB426" s="265"/>
      <c r="JC426" s="266"/>
      <c r="JD426" s="263"/>
      <c r="JE426" s="263"/>
      <c r="JF426" s="263"/>
      <c r="JG426" s="266"/>
      <c r="JH426" s="266"/>
      <c r="JI426" s="266"/>
      <c r="JJ426" s="266"/>
      <c r="JK426" s="266"/>
      <c r="JL426" s="266"/>
      <c r="JO426" s="266"/>
      <c r="JP426" s="263"/>
      <c r="JQ426" s="261"/>
    </row>
    <row r="427" spans="32:277" ht="18" customHeight="1" x14ac:dyDescent="0.2">
      <c r="AF427" s="12"/>
      <c r="AG427" s="12"/>
      <c r="BF427" s="13"/>
      <c r="BG427" s="13"/>
      <c r="DY427" s="12"/>
      <c r="DZ427" s="261"/>
      <c r="EA427" s="12"/>
      <c r="EB427" s="261"/>
      <c r="EC427" s="261"/>
      <c r="ED427" s="261"/>
      <c r="EE427" s="261"/>
      <c r="EF427" s="13"/>
      <c r="EG427" s="261"/>
      <c r="EH427" s="12"/>
      <c r="EI427" s="261"/>
      <c r="EJ427" s="261"/>
      <c r="EK427" s="13"/>
      <c r="EL427" s="261"/>
      <c r="EM427" s="261"/>
      <c r="EN427" s="261"/>
      <c r="EO427" s="261"/>
      <c r="EP427" s="261"/>
      <c r="EQ427" s="261"/>
      <c r="ER427" s="261"/>
      <c r="ES427" s="261"/>
      <c r="ET427" s="261"/>
      <c r="EU427" s="261"/>
      <c r="EV427" s="261"/>
      <c r="EW427" s="261"/>
      <c r="EX427" s="14"/>
      <c r="EY427" s="15"/>
      <c r="EZ427" s="15"/>
      <c r="FA427" s="16"/>
      <c r="FB427" s="261"/>
      <c r="FC427" s="12"/>
      <c r="FD427" s="261"/>
      <c r="FE427" s="261"/>
      <c r="FF427" s="261"/>
      <c r="FG427" s="261"/>
      <c r="FH427" s="261"/>
      <c r="FI427" s="261"/>
      <c r="FJ427" s="261"/>
      <c r="FK427" s="261"/>
      <c r="FL427" s="261"/>
      <c r="FM427" s="261"/>
      <c r="FN427" s="261"/>
      <c r="FO427" s="261"/>
      <c r="FP427" s="261"/>
      <c r="FQ427" s="261"/>
      <c r="FR427" s="261"/>
      <c r="FS427" s="261"/>
      <c r="FT427" s="261"/>
      <c r="FU427" s="261"/>
      <c r="FV427" s="261"/>
      <c r="FW427" s="261"/>
      <c r="FX427" s="261"/>
      <c r="FY427" s="261"/>
      <c r="FZ427" s="13"/>
      <c r="GA427" s="261"/>
      <c r="GB427" s="13"/>
      <c r="GV427" s="266"/>
      <c r="GW427" s="266"/>
      <c r="GX427" s="266"/>
      <c r="GY427" s="266"/>
      <c r="GZ427" s="264"/>
      <c r="HA427" s="263"/>
      <c r="HB427" s="276"/>
      <c r="HC427" s="274"/>
      <c r="HD427" s="274"/>
      <c r="HE427" s="274"/>
      <c r="HF427" s="274"/>
      <c r="HG427" s="274"/>
      <c r="HH427" s="274"/>
      <c r="HI427" s="274"/>
      <c r="HJ427" s="274"/>
      <c r="HK427" s="274"/>
      <c r="HL427" s="274"/>
      <c r="HM427" s="274"/>
      <c r="HN427" s="274"/>
      <c r="HO427" s="274"/>
      <c r="HP427" s="274"/>
      <c r="HQ427" s="267"/>
      <c r="HR427" s="272"/>
      <c r="HS427" s="264"/>
      <c r="HT427" s="263"/>
      <c r="HU427" s="263"/>
      <c r="HV427" s="263"/>
      <c r="HW427" s="263"/>
      <c r="HX427" s="263"/>
      <c r="HY427" s="263"/>
      <c r="HZ427" s="263"/>
      <c r="IA427" s="263"/>
      <c r="IB427" s="265"/>
      <c r="IC427" s="264"/>
      <c r="ID427" s="265"/>
      <c r="IE427" s="271"/>
      <c r="IF427" s="267"/>
      <c r="IG427" s="267"/>
      <c r="IH427" s="272"/>
      <c r="II427" s="261"/>
      <c r="IJ427" s="263"/>
      <c r="IK427" s="263"/>
      <c r="IL427" s="263"/>
      <c r="IM427" s="263"/>
      <c r="IN427" s="263"/>
      <c r="IO427" s="263"/>
      <c r="IP427" s="263"/>
      <c r="IQ427" s="263"/>
      <c r="IR427" s="263"/>
      <c r="IS427" s="263"/>
      <c r="IT427" s="263"/>
      <c r="IU427" s="263"/>
      <c r="IV427" s="264"/>
      <c r="IW427" s="263"/>
      <c r="IX427" s="281"/>
      <c r="IY427" s="263"/>
      <c r="IZ427" s="265"/>
      <c r="JA427" s="263"/>
      <c r="JB427" s="265"/>
      <c r="JC427" s="266"/>
      <c r="JD427" s="263"/>
      <c r="JE427" s="263"/>
      <c r="JF427" s="263"/>
      <c r="JG427" s="266"/>
      <c r="JH427" s="266"/>
      <c r="JI427" s="266"/>
      <c r="JJ427" s="266"/>
      <c r="JK427" s="266"/>
      <c r="JL427" s="266"/>
      <c r="JO427" s="266"/>
      <c r="JP427" s="263"/>
      <c r="JQ427" s="261"/>
    </row>
    <row r="428" spans="32:277" ht="18" customHeight="1" x14ac:dyDescent="0.2">
      <c r="AF428" s="12"/>
      <c r="AG428" s="12"/>
      <c r="BF428" s="13"/>
      <c r="BG428" s="13"/>
      <c r="DY428" s="12"/>
      <c r="DZ428" s="261"/>
      <c r="EA428" s="12"/>
      <c r="EB428" s="261"/>
      <c r="EC428" s="261"/>
      <c r="ED428" s="261"/>
      <c r="EE428" s="261"/>
      <c r="EF428" s="13"/>
      <c r="EG428" s="261"/>
      <c r="EH428" s="12"/>
      <c r="EI428" s="261"/>
      <c r="EJ428" s="261"/>
      <c r="EK428" s="13"/>
      <c r="EL428" s="261"/>
      <c r="EM428" s="261"/>
      <c r="EN428" s="261"/>
      <c r="EO428" s="261"/>
      <c r="EP428" s="261"/>
      <c r="EQ428" s="261"/>
      <c r="ER428" s="261"/>
      <c r="ES428" s="261"/>
      <c r="ET428" s="261"/>
      <c r="EU428" s="261"/>
      <c r="EV428" s="261"/>
      <c r="EW428" s="261"/>
      <c r="EX428" s="14"/>
      <c r="EY428" s="15"/>
      <c r="EZ428" s="15"/>
      <c r="FA428" s="16"/>
      <c r="FB428" s="261"/>
      <c r="FC428" s="12"/>
      <c r="FD428" s="261"/>
      <c r="FE428" s="261"/>
      <c r="FF428" s="261"/>
      <c r="FG428" s="261"/>
      <c r="FH428" s="261"/>
      <c r="FI428" s="261"/>
      <c r="FJ428" s="261"/>
      <c r="FK428" s="261"/>
      <c r="FL428" s="261"/>
      <c r="FM428" s="261"/>
      <c r="FN428" s="261"/>
      <c r="FO428" s="261"/>
      <c r="FP428" s="261"/>
      <c r="FQ428" s="261"/>
      <c r="FR428" s="261"/>
      <c r="FS428" s="261"/>
      <c r="FT428" s="261"/>
      <c r="FU428" s="261"/>
      <c r="FV428" s="261"/>
      <c r="FW428" s="261"/>
      <c r="FX428" s="261"/>
      <c r="FY428" s="261"/>
      <c r="FZ428" s="13"/>
      <c r="GA428" s="261"/>
      <c r="GB428" s="13"/>
      <c r="GV428" s="266"/>
      <c r="GW428" s="266"/>
      <c r="GX428" s="266"/>
      <c r="GY428" s="266"/>
      <c r="GZ428" s="264"/>
      <c r="HA428" s="263"/>
      <c r="HB428" s="264"/>
      <c r="HC428" s="263"/>
      <c r="HD428" s="263"/>
      <c r="HE428" s="263"/>
      <c r="HF428" s="263"/>
      <c r="HG428" s="263"/>
      <c r="HH428" s="263"/>
      <c r="HI428" s="263"/>
      <c r="HJ428" s="263"/>
      <c r="HK428" s="263"/>
      <c r="HL428" s="263"/>
      <c r="HM428" s="263"/>
      <c r="HN428" s="263"/>
      <c r="HO428" s="263"/>
      <c r="HP428" s="263"/>
      <c r="HQ428" s="265"/>
      <c r="HR428" s="263"/>
      <c r="HS428" s="264"/>
      <c r="HT428" s="263"/>
      <c r="HU428" s="263"/>
      <c r="HV428" s="263"/>
      <c r="HW428" s="263"/>
      <c r="HX428" s="263"/>
      <c r="HY428" s="263"/>
      <c r="HZ428" s="263"/>
      <c r="IA428" s="263"/>
      <c r="IB428" s="265"/>
      <c r="IC428" s="264"/>
      <c r="ID428" s="265"/>
      <c r="IE428" s="263"/>
      <c r="IF428" s="263"/>
      <c r="IG428" s="263"/>
      <c r="IH428" s="265"/>
      <c r="II428" s="261"/>
      <c r="IJ428" s="263"/>
      <c r="IK428" s="263"/>
      <c r="IL428" s="263"/>
      <c r="IM428" s="263"/>
      <c r="IN428" s="263"/>
      <c r="IO428" s="263"/>
      <c r="IP428" s="263"/>
      <c r="IQ428" s="263"/>
      <c r="IR428" s="263"/>
      <c r="IS428" s="263"/>
      <c r="IT428" s="263"/>
      <c r="IU428" s="263"/>
      <c r="IV428" s="264"/>
      <c r="IW428" s="263"/>
      <c r="IX428" s="281"/>
      <c r="IY428" s="263"/>
      <c r="IZ428" s="265"/>
      <c r="JA428" s="263"/>
      <c r="JB428" s="265"/>
      <c r="JC428" s="266"/>
      <c r="JD428" s="263"/>
      <c r="JE428" s="263"/>
      <c r="JF428" s="263"/>
      <c r="JG428" s="266"/>
      <c r="JH428" s="266"/>
      <c r="JI428" s="266"/>
      <c r="JJ428" s="266"/>
      <c r="JK428" s="266"/>
      <c r="JL428" s="266"/>
      <c r="JO428" s="266"/>
      <c r="JP428" s="263"/>
      <c r="JQ428" s="261"/>
    </row>
    <row r="429" spans="32:277" ht="18" customHeight="1" x14ac:dyDescent="0.2">
      <c r="AF429" s="12"/>
      <c r="AG429" s="12"/>
      <c r="BF429" s="13"/>
      <c r="BG429" s="13"/>
      <c r="DY429" s="12"/>
      <c r="DZ429" s="261"/>
      <c r="EA429" s="12"/>
      <c r="EB429" s="261"/>
      <c r="EC429" s="261"/>
      <c r="ED429" s="261"/>
      <c r="EE429" s="261"/>
      <c r="EF429" s="13"/>
      <c r="EG429" s="261"/>
      <c r="EH429" s="12"/>
      <c r="EI429" s="261"/>
      <c r="EJ429" s="261"/>
      <c r="EK429" s="13"/>
      <c r="EL429" s="261"/>
      <c r="EM429" s="261"/>
      <c r="EN429" s="261"/>
      <c r="EO429" s="261"/>
      <c r="EP429" s="261"/>
      <c r="EQ429" s="261"/>
      <c r="ER429" s="261"/>
      <c r="ES429" s="261"/>
      <c r="ET429" s="261"/>
      <c r="EU429" s="261"/>
      <c r="EV429" s="261"/>
      <c r="EW429" s="261"/>
      <c r="EX429" s="14"/>
      <c r="EY429" s="15"/>
      <c r="EZ429" s="15"/>
      <c r="FA429" s="16"/>
      <c r="FB429" s="261"/>
      <c r="FC429" s="12"/>
      <c r="FD429" s="261"/>
      <c r="FE429" s="261"/>
      <c r="FF429" s="261"/>
      <c r="FG429" s="261"/>
      <c r="FH429" s="261"/>
      <c r="FI429" s="261"/>
      <c r="FJ429" s="261"/>
      <c r="FK429" s="261"/>
      <c r="FL429" s="261"/>
      <c r="FM429" s="261"/>
      <c r="FN429" s="261"/>
      <c r="FO429" s="261"/>
      <c r="FP429" s="261"/>
      <c r="FQ429" s="261"/>
      <c r="FR429" s="261"/>
      <c r="FS429" s="261"/>
      <c r="FT429" s="261"/>
      <c r="FU429" s="261"/>
      <c r="FV429" s="261"/>
      <c r="FW429" s="261"/>
      <c r="FX429" s="261"/>
      <c r="FY429" s="261"/>
      <c r="FZ429" s="13"/>
      <c r="GA429" s="261"/>
      <c r="GB429" s="13"/>
      <c r="GV429" s="266"/>
      <c r="GW429" s="266"/>
      <c r="GX429" s="266"/>
      <c r="GY429" s="266"/>
      <c r="GZ429" s="264"/>
      <c r="HA429" s="263"/>
      <c r="HB429" s="264"/>
      <c r="HC429" s="263"/>
      <c r="HD429" s="263"/>
      <c r="HE429" s="263"/>
      <c r="HF429" s="263"/>
      <c r="HG429" s="263"/>
      <c r="HH429" s="263"/>
      <c r="HI429" s="263"/>
      <c r="HJ429" s="263"/>
      <c r="HK429" s="263"/>
      <c r="HL429" s="263"/>
      <c r="HM429" s="263"/>
      <c r="HN429" s="263"/>
      <c r="HO429" s="263"/>
      <c r="HP429" s="263"/>
      <c r="HQ429" s="263"/>
      <c r="HR429" s="273"/>
      <c r="HS429" s="264"/>
      <c r="HT429" s="263"/>
      <c r="HU429" s="263"/>
      <c r="HV429" s="263"/>
      <c r="HW429" s="263"/>
      <c r="HX429" s="263"/>
      <c r="HY429" s="263"/>
      <c r="HZ429" s="263"/>
      <c r="IA429" s="263"/>
      <c r="IB429" s="265"/>
      <c r="IC429" s="264"/>
      <c r="ID429" s="265"/>
      <c r="IE429" s="263"/>
      <c r="IF429" s="263"/>
      <c r="IG429" s="263"/>
      <c r="IH429" s="265"/>
      <c r="II429" s="261"/>
      <c r="IJ429" s="263"/>
      <c r="IK429" s="263"/>
      <c r="IL429" s="263"/>
      <c r="IM429" s="263"/>
      <c r="IN429" s="263"/>
      <c r="IO429" s="263"/>
      <c r="IP429" s="263"/>
      <c r="IQ429" s="263"/>
      <c r="IR429" s="263"/>
      <c r="IS429" s="263"/>
      <c r="IT429" s="263"/>
      <c r="IU429" s="263"/>
      <c r="IV429" s="271"/>
      <c r="IW429" s="267"/>
      <c r="IX429" s="272"/>
      <c r="IY429" s="263"/>
      <c r="IZ429" s="265"/>
      <c r="JA429" s="263"/>
      <c r="JB429" s="265"/>
      <c r="JC429" s="266"/>
      <c r="JD429" s="263"/>
      <c r="JE429" s="263"/>
      <c r="JF429" s="263"/>
      <c r="JG429" s="266"/>
      <c r="JH429" s="266"/>
      <c r="JI429" s="266"/>
      <c r="JJ429" s="266"/>
      <c r="JK429" s="266"/>
      <c r="JL429" s="266"/>
      <c r="JO429" s="266"/>
      <c r="JP429" s="263"/>
      <c r="JQ429" s="261"/>
    </row>
    <row r="430" spans="32:277" ht="18" customHeight="1" x14ac:dyDescent="0.2">
      <c r="AF430" s="12"/>
      <c r="AG430" s="12"/>
      <c r="BF430" s="13"/>
      <c r="BG430" s="13"/>
      <c r="DY430" s="12"/>
      <c r="DZ430" s="261"/>
      <c r="EA430" s="12"/>
      <c r="EB430" s="261"/>
      <c r="EC430" s="261"/>
      <c r="ED430" s="261"/>
      <c r="EE430" s="261"/>
      <c r="EF430" s="13"/>
      <c r="EG430" s="20"/>
      <c r="EH430" s="14"/>
      <c r="EI430" s="15"/>
      <c r="EJ430" s="15"/>
      <c r="EK430" s="15"/>
      <c r="EL430" s="15"/>
      <c r="EM430" s="15"/>
      <c r="EN430" s="16"/>
      <c r="EO430" s="15"/>
      <c r="EP430" s="15"/>
      <c r="EQ430" s="15"/>
      <c r="ER430" s="15"/>
      <c r="ES430" s="15"/>
      <c r="ET430" s="15"/>
      <c r="EU430" s="15"/>
      <c r="EV430" s="15"/>
      <c r="EW430" s="15"/>
      <c r="EX430" s="15"/>
      <c r="EY430" s="15"/>
      <c r="EZ430" s="15"/>
      <c r="FA430" s="16"/>
      <c r="FB430" s="261"/>
      <c r="FC430" s="12"/>
      <c r="FD430" s="261"/>
      <c r="FE430" s="261"/>
      <c r="FF430" s="261"/>
      <c r="FG430" s="261"/>
      <c r="FH430" s="261"/>
      <c r="FI430" s="261"/>
      <c r="FJ430" s="261"/>
      <c r="FK430" s="261"/>
      <c r="FL430" s="261"/>
      <c r="FM430" s="261"/>
      <c r="FN430" s="261"/>
      <c r="FO430" s="261"/>
      <c r="FP430" s="261"/>
      <c r="FQ430" s="261"/>
      <c r="FR430" s="261"/>
      <c r="FS430" s="261"/>
      <c r="FT430" s="261"/>
      <c r="FU430" s="261"/>
      <c r="FV430" s="261"/>
      <c r="FW430" s="261"/>
      <c r="FX430" s="261"/>
      <c r="FY430" s="261"/>
      <c r="FZ430" s="13"/>
      <c r="GA430" s="261"/>
      <c r="GB430" s="13"/>
      <c r="GV430" s="266"/>
      <c r="GW430" s="266"/>
      <c r="GX430" s="266"/>
      <c r="GY430" s="266"/>
      <c r="GZ430" s="264"/>
      <c r="HA430" s="263"/>
      <c r="HB430" s="264"/>
      <c r="HC430" s="263"/>
      <c r="HD430" s="263"/>
      <c r="HE430" s="263"/>
      <c r="HF430" s="263"/>
      <c r="HG430" s="263"/>
      <c r="HH430" s="263"/>
      <c r="HI430" s="263"/>
      <c r="HJ430" s="263"/>
      <c r="HK430" s="263"/>
      <c r="HL430" s="263"/>
      <c r="HM430" s="263"/>
      <c r="HN430" s="263"/>
      <c r="HO430" s="263"/>
      <c r="HP430" s="263"/>
      <c r="HQ430" s="263"/>
      <c r="HR430" s="273"/>
      <c r="HS430" s="264"/>
      <c r="HT430" s="263"/>
      <c r="HU430" s="263"/>
      <c r="HV430" s="263"/>
      <c r="HW430" s="263"/>
      <c r="HX430" s="263"/>
      <c r="HY430" s="263"/>
      <c r="HZ430" s="263"/>
      <c r="IA430" s="263"/>
      <c r="IB430" s="265"/>
      <c r="IC430" s="264"/>
      <c r="ID430" s="265"/>
      <c r="IE430" s="263"/>
      <c r="IF430" s="263"/>
      <c r="IG430" s="263"/>
      <c r="IH430" s="265"/>
      <c r="II430" s="261"/>
      <c r="IJ430" s="263"/>
      <c r="IK430" s="263"/>
      <c r="IL430" s="263"/>
      <c r="IM430" s="263"/>
      <c r="IN430" s="263"/>
      <c r="IO430" s="263"/>
      <c r="IP430" s="263"/>
      <c r="IQ430" s="263"/>
      <c r="IR430" s="263"/>
      <c r="IS430" s="263"/>
      <c r="IT430" s="263"/>
      <c r="IU430" s="263"/>
      <c r="IV430" s="263"/>
      <c r="IW430" s="263"/>
      <c r="IX430" s="263"/>
      <c r="IY430" s="263"/>
      <c r="IZ430" s="265"/>
      <c r="JA430" s="263"/>
      <c r="JB430" s="265"/>
      <c r="JC430" s="266"/>
      <c r="JD430" s="263"/>
      <c r="JE430" s="263"/>
      <c r="JF430" s="263"/>
      <c r="JG430" s="266"/>
      <c r="JH430" s="266"/>
      <c r="JI430" s="266"/>
      <c r="JJ430" s="266"/>
      <c r="JK430" s="266"/>
      <c r="JL430" s="266"/>
      <c r="JO430" s="266"/>
      <c r="JP430" s="263"/>
      <c r="JQ430" s="261"/>
    </row>
    <row r="431" spans="32:277" ht="18" customHeight="1" x14ac:dyDescent="0.2">
      <c r="AF431" s="12"/>
      <c r="AG431" s="12"/>
      <c r="BF431" s="13"/>
      <c r="BG431" s="13"/>
      <c r="DY431" s="12"/>
      <c r="DZ431" s="261"/>
      <c r="EA431" s="9"/>
      <c r="EB431" s="10"/>
      <c r="EC431" s="10"/>
      <c r="ED431" s="10"/>
      <c r="EE431" s="10"/>
      <c r="EF431" s="11"/>
      <c r="EG431" s="9"/>
      <c r="EH431" s="10"/>
      <c r="EI431" s="10"/>
      <c r="EJ431" s="10"/>
      <c r="EK431" s="10"/>
      <c r="EL431" s="10"/>
      <c r="EM431" s="10"/>
      <c r="EN431" s="11"/>
      <c r="EO431" s="261"/>
      <c r="EP431" s="261"/>
      <c r="EQ431" s="261"/>
      <c r="ER431" s="261"/>
      <c r="ES431" s="261"/>
      <c r="ET431" s="261"/>
      <c r="EU431" s="261"/>
      <c r="EV431" s="261"/>
      <c r="EW431" s="261"/>
      <c r="EX431" s="261"/>
      <c r="EY431" s="261"/>
      <c r="EZ431" s="261"/>
      <c r="FA431" s="261"/>
      <c r="FB431" s="261"/>
      <c r="FC431" s="12"/>
      <c r="FD431" s="261"/>
      <c r="FE431" s="261"/>
      <c r="FF431" s="261"/>
      <c r="FG431" s="261"/>
      <c r="FH431" s="261"/>
      <c r="FI431" s="261"/>
      <c r="FJ431" s="261"/>
      <c r="FK431" s="261"/>
      <c r="FL431" s="261"/>
      <c r="FM431" s="261"/>
      <c r="FN431" s="261"/>
      <c r="FO431" s="261"/>
      <c r="FP431" s="261"/>
      <c r="FQ431" s="261"/>
      <c r="FR431" s="261"/>
      <c r="FS431" s="261"/>
      <c r="FT431" s="261"/>
      <c r="FU431" s="261"/>
      <c r="FV431" s="261"/>
      <c r="FW431" s="261"/>
      <c r="FX431" s="261"/>
      <c r="FY431" s="261"/>
      <c r="FZ431" s="13"/>
      <c r="GA431" s="261"/>
      <c r="GB431" s="13"/>
      <c r="GV431" s="266"/>
      <c r="GW431" s="266"/>
      <c r="GX431" s="266"/>
      <c r="GY431" s="266"/>
      <c r="GZ431" s="264"/>
      <c r="HA431" s="263"/>
      <c r="HB431" s="264"/>
      <c r="HC431" s="263"/>
      <c r="HD431" s="263"/>
      <c r="HE431" s="263"/>
      <c r="HF431" s="263"/>
      <c r="HG431" s="263"/>
      <c r="HH431" s="263"/>
      <c r="HI431" s="263"/>
      <c r="HJ431" s="263"/>
      <c r="HK431" s="263"/>
      <c r="HL431" s="263"/>
      <c r="HM431" s="263"/>
      <c r="HN431" s="263"/>
      <c r="HO431" s="263"/>
      <c r="HP431" s="263"/>
      <c r="HQ431" s="263"/>
      <c r="HR431" s="278"/>
      <c r="HS431" s="264"/>
      <c r="HT431" s="263"/>
      <c r="HU431" s="263"/>
      <c r="HV431" s="263"/>
      <c r="HW431" s="263"/>
      <c r="HX431" s="263"/>
      <c r="HY431" s="263"/>
      <c r="HZ431" s="263"/>
      <c r="IA431" s="263"/>
      <c r="IB431" s="265"/>
      <c r="IC431" s="264"/>
      <c r="ID431" s="265"/>
      <c r="IE431" s="263"/>
      <c r="IF431" s="263"/>
      <c r="IG431" s="263"/>
      <c r="IH431" s="265"/>
      <c r="II431" s="261"/>
      <c r="IJ431" s="263"/>
      <c r="IK431" s="263"/>
      <c r="IL431" s="263"/>
      <c r="IM431" s="263"/>
      <c r="IN431" s="263"/>
      <c r="IO431" s="263"/>
      <c r="IP431" s="263"/>
      <c r="IQ431" s="263"/>
      <c r="IR431" s="263"/>
      <c r="IS431" s="263"/>
      <c r="IT431" s="263"/>
      <c r="IU431" s="263"/>
      <c r="IV431" s="263"/>
      <c r="IW431" s="263"/>
      <c r="IX431" s="263"/>
      <c r="IY431" s="263"/>
      <c r="IZ431" s="265"/>
      <c r="JA431" s="263"/>
      <c r="JB431" s="265"/>
      <c r="JC431" s="266"/>
      <c r="JD431" s="263"/>
      <c r="JE431" s="263"/>
      <c r="JF431" s="263"/>
      <c r="JG431" s="266"/>
      <c r="JH431" s="266"/>
      <c r="JI431" s="266"/>
      <c r="JJ431" s="266"/>
      <c r="JK431" s="266"/>
      <c r="JL431" s="266"/>
      <c r="JO431" s="266"/>
      <c r="JP431" s="263"/>
      <c r="JQ431" s="261"/>
    </row>
    <row r="432" spans="32:277" ht="18" customHeight="1" x14ac:dyDescent="0.2">
      <c r="AF432" s="12"/>
      <c r="AG432" s="12"/>
      <c r="BF432" s="13"/>
      <c r="BG432" s="13"/>
      <c r="DY432" s="12"/>
      <c r="DZ432" s="261"/>
      <c r="EA432" s="12"/>
      <c r="EB432" s="261"/>
      <c r="EC432" s="261"/>
      <c r="ED432" s="261"/>
      <c r="EE432" s="261"/>
      <c r="EF432" s="13"/>
      <c r="EG432" s="12"/>
      <c r="EH432" s="261"/>
      <c r="EI432" s="261"/>
      <c r="EJ432" s="261"/>
      <c r="EK432" s="261"/>
      <c r="EL432" s="261"/>
      <c r="EM432" s="261"/>
      <c r="EN432" s="13"/>
      <c r="EO432" s="261"/>
      <c r="EP432" s="261"/>
      <c r="EQ432" s="261"/>
      <c r="ER432" s="261"/>
      <c r="ES432" s="261"/>
      <c r="ET432" s="261"/>
      <c r="EU432" s="261"/>
      <c r="EV432" s="261"/>
      <c r="EW432" s="261"/>
      <c r="EX432" s="261"/>
      <c r="EY432" s="261"/>
      <c r="EZ432" s="261"/>
      <c r="FA432" s="261"/>
      <c r="FB432" s="261"/>
      <c r="FC432" s="12"/>
      <c r="FD432" s="261"/>
      <c r="FE432" s="261"/>
      <c r="FF432" s="261"/>
      <c r="FG432" s="261"/>
      <c r="FH432" s="261"/>
      <c r="FI432" s="261"/>
      <c r="FJ432" s="261"/>
      <c r="FK432" s="261"/>
      <c r="FL432" s="261"/>
      <c r="FM432" s="261"/>
      <c r="FN432" s="261"/>
      <c r="FO432" s="261"/>
      <c r="FP432" s="261"/>
      <c r="FQ432" s="261"/>
      <c r="FR432" s="261"/>
      <c r="FS432" s="261"/>
      <c r="FT432" s="261"/>
      <c r="FU432" s="261"/>
      <c r="FV432" s="261"/>
      <c r="FW432" s="261"/>
      <c r="FX432" s="261"/>
      <c r="FY432" s="261"/>
      <c r="FZ432" s="13"/>
      <c r="GA432" s="261"/>
      <c r="GB432" s="13"/>
      <c r="GV432" s="266"/>
      <c r="GW432" s="266"/>
      <c r="GX432" s="266"/>
      <c r="GY432" s="266"/>
      <c r="GZ432" s="264"/>
      <c r="HA432" s="263"/>
      <c r="HB432" s="264"/>
      <c r="HC432" s="263"/>
      <c r="HD432" s="263"/>
      <c r="HE432" s="263"/>
      <c r="HF432" s="268"/>
      <c r="HG432" s="269"/>
      <c r="HH432" s="269"/>
      <c r="HI432" s="269"/>
      <c r="HJ432" s="269"/>
      <c r="HK432" s="269"/>
      <c r="HL432" s="269"/>
      <c r="HM432" s="269"/>
      <c r="HN432" s="269"/>
      <c r="HO432" s="269"/>
      <c r="HP432" s="269"/>
      <c r="HQ432" s="269"/>
      <c r="HR432" s="269"/>
      <c r="HS432" s="263"/>
      <c r="HT432" s="263"/>
      <c r="HU432" s="263"/>
      <c r="HV432" s="263"/>
      <c r="HW432" s="263"/>
      <c r="HX432" s="263"/>
      <c r="HY432" s="263"/>
      <c r="HZ432" s="263"/>
      <c r="IA432" s="263"/>
      <c r="IB432" s="265"/>
      <c r="IC432" s="271"/>
      <c r="ID432" s="267"/>
      <c r="IE432" s="274"/>
      <c r="IF432" s="274"/>
      <c r="IG432" s="274"/>
      <c r="IH432" s="275"/>
      <c r="II432" s="261"/>
      <c r="IJ432" s="263"/>
      <c r="IK432" s="263"/>
      <c r="IL432" s="263"/>
      <c r="IM432" s="263"/>
      <c r="IN432" s="263"/>
      <c r="IO432" s="263"/>
      <c r="IP432" s="263"/>
      <c r="IQ432" s="263"/>
      <c r="IR432" s="263"/>
      <c r="IS432" s="263"/>
      <c r="IT432" s="263"/>
      <c r="IU432" s="263"/>
      <c r="IV432" s="263"/>
      <c r="IW432" s="263"/>
      <c r="IX432" s="263"/>
      <c r="IY432" s="263"/>
      <c r="IZ432" s="265"/>
      <c r="JA432" s="263"/>
      <c r="JB432" s="265"/>
      <c r="JC432" s="266"/>
      <c r="JD432" s="263"/>
      <c r="JE432" s="263"/>
      <c r="JF432" s="263"/>
      <c r="JG432" s="266"/>
      <c r="JH432" s="266"/>
      <c r="JI432" s="266"/>
      <c r="JJ432" s="266"/>
      <c r="JK432" s="266"/>
      <c r="JL432" s="266"/>
      <c r="JO432" s="266"/>
      <c r="JP432" s="263"/>
      <c r="JQ432" s="261"/>
    </row>
    <row r="433" spans="20:277" ht="18" customHeight="1" x14ac:dyDescent="0.2">
      <c r="AD433" s="17"/>
      <c r="AE433" s="9"/>
      <c r="AF433" s="9"/>
      <c r="AG433" s="9"/>
      <c r="AH433" s="10"/>
      <c r="AI433" s="10"/>
      <c r="AJ433" s="11"/>
      <c r="BF433" s="13"/>
      <c r="BG433" s="13"/>
      <c r="DY433" s="12"/>
      <c r="DZ433" s="261"/>
      <c r="EA433" s="12"/>
      <c r="EB433" s="261"/>
      <c r="EC433" s="261"/>
      <c r="ED433" s="261"/>
      <c r="EE433" s="261"/>
      <c r="EF433" s="13"/>
      <c r="EG433" s="12"/>
      <c r="EH433" s="261"/>
      <c r="EI433" s="261"/>
      <c r="EJ433" s="261"/>
      <c r="EK433" s="261"/>
      <c r="EL433" s="261"/>
      <c r="EM433" s="261"/>
      <c r="EN433" s="13"/>
      <c r="EO433" s="261"/>
      <c r="EP433" s="261"/>
      <c r="EQ433" s="261"/>
      <c r="ER433" s="261"/>
      <c r="ES433" s="261"/>
      <c r="ET433" s="261"/>
      <c r="EU433" s="261"/>
      <c r="EV433" s="261"/>
      <c r="EW433" s="261"/>
      <c r="EX433" s="261"/>
      <c r="EY433" s="261"/>
      <c r="EZ433" s="261"/>
      <c r="FA433" s="261"/>
      <c r="FB433" s="261"/>
      <c r="FC433" s="12"/>
      <c r="FD433" s="261"/>
      <c r="FE433" s="261"/>
      <c r="FF433" s="261"/>
      <c r="FG433" s="261"/>
      <c r="FH433" s="261"/>
      <c r="FI433" s="261"/>
      <c r="FJ433" s="261"/>
      <c r="FK433" s="261"/>
      <c r="FL433" s="261"/>
      <c r="FM433" s="261"/>
      <c r="FN433" s="261"/>
      <c r="FO433" s="261"/>
      <c r="FP433" s="261"/>
      <c r="FQ433" s="261"/>
      <c r="FR433" s="261"/>
      <c r="FS433" s="261"/>
      <c r="FT433" s="261"/>
      <c r="FU433" s="261"/>
      <c r="FV433" s="261"/>
      <c r="FW433" s="261"/>
      <c r="FX433" s="261"/>
      <c r="FY433" s="261"/>
      <c r="FZ433" s="13"/>
      <c r="GA433" s="261"/>
      <c r="GB433" s="13"/>
      <c r="GV433" s="266"/>
      <c r="GW433" s="266"/>
      <c r="GX433" s="266"/>
      <c r="GY433" s="266"/>
      <c r="GZ433" s="264"/>
      <c r="HA433" s="263"/>
      <c r="HB433" s="264"/>
      <c r="HC433" s="263"/>
      <c r="HD433" s="263"/>
      <c r="HE433" s="263"/>
      <c r="HF433" s="264"/>
      <c r="HG433" s="263"/>
      <c r="HH433" s="263"/>
      <c r="HI433" s="263"/>
      <c r="HJ433" s="263"/>
      <c r="HK433" s="263"/>
      <c r="HL433" s="263"/>
      <c r="HM433" s="263"/>
      <c r="HN433" s="263"/>
      <c r="HO433" s="263"/>
      <c r="HP433" s="263"/>
      <c r="HQ433" s="263"/>
      <c r="HR433" s="263"/>
      <c r="HS433" s="263"/>
      <c r="HT433" s="263"/>
      <c r="HU433" s="263"/>
      <c r="HV433" s="263"/>
      <c r="HW433" s="263"/>
      <c r="HX433" s="263"/>
      <c r="HY433" s="263"/>
      <c r="HZ433" s="263"/>
      <c r="IA433" s="263"/>
      <c r="IB433" s="261"/>
      <c r="IC433" s="261"/>
      <c r="ID433" s="261"/>
      <c r="IE433" s="261"/>
      <c r="IF433" s="261"/>
      <c r="IG433" s="261"/>
      <c r="IH433" s="261"/>
      <c r="II433" s="261"/>
      <c r="IJ433" s="263"/>
      <c r="IK433" s="263"/>
      <c r="IL433" s="263"/>
      <c r="IM433" s="263"/>
      <c r="IN433" s="263"/>
      <c r="IO433" s="263"/>
      <c r="IP433" s="263"/>
      <c r="IQ433" s="263"/>
      <c r="IR433" s="263"/>
      <c r="IS433" s="263"/>
      <c r="IT433" s="263"/>
      <c r="IU433" s="263"/>
      <c r="IV433" s="263"/>
      <c r="IW433" s="263"/>
      <c r="IX433" s="263"/>
      <c r="IY433" s="263"/>
      <c r="IZ433" s="265"/>
      <c r="JA433" s="263"/>
      <c r="JB433" s="265"/>
      <c r="JC433" s="266"/>
      <c r="JD433" s="263"/>
      <c r="JE433" s="263"/>
      <c r="JF433" s="263"/>
      <c r="JG433" s="266"/>
      <c r="JH433" s="266"/>
      <c r="JI433" s="266"/>
      <c r="JJ433" s="266"/>
      <c r="JK433" s="266"/>
      <c r="JL433" s="266"/>
      <c r="JO433" s="266"/>
      <c r="JP433" s="263"/>
      <c r="JQ433" s="261"/>
    </row>
    <row r="434" spans="20:277" ht="18" customHeight="1" x14ac:dyDescent="0.2">
      <c r="AD434" s="18"/>
      <c r="AE434" s="12"/>
      <c r="AF434" s="12"/>
      <c r="AG434" s="12"/>
      <c r="AJ434" s="13"/>
      <c r="BF434" s="13"/>
      <c r="BG434" s="13"/>
      <c r="DY434" s="12"/>
      <c r="DZ434" s="261"/>
      <c r="EA434" s="12"/>
      <c r="EB434" s="261"/>
      <c r="EC434" s="261"/>
      <c r="ED434" s="261"/>
      <c r="EE434" s="261"/>
      <c r="EF434" s="13"/>
      <c r="EG434" s="12"/>
      <c r="EH434" s="261"/>
      <c r="EI434" s="261"/>
      <c r="EJ434" s="261"/>
      <c r="EK434" s="261"/>
      <c r="EL434" s="261"/>
      <c r="EM434" s="261"/>
      <c r="EN434" s="13"/>
      <c r="EO434" s="261"/>
      <c r="EP434" s="261"/>
      <c r="EQ434" s="261"/>
      <c r="ER434" s="261"/>
      <c r="ES434" s="261"/>
      <c r="ET434" s="261"/>
      <c r="EU434" s="261"/>
      <c r="EV434" s="261"/>
      <c r="EW434" s="261"/>
      <c r="EX434" s="261"/>
      <c r="EY434" s="261"/>
      <c r="EZ434" s="261"/>
      <c r="FA434" s="261"/>
      <c r="FB434" s="261"/>
      <c r="FC434" s="12"/>
      <c r="FD434" s="261"/>
      <c r="FE434" s="261"/>
      <c r="FF434" s="261"/>
      <c r="FG434" s="261"/>
      <c r="FH434" s="261"/>
      <c r="FI434" s="261"/>
      <c r="FJ434" s="261"/>
      <c r="FK434" s="261"/>
      <c r="FL434" s="261"/>
      <c r="FM434" s="261"/>
      <c r="FN434" s="261"/>
      <c r="FO434" s="261"/>
      <c r="FP434" s="261"/>
      <c r="FQ434" s="261"/>
      <c r="FR434" s="261"/>
      <c r="FS434" s="261"/>
      <c r="FT434" s="261"/>
      <c r="FU434" s="261"/>
      <c r="FV434" s="261"/>
      <c r="FW434" s="261"/>
      <c r="FX434" s="261"/>
      <c r="FY434" s="261"/>
      <c r="FZ434" s="13"/>
      <c r="GA434" s="261"/>
      <c r="GB434" s="13"/>
      <c r="GV434" s="266"/>
      <c r="GW434" s="266"/>
      <c r="GX434" s="266"/>
      <c r="GY434" s="266"/>
      <c r="GZ434" s="264"/>
      <c r="HA434" s="263"/>
      <c r="HB434" s="264"/>
      <c r="HC434" s="263"/>
      <c r="HD434" s="263"/>
      <c r="HE434" s="263"/>
      <c r="HF434" s="264"/>
      <c r="HG434" s="263"/>
      <c r="HH434" s="263"/>
      <c r="HI434" s="263"/>
      <c r="HJ434" s="263"/>
      <c r="HK434" s="263"/>
      <c r="HL434" s="263"/>
      <c r="HM434" s="263"/>
      <c r="HN434" s="263"/>
      <c r="HO434" s="263"/>
      <c r="HP434" s="263"/>
      <c r="HQ434" s="263"/>
      <c r="HR434" s="263"/>
      <c r="HS434" s="263"/>
      <c r="HT434" s="263"/>
      <c r="HU434" s="263"/>
      <c r="HV434" s="263"/>
      <c r="HW434" s="263"/>
      <c r="HX434" s="263"/>
      <c r="HY434" s="263"/>
      <c r="HZ434" s="263"/>
      <c r="IA434" s="263"/>
      <c r="IB434" s="263"/>
      <c r="IC434" s="263"/>
      <c r="ID434" s="263"/>
      <c r="IE434" s="263"/>
      <c r="IF434" s="263"/>
      <c r="IG434" s="263"/>
      <c r="IH434" s="263"/>
      <c r="II434" s="263"/>
      <c r="IJ434" s="263"/>
      <c r="IK434" s="263"/>
      <c r="IL434" s="263"/>
      <c r="IM434" s="263"/>
      <c r="IN434" s="263"/>
      <c r="IO434" s="263"/>
      <c r="IP434" s="263"/>
      <c r="IQ434" s="263"/>
      <c r="IR434" s="263"/>
      <c r="IS434" s="263"/>
      <c r="IT434" s="263"/>
      <c r="IU434" s="263"/>
      <c r="IV434" s="263"/>
      <c r="IW434" s="263"/>
      <c r="IX434" s="263"/>
      <c r="IY434" s="263"/>
      <c r="IZ434" s="265"/>
      <c r="JA434" s="263"/>
      <c r="JB434" s="265"/>
      <c r="JC434" s="266"/>
      <c r="JD434" s="263"/>
      <c r="JE434" s="263"/>
      <c r="JF434" s="263"/>
      <c r="JG434" s="266"/>
      <c r="JH434" s="266"/>
      <c r="JI434" s="266"/>
      <c r="JJ434" s="266"/>
      <c r="JK434" s="266"/>
      <c r="JL434" s="266"/>
      <c r="JO434" s="266"/>
      <c r="JP434" s="263"/>
      <c r="JQ434" s="261"/>
    </row>
    <row r="435" spans="20:277" ht="18" customHeight="1" x14ac:dyDescent="0.2">
      <c r="AD435" s="18"/>
      <c r="AE435" s="12"/>
      <c r="AF435" s="12"/>
      <c r="AG435" s="12"/>
      <c r="AJ435" s="13"/>
      <c r="BF435" s="13"/>
      <c r="BG435" s="13"/>
      <c r="DY435" s="12"/>
      <c r="DZ435" s="261"/>
      <c r="EA435" s="12"/>
      <c r="EB435" s="261"/>
      <c r="EC435" s="261"/>
      <c r="ED435" s="261"/>
      <c r="EE435" s="261"/>
      <c r="EF435" s="13"/>
      <c r="EG435" s="12"/>
      <c r="EH435" s="261"/>
      <c r="EI435" s="261"/>
      <c r="EJ435" s="261"/>
      <c r="EK435" s="261"/>
      <c r="EL435" s="261"/>
      <c r="EM435" s="261"/>
      <c r="EN435" s="13"/>
      <c r="EO435" s="261"/>
      <c r="EP435" s="261"/>
      <c r="EQ435" s="261"/>
      <c r="ER435" s="261"/>
      <c r="ES435" s="261"/>
      <c r="ET435" s="261"/>
      <c r="EU435" s="261"/>
      <c r="EV435" s="261"/>
      <c r="EW435" s="261"/>
      <c r="EX435" s="261"/>
      <c r="EY435" s="261"/>
      <c r="EZ435" s="261"/>
      <c r="FA435" s="261"/>
      <c r="FB435" s="261"/>
      <c r="FC435" s="12"/>
      <c r="FD435" s="261"/>
      <c r="FE435" s="261"/>
      <c r="FF435" s="261"/>
      <c r="FG435" s="261"/>
      <c r="FH435" s="261"/>
      <c r="FI435" s="261"/>
      <c r="FJ435" s="261"/>
      <c r="FK435" s="261"/>
      <c r="FL435" s="261"/>
      <c r="FM435" s="261"/>
      <c r="FN435" s="261"/>
      <c r="FO435" s="261"/>
      <c r="FP435" s="261"/>
      <c r="FQ435" s="261"/>
      <c r="FR435" s="261"/>
      <c r="FS435" s="261"/>
      <c r="FT435" s="261"/>
      <c r="FU435" s="261"/>
      <c r="FV435" s="261"/>
      <c r="FW435" s="261"/>
      <c r="FX435" s="261"/>
      <c r="FY435" s="261"/>
      <c r="FZ435" s="13"/>
      <c r="GA435" s="261"/>
      <c r="GB435" s="13"/>
      <c r="GV435" s="266"/>
      <c r="GW435" s="266"/>
      <c r="GX435" s="266"/>
      <c r="GY435" s="266"/>
      <c r="GZ435" s="264"/>
      <c r="HA435" s="263"/>
      <c r="HB435" s="264"/>
      <c r="HC435" s="263"/>
      <c r="HD435" s="263"/>
      <c r="HE435" s="263"/>
      <c r="HF435" s="264"/>
      <c r="HG435" s="263"/>
      <c r="HH435" s="263"/>
      <c r="HI435" s="263"/>
      <c r="HJ435" s="263"/>
      <c r="HK435" s="263"/>
      <c r="HL435" s="263"/>
      <c r="HM435" s="263"/>
      <c r="HN435" s="263"/>
      <c r="HO435" s="263"/>
      <c r="HP435" s="263"/>
      <c r="HQ435" s="263"/>
      <c r="HR435" s="263"/>
      <c r="HS435" s="263"/>
      <c r="HT435" s="263"/>
      <c r="HU435" s="263"/>
      <c r="HV435" s="263"/>
      <c r="HW435" s="263"/>
      <c r="HX435" s="263"/>
      <c r="HY435" s="263"/>
      <c r="HZ435" s="263"/>
      <c r="IA435" s="263"/>
      <c r="IB435" s="263"/>
      <c r="IC435" s="263"/>
      <c r="ID435" s="263"/>
      <c r="IE435" s="263"/>
      <c r="IF435" s="263"/>
      <c r="IG435" s="263"/>
      <c r="IH435" s="263"/>
      <c r="II435" s="263"/>
      <c r="IJ435" s="263"/>
      <c r="IK435" s="263"/>
      <c r="IL435" s="263"/>
      <c r="IM435" s="263"/>
      <c r="IN435" s="263"/>
      <c r="IO435" s="263"/>
      <c r="IP435" s="263"/>
      <c r="IQ435" s="263"/>
      <c r="IR435" s="263"/>
      <c r="IS435" s="263"/>
      <c r="IT435" s="263"/>
      <c r="IU435" s="263"/>
      <c r="IV435" s="263"/>
      <c r="IW435" s="263"/>
      <c r="IX435" s="263"/>
      <c r="IY435" s="263"/>
      <c r="IZ435" s="265"/>
      <c r="JA435" s="263"/>
      <c r="JB435" s="265"/>
      <c r="JC435" s="266"/>
      <c r="JD435" s="263"/>
      <c r="JE435" s="263"/>
      <c r="JF435" s="263"/>
      <c r="JG435" s="266"/>
      <c r="JH435" s="266"/>
      <c r="JI435" s="266"/>
      <c r="JJ435" s="266"/>
      <c r="JK435" s="266"/>
      <c r="JL435" s="266"/>
      <c r="JO435" s="266"/>
      <c r="JP435" s="263"/>
      <c r="JQ435" s="261"/>
    </row>
    <row r="436" spans="20:277" ht="18" customHeight="1" x14ac:dyDescent="0.2">
      <c r="AD436" s="18"/>
      <c r="AE436" s="12"/>
      <c r="AF436" s="12"/>
      <c r="AG436" s="12"/>
      <c r="AJ436" s="13"/>
      <c r="BF436" s="13"/>
      <c r="BG436" s="13"/>
      <c r="DY436" s="12"/>
      <c r="DZ436" s="261"/>
      <c r="EA436" s="14"/>
      <c r="EB436" s="15"/>
      <c r="EC436" s="15"/>
      <c r="ED436" s="15"/>
      <c r="EE436" s="15"/>
      <c r="EF436" s="16"/>
      <c r="EG436" s="14"/>
      <c r="EH436" s="15"/>
      <c r="EI436" s="15"/>
      <c r="EJ436" s="15"/>
      <c r="EK436" s="15"/>
      <c r="EL436" s="15"/>
      <c r="EM436" s="15"/>
      <c r="EN436" s="16"/>
      <c r="EO436" s="15"/>
      <c r="EP436" s="15"/>
      <c r="EQ436" s="15"/>
      <c r="ER436" s="15"/>
      <c r="ES436" s="15"/>
      <c r="ET436" s="15"/>
      <c r="EU436" s="15"/>
      <c r="EV436" s="15"/>
      <c r="EW436" s="15"/>
      <c r="EX436" s="15"/>
      <c r="EY436" s="15"/>
      <c r="EZ436" s="15"/>
      <c r="FA436" s="15"/>
      <c r="FB436" s="15"/>
      <c r="FC436" s="14"/>
      <c r="FD436" s="15"/>
      <c r="FE436" s="15"/>
      <c r="FF436" s="15"/>
      <c r="FG436" s="15"/>
      <c r="FH436" s="15"/>
      <c r="FI436" s="15"/>
      <c r="FJ436" s="15"/>
      <c r="FK436" s="15"/>
      <c r="FL436" s="15"/>
      <c r="FM436" s="15"/>
      <c r="FN436" s="15"/>
      <c r="FO436" s="15"/>
      <c r="FP436" s="15"/>
      <c r="FQ436" s="15"/>
      <c r="FR436" s="15"/>
      <c r="FS436" s="15"/>
      <c r="FT436" s="15"/>
      <c r="FU436" s="15"/>
      <c r="FV436" s="15"/>
      <c r="FW436" s="15"/>
      <c r="FX436" s="15"/>
      <c r="FY436" s="15"/>
      <c r="FZ436" s="16"/>
      <c r="GA436" s="261"/>
      <c r="GB436" s="13"/>
      <c r="GV436" s="266"/>
      <c r="GW436" s="266"/>
      <c r="GX436" s="266"/>
      <c r="GY436" s="266"/>
      <c r="GZ436" s="264"/>
      <c r="HA436" s="263"/>
      <c r="HB436" s="264"/>
      <c r="HC436" s="263"/>
      <c r="HD436" s="263"/>
      <c r="HE436" s="263"/>
      <c r="HF436" s="264"/>
      <c r="HG436" s="263"/>
      <c r="HH436" s="263"/>
      <c r="HI436" s="263"/>
      <c r="HJ436" s="263"/>
      <c r="HK436" s="263"/>
      <c r="HL436" s="263"/>
      <c r="HM436" s="263"/>
      <c r="HN436" s="263"/>
      <c r="HO436" s="263"/>
      <c r="HP436" s="263"/>
      <c r="HQ436" s="263"/>
      <c r="HR436" s="263"/>
      <c r="HS436" s="263"/>
      <c r="HT436" s="263"/>
      <c r="HU436" s="263"/>
      <c r="HV436" s="263"/>
      <c r="HW436" s="263"/>
      <c r="HX436" s="263"/>
      <c r="HY436" s="263"/>
      <c r="HZ436" s="263"/>
      <c r="IA436" s="263"/>
      <c r="IB436" s="263"/>
      <c r="IC436" s="263"/>
      <c r="ID436" s="263"/>
      <c r="IE436" s="263"/>
      <c r="IF436" s="263"/>
      <c r="IG436" s="263"/>
      <c r="IH436" s="263"/>
      <c r="II436" s="263"/>
      <c r="IJ436" s="263"/>
      <c r="IK436" s="263"/>
      <c r="IL436" s="263"/>
      <c r="IM436" s="263"/>
      <c r="IN436" s="263"/>
      <c r="IO436" s="263"/>
      <c r="IP436" s="263"/>
      <c r="IQ436" s="263"/>
      <c r="IR436" s="263"/>
      <c r="IS436" s="263"/>
      <c r="IT436" s="263"/>
      <c r="IU436" s="263"/>
      <c r="IV436" s="263"/>
      <c r="IW436" s="263"/>
      <c r="IX436" s="263"/>
      <c r="IY436" s="263"/>
      <c r="IZ436" s="265"/>
      <c r="JA436" s="263"/>
      <c r="JB436" s="265"/>
      <c r="JC436" s="266"/>
      <c r="JD436" s="263"/>
      <c r="JE436" s="263"/>
      <c r="JF436" s="263"/>
      <c r="JG436" s="266"/>
      <c r="JH436" s="266"/>
      <c r="JI436" s="266"/>
      <c r="JJ436" s="266"/>
      <c r="JK436" s="266"/>
      <c r="JL436" s="266"/>
      <c r="JO436" s="266"/>
      <c r="JP436" s="263"/>
      <c r="JQ436" s="261"/>
    </row>
    <row r="437" spans="20:277" ht="18" customHeight="1" x14ac:dyDescent="0.2">
      <c r="AD437" s="18"/>
      <c r="AE437" s="12"/>
      <c r="AF437" s="12"/>
      <c r="AG437" s="12"/>
      <c r="AJ437" s="13"/>
      <c r="BF437" s="13"/>
      <c r="BG437" s="13"/>
      <c r="DY437" s="12"/>
      <c r="DZ437" s="261"/>
      <c r="EA437" s="261"/>
      <c r="EB437" s="261"/>
      <c r="EC437" s="261"/>
      <c r="ED437" s="261"/>
      <c r="EE437" s="261"/>
      <c r="EF437" s="261"/>
      <c r="EG437" s="261"/>
      <c r="EH437" s="261"/>
      <c r="EI437" s="261"/>
      <c r="EJ437" s="261"/>
      <c r="EK437" s="261"/>
      <c r="EL437" s="261"/>
      <c r="EM437" s="261"/>
      <c r="EN437" s="261"/>
      <c r="EO437" s="261"/>
      <c r="EP437" s="261"/>
      <c r="EQ437" s="261"/>
      <c r="ER437" s="261"/>
      <c r="ES437" s="261"/>
      <c r="ET437" s="261"/>
      <c r="EU437" s="261"/>
      <c r="EV437" s="261"/>
      <c r="EW437" s="261"/>
      <c r="EX437" s="261"/>
      <c r="EY437" s="261"/>
      <c r="EZ437" s="261"/>
      <c r="FA437" s="261"/>
      <c r="FB437" s="261"/>
      <c r="FC437" s="261"/>
      <c r="FD437" s="261"/>
      <c r="FE437" s="261"/>
      <c r="FF437" s="261"/>
      <c r="FG437" s="261"/>
      <c r="FH437" s="261"/>
      <c r="FI437" s="261"/>
      <c r="FJ437" s="261"/>
      <c r="FK437" s="261"/>
      <c r="FL437" s="261"/>
      <c r="FM437" s="261"/>
      <c r="FN437" s="261"/>
      <c r="FO437" s="261"/>
      <c r="FP437" s="261"/>
      <c r="FQ437" s="261"/>
      <c r="FR437" s="261"/>
      <c r="FS437" s="261"/>
      <c r="FT437" s="261"/>
      <c r="FU437" s="261"/>
      <c r="FV437" s="261"/>
      <c r="FW437" s="261"/>
      <c r="FX437" s="261"/>
      <c r="FY437" s="261"/>
      <c r="FZ437" s="261"/>
      <c r="GA437" s="261"/>
      <c r="GB437" s="13"/>
      <c r="GV437" s="266"/>
      <c r="GW437" s="266"/>
      <c r="GX437" s="266"/>
      <c r="GY437" s="266"/>
      <c r="GZ437" s="264"/>
      <c r="HA437" s="263"/>
      <c r="HB437" s="264"/>
      <c r="HC437" s="263"/>
      <c r="HD437" s="263"/>
      <c r="HE437" s="263"/>
      <c r="HF437" s="264"/>
      <c r="HG437" s="263"/>
      <c r="HH437" s="263"/>
      <c r="HI437" s="263"/>
      <c r="HJ437" s="263"/>
      <c r="HK437" s="263"/>
      <c r="HL437" s="263"/>
      <c r="HM437" s="263"/>
      <c r="HN437" s="263"/>
      <c r="HO437" s="263"/>
      <c r="HP437" s="263"/>
      <c r="HQ437" s="263"/>
      <c r="HR437" s="263"/>
      <c r="HS437" s="263"/>
      <c r="HT437" s="263"/>
      <c r="HU437" s="263"/>
      <c r="HV437" s="263"/>
      <c r="HW437" s="263"/>
      <c r="HX437" s="263"/>
      <c r="HY437" s="263"/>
      <c r="HZ437" s="263"/>
      <c r="IA437" s="263"/>
      <c r="IB437" s="263"/>
      <c r="IC437" s="263"/>
      <c r="ID437" s="263"/>
      <c r="IE437" s="263"/>
      <c r="IF437" s="263"/>
      <c r="IG437" s="263"/>
      <c r="IH437" s="263"/>
      <c r="II437" s="263"/>
      <c r="IJ437" s="263"/>
      <c r="IK437" s="263"/>
      <c r="IL437" s="263"/>
      <c r="IM437" s="263"/>
      <c r="IN437" s="263"/>
      <c r="IO437" s="263"/>
      <c r="IP437" s="263"/>
      <c r="IQ437" s="263"/>
      <c r="IR437" s="263"/>
      <c r="IS437" s="263"/>
      <c r="IT437" s="263"/>
      <c r="IU437" s="263"/>
      <c r="IV437" s="263"/>
      <c r="IW437" s="263"/>
      <c r="IX437" s="263"/>
      <c r="IY437" s="263"/>
      <c r="IZ437" s="265"/>
      <c r="JA437" s="263"/>
      <c r="JB437" s="265"/>
      <c r="JC437" s="266"/>
      <c r="JD437" s="263"/>
      <c r="JE437" s="263"/>
      <c r="JF437" s="263"/>
      <c r="JG437" s="266"/>
      <c r="JH437" s="266"/>
      <c r="JI437" s="266"/>
      <c r="JJ437" s="266"/>
      <c r="JK437" s="266"/>
      <c r="JL437" s="266"/>
      <c r="JO437" s="266"/>
      <c r="JP437" s="263"/>
      <c r="JQ437" s="261"/>
    </row>
    <row r="438" spans="20:277" ht="18" customHeight="1" x14ac:dyDescent="0.2">
      <c r="AD438" s="19"/>
      <c r="AE438" s="14"/>
      <c r="AF438" s="14"/>
      <c r="AG438" s="14"/>
      <c r="AH438" s="15"/>
      <c r="AI438" s="15"/>
      <c r="AJ438" s="16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15"/>
      <c r="AZ438" s="15"/>
      <c r="BA438" s="15"/>
      <c r="BB438" s="15"/>
      <c r="BC438" s="15"/>
      <c r="BD438" s="15"/>
      <c r="BE438" s="15"/>
      <c r="BF438" s="16"/>
      <c r="BG438" s="16"/>
      <c r="DY438" s="14"/>
      <c r="DZ438" s="15"/>
      <c r="EA438" s="15"/>
      <c r="EB438" s="15"/>
      <c r="EC438" s="15"/>
      <c r="ED438" s="15"/>
      <c r="EE438" s="15"/>
      <c r="EF438" s="15"/>
      <c r="EG438" s="15"/>
      <c r="EH438" s="15"/>
      <c r="EI438" s="15"/>
      <c r="EJ438" s="15"/>
      <c r="EK438" s="15"/>
      <c r="EL438" s="15"/>
      <c r="EM438" s="15"/>
      <c r="EN438" s="15"/>
      <c r="EO438" s="15"/>
      <c r="EP438" s="15"/>
      <c r="EQ438" s="15"/>
      <c r="ER438" s="15"/>
      <c r="ES438" s="15"/>
      <c r="ET438" s="15"/>
      <c r="EU438" s="15"/>
      <c r="EV438" s="15"/>
      <c r="EW438" s="15"/>
      <c r="EX438" s="15"/>
      <c r="EY438" s="15"/>
      <c r="EZ438" s="15"/>
      <c r="FA438" s="15"/>
      <c r="FB438" s="15"/>
      <c r="FC438" s="15"/>
      <c r="FD438" s="15"/>
      <c r="FE438" s="15"/>
      <c r="FF438" s="15"/>
      <c r="FG438" s="15"/>
      <c r="FH438" s="15"/>
      <c r="FI438" s="15"/>
      <c r="FJ438" s="15"/>
      <c r="FK438" s="15"/>
      <c r="FL438" s="15"/>
      <c r="FM438" s="15"/>
      <c r="FN438" s="15"/>
      <c r="FO438" s="15"/>
      <c r="FP438" s="15"/>
      <c r="FQ438" s="15"/>
      <c r="FR438" s="15"/>
      <c r="FS438" s="15"/>
      <c r="FT438" s="15"/>
      <c r="FU438" s="15"/>
      <c r="FV438" s="15"/>
      <c r="FW438" s="15"/>
      <c r="FX438" s="15"/>
      <c r="FY438" s="15"/>
      <c r="FZ438" s="15"/>
      <c r="GA438" s="15"/>
      <c r="GB438" s="16"/>
      <c r="GV438" s="266"/>
      <c r="GW438" s="266"/>
      <c r="GX438" s="266"/>
      <c r="GY438" s="266"/>
      <c r="GZ438" s="264"/>
      <c r="HA438" s="263"/>
      <c r="HB438" s="264"/>
      <c r="HC438" s="263"/>
      <c r="HD438" s="263"/>
      <c r="HE438" s="263"/>
      <c r="HF438" s="264"/>
      <c r="HG438" s="263"/>
      <c r="HH438" s="263"/>
      <c r="HI438" s="263"/>
      <c r="HJ438" s="263"/>
      <c r="HK438" s="263"/>
      <c r="HL438" s="263"/>
      <c r="HM438" s="263"/>
      <c r="HN438" s="263"/>
      <c r="HO438" s="263"/>
      <c r="HP438" s="263"/>
      <c r="HQ438" s="263"/>
      <c r="HR438" s="263"/>
      <c r="HS438" s="263"/>
      <c r="HT438" s="263"/>
      <c r="HU438" s="263"/>
      <c r="HV438" s="263"/>
      <c r="HW438" s="263"/>
      <c r="HX438" s="263"/>
      <c r="HY438" s="263"/>
      <c r="HZ438" s="263"/>
      <c r="IA438" s="263"/>
      <c r="IB438" s="263"/>
      <c r="IC438" s="263"/>
      <c r="ID438" s="263"/>
      <c r="IE438" s="263"/>
      <c r="IF438" s="263"/>
      <c r="IG438" s="263"/>
      <c r="IH438" s="263"/>
      <c r="II438" s="263"/>
      <c r="IJ438" s="263"/>
      <c r="IK438" s="263"/>
      <c r="IL438" s="263"/>
      <c r="IM438" s="263"/>
      <c r="IN438" s="263"/>
      <c r="IO438" s="263"/>
      <c r="IP438" s="263"/>
      <c r="IQ438" s="263"/>
      <c r="IR438" s="263"/>
      <c r="IS438" s="263"/>
      <c r="IT438" s="263"/>
      <c r="IU438" s="263"/>
      <c r="IV438" s="263"/>
      <c r="IW438" s="263"/>
      <c r="IX438" s="263"/>
      <c r="IY438" s="263"/>
      <c r="IZ438" s="265"/>
      <c r="JA438" s="263"/>
      <c r="JB438" s="265"/>
      <c r="JC438" s="266"/>
      <c r="JD438" s="263"/>
      <c r="JE438" s="263"/>
      <c r="JF438" s="263"/>
      <c r="JG438" s="266"/>
      <c r="JH438" s="266"/>
      <c r="JI438" s="266"/>
      <c r="JJ438" s="266"/>
      <c r="JK438" s="266"/>
      <c r="JL438" s="266"/>
      <c r="JO438" s="266"/>
      <c r="JP438" s="263"/>
      <c r="JQ438" s="261"/>
    </row>
    <row r="439" spans="20:277" ht="18" customHeight="1" x14ac:dyDescent="0.2">
      <c r="T439" s="20"/>
      <c r="U439" s="21"/>
      <c r="V439" s="21"/>
      <c r="W439" s="21"/>
      <c r="X439" s="21"/>
      <c r="Y439" s="21"/>
      <c r="Z439" s="21"/>
      <c r="AA439" s="21"/>
      <c r="AB439" s="21"/>
      <c r="AC439" s="21"/>
      <c r="AD439" s="212"/>
      <c r="AE439" s="212"/>
      <c r="AF439" s="212"/>
      <c r="AG439" s="60"/>
      <c r="AH439" s="60"/>
      <c r="AI439" s="60"/>
      <c r="AJ439" s="60"/>
      <c r="AK439" s="14"/>
      <c r="AL439" s="15"/>
      <c r="AM439" s="15"/>
      <c r="AN439" s="15"/>
      <c r="AO439" s="15"/>
      <c r="AP439" s="15"/>
      <c r="AQ439" s="15"/>
      <c r="AR439" s="15"/>
      <c r="AS439" s="16"/>
      <c r="AT439" s="15"/>
      <c r="AU439" s="15"/>
      <c r="AV439" s="15"/>
      <c r="AW439" s="15"/>
      <c r="BE439" s="10"/>
      <c r="BF439" s="10"/>
      <c r="BG439" s="10"/>
      <c r="BH439" s="10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2"/>
      <c r="BY439" s="21"/>
      <c r="BZ439" s="21"/>
      <c r="CA439" s="21"/>
      <c r="CB439" s="21"/>
      <c r="CC439" s="21"/>
      <c r="CD439" s="21"/>
      <c r="CE439" s="20"/>
      <c r="CF439" s="22"/>
      <c r="GV439" s="266"/>
      <c r="GW439" s="266"/>
      <c r="GX439" s="266"/>
      <c r="GY439" s="266"/>
      <c r="GZ439" s="264"/>
      <c r="HA439" s="263"/>
      <c r="HB439" s="264"/>
      <c r="HC439" s="263"/>
      <c r="HD439" s="263"/>
      <c r="HE439" s="263"/>
      <c r="HF439" s="264"/>
      <c r="HG439" s="263"/>
      <c r="HH439" s="263"/>
      <c r="HI439" s="263"/>
      <c r="HJ439" s="263"/>
      <c r="HK439" s="263"/>
      <c r="HL439" s="263"/>
      <c r="HM439" s="263"/>
      <c r="HN439" s="263"/>
      <c r="HO439" s="263"/>
      <c r="HP439" s="263"/>
      <c r="HQ439" s="263"/>
      <c r="HR439" s="263"/>
      <c r="HS439" s="263"/>
      <c r="HT439" s="263"/>
      <c r="HU439" s="263"/>
      <c r="HV439" s="263"/>
      <c r="HW439" s="263"/>
      <c r="HX439" s="263"/>
      <c r="HY439" s="263"/>
      <c r="HZ439" s="263"/>
      <c r="IA439" s="263"/>
      <c r="IB439" s="263"/>
      <c r="IC439" s="263"/>
      <c r="ID439" s="263"/>
      <c r="IE439" s="263"/>
      <c r="IF439" s="263"/>
      <c r="IG439" s="263"/>
      <c r="IH439" s="263"/>
      <c r="II439" s="263"/>
      <c r="IJ439" s="263"/>
      <c r="IK439" s="263"/>
      <c r="IL439" s="263"/>
      <c r="IM439" s="263"/>
      <c r="IN439" s="263"/>
      <c r="IO439" s="263"/>
      <c r="IP439" s="263"/>
      <c r="IQ439" s="263"/>
      <c r="IR439" s="263"/>
      <c r="IS439" s="263"/>
      <c r="IT439" s="263"/>
      <c r="IU439" s="263"/>
      <c r="IV439" s="263"/>
      <c r="IW439" s="263"/>
      <c r="IX439" s="263"/>
      <c r="IY439" s="263"/>
      <c r="IZ439" s="265"/>
      <c r="JA439" s="263"/>
      <c r="JB439" s="265"/>
      <c r="JC439" s="266"/>
      <c r="JD439" s="263"/>
      <c r="JE439" s="263"/>
      <c r="JF439" s="263"/>
      <c r="JG439" s="266"/>
      <c r="JH439" s="266"/>
      <c r="JI439" s="266"/>
      <c r="JJ439" s="266"/>
      <c r="JK439" s="266"/>
      <c r="JL439" s="266"/>
      <c r="JO439" s="266"/>
      <c r="JP439" s="263"/>
      <c r="JQ439" s="261"/>
    </row>
    <row r="440" spans="20:277" ht="18" customHeight="1" x14ac:dyDescent="0.2">
      <c r="T440" s="9"/>
      <c r="U440" s="11"/>
      <c r="AS440" s="13"/>
      <c r="AT440" s="17"/>
      <c r="AU440" s="10"/>
      <c r="AV440" s="10"/>
      <c r="AW440" s="10"/>
      <c r="AX440" s="10"/>
      <c r="AY440" s="10"/>
      <c r="AZ440" s="57"/>
      <c r="BA440" s="57"/>
      <c r="BB440" s="57"/>
      <c r="BC440" s="10"/>
      <c r="BD440" s="10"/>
      <c r="BE440" s="10"/>
      <c r="BF440" s="10"/>
      <c r="BG440" s="10"/>
      <c r="BH440" s="10"/>
      <c r="CE440" s="12"/>
      <c r="CF440" s="13"/>
      <c r="GV440" s="266"/>
      <c r="GW440" s="266"/>
      <c r="GX440" s="266"/>
      <c r="GY440" s="266"/>
      <c r="GZ440" s="264"/>
      <c r="HA440" s="263"/>
      <c r="HB440" s="264"/>
      <c r="HC440" s="263"/>
      <c r="HD440" s="263"/>
      <c r="HE440" s="263"/>
      <c r="HF440" s="271"/>
      <c r="HG440" s="267"/>
      <c r="HH440" s="267"/>
      <c r="HI440" s="267"/>
      <c r="HJ440" s="267"/>
      <c r="HK440" s="267"/>
      <c r="HL440" s="267"/>
      <c r="HM440" s="267"/>
      <c r="HN440" s="267"/>
      <c r="HO440" s="267"/>
      <c r="HP440" s="267"/>
      <c r="HQ440" s="267"/>
      <c r="HR440" s="267"/>
      <c r="HS440" s="263"/>
      <c r="HT440" s="263"/>
      <c r="HU440" s="263"/>
      <c r="HV440" s="263"/>
      <c r="HW440" s="263"/>
      <c r="HX440" s="263"/>
      <c r="HY440" s="263"/>
      <c r="HZ440" s="263"/>
      <c r="IA440" s="263"/>
      <c r="IB440" s="263"/>
      <c r="IC440" s="263"/>
      <c r="ID440" s="263"/>
      <c r="IE440" s="263"/>
      <c r="IF440" s="263"/>
      <c r="IG440" s="263"/>
      <c r="IH440" s="263"/>
      <c r="II440" s="263"/>
      <c r="IJ440" s="263"/>
      <c r="IK440" s="263"/>
      <c r="IL440" s="263"/>
      <c r="IM440" s="263"/>
      <c r="IN440" s="263"/>
      <c r="IO440" s="263"/>
      <c r="IP440" s="263"/>
      <c r="IQ440" s="263"/>
      <c r="IR440" s="263"/>
      <c r="IS440" s="263"/>
      <c r="IT440" s="263"/>
      <c r="IU440" s="263"/>
      <c r="IV440" s="263"/>
      <c r="IW440" s="263"/>
      <c r="IX440" s="263"/>
      <c r="IY440" s="263"/>
      <c r="IZ440" s="265"/>
      <c r="JA440" s="263"/>
      <c r="JB440" s="265"/>
      <c r="JC440" s="266"/>
      <c r="JD440" s="263"/>
      <c r="JE440" s="263"/>
      <c r="JF440" s="263"/>
      <c r="JG440" s="266"/>
      <c r="JH440" s="266"/>
      <c r="JI440" s="266"/>
      <c r="JJ440" s="266"/>
      <c r="JK440" s="266"/>
      <c r="JL440" s="266"/>
      <c r="JO440" s="266"/>
      <c r="JP440" s="263"/>
      <c r="JQ440" s="261"/>
    </row>
    <row r="441" spans="20:277" ht="18" customHeight="1" x14ac:dyDescent="0.2">
      <c r="T441" s="12"/>
      <c r="U441" s="13"/>
      <c r="AS441" s="13"/>
      <c r="AT441" s="18"/>
      <c r="AZ441" s="97"/>
      <c r="BA441" s="97"/>
      <c r="BB441" s="97"/>
      <c r="BD441" s="9"/>
      <c r="BE441" s="10"/>
      <c r="BF441" s="10"/>
      <c r="BG441" s="10"/>
      <c r="BH441" s="11"/>
      <c r="CE441" s="12"/>
      <c r="CF441" s="13"/>
      <c r="GV441" s="266"/>
      <c r="GW441" s="266"/>
      <c r="GX441" s="266"/>
      <c r="GY441" s="266"/>
      <c r="GZ441" s="264"/>
      <c r="HA441" s="263"/>
      <c r="HB441" s="264"/>
      <c r="HC441" s="263"/>
      <c r="HD441" s="263"/>
      <c r="HE441" s="263"/>
      <c r="HF441" s="263"/>
      <c r="HG441" s="263"/>
      <c r="HH441" s="263"/>
      <c r="HI441" s="263"/>
      <c r="HJ441" s="263"/>
      <c r="HK441" s="263"/>
      <c r="HL441" s="263"/>
      <c r="HM441" s="263"/>
      <c r="HN441" s="263"/>
      <c r="HO441" s="263"/>
      <c r="HP441" s="263"/>
      <c r="HQ441" s="263"/>
      <c r="HR441" s="277"/>
      <c r="HS441" s="264"/>
      <c r="HT441" s="263"/>
      <c r="HU441" s="263"/>
      <c r="HV441" s="263"/>
      <c r="HW441" s="263"/>
      <c r="HX441" s="263"/>
      <c r="HY441" s="263"/>
      <c r="HZ441" s="263"/>
      <c r="IA441" s="263"/>
      <c r="IB441" s="263"/>
      <c r="IC441" s="263"/>
      <c r="ID441" s="263"/>
      <c r="IE441" s="263"/>
      <c r="IF441" s="263"/>
      <c r="IG441" s="263"/>
      <c r="IH441" s="263"/>
      <c r="II441" s="263"/>
      <c r="IJ441" s="263"/>
      <c r="IK441" s="263"/>
      <c r="IL441" s="263"/>
      <c r="IM441" s="263"/>
      <c r="IN441" s="263"/>
      <c r="IO441" s="263"/>
      <c r="IP441" s="263"/>
      <c r="IQ441" s="263"/>
      <c r="IR441" s="263"/>
      <c r="IS441" s="263"/>
      <c r="IT441" s="263"/>
      <c r="IU441" s="263"/>
      <c r="IV441" s="263"/>
      <c r="IW441" s="263"/>
      <c r="IX441" s="263"/>
      <c r="IY441" s="263"/>
      <c r="IZ441" s="265"/>
      <c r="JA441" s="263"/>
      <c r="JB441" s="265"/>
      <c r="JC441" s="266"/>
      <c r="JD441" s="263"/>
      <c r="JE441" s="263"/>
      <c r="JF441" s="263"/>
      <c r="JG441" s="266"/>
      <c r="JH441" s="266"/>
      <c r="JI441" s="266"/>
      <c r="JL441" s="266"/>
      <c r="JO441" s="266"/>
      <c r="JP441" s="263"/>
      <c r="JQ441" s="261"/>
    </row>
    <row r="442" spans="20:277" ht="18" customHeight="1" x14ac:dyDescent="0.2">
      <c r="T442" s="12"/>
      <c r="U442" s="13"/>
      <c r="AS442" s="13"/>
      <c r="AT442" s="18"/>
      <c r="AZ442" s="97"/>
      <c r="BA442" s="97"/>
      <c r="BB442" s="97"/>
      <c r="BD442" s="12"/>
      <c r="BH442" s="13"/>
      <c r="CE442" s="12"/>
      <c r="CF442" s="13"/>
      <c r="GV442" s="266"/>
      <c r="GW442" s="266"/>
      <c r="GX442" s="266"/>
      <c r="GY442" s="266"/>
      <c r="GZ442" s="264"/>
      <c r="HA442" s="263"/>
      <c r="HB442" s="264"/>
      <c r="HC442" s="263"/>
      <c r="HD442" s="263"/>
      <c r="HE442" s="263"/>
      <c r="HF442" s="263"/>
      <c r="HG442" s="263"/>
      <c r="HH442" s="263"/>
      <c r="HI442" s="263"/>
      <c r="HJ442" s="263"/>
      <c r="HK442" s="263"/>
      <c r="HL442" s="263"/>
      <c r="HM442" s="263"/>
      <c r="HN442" s="263"/>
      <c r="HO442" s="263"/>
      <c r="HP442" s="263"/>
      <c r="HQ442" s="263"/>
      <c r="HR442" s="273"/>
      <c r="HS442" s="264"/>
      <c r="HT442" s="263"/>
      <c r="HU442" s="263"/>
      <c r="HV442" s="263"/>
      <c r="HW442" s="263"/>
      <c r="HX442" s="263"/>
      <c r="HY442" s="263"/>
      <c r="HZ442" s="263"/>
      <c r="IA442" s="263"/>
      <c r="IB442" s="263"/>
      <c r="IC442" s="263"/>
      <c r="ID442" s="263"/>
      <c r="IE442" s="263"/>
      <c r="IF442" s="263"/>
      <c r="IG442" s="263"/>
      <c r="IH442" s="263"/>
      <c r="II442" s="263"/>
      <c r="IJ442" s="263"/>
      <c r="IK442" s="263"/>
      <c r="IL442" s="263"/>
      <c r="IM442" s="263"/>
      <c r="IN442" s="263"/>
      <c r="IO442" s="263"/>
      <c r="IP442" s="263"/>
      <c r="IQ442" s="263"/>
      <c r="IR442" s="263"/>
      <c r="IS442" s="263"/>
      <c r="IT442" s="263"/>
      <c r="IU442" s="263"/>
      <c r="IV442" s="263"/>
      <c r="IW442" s="263"/>
      <c r="IX442" s="263"/>
      <c r="IY442" s="263"/>
      <c r="IZ442" s="265"/>
      <c r="JA442" s="263"/>
      <c r="JB442" s="265"/>
      <c r="JC442" s="266"/>
      <c r="JD442" s="263"/>
      <c r="JE442" s="263"/>
      <c r="JF442" s="263"/>
      <c r="JG442" s="266"/>
      <c r="JH442" s="266"/>
      <c r="JI442" s="266"/>
      <c r="JO442" s="266"/>
      <c r="JP442" s="263"/>
      <c r="JQ442" s="261"/>
    </row>
    <row r="443" spans="20:277" ht="18" customHeight="1" x14ac:dyDescent="0.2">
      <c r="T443" s="12"/>
      <c r="U443" s="13"/>
      <c r="AS443" s="13"/>
      <c r="AT443" s="18"/>
      <c r="AZ443" s="97"/>
      <c r="BA443" s="97"/>
      <c r="BB443" s="97"/>
      <c r="BD443" s="12"/>
      <c r="BH443" s="13"/>
      <c r="CE443" s="12"/>
      <c r="CF443" s="13"/>
      <c r="GV443" s="266"/>
      <c r="GW443" s="266"/>
      <c r="GX443" s="266"/>
      <c r="GY443" s="266"/>
      <c r="GZ443" s="264"/>
      <c r="HA443" s="263"/>
      <c r="HB443" s="264"/>
      <c r="HC443" s="263"/>
      <c r="HD443" s="263"/>
      <c r="HE443" s="263"/>
      <c r="HF443" s="263"/>
      <c r="HG443" s="263"/>
      <c r="HH443" s="263"/>
      <c r="HI443" s="263"/>
      <c r="HJ443" s="263"/>
      <c r="HK443" s="263"/>
      <c r="HL443" s="263"/>
      <c r="HM443" s="263"/>
      <c r="HN443" s="263"/>
      <c r="HO443" s="263"/>
      <c r="HP443" s="263"/>
      <c r="HQ443" s="263"/>
      <c r="HR443" s="273"/>
      <c r="HS443" s="264"/>
      <c r="HT443" s="263"/>
      <c r="HU443" s="263"/>
      <c r="HV443" s="263"/>
      <c r="HW443" s="263"/>
      <c r="HX443" s="263"/>
      <c r="HY443" s="263"/>
      <c r="HZ443" s="263"/>
      <c r="IA443" s="263"/>
      <c r="IB443" s="263"/>
      <c r="IC443" s="263"/>
      <c r="ID443" s="263"/>
      <c r="IE443" s="263"/>
      <c r="IF443" s="263"/>
      <c r="IG443" s="263"/>
      <c r="IH443" s="263"/>
      <c r="II443" s="263"/>
      <c r="IJ443" s="263"/>
      <c r="IK443" s="263"/>
      <c r="IL443" s="263"/>
      <c r="IM443" s="263"/>
      <c r="IN443" s="263"/>
      <c r="IO443" s="263"/>
      <c r="IP443" s="263"/>
      <c r="IQ443" s="263"/>
      <c r="IR443" s="263"/>
      <c r="IS443" s="263"/>
      <c r="IT443" s="263"/>
      <c r="IU443" s="263"/>
      <c r="IV443" s="263"/>
      <c r="IW443" s="263"/>
      <c r="IX443" s="263"/>
      <c r="IY443" s="263"/>
      <c r="IZ443" s="265"/>
      <c r="JA443" s="263"/>
      <c r="JB443" s="265"/>
      <c r="JC443" s="266"/>
      <c r="JD443" s="263"/>
      <c r="JE443" s="263"/>
      <c r="JF443" s="263"/>
      <c r="JG443" s="266"/>
      <c r="JH443" s="266"/>
      <c r="JI443" s="266"/>
      <c r="JP443" s="261"/>
      <c r="JQ443" s="261"/>
    </row>
    <row r="444" spans="20:277" ht="18" customHeight="1" x14ac:dyDescent="0.2">
      <c r="T444" s="12"/>
      <c r="U444" s="13"/>
      <c r="AS444" s="13"/>
      <c r="AT444" s="18"/>
      <c r="AZ444" s="97"/>
      <c r="BA444" s="97"/>
      <c r="BB444" s="97"/>
      <c r="BD444" s="12"/>
      <c r="BH444" s="13"/>
      <c r="CE444" s="12"/>
      <c r="CF444" s="13"/>
      <c r="GV444" s="266"/>
      <c r="GW444" s="266"/>
      <c r="GX444" s="266"/>
      <c r="GY444" s="266"/>
      <c r="GZ444" s="264"/>
      <c r="HA444" s="263"/>
      <c r="HB444" s="271"/>
      <c r="HC444" s="267"/>
      <c r="HD444" s="267"/>
      <c r="HE444" s="267"/>
      <c r="HF444" s="267"/>
      <c r="HG444" s="267"/>
      <c r="HH444" s="267"/>
      <c r="HI444" s="267"/>
      <c r="HJ444" s="267"/>
      <c r="HK444" s="267"/>
      <c r="HL444" s="267"/>
      <c r="HM444" s="267"/>
      <c r="HN444" s="267"/>
      <c r="HO444" s="267"/>
      <c r="HP444" s="267"/>
      <c r="HQ444" s="267"/>
      <c r="HR444" s="278"/>
      <c r="HS444" s="271"/>
      <c r="HT444" s="267"/>
      <c r="HU444" s="267"/>
      <c r="HV444" s="267"/>
      <c r="HW444" s="267"/>
      <c r="HX444" s="267"/>
      <c r="HY444" s="267"/>
      <c r="HZ444" s="267"/>
      <c r="IA444" s="267"/>
      <c r="IB444" s="267"/>
      <c r="IC444" s="267"/>
      <c r="ID444" s="267"/>
      <c r="IE444" s="267"/>
      <c r="IF444" s="267"/>
      <c r="IG444" s="267"/>
      <c r="IH444" s="267"/>
      <c r="II444" s="267"/>
      <c r="IJ444" s="267"/>
      <c r="IK444" s="267"/>
      <c r="IL444" s="267"/>
      <c r="IM444" s="267"/>
      <c r="IN444" s="267"/>
      <c r="IO444" s="267"/>
      <c r="IP444" s="267"/>
      <c r="IQ444" s="267"/>
      <c r="IR444" s="267"/>
      <c r="IS444" s="267"/>
      <c r="IT444" s="267"/>
      <c r="IU444" s="267"/>
      <c r="IV444" s="267"/>
      <c r="IW444" s="267"/>
      <c r="IX444" s="267"/>
      <c r="IY444" s="267"/>
      <c r="IZ444" s="272"/>
      <c r="JA444" s="263"/>
      <c r="JB444" s="265"/>
      <c r="JC444" s="266"/>
      <c r="JD444" s="263"/>
      <c r="JE444" s="263"/>
      <c r="JF444" s="263"/>
      <c r="JG444" s="266"/>
      <c r="JI444" s="266"/>
      <c r="JP444" s="261"/>
      <c r="JQ444" s="261"/>
    </row>
    <row r="445" spans="20:277" ht="18" customHeight="1" x14ac:dyDescent="0.2">
      <c r="T445" s="12"/>
      <c r="U445" s="13"/>
      <c r="AS445" s="13"/>
      <c r="AT445" s="18"/>
      <c r="AZ445" s="97"/>
      <c r="BA445" s="97"/>
      <c r="BB445" s="97"/>
      <c r="BD445" s="9"/>
      <c r="BE445" s="10"/>
      <c r="BF445" s="10"/>
      <c r="BG445" s="10"/>
      <c r="BH445" s="11"/>
      <c r="BI445" s="10"/>
      <c r="BJ445" s="17"/>
      <c r="CE445" s="12"/>
      <c r="CF445" s="13"/>
      <c r="GV445" s="266"/>
      <c r="GW445" s="266"/>
      <c r="GX445" s="266"/>
      <c r="GY445" s="266"/>
      <c r="GZ445" s="96"/>
      <c r="HA445" s="262"/>
      <c r="HB445" s="263"/>
      <c r="HC445" s="263"/>
      <c r="HD445" s="263"/>
      <c r="HE445" s="263"/>
      <c r="HF445" s="276"/>
      <c r="HG445" s="274"/>
      <c r="HH445" s="274"/>
      <c r="HI445" s="274"/>
      <c r="HJ445" s="274"/>
      <c r="HK445" s="275"/>
      <c r="HL445" s="263"/>
      <c r="HM445" s="263"/>
      <c r="HN445" s="263"/>
      <c r="HO445" s="263"/>
      <c r="HP445" s="263"/>
      <c r="HQ445" s="263"/>
      <c r="HR445" s="263"/>
      <c r="HS445" s="263"/>
      <c r="HT445" s="263"/>
      <c r="HU445" s="263"/>
      <c r="HV445" s="263"/>
      <c r="HW445" s="263"/>
      <c r="HX445" s="263"/>
      <c r="HY445" s="263"/>
      <c r="HZ445" s="262"/>
      <c r="IA445" s="262"/>
      <c r="IB445" s="263"/>
      <c r="IC445" s="263"/>
      <c r="ID445" s="263"/>
      <c r="IE445" s="263"/>
      <c r="IF445" s="263"/>
      <c r="IG445" s="263"/>
      <c r="IH445" s="263"/>
      <c r="II445" s="263"/>
      <c r="IJ445" s="263"/>
      <c r="IK445" s="263"/>
      <c r="IL445" s="263"/>
      <c r="IM445" s="263"/>
      <c r="IN445" s="263"/>
      <c r="IO445" s="263"/>
      <c r="IP445" s="263"/>
      <c r="IQ445" s="263"/>
      <c r="IR445" s="263"/>
      <c r="IS445" s="263"/>
      <c r="IT445" s="263"/>
      <c r="IU445" s="263"/>
      <c r="IV445" s="263"/>
      <c r="IW445" s="263"/>
      <c r="IX445" s="263"/>
      <c r="IY445" s="263"/>
      <c r="IZ445" s="263"/>
      <c r="JA445" s="262"/>
      <c r="JB445" s="98"/>
      <c r="JC445" s="266"/>
      <c r="JD445" s="263"/>
      <c r="JE445" s="263"/>
      <c r="JF445" s="263"/>
      <c r="JG445" s="266"/>
      <c r="JI445" s="266"/>
      <c r="JP445" s="261"/>
      <c r="JQ445" s="261"/>
    </row>
    <row r="446" spans="20:277" ht="18" customHeight="1" x14ac:dyDescent="0.2">
      <c r="T446" s="12"/>
      <c r="U446" s="13"/>
      <c r="AS446" s="13"/>
      <c r="AT446" s="18"/>
      <c r="AZ446" s="97"/>
      <c r="BA446" s="97"/>
      <c r="BB446" s="97"/>
      <c r="BD446" s="12"/>
      <c r="BH446" s="13"/>
      <c r="BJ446" s="17"/>
      <c r="CE446" s="12"/>
      <c r="CF446" s="13"/>
      <c r="GV446" s="266"/>
      <c r="GW446" s="266"/>
      <c r="GX446" s="266"/>
      <c r="GY446" s="266"/>
      <c r="GZ446" s="59"/>
      <c r="HA446" s="60"/>
      <c r="HB446" s="267"/>
      <c r="HC446" s="267"/>
      <c r="HD446" s="267"/>
      <c r="HE446" s="267"/>
      <c r="HF446" s="276"/>
      <c r="HG446" s="274"/>
      <c r="HH446" s="274"/>
      <c r="HI446" s="274"/>
      <c r="HJ446" s="274"/>
      <c r="HK446" s="275"/>
      <c r="HL446" s="267"/>
      <c r="HM446" s="267"/>
      <c r="HN446" s="267"/>
      <c r="HO446" s="267"/>
      <c r="HP446" s="267"/>
      <c r="HQ446" s="267"/>
      <c r="HR446" s="267"/>
      <c r="HS446" s="267"/>
      <c r="HT446" s="267"/>
      <c r="HU446" s="267"/>
      <c r="HV446" s="267"/>
      <c r="HW446" s="267"/>
      <c r="HX446" s="267"/>
      <c r="HY446" s="267"/>
      <c r="HZ446" s="60"/>
      <c r="IA446" s="60"/>
      <c r="IB446" s="267"/>
      <c r="IC446" s="267"/>
      <c r="ID446" s="267"/>
      <c r="IE446" s="267"/>
      <c r="IF446" s="267"/>
      <c r="IG446" s="267"/>
      <c r="IH446" s="267"/>
      <c r="II446" s="267"/>
      <c r="IJ446" s="267"/>
      <c r="IK446" s="267"/>
      <c r="IL446" s="267"/>
      <c r="IM446" s="267"/>
      <c r="IN446" s="267"/>
      <c r="IO446" s="267"/>
      <c r="IP446" s="267"/>
      <c r="IQ446" s="267"/>
      <c r="IR446" s="267"/>
      <c r="IS446" s="267"/>
      <c r="IT446" s="267"/>
      <c r="IU446" s="267"/>
      <c r="IV446" s="267"/>
      <c r="IW446" s="267"/>
      <c r="IX446" s="267"/>
      <c r="IY446" s="267"/>
      <c r="IZ446" s="267"/>
      <c r="JA446" s="60"/>
      <c r="JB446" s="61"/>
      <c r="JC446" s="266"/>
      <c r="JD446" s="263"/>
      <c r="JE446" s="263"/>
      <c r="JF446" s="263"/>
      <c r="JG446" s="266"/>
      <c r="JI446" s="266"/>
      <c r="JP446" s="261"/>
      <c r="JQ446" s="261"/>
    </row>
    <row r="447" spans="20:277" ht="18" customHeight="1" x14ac:dyDescent="0.2">
      <c r="T447" s="12"/>
      <c r="U447" s="13"/>
      <c r="AS447" s="13"/>
      <c r="AT447" s="18"/>
      <c r="AZ447" s="97"/>
      <c r="BA447" s="97"/>
      <c r="BB447" s="97"/>
      <c r="BD447" s="12"/>
      <c r="BH447" s="13"/>
      <c r="BJ447" s="18"/>
      <c r="CE447" s="12"/>
      <c r="CF447" s="13"/>
      <c r="GV447" s="266"/>
      <c r="GW447" s="266"/>
      <c r="GX447" s="266"/>
      <c r="GY447" s="266"/>
      <c r="GZ447" s="266"/>
      <c r="HA447" s="266"/>
      <c r="HB447" s="266"/>
      <c r="HC447" s="266"/>
      <c r="HD447" s="266"/>
      <c r="HE447" s="266"/>
      <c r="HF447" s="266"/>
      <c r="HG447" s="266"/>
      <c r="HH447" s="266"/>
      <c r="HI447" s="266"/>
      <c r="HJ447" s="266"/>
      <c r="HK447" s="266"/>
      <c r="HL447" s="266"/>
      <c r="HM447" s="266"/>
      <c r="HN447" s="266"/>
      <c r="HO447" s="266"/>
      <c r="HP447" s="266"/>
      <c r="HQ447" s="266"/>
      <c r="HR447" s="266"/>
      <c r="HS447" s="266"/>
      <c r="HT447" s="266"/>
      <c r="HU447" s="266"/>
      <c r="HV447" s="266"/>
      <c r="HW447" s="266"/>
      <c r="HX447" s="266"/>
      <c r="HY447" s="266"/>
      <c r="HZ447" s="266"/>
      <c r="IA447" s="266"/>
      <c r="IB447" s="266"/>
      <c r="IC447" s="266"/>
      <c r="ID447" s="266"/>
      <c r="IE447" s="266"/>
      <c r="IF447" s="266"/>
      <c r="IG447" s="266"/>
      <c r="IH447" s="266"/>
      <c r="II447" s="266"/>
      <c r="IJ447" s="266"/>
      <c r="IK447" s="266"/>
      <c r="IL447" s="266"/>
      <c r="IM447" s="266"/>
      <c r="IN447" s="266"/>
      <c r="IO447" s="266"/>
      <c r="IP447" s="266"/>
      <c r="IQ447" s="266"/>
      <c r="IR447" s="266"/>
      <c r="IS447" s="266"/>
      <c r="IT447" s="266"/>
      <c r="IU447" s="266"/>
      <c r="IV447" s="266"/>
      <c r="IW447" s="266"/>
      <c r="IX447" s="266"/>
      <c r="IY447" s="266"/>
      <c r="IZ447" s="266"/>
      <c r="JA447" s="266"/>
      <c r="JB447" s="266"/>
      <c r="JC447" s="266"/>
      <c r="JD447" s="263"/>
      <c r="JE447" s="263"/>
      <c r="JF447" s="266"/>
      <c r="JG447" s="266"/>
    </row>
    <row r="448" spans="20:277" ht="18" customHeight="1" x14ac:dyDescent="0.2">
      <c r="T448" s="12"/>
      <c r="U448" s="13"/>
      <c r="AS448" s="13"/>
      <c r="AT448" s="18"/>
      <c r="AZ448" s="97"/>
      <c r="BA448" s="97"/>
      <c r="BB448" s="97"/>
      <c r="BD448" s="12"/>
      <c r="BH448" s="13"/>
      <c r="BJ448" s="18"/>
      <c r="CE448" s="12"/>
      <c r="CF448" s="13"/>
      <c r="GV448" s="266"/>
      <c r="GW448" s="266"/>
      <c r="GX448" s="266"/>
      <c r="GY448" s="266"/>
      <c r="GZ448" s="266"/>
      <c r="HA448" s="266"/>
      <c r="HB448" s="266"/>
      <c r="HC448" s="266"/>
      <c r="HD448" s="266"/>
      <c r="HE448" s="266"/>
      <c r="HF448" s="266"/>
      <c r="HG448" s="266"/>
      <c r="HH448" s="266"/>
      <c r="HI448" s="266"/>
      <c r="HJ448" s="266"/>
      <c r="HK448" s="266"/>
      <c r="HL448" s="266"/>
      <c r="HM448" s="266"/>
      <c r="HN448" s="266"/>
      <c r="HO448" s="266"/>
      <c r="HP448" s="266"/>
      <c r="HQ448" s="266"/>
      <c r="HR448" s="266"/>
      <c r="HS448" s="266"/>
      <c r="HT448" s="266"/>
      <c r="HU448" s="266"/>
      <c r="HV448" s="266"/>
      <c r="HW448" s="266"/>
      <c r="HX448" s="266"/>
      <c r="HY448" s="266"/>
      <c r="HZ448" s="266"/>
      <c r="IA448" s="266"/>
      <c r="IB448" s="266"/>
      <c r="IC448" s="266"/>
      <c r="ID448" s="266"/>
      <c r="IE448" s="266"/>
      <c r="IF448" s="266"/>
      <c r="IG448" s="266"/>
      <c r="IH448" s="266"/>
      <c r="II448" s="266"/>
      <c r="IJ448" s="266"/>
      <c r="IK448" s="266"/>
      <c r="IL448" s="266"/>
      <c r="IM448" s="266"/>
      <c r="IN448" s="266"/>
      <c r="IO448" s="266"/>
      <c r="IP448" s="266"/>
      <c r="IQ448" s="266"/>
      <c r="IR448" s="266"/>
      <c r="IS448" s="266"/>
      <c r="IT448" s="266"/>
      <c r="IU448" s="266"/>
      <c r="IV448" s="266"/>
      <c r="IW448" s="266"/>
      <c r="IX448" s="266"/>
      <c r="IY448" s="266"/>
      <c r="IZ448" s="266"/>
      <c r="JA448" s="266"/>
      <c r="JB448" s="266"/>
      <c r="JC448" s="266"/>
      <c r="JD448" s="266"/>
      <c r="JE448" s="266"/>
      <c r="JF448" s="266"/>
      <c r="JG448" s="266"/>
      <c r="JH448" s="266"/>
    </row>
    <row r="449" spans="20:267" ht="18" customHeight="1" x14ac:dyDescent="0.2">
      <c r="T449" s="12"/>
      <c r="U449" s="13"/>
      <c r="AS449" s="13"/>
      <c r="AT449" s="18"/>
      <c r="AZ449" s="97"/>
      <c r="BA449" s="97"/>
      <c r="BB449" s="97"/>
      <c r="BD449" s="12"/>
      <c r="BH449" s="13"/>
      <c r="BJ449" s="18"/>
      <c r="CE449" s="12"/>
      <c r="CF449" s="13"/>
      <c r="GW449" s="266"/>
      <c r="GX449" s="266"/>
      <c r="GY449" s="266"/>
      <c r="GZ449" s="266"/>
      <c r="HA449" s="266"/>
      <c r="HB449" s="266"/>
      <c r="HC449" s="266"/>
      <c r="HD449" s="266"/>
      <c r="HE449" s="266"/>
      <c r="HF449" s="266"/>
      <c r="HG449" s="266"/>
      <c r="HH449" s="266"/>
      <c r="HI449" s="266"/>
      <c r="HJ449" s="266"/>
      <c r="HK449" s="266"/>
      <c r="HL449" s="266"/>
      <c r="HM449" s="266"/>
      <c r="HN449" s="266"/>
      <c r="HO449" s="266"/>
      <c r="HP449" s="266"/>
      <c r="HQ449" s="266"/>
      <c r="HR449" s="266"/>
      <c r="HS449" s="266"/>
      <c r="HT449" s="266"/>
      <c r="HU449" s="266"/>
      <c r="HV449" s="266"/>
      <c r="HW449" s="266"/>
      <c r="HX449" s="266"/>
      <c r="HY449" s="266"/>
      <c r="HZ449" s="266"/>
      <c r="IA449" s="266"/>
      <c r="IB449" s="266"/>
      <c r="IC449" s="266"/>
      <c r="ID449" s="266"/>
      <c r="IE449" s="266"/>
      <c r="IF449" s="266"/>
      <c r="IG449" s="266"/>
      <c r="IH449" s="266"/>
      <c r="II449" s="266"/>
      <c r="IJ449" s="266"/>
      <c r="IK449" s="266"/>
      <c r="IL449" s="266"/>
      <c r="IM449" s="266"/>
      <c r="IN449" s="266"/>
      <c r="IO449" s="266"/>
      <c r="IP449" s="266"/>
      <c r="IQ449" s="266"/>
      <c r="IR449" s="266"/>
      <c r="IS449" s="266"/>
      <c r="IT449" s="266"/>
      <c r="IU449" s="266"/>
      <c r="IV449" s="266"/>
      <c r="IW449" s="266"/>
      <c r="IX449" s="266"/>
      <c r="IY449" s="266"/>
      <c r="IZ449" s="266"/>
      <c r="JA449" s="266"/>
      <c r="JB449" s="266"/>
      <c r="JC449" s="266"/>
      <c r="JD449" s="266"/>
      <c r="JE449" s="266"/>
      <c r="JG449" s="266"/>
    </row>
    <row r="450" spans="20:267" ht="18" customHeight="1" x14ac:dyDescent="0.2">
      <c r="T450" s="12"/>
      <c r="U450" s="13"/>
      <c r="AS450" s="13"/>
      <c r="AT450" s="18"/>
      <c r="AZ450" s="97"/>
      <c r="BA450" s="97"/>
      <c r="BB450" s="97"/>
      <c r="BD450" s="14"/>
      <c r="BE450" s="15"/>
      <c r="BF450" s="15"/>
      <c r="BG450" s="15"/>
      <c r="BH450" s="16"/>
      <c r="BI450" s="15"/>
      <c r="BJ450" s="19"/>
      <c r="CE450" s="12"/>
      <c r="CF450" s="13"/>
      <c r="JG450" s="266"/>
    </row>
    <row r="451" spans="20:267" ht="18" customHeight="1" x14ac:dyDescent="0.2">
      <c r="T451" s="12"/>
      <c r="U451" s="13"/>
      <c r="AS451" s="13"/>
      <c r="AT451" s="18"/>
      <c r="AZ451" s="97"/>
      <c r="BA451" s="97"/>
      <c r="BB451" s="97"/>
      <c r="BD451" s="225"/>
      <c r="BE451" s="225"/>
      <c r="BF451" s="225"/>
      <c r="BG451" s="225"/>
      <c r="BH451" s="225"/>
      <c r="BI451" s="225"/>
      <c r="BJ451" s="226"/>
      <c r="CE451" s="12"/>
      <c r="CF451" s="13"/>
    </row>
    <row r="452" spans="20:267" ht="18" customHeight="1" x14ac:dyDescent="0.2">
      <c r="T452" s="12"/>
      <c r="U452" s="13"/>
      <c r="AS452" s="13"/>
      <c r="AT452" s="18"/>
      <c r="AZ452" s="97"/>
      <c r="BA452" s="97"/>
      <c r="BB452" s="97"/>
      <c r="CE452" s="12"/>
      <c r="CF452" s="13"/>
    </row>
    <row r="453" spans="20:267" ht="18" customHeight="1" x14ac:dyDescent="0.2">
      <c r="T453" s="12"/>
      <c r="U453" s="13"/>
      <c r="AS453" s="13"/>
      <c r="AT453" s="18"/>
      <c r="AZ453" s="97"/>
      <c r="BA453" s="97"/>
      <c r="BB453" s="97"/>
      <c r="BE453" s="18"/>
      <c r="CE453" s="12"/>
      <c r="CF453" s="13"/>
    </row>
    <row r="454" spans="20:267" ht="18" customHeight="1" x14ac:dyDescent="0.2">
      <c r="T454" s="12"/>
      <c r="U454" s="13"/>
      <c r="AS454" s="13"/>
      <c r="AT454" s="18"/>
      <c r="AZ454" s="97"/>
      <c r="BA454" s="97"/>
      <c r="BB454" s="97"/>
      <c r="BE454" s="18"/>
      <c r="CE454" s="12"/>
      <c r="CF454" s="13"/>
    </row>
    <row r="455" spans="20:267" ht="18" customHeight="1" x14ac:dyDescent="0.2">
      <c r="T455" s="12"/>
      <c r="U455" s="13"/>
      <c r="AS455" s="13"/>
      <c r="AT455" s="18"/>
      <c r="AZ455" s="97"/>
      <c r="BA455" s="97"/>
      <c r="BB455" s="97"/>
      <c r="BE455" s="18"/>
      <c r="BX455" s="13"/>
      <c r="CE455" s="12"/>
      <c r="CF455" s="13"/>
    </row>
    <row r="456" spans="20:267" ht="18" customHeight="1" x14ac:dyDescent="0.2">
      <c r="T456" s="12"/>
      <c r="U456" s="13"/>
      <c r="AS456" s="13"/>
      <c r="AT456" s="18"/>
      <c r="AZ456" s="97"/>
      <c r="BA456" s="97"/>
      <c r="BB456" s="97"/>
      <c r="BE456" s="18"/>
      <c r="BX456" s="13"/>
      <c r="CE456" s="12"/>
      <c r="CF456" s="13"/>
    </row>
    <row r="457" spans="20:267" ht="18" customHeight="1" x14ac:dyDescent="0.2">
      <c r="T457" s="12"/>
      <c r="U457" s="13"/>
      <c r="AS457" s="13"/>
      <c r="AT457" s="18"/>
      <c r="AZ457" s="97"/>
      <c r="BA457" s="97"/>
      <c r="BB457" s="97"/>
      <c r="BE457" s="18"/>
      <c r="BX457" s="13"/>
      <c r="CE457" s="12"/>
      <c r="CF457" s="13"/>
    </row>
    <row r="458" spans="20:267" ht="18" customHeight="1" x14ac:dyDescent="0.2">
      <c r="T458" s="12"/>
      <c r="U458" s="13"/>
      <c r="AS458" s="13"/>
      <c r="AT458" s="18"/>
      <c r="AZ458" s="97"/>
      <c r="BA458" s="97"/>
      <c r="BB458" s="97"/>
      <c r="BE458" s="18"/>
      <c r="BX458" s="13"/>
      <c r="CE458" s="12"/>
      <c r="CF458" s="13"/>
    </row>
    <row r="459" spans="20:267" ht="18" customHeight="1" x14ac:dyDescent="0.2">
      <c r="T459" s="12"/>
      <c r="U459" s="13"/>
      <c r="AS459" s="13"/>
      <c r="AT459" s="18"/>
      <c r="AZ459" s="97"/>
      <c r="BA459" s="97"/>
      <c r="BB459" s="97"/>
      <c r="BE459" s="18"/>
      <c r="BX459" s="13"/>
      <c r="CE459" s="12"/>
      <c r="CF459" s="13"/>
    </row>
    <row r="460" spans="20:267" ht="18" customHeight="1" x14ac:dyDescent="0.2">
      <c r="T460" s="12"/>
      <c r="U460" s="13"/>
      <c r="AS460" s="13"/>
      <c r="AT460" s="18"/>
      <c r="AZ460" s="97"/>
      <c r="BA460" s="97"/>
      <c r="BB460" s="97"/>
      <c r="BE460" s="18"/>
      <c r="BX460" s="13"/>
      <c r="CE460" s="12"/>
      <c r="CF460" s="13"/>
    </row>
    <row r="461" spans="20:267" ht="18" customHeight="1" x14ac:dyDescent="0.2">
      <c r="T461" s="12"/>
      <c r="U461" s="13"/>
      <c r="AS461" s="13"/>
      <c r="AT461" s="18"/>
      <c r="AZ461" s="97"/>
      <c r="BA461" s="97"/>
      <c r="BB461" s="97"/>
      <c r="BE461" s="18"/>
      <c r="BY461" s="56"/>
      <c r="BZ461" s="57"/>
      <c r="CA461" s="57"/>
      <c r="CB461" s="57"/>
      <c r="CC461" s="57"/>
      <c r="CD461" s="58"/>
      <c r="CE461" s="12"/>
      <c r="CF461" s="13"/>
    </row>
    <row r="462" spans="20:267" ht="18" customHeight="1" x14ac:dyDescent="0.2">
      <c r="T462" s="12"/>
      <c r="U462" s="13"/>
      <c r="AS462" s="13"/>
      <c r="AT462" s="18"/>
      <c r="AZ462" s="97"/>
      <c r="BA462" s="97"/>
      <c r="BB462" s="97"/>
      <c r="BE462" s="18"/>
      <c r="BY462" s="12"/>
      <c r="CD462" s="13"/>
      <c r="CE462" s="12"/>
      <c r="CF462" s="13"/>
    </row>
    <row r="463" spans="20:267" ht="18" customHeight="1" x14ac:dyDescent="0.2">
      <c r="T463" s="14"/>
      <c r="U463" s="16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6"/>
      <c r="AT463" s="19"/>
      <c r="AU463" s="15"/>
      <c r="AV463" s="15"/>
      <c r="AW463" s="15"/>
      <c r="AX463" s="15"/>
      <c r="AY463" s="15"/>
      <c r="AZ463" s="60"/>
      <c r="BA463" s="60"/>
      <c r="BB463" s="60"/>
      <c r="BC463" s="15"/>
      <c r="BD463" s="15"/>
      <c r="BE463" s="19"/>
      <c r="BF463" s="15"/>
      <c r="BG463" s="15"/>
      <c r="BH463" s="15"/>
      <c r="BI463" s="15"/>
      <c r="BJ463" s="15"/>
      <c r="BK463" s="15"/>
      <c r="BL463" s="15"/>
      <c r="BM463" s="15"/>
      <c r="BN463" s="15"/>
      <c r="BO463" s="15"/>
      <c r="BP463" s="15"/>
      <c r="BQ463" s="15"/>
      <c r="BR463" s="15"/>
      <c r="BS463" s="15"/>
      <c r="BT463" s="15"/>
      <c r="BU463" s="15"/>
      <c r="BV463" s="15"/>
      <c r="BW463" s="15"/>
      <c r="BX463" s="15"/>
      <c r="BY463" s="14"/>
      <c r="BZ463" s="15"/>
      <c r="CA463" s="15"/>
      <c r="CB463" s="15"/>
      <c r="CC463" s="15"/>
      <c r="CD463" s="16"/>
      <c r="CE463" s="14"/>
      <c r="CF463" s="16"/>
    </row>
    <row r="471" spans="20:94" ht="18" customHeight="1" x14ac:dyDescent="0.2">
      <c r="T471" s="9"/>
      <c r="U471" s="10"/>
      <c r="V471" s="10"/>
      <c r="W471" s="10"/>
      <c r="X471" s="10"/>
      <c r="Y471" s="11"/>
      <c r="Z471" s="10"/>
      <c r="AA471" s="10"/>
      <c r="AB471" s="10"/>
      <c r="AC471" s="10"/>
      <c r="AD471" s="10"/>
      <c r="AE471" s="10"/>
      <c r="AF471" s="10"/>
      <c r="AG471" s="10"/>
      <c r="AH471" s="9"/>
      <c r="AI471" s="10"/>
      <c r="AJ471" s="10"/>
      <c r="AK471" s="10"/>
      <c r="AL471" s="10"/>
      <c r="AM471" s="11"/>
      <c r="AR471" s="9"/>
      <c r="AS471" s="10"/>
      <c r="AT471" s="10"/>
      <c r="AU471" s="10"/>
      <c r="AV471" s="10"/>
      <c r="AW471" s="11"/>
      <c r="AX471" s="10"/>
      <c r="AY471" s="10"/>
      <c r="AZ471" s="10"/>
      <c r="BA471" s="10"/>
      <c r="BB471" s="10"/>
      <c r="BC471" s="10"/>
      <c r="BD471" s="10"/>
      <c r="BE471" s="10"/>
      <c r="BF471" s="10"/>
      <c r="BG471" s="10"/>
      <c r="BH471" s="10"/>
      <c r="BI471" s="10"/>
      <c r="BJ471" s="10"/>
      <c r="BK471" s="10"/>
      <c r="BL471" s="9"/>
      <c r="BM471" s="10"/>
      <c r="BN471" s="10"/>
      <c r="BO471" s="10"/>
      <c r="BP471" s="10"/>
      <c r="BQ471" s="11"/>
    </row>
    <row r="472" spans="20:94" ht="18" customHeight="1" x14ac:dyDescent="0.2">
      <c r="T472" s="12"/>
      <c r="Y472" s="13"/>
      <c r="AH472" s="12"/>
      <c r="AM472" s="13"/>
      <c r="AR472" s="96"/>
      <c r="AS472" s="97"/>
      <c r="AT472" s="97"/>
      <c r="AU472" s="97"/>
      <c r="AV472" s="97"/>
      <c r="AW472" s="98"/>
      <c r="BL472" s="12"/>
      <c r="BQ472" s="13"/>
    </row>
    <row r="473" spans="20:94" ht="18" customHeight="1" x14ac:dyDescent="0.2">
      <c r="T473" s="12"/>
      <c r="Y473" s="13"/>
      <c r="AH473" s="96"/>
      <c r="AI473" s="97"/>
      <c r="AJ473" s="97"/>
      <c r="AK473" s="97"/>
      <c r="AL473" s="97"/>
      <c r="AM473" s="98"/>
      <c r="AR473" s="12"/>
      <c r="AW473" s="13"/>
      <c r="BL473" s="12"/>
      <c r="BQ473" s="13"/>
    </row>
    <row r="474" spans="20:94" ht="18" customHeight="1" x14ac:dyDescent="0.2">
      <c r="T474" s="12"/>
      <c r="Y474" s="13"/>
      <c r="AH474" s="12"/>
      <c r="AM474" s="13"/>
      <c r="AR474" s="12"/>
      <c r="AW474" s="13"/>
      <c r="BL474" s="12"/>
      <c r="BQ474" s="13"/>
    </row>
    <row r="475" spans="20:94" ht="18" customHeight="1" x14ac:dyDescent="0.2">
      <c r="T475" s="12"/>
      <c r="Y475" s="13"/>
      <c r="AH475" s="12"/>
      <c r="AM475" s="13"/>
      <c r="AR475" s="12"/>
      <c r="AW475" s="13"/>
      <c r="BL475" s="12"/>
      <c r="BQ475" s="13"/>
    </row>
    <row r="476" spans="20:94" ht="18" customHeight="1" x14ac:dyDescent="0.2">
      <c r="T476" s="12"/>
      <c r="Y476" s="13"/>
      <c r="AH476" s="12"/>
      <c r="AM476" s="13"/>
      <c r="AR476" s="12"/>
      <c r="AW476" s="13"/>
      <c r="BL476" s="12"/>
      <c r="BQ476" s="13"/>
      <c r="CF476" s="9"/>
      <c r="CG476" s="10"/>
      <c r="CH476" s="10"/>
      <c r="CI476" s="10"/>
      <c r="CJ476" s="10"/>
      <c r="CK476" s="10"/>
      <c r="CL476" s="10"/>
      <c r="CM476" s="10"/>
      <c r="CN476" s="10"/>
      <c r="CO476" s="10"/>
      <c r="CP476" s="11"/>
    </row>
    <row r="477" spans="20:94" ht="18" customHeight="1" x14ac:dyDescent="0.2">
      <c r="T477" s="12"/>
      <c r="Y477" s="13"/>
      <c r="AH477" s="12"/>
      <c r="AM477" s="13"/>
      <c r="AR477" s="12"/>
      <c r="AW477" s="13"/>
      <c r="BL477" s="12"/>
      <c r="BQ477" s="13"/>
      <c r="CF477" s="12"/>
      <c r="CP477" s="13"/>
    </row>
    <row r="478" spans="20:94" ht="18" customHeight="1" x14ac:dyDescent="0.2">
      <c r="T478" s="12"/>
      <c r="Y478" s="13"/>
      <c r="AH478" s="12"/>
      <c r="AM478" s="13"/>
      <c r="AR478" s="12"/>
      <c r="AW478" s="13"/>
      <c r="BL478" s="12"/>
      <c r="BQ478" s="13"/>
      <c r="CF478" s="12"/>
      <c r="CP478" s="13"/>
    </row>
    <row r="479" spans="20:94" ht="18" customHeight="1" x14ac:dyDescent="0.2">
      <c r="T479" s="96"/>
      <c r="U479" s="97"/>
      <c r="V479" s="97"/>
      <c r="W479" s="97"/>
      <c r="X479" s="97"/>
      <c r="Y479" s="98"/>
      <c r="AH479" s="12"/>
      <c r="AM479" s="13"/>
      <c r="AR479" s="12"/>
      <c r="AW479" s="13"/>
      <c r="BL479" s="12"/>
      <c r="BQ479" s="13"/>
      <c r="CF479" s="12"/>
      <c r="CP479" s="13"/>
    </row>
    <row r="480" spans="20:94" ht="18" customHeight="1" x14ac:dyDescent="0.2">
      <c r="T480" s="12"/>
      <c r="Y480" s="13"/>
      <c r="AH480" s="12"/>
      <c r="AM480" s="13"/>
      <c r="AR480" s="12"/>
      <c r="AW480" s="13"/>
      <c r="BL480" s="12"/>
      <c r="BQ480" s="13"/>
      <c r="CF480" s="12"/>
      <c r="CP480" s="13"/>
    </row>
    <row r="481" spans="20:105" ht="18" customHeight="1" x14ac:dyDescent="0.2">
      <c r="T481" s="12"/>
      <c r="Y481" s="13"/>
      <c r="AH481" s="12"/>
      <c r="AM481" s="13"/>
      <c r="AR481" s="12"/>
      <c r="AW481" s="13"/>
      <c r="BL481" s="96"/>
      <c r="BM481" s="97"/>
      <c r="BN481" s="97"/>
      <c r="BO481" s="97"/>
      <c r="BP481" s="97"/>
      <c r="BQ481" s="98"/>
      <c r="CF481" s="12"/>
      <c r="CP481" s="13"/>
    </row>
    <row r="482" spans="20:105" ht="18" customHeight="1" x14ac:dyDescent="0.2">
      <c r="T482" s="12"/>
      <c r="Y482" s="13"/>
      <c r="AH482" s="12"/>
      <c r="AM482" s="13"/>
      <c r="AR482" s="12"/>
      <c r="AW482" s="13"/>
      <c r="BL482" s="12"/>
      <c r="BQ482" s="13"/>
      <c r="CF482" s="14"/>
      <c r="CG482" s="15"/>
      <c r="CH482" s="15"/>
      <c r="CI482" s="15"/>
      <c r="CJ482" s="15"/>
      <c r="CK482" s="15"/>
      <c r="CL482" s="15"/>
      <c r="CM482" s="15"/>
      <c r="CN482" s="15"/>
      <c r="CO482" s="15"/>
      <c r="CP482" s="16"/>
    </row>
    <row r="483" spans="20:105" ht="18" customHeight="1" x14ac:dyDescent="0.2">
      <c r="T483" s="12"/>
      <c r="Y483" s="13"/>
      <c r="AH483" s="12"/>
      <c r="AM483" s="13"/>
      <c r="AR483" s="12"/>
      <c r="AW483" s="13"/>
      <c r="BL483" s="12"/>
      <c r="BQ483" s="13"/>
      <c r="CQ483" s="9"/>
      <c r="CR483" s="10"/>
      <c r="CS483" s="10"/>
      <c r="CT483" s="10"/>
      <c r="CU483" s="10"/>
      <c r="CV483" s="10"/>
      <c r="CW483" s="10"/>
      <c r="CX483" s="10"/>
      <c r="CY483" s="10"/>
      <c r="CZ483" s="10"/>
      <c r="DA483" s="11"/>
    </row>
    <row r="484" spans="20:105" ht="18" customHeight="1" x14ac:dyDescent="0.2">
      <c r="T484" s="12"/>
      <c r="Y484" s="13"/>
      <c r="AH484" s="12"/>
      <c r="AM484" s="13"/>
      <c r="AR484" s="12"/>
      <c r="AW484" s="13"/>
      <c r="BL484" s="12"/>
      <c r="BQ484" s="13"/>
      <c r="CQ484" s="12"/>
      <c r="DA484" s="13"/>
    </row>
    <row r="485" spans="20:105" ht="18" customHeight="1" x14ac:dyDescent="0.2">
      <c r="T485" s="12"/>
      <c r="Y485" s="13"/>
      <c r="AH485" s="96"/>
      <c r="AI485" s="97"/>
      <c r="AJ485" s="97"/>
      <c r="AK485" s="97"/>
      <c r="AL485" s="97"/>
      <c r="AM485" s="98"/>
      <c r="AR485" s="12"/>
      <c r="AW485" s="13"/>
      <c r="BL485" s="12"/>
      <c r="BQ485" s="13"/>
      <c r="CQ485" s="12"/>
      <c r="DA485" s="13"/>
    </row>
    <row r="486" spans="20:105" ht="18" customHeight="1" x14ac:dyDescent="0.2">
      <c r="T486" s="12"/>
      <c r="Y486" s="13"/>
      <c r="AH486" s="12"/>
      <c r="AM486" s="13"/>
      <c r="AR486" s="12"/>
      <c r="AW486" s="13"/>
      <c r="BL486" s="12"/>
      <c r="BQ486" s="13"/>
      <c r="CQ486" s="12"/>
      <c r="DA486" s="13"/>
    </row>
    <row r="487" spans="20:105" ht="18" customHeight="1" x14ac:dyDescent="0.2">
      <c r="T487" s="12"/>
      <c r="Y487" s="13"/>
      <c r="AH487" s="12"/>
      <c r="AM487" s="13"/>
      <c r="AR487" s="12"/>
      <c r="AW487" s="13"/>
      <c r="BL487" s="12"/>
      <c r="BQ487" s="13"/>
      <c r="CQ487" s="12"/>
      <c r="DA487" s="13"/>
    </row>
    <row r="488" spans="20:105" ht="18" customHeight="1" x14ac:dyDescent="0.2">
      <c r="T488" s="12"/>
      <c r="Y488" s="13"/>
      <c r="AH488" s="12"/>
      <c r="AM488" s="13"/>
      <c r="AR488" s="12"/>
      <c r="AW488" s="13"/>
      <c r="BL488" s="12"/>
      <c r="BQ488" s="13"/>
      <c r="CQ488" s="12"/>
      <c r="DA488" s="13"/>
    </row>
    <row r="489" spans="20:105" ht="18" customHeight="1" x14ac:dyDescent="0.2">
      <c r="T489" s="12"/>
      <c r="Y489" s="13"/>
      <c r="AH489" s="12"/>
      <c r="AM489" s="13"/>
      <c r="AR489" s="12"/>
      <c r="AW489" s="13"/>
      <c r="BL489" s="12"/>
      <c r="BQ489" s="13"/>
      <c r="CQ489" s="14"/>
      <c r="CR489" s="15"/>
      <c r="CS489" s="15"/>
      <c r="CT489" s="15"/>
      <c r="CU489" s="15"/>
      <c r="CV489" s="15"/>
      <c r="CW489" s="15"/>
      <c r="CX489" s="15"/>
      <c r="CY489" s="15"/>
      <c r="CZ489" s="15"/>
      <c r="DA489" s="16"/>
    </row>
    <row r="490" spans="20:105" ht="18" customHeight="1" x14ac:dyDescent="0.2">
      <c r="T490" s="12"/>
      <c r="Y490" s="13"/>
      <c r="AH490" s="12"/>
      <c r="AM490" s="13"/>
      <c r="AR490" s="12"/>
      <c r="AW490" s="13"/>
      <c r="BL490" s="12"/>
      <c r="BQ490" s="13"/>
    </row>
    <row r="491" spans="20:105" ht="18" customHeight="1" x14ac:dyDescent="0.2">
      <c r="T491" s="12"/>
      <c r="Y491" s="13"/>
      <c r="AH491" s="12"/>
      <c r="AM491" s="13"/>
      <c r="AR491" s="12"/>
      <c r="AW491" s="13"/>
      <c r="BL491" s="12"/>
      <c r="BQ491" s="13"/>
    </row>
    <row r="492" spans="20:105" ht="18" customHeight="1" x14ac:dyDescent="0.2">
      <c r="T492" s="12"/>
      <c r="Y492" s="13"/>
      <c r="AH492" s="12"/>
      <c r="AM492" s="13"/>
      <c r="AR492" s="12"/>
      <c r="AW492" s="13"/>
      <c r="BL492" s="12"/>
      <c r="BQ492" s="13"/>
    </row>
    <row r="493" spans="20:105" ht="18" customHeight="1" x14ac:dyDescent="0.2">
      <c r="T493" s="12"/>
      <c r="Y493" s="13"/>
      <c r="AH493" s="12"/>
      <c r="AM493" s="13"/>
      <c r="AR493" s="12"/>
      <c r="AW493" s="13"/>
      <c r="BL493" s="12"/>
      <c r="BQ493" s="13"/>
    </row>
    <row r="494" spans="20:105" ht="18" customHeight="1" x14ac:dyDescent="0.2">
      <c r="T494" s="14"/>
      <c r="U494" s="15"/>
      <c r="V494" s="15"/>
      <c r="W494" s="15"/>
      <c r="X494" s="15"/>
      <c r="Y494" s="16"/>
      <c r="Z494" s="15"/>
      <c r="AA494" s="15"/>
      <c r="AB494" s="15"/>
      <c r="AC494" s="15"/>
      <c r="AD494" s="15"/>
      <c r="AE494" s="15"/>
      <c r="AF494" s="15"/>
      <c r="AG494" s="15"/>
      <c r="AH494" s="14"/>
      <c r="AI494" s="15"/>
      <c r="AJ494" s="15"/>
      <c r="AK494" s="15"/>
      <c r="AL494" s="15"/>
      <c r="AM494" s="16"/>
      <c r="AR494" s="14"/>
      <c r="AS494" s="15"/>
      <c r="AT494" s="15"/>
      <c r="AU494" s="15"/>
      <c r="AV494" s="15"/>
      <c r="AW494" s="16"/>
      <c r="AX494" s="15"/>
      <c r="AY494" s="15"/>
      <c r="AZ494" s="15"/>
      <c r="BA494" s="15"/>
      <c r="BB494" s="15"/>
      <c r="BC494" s="15"/>
      <c r="BD494" s="15"/>
      <c r="BE494" s="15"/>
      <c r="BF494" s="15"/>
      <c r="BG494" s="15"/>
      <c r="BH494" s="15"/>
      <c r="BI494" s="15"/>
      <c r="BJ494" s="15"/>
      <c r="BK494" s="15"/>
      <c r="BL494" s="14"/>
      <c r="BM494" s="15"/>
      <c r="BN494" s="15"/>
      <c r="BO494" s="15"/>
      <c r="BP494" s="15"/>
      <c r="BQ494" s="16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48F22-9D30-3D42-B10D-F0357583DF67}">
  <sheetPr codeName="Sheet5"/>
  <dimension ref="B2:T41"/>
  <sheetViews>
    <sheetView topLeftCell="K22" zoomScale="141" zoomScaleNormal="150" workbookViewId="0">
      <selection activeCell="S31" sqref="S31"/>
    </sheetView>
  </sheetViews>
  <sheetFormatPr baseColWidth="10" defaultRowHeight="16" x14ac:dyDescent="0.2"/>
  <cols>
    <col min="1" max="1" width="4.5" customWidth="1"/>
    <col min="2" max="2" width="15.33203125" customWidth="1"/>
    <col min="3" max="3" width="11.33203125" customWidth="1"/>
    <col min="4" max="4" width="10.1640625" customWidth="1"/>
    <col min="5" max="5" width="26.5" customWidth="1"/>
    <col min="6" max="6" width="14.1640625" customWidth="1"/>
    <col min="7" max="7" width="7.33203125" customWidth="1"/>
    <col min="8" max="8" width="26.83203125" customWidth="1"/>
    <col min="9" max="9" width="13.83203125" style="220" bestFit="1" customWidth="1"/>
    <col min="10" max="10" width="7" customWidth="1"/>
    <col min="11" max="11" width="6" customWidth="1"/>
  </cols>
  <sheetData>
    <row r="2" spans="2:20" x14ac:dyDescent="0.2">
      <c r="C2">
        <v>12</v>
      </c>
    </row>
    <row r="4" spans="2:20" x14ac:dyDescent="0.2">
      <c r="B4" t="s">
        <v>152</v>
      </c>
      <c r="C4">
        <v>2.54</v>
      </c>
      <c r="L4">
        <v>12</v>
      </c>
      <c r="O4" t="s">
        <v>94</v>
      </c>
    </row>
    <row r="5" spans="2:20" x14ac:dyDescent="0.2">
      <c r="B5" t="s">
        <v>67</v>
      </c>
      <c r="C5">
        <f>2.54*12</f>
        <v>30.48</v>
      </c>
      <c r="E5" t="s">
        <v>69</v>
      </c>
      <c r="F5">
        <v>2500</v>
      </c>
      <c r="H5" t="s">
        <v>68</v>
      </c>
      <c r="I5" s="220">
        <v>22.5</v>
      </c>
      <c r="K5">
        <v>30</v>
      </c>
      <c r="L5">
        <f>L4*C5</f>
        <v>365.76</v>
      </c>
      <c r="N5" t="s">
        <v>144</v>
      </c>
      <c r="O5">
        <v>56</v>
      </c>
      <c r="P5">
        <v>68</v>
      </c>
      <c r="Q5">
        <f>P5*O5/4</f>
        <v>952</v>
      </c>
    </row>
    <row r="6" spans="2:20" x14ac:dyDescent="0.2">
      <c r="B6" t="s">
        <v>83</v>
      </c>
      <c r="C6">
        <v>10.763915051182416</v>
      </c>
      <c r="E6" t="s">
        <v>70</v>
      </c>
      <c r="F6">
        <v>8000</v>
      </c>
      <c r="H6" t="s">
        <v>122</v>
      </c>
      <c r="I6" s="220">
        <f>I5*K5*L5/1000000</f>
        <v>0.246888</v>
      </c>
      <c r="J6" t="s">
        <v>119</v>
      </c>
      <c r="N6" t="s">
        <v>145</v>
      </c>
      <c r="O6">
        <v>13</v>
      </c>
      <c r="P6">
        <v>46</v>
      </c>
      <c r="Q6">
        <f>P6*O6/4</f>
        <v>149.5</v>
      </c>
      <c r="S6">
        <f>Q6*0.5</f>
        <v>74.75</v>
      </c>
      <c r="T6">
        <f>S6/C10</f>
        <v>2.1166833713999997</v>
      </c>
    </row>
    <row r="7" spans="2:20" x14ac:dyDescent="0.2">
      <c r="B7" t="s">
        <v>82</v>
      </c>
      <c r="C7">
        <v>100</v>
      </c>
      <c r="E7" t="s">
        <v>78</v>
      </c>
      <c r="F7">
        <f>F5+1%*F6</f>
        <v>2580</v>
      </c>
      <c r="H7" t="s">
        <v>71</v>
      </c>
      <c r="I7" s="220">
        <f>I6*F$7</f>
        <v>636.97104000000002</v>
      </c>
      <c r="J7" t="s">
        <v>120</v>
      </c>
      <c r="N7" t="s">
        <v>146</v>
      </c>
      <c r="O7">
        <v>64</v>
      </c>
      <c r="P7">
        <v>16</v>
      </c>
      <c r="Q7">
        <f>P7*O7/4</f>
        <v>256</v>
      </c>
      <c r="R7">
        <f>Q5+Q6+Q7</f>
        <v>1357.5</v>
      </c>
      <c r="T7">
        <f>T6*F5</f>
        <v>5291.7084284999992</v>
      </c>
    </row>
    <row r="8" spans="2:20" x14ac:dyDescent="0.2">
      <c r="B8" t="s">
        <v>131</v>
      </c>
      <c r="C8">
        <v>10</v>
      </c>
      <c r="E8" t="s">
        <v>79</v>
      </c>
      <c r="F8">
        <f>F5+2%*F6</f>
        <v>2660</v>
      </c>
      <c r="H8" t="s">
        <v>87</v>
      </c>
      <c r="I8" s="220">
        <f>I5*K5</f>
        <v>675</v>
      </c>
      <c r="J8" t="s">
        <v>121</v>
      </c>
      <c r="R8" s="219">
        <f>R7/C6</f>
        <v>126.11582250000001</v>
      </c>
    </row>
    <row r="9" spans="2:20" x14ac:dyDescent="0.2">
      <c r="B9" t="s">
        <v>151</v>
      </c>
      <c r="C9">
        <f>100/C5</f>
        <v>3.2808398950131235</v>
      </c>
      <c r="E9" t="s">
        <v>73</v>
      </c>
      <c r="F9">
        <v>2000</v>
      </c>
      <c r="H9" t="s">
        <v>123</v>
      </c>
      <c r="I9" s="220">
        <f>C30*I8*100</f>
        <v>760725</v>
      </c>
      <c r="J9" t="s">
        <v>112</v>
      </c>
      <c r="O9" t="s">
        <v>93</v>
      </c>
    </row>
    <row r="10" spans="2:20" x14ac:dyDescent="0.2">
      <c r="B10" t="s">
        <v>150</v>
      </c>
      <c r="C10">
        <f>C6*C9</f>
        <v>35.314681926451499</v>
      </c>
      <c r="E10" t="s">
        <v>74</v>
      </c>
      <c r="F10">
        <v>600</v>
      </c>
      <c r="H10" t="s">
        <v>95</v>
      </c>
      <c r="I10" s="220">
        <v>9</v>
      </c>
      <c r="O10">
        <v>35</v>
      </c>
      <c r="P10">
        <f>O10*C$5/100/2</f>
        <v>5.3339999999999996</v>
      </c>
    </row>
    <row r="11" spans="2:20" x14ac:dyDescent="0.2">
      <c r="E11" t="s">
        <v>85</v>
      </c>
      <c r="F11">
        <v>20</v>
      </c>
      <c r="H11" t="s">
        <v>96</v>
      </c>
      <c r="I11" s="220">
        <f>I10*I7</f>
        <v>5732.7393600000005</v>
      </c>
      <c r="J11" t="s">
        <v>120</v>
      </c>
      <c r="O11">
        <v>102</v>
      </c>
      <c r="P11">
        <f t="shared" ref="P11:P17" si="0">O11*C$5/100/2</f>
        <v>15.5448</v>
      </c>
      <c r="R11">
        <v>12</v>
      </c>
    </row>
    <row r="12" spans="2:20" x14ac:dyDescent="0.2">
      <c r="E12" t="s">
        <v>84</v>
      </c>
      <c r="F12">
        <v>415</v>
      </c>
      <c r="O12">
        <v>40</v>
      </c>
      <c r="P12">
        <f t="shared" si="0"/>
        <v>6.0960000000000001</v>
      </c>
      <c r="R12">
        <f>12*4*S12</f>
        <v>72</v>
      </c>
      <c r="S12">
        <v>1.5</v>
      </c>
    </row>
    <row r="13" spans="2:20" x14ac:dyDescent="0.2">
      <c r="E13" t="s">
        <v>86</v>
      </c>
      <c r="F13">
        <f>F11+1%*F12</f>
        <v>24.15</v>
      </c>
      <c r="R13">
        <f>R12+R11</f>
        <v>84</v>
      </c>
    </row>
    <row r="14" spans="2:20" x14ac:dyDescent="0.2">
      <c r="E14" t="s">
        <v>91</v>
      </c>
      <c r="F14">
        <f>F13*100</f>
        <v>2415</v>
      </c>
      <c r="O14">
        <v>39</v>
      </c>
      <c r="P14">
        <f t="shared" si="0"/>
        <v>5.9436</v>
      </c>
      <c r="R14">
        <v>123</v>
      </c>
    </row>
    <row r="15" spans="2:20" x14ac:dyDescent="0.2">
      <c r="E15" t="s">
        <v>135</v>
      </c>
      <c r="F15">
        <v>5</v>
      </c>
      <c r="H15" t="s">
        <v>72</v>
      </c>
      <c r="I15" s="220">
        <v>22.5</v>
      </c>
      <c r="K15">
        <v>45</v>
      </c>
      <c r="L15">
        <v>100</v>
      </c>
      <c r="O15">
        <v>28</v>
      </c>
      <c r="P15">
        <f t="shared" si="0"/>
        <v>4.2671999999999999</v>
      </c>
      <c r="R15">
        <f>R14-R13</f>
        <v>39</v>
      </c>
    </row>
    <row r="16" spans="2:20" x14ac:dyDescent="0.2">
      <c r="E16" t="s">
        <v>136</v>
      </c>
      <c r="F16">
        <v>7</v>
      </c>
      <c r="H16" t="s">
        <v>76</v>
      </c>
      <c r="I16" s="220">
        <f>I15*K15*L15/1000000</f>
        <v>0.10125000000000001</v>
      </c>
      <c r="J16" t="s">
        <v>119</v>
      </c>
      <c r="O16">
        <v>66</v>
      </c>
      <c r="P16">
        <f t="shared" si="0"/>
        <v>10.058400000000001</v>
      </c>
      <c r="R16">
        <f>R15/4</f>
        <v>9.75</v>
      </c>
    </row>
    <row r="17" spans="2:18" x14ac:dyDescent="0.2">
      <c r="B17" t="s">
        <v>98</v>
      </c>
      <c r="C17">
        <v>600</v>
      </c>
      <c r="D17" t="s">
        <v>99</v>
      </c>
      <c r="H17" t="s">
        <v>90</v>
      </c>
      <c r="I17" s="220">
        <f>I16*F$8</f>
        <v>269.32500000000005</v>
      </c>
      <c r="J17" t="s">
        <v>120</v>
      </c>
      <c r="O17">
        <v>45</v>
      </c>
      <c r="P17">
        <f t="shared" si="0"/>
        <v>6.8579999999999997</v>
      </c>
    </row>
    <row r="18" spans="2:18" x14ac:dyDescent="0.2">
      <c r="B18" t="s">
        <v>100</v>
      </c>
      <c r="C18">
        <v>20</v>
      </c>
      <c r="D18" t="s">
        <v>101</v>
      </c>
      <c r="H18" t="s">
        <v>125</v>
      </c>
      <c r="I18" s="220">
        <f>P24</f>
        <v>52.578000000000003</v>
      </c>
      <c r="J18" t="s">
        <v>124</v>
      </c>
    </row>
    <row r="19" spans="2:18" x14ac:dyDescent="0.2">
      <c r="B19" t="s">
        <v>102</v>
      </c>
      <c r="C19">
        <v>500</v>
      </c>
      <c r="D19" t="s">
        <v>101</v>
      </c>
      <c r="H19" t="s">
        <v>126</v>
      </c>
      <c r="I19" s="220">
        <f>I18*I17</f>
        <v>14160.569850000003</v>
      </c>
      <c r="J19" t="s">
        <v>120</v>
      </c>
      <c r="P19" s="219">
        <f>SUM(P10:P17)</f>
        <v>54.101999999999997</v>
      </c>
    </row>
    <row r="20" spans="2:18" x14ac:dyDescent="0.2">
      <c r="B20" t="s">
        <v>103</v>
      </c>
      <c r="C20">
        <v>1.5</v>
      </c>
    </row>
    <row r="21" spans="2:18" x14ac:dyDescent="0.2">
      <c r="B21" t="s">
        <v>105</v>
      </c>
      <c r="C21" s="215">
        <v>0.01</v>
      </c>
      <c r="D21" t="s">
        <v>106</v>
      </c>
      <c r="O21" t="s">
        <v>93</v>
      </c>
    </row>
    <row r="22" spans="2:18" x14ac:dyDescent="0.2">
      <c r="B22" t="s">
        <v>107</v>
      </c>
      <c r="C22" s="215">
        <v>0.99</v>
      </c>
      <c r="D22" t="s">
        <v>106</v>
      </c>
      <c r="E22" t="s">
        <v>137</v>
      </c>
      <c r="O22">
        <v>128</v>
      </c>
      <c r="P22">
        <f>3*O22*C$5/100/4</f>
        <v>29.2608</v>
      </c>
    </row>
    <row r="23" spans="2:18" x14ac:dyDescent="0.2">
      <c r="H23" t="s">
        <v>75</v>
      </c>
      <c r="I23" s="220">
        <v>15</v>
      </c>
      <c r="K23">
        <v>100</v>
      </c>
      <c r="L23">
        <v>100</v>
      </c>
      <c r="O23">
        <v>102</v>
      </c>
      <c r="P23">
        <f>3*O23*C$5/100/4</f>
        <v>23.317200000000003</v>
      </c>
    </row>
    <row r="24" spans="2:18" x14ac:dyDescent="0.2">
      <c r="B24" t="s">
        <v>104</v>
      </c>
      <c r="E24" t="s">
        <v>138</v>
      </c>
      <c r="F24" s="223">
        <f>I29</f>
        <v>52320.213177500002</v>
      </c>
      <c r="H24" t="s">
        <v>77</v>
      </c>
      <c r="I24" s="220">
        <f>I23*K23*L23/1000000</f>
        <v>0.15</v>
      </c>
      <c r="J24" t="s">
        <v>130</v>
      </c>
      <c r="P24" s="219">
        <f>P23+P22</f>
        <v>52.578000000000003</v>
      </c>
    </row>
    <row r="25" spans="2:18" x14ac:dyDescent="0.2">
      <c r="E25" t="s">
        <v>139</v>
      </c>
      <c r="F25">
        <f>1.2*F24</f>
        <v>62784.255812999996</v>
      </c>
      <c r="H25" t="s">
        <v>80</v>
      </c>
      <c r="I25" s="220">
        <f>I24*F$8</f>
        <v>399</v>
      </c>
      <c r="J25" t="s">
        <v>129</v>
      </c>
    </row>
    <row r="26" spans="2:18" x14ac:dyDescent="0.2">
      <c r="E26" t="s">
        <v>140</v>
      </c>
      <c r="F26">
        <f>20%*F13</f>
        <v>4.83</v>
      </c>
      <c r="H26" t="s">
        <v>128</v>
      </c>
      <c r="I26" s="220">
        <f>R8</f>
        <v>126.11582250000001</v>
      </c>
      <c r="J26" t="s">
        <v>127</v>
      </c>
    </row>
    <row r="27" spans="2:18" x14ac:dyDescent="0.2">
      <c r="B27" t="s">
        <v>108</v>
      </c>
      <c r="C27">
        <f>C17*C20*1000</f>
        <v>900000</v>
      </c>
      <c r="D27" t="s">
        <v>112</v>
      </c>
      <c r="E27" t="s">
        <v>141</v>
      </c>
      <c r="F27">
        <f>F26*10</f>
        <v>48.3</v>
      </c>
      <c r="H27" t="s">
        <v>88</v>
      </c>
      <c r="I27" s="220">
        <f>I26*I25</f>
        <v>50320.213177500002</v>
      </c>
      <c r="J27" t="s">
        <v>120</v>
      </c>
    </row>
    <row r="28" spans="2:18" x14ac:dyDescent="0.2">
      <c r="B28" t="s">
        <v>110</v>
      </c>
      <c r="C28">
        <f>0.4*C18*99%</f>
        <v>7.92</v>
      </c>
      <c r="D28" t="s">
        <v>101</v>
      </c>
      <c r="E28" t="s">
        <v>142</v>
      </c>
      <c r="F28">
        <f>F25/F27</f>
        <v>1299.8810727329192</v>
      </c>
      <c r="H28" t="s">
        <v>133</v>
      </c>
      <c r="I28" s="220">
        <v>2000</v>
      </c>
      <c r="J28" t="s">
        <v>120</v>
      </c>
    </row>
    <row r="29" spans="2:18" x14ac:dyDescent="0.2">
      <c r="B29" t="s">
        <v>109</v>
      </c>
      <c r="C29">
        <f>0.67*C19*1%</f>
        <v>3.35</v>
      </c>
      <c r="D29" t="s">
        <v>101</v>
      </c>
      <c r="H29" t="s">
        <v>134</v>
      </c>
      <c r="I29" s="220">
        <f>I28+I27</f>
        <v>52320.213177500002</v>
      </c>
      <c r="J29" t="s">
        <v>120</v>
      </c>
    </row>
    <row r="30" spans="2:18" x14ac:dyDescent="0.2">
      <c r="B30" t="s">
        <v>111</v>
      </c>
      <c r="C30">
        <f>C29+C28</f>
        <v>11.27</v>
      </c>
      <c r="D30" t="s">
        <v>101</v>
      </c>
    </row>
    <row r="31" spans="2:18" x14ac:dyDescent="0.2">
      <c r="B31" t="s">
        <v>116</v>
      </c>
      <c r="C31">
        <f>C27/C30</f>
        <v>79858.030168589175</v>
      </c>
      <c r="D31" t="s">
        <v>113</v>
      </c>
      <c r="L31">
        <v>50</v>
      </c>
      <c r="M31" t="s">
        <v>149</v>
      </c>
      <c r="Q31">
        <v>25.5</v>
      </c>
      <c r="R31">
        <f>Q31*4</f>
        <v>102</v>
      </c>
    </row>
    <row r="32" spans="2:18" x14ac:dyDescent="0.2">
      <c r="B32" t="s">
        <v>115</v>
      </c>
      <c r="C32">
        <f>SQRT(C31)</f>
        <v>282.59163145533728</v>
      </c>
      <c r="D32" t="s">
        <v>114</v>
      </c>
      <c r="H32" t="s">
        <v>97</v>
      </c>
      <c r="I32" s="220">
        <f>I29+I19+I11</f>
        <v>72213.522387500008</v>
      </c>
      <c r="J32" t="s">
        <v>120</v>
      </c>
      <c r="L32">
        <f>I33/L31</f>
        <v>2166.4056716250002</v>
      </c>
      <c r="M32" t="s">
        <v>147</v>
      </c>
      <c r="Q32">
        <v>31</v>
      </c>
      <c r="R32">
        <f>Q32*4</f>
        <v>124</v>
      </c>
    </row>
    <row r="33" spans="2:13" x14ac:dyDescent="0.2">
      <c r="H33" t="s">
        <v>81</v>
      </c>
      <c r="I33" s="220">
        <f>1.5*I32</f>
        <v>108320.28358125001</v>
      </c>
      <c r="J33" t="s">
        <v>120</v>
      </c>
      <c r="L33">
        <f>L32/I8</f>
        <v>3.2094898838888892</v>
      </c>
      <c r="M33" t="s">
        <v>148</v>
      </c>
    </row>
    <row r="34" spans="2:13" x14ac:dyDescent="0.2">
      <c r="H34" t="s">
        <v>118</v>
      </c>
      <c r="I34" s="220">
        <f>I33/I26</f>
        <v>858.89527129912665</v>
      </c>
      <c r="J34" t="s">
        <v>129</v>
      </c>
    </row>
    <row r="35" spans="2:13" x14ac:dyDescent="0.2">
      <c r="B35">
        <f>0.85 *30 * 1350</f>
        <v>34425</v>
      </c>
      <c r="C35" s="221">
        <v>3822500</v>
      </c>
      <c r="D35">
        <f>C35/B35</f>
        <v>111.03848946986201</v>
      </c>
      <c r="H35" t="s">
        <v>117</v>
      </c>
      <c r="I35" s="220">
        <f>C8*I34</f>
        <v>8588.9527129912658</v>
      </c>
      <c r="J35" t="s">
        <v>132</v>
      </c>
    </row>
    <row r="36" spans="2:13" x14ac:dyDescent="0.2">
      <c r="D36">
        <v>9.81</v>
      </c>
    </row>
    <row r="37" spans="2:13" x14ac:dyDescent="0.2">
      <c r="D37">
        <f>1000/D36</f>
        <v>101.9367991845056</v>
      </c>
    </row>
    <row r="38" spans="2:13" x14ac:dyDescent="0.2">
      <c r="H38" t="s">
        <v>89</v>
      </c>
      <c r="I38" s="220">
        <f>I35/F15</f>
        <v>1717.7905425982531</v>
      </c>
      <c r="J38" t="s">
        <v>113</v>
      </c>
    </row>
    <row r="39" spans="2:13" x14ac:dyDescent="0.2">
      <c r="H39" t="s">
        <v>89</v>
      </c>
      <c r="I39" s="220">
        <f>I38/100</f>
        <v>17.17790542598253</v>
      </c>
      <c r="J39" t="s">
        <v>121</v>
      </c>
    </row>
    <row r="40" spans="2:13" x14ac:dyDescent="0.2">
      <c r="H40" t="s">
        <v>143</v>
      </c>
      <c r="I40" s="220">
        <f>I39*I26</f>
        <v>2166.4056716249997</v>
      </c>
      <c r="J40" t="s">
        <v>121</v>
      </c>
    </row>
    <row r="41" spans="2:13" x14ac:dyDescent="0.2">
      <c r="H41" t="s">
        <v>92</v>
      </c>
      <c r="I41" s="222">
        <f>I40/I8</f>
        <v>3.2094898838888883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1E49C-ACDA-174E-AEA7-D754159F2CA8}">
  <sheetPr codeName="Sheet6"/>
  <dimension ref="BM47:VI317"/>
  <sheetViews>
    <sheetView tabSelected="1" topLeftCell="MI197" zoomScale="50" zoomScaleNormal="88" workbookViewId="0">
      <selection activeCell="SB262" sqref="SB262"/>
    </sheetView>
  </sheetViews>
  <sheetFormatPr baseColWidth="10" defaultColWidth="1.6640625" defaultRowHeight="10.75" customHeight="1" x14ac:dyDescent="0.2"/>
  <cols>
    <col min="71" max="71" width="1.6640625" customWidth="1"/>
  </cols>
  <sheetData>
    <row r="47" spans="67:202" ht="10.75" customHeight="1" x14ac:dyDescent="0.2">
      <c r="BO47" s="9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1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1"/>
    </row>
    <row r="48" spans="67:202" ht="10.75" customHeight="1" x14ac:dyDescent="0.2">
      <c r="BO48" s="12"/>
      <c r="FB48" s="13"/>
      <c r="GT48" s="13"/>
    </row>
    <row r="49" spans="67:378" ht="10.75" customHeight="1" x14ac:dyDescent="0.2">
      <c r="BO49" s="12"/>
      <c r="FB49" s="13"/>
      <c r="GT49" s="13"/>
    </row>
    <row r="50" spans="67:378" ht="10.75" customHeight="1" x14ac:dyDescent="0.2">
      <c r="BO50" s="12"/>
      <c r="FB50" s="13"/>
      <c r="GT50" s="13"/>
    </row>
    <row r="51" spans="67:378" ht="10.75" customHeight="1" x14ac:dyDescent="0.2">
      <c r="BO51" s="12"/>
      <c r="BR51" s="13"/>
      <c r="BS51" s="260"/>
      <c r="BT51" s="141"/>
      <c r="BU51" s="57"/>
      <c r="BV51" s="57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57"/>
      <c r="ED51" s="57"/>
      <c r="EE51" s="57"/>
      <c r="EF51" s="57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260"/>
      <c r="EX51" s="236"/>
      <c r="EY51" s="10"/>
      <c r="EZ51" s="10"/>
      <c r="FA51" s="10"/>
      <c r="FB51" s="11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57"/>
      <c r="GN51" s="57"/>
      <c r="GO51" s="57"/>
      <c r="GP51" s="58"/>
      <c r="GT51" s="13"/>
    </row>
    <row r="52" spans="67:378" ht="10.75" customHeight="1" x14ac:dyDescent="0.2">
      <c r="BO52" s="12"/>
      <c r="BR52" s="13"/>
      <c r="BS52" s="214"/>
      <c r="BT52" s="49"/>
      <c r="BU52" s="97"/>
      <c r="BV52" s="97"/>
      <c r="EC52" s="97"/>
      <c r="ED52" s="97"/>
      <c r="EE52" s="97"/>
      <c r="EF52" s="97"/>
      <c r="EW52" s="214"/>
      <c r="EX52" s="208"/>
      <c r="FB52" s="13"/>
      <c r="GM52" s="97"/>
      <c r="GN52" s="97"/>
      <c r="GO52" s="97"/>
      <c r="GP52" s="98"/>
      <c r="GT52" s="13"/>
      <c r="JK52" s="9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1"/>
    </row>
    <row r="53" spans="67:378" ht="10.75" customHeight="1" thickBot="1" x14ac:dyDescent="0.25">
      <c r="BO53" s="12"/>
      <c r="BR53" s="13"/>
      <c r="BS53" s="214"/>
      <c r="BT53" s="49"/>
      <c r="BU53" s="97"/>
      <c r="BV53" s="97"/>
      <c r="EC53" s="97"/>
      <c r="ED53" s="97"/>
      <c r="EE53" s="97"/>
      <c r="EF53" s="97"/>
      <c r="EW53" s="237"/>
      <c r="EX53" s="209"/>
      <c r="FB53" s="13"/>
      <c r="GM53" s="97"/>
      <c r="GN53" s="97"/>
      <c r="GO53" s="97"/>
      <c r="GP53" s="98"/>
      <c r="GT53" s="13"/>
      <c r="JK53" s="12"/>
      <c r="JL53" s="261"/>
      <c r="JM53" s="261"/>
      <c r="JN53" s="261"/>
      <c r="JO53" s="261"/>
      <c r="JP53" s="261"/>
      <c r="JQ53" s="261"/>
      <c r="JR53" s="261"/>
      <c r="JS53" s="261"/>
      <c r="JT53" s="261"/>
      <c r="JU53" s="261"/>
      <c r="JV53" s="261"/>
      <c r="JW53" s="261"/>
      <c r="JX53" s="261"/>
      <c r="JY53" s="261"/>
      <c r="JZ53" s="261"/>
      <c r="KA53" s="261"/>
      <c r="KB53" s="261"/>
      <c r="KC53" s="261"/>
      <c r="KD53" s="261"/>
      <c r="KE53" s="261"/>
      <c r="KF53" s="261"/>
      <c r="KG53" s="261"/>
      <c r="KH53" s="261"/>
      <c r="KI53" s="261"/>
      <c r="KJ53" s="261"/>
      <c r="KK53" s="261"/>
      <c r="KL53" s="261"/>
      <c r="KM53" s="261"/>
      <c r="KN53" s="261"/>
      <c r="KO53" s="261"/>
      <c r="KP53" s="261"/>
      <c r="KQ53" s="261"/>
      <c r="KR53" s="261"/>
      <c r="KS53" s="261"/>
      <c r="KT53" s="261"/>
      <c r="KU53" s="261"/>
      <c r="KV53" s="261"/>
      <c r="KW53" s="261"/>
      <c r="KX53" s="261"/>
      <c r="KY53" s="261"/>
      <c r="KZ53" s="261"/>
      <c r="LA53" s="261"/>
      <c r="LB53" s="261"/>
      <c r="LC53" s="261"/>
      <c r="LD53" s="261"/>
      <c r="LE53" s="261"/>
      <c r="LF53" s="261"/>
      <c r="LG53" s="261"/>
      <c r="LH53" s="261"/>
      <c r="LI53" s="261"/>
      <c r="LJ53" s="261"/>
      <c r="LK53" s="261"/>
      <c r="LL53" s="261"/>
      <c r="LM53" s="261"/>
      <c r="LN53" s="261"/>
      <c r="LO53" s="261"/>
      <c r="LP53" s="261"/>
      <c r="LQ53" s="261"/>
      <c r="LR53" s="261"/>
      <c r="LS53" s="261"/>
      <c r="LT53" s="261"/>
      <c r="LU53" s="261"/>
      <c r="LV53" s="261"/>
      <c r="LW53" s="261"/>
      <c r="LX53" s="261"/>
      <c r="LY53" s="261"/>
      <c r="LZ53" s="261"/>
      <c r="MA53" s="261"/>
      <c r="MB53" s="261"/>
      <c r="MC53" s="261"/>
      <c r="MD53" s="261"/>
      <c r="ME53" s="261"/>
      <c r="MF53" s="261"/>
      <c r="MG53" s="261"/>
      <c r="MH53" s="261"/>
      <c r="MI53" s="261"/>
      <c r="MJ53" s="261"/>
      <c r="MK53" s="261"/>
      <c r="ML53" s="261"/>
      <c r="MM53" s="261"/>
      <c r="MN53" s="261"/>
      <c r="MO53" s="261"/>
      <c r="MP53" s="261"/>
      <c r="MQ53" s="261"/>
      <c r="MR53" s="261"/>
      <c r="MS53" s="261"/>
      <c r="MT53" s="261"/>
      <c r="MU53" s="261"/>
      <c r="MV53" s="261"/>
      <c r="MW53" s="261"/>
      <c r="MX53" s="261"/>
      <c r="MY53" s="261"/>
      <c r="MZ53" s="261"/>
      <c r="NA53" s="261"/>
      <c r="NB53" s="261"/>
      <c r="NC53" s="261"/>
      <c r="ND53" s="261"/>
      <c r="NE53" s="261"/>
      <c r="NF53" s="261"/>
      <c r="NG53" s="261"/>
      <c r="NH53" s="261"/>
      <c r="NI53" s="261"/>
      <c r="NJ53" s="261"/>
      <c r="NK53" s="261"/>
      <c r="NL53" s="261"/>
      <c r="NM53" s="261"/>
      <c r="NN53" s="13"/>
    </row>
    <row r="54" spans="67:378" ht="10.75" customHeight="1" x14ac:dyDescent="0.2">
      <c r="BO54" s="12"/>
      <c r="BR54" s="13"/>
      <c r="BS54" s="214"/>
      <c r="BT54" s="49"/>
      <c r="BV54" s="9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"/>
      <c r="DA54" s="2"/>
      <c r="DB54" s="2"/>
      <c r="DC54" s="2"/>
      <c r="DD54" s="247"/>
      <c r="DE54" s="248"/>
      <c r="DF54" s="2"/>
      <c r="DG54" s="2"/>
      <c r="DH54" s="2"/>
      <c r="DI54" s="247"/>
      <c r="DJ54" s="248"/>
      <c r="DK54" s="2"/>
      <c r="DL54" s="2"/>
      <c r="DM54" s="2"/>
      <c r="DN54" s="247"/>
      <c r="DO54" s="2"/>
      <c r="DP54" s="2"/>
      <c r="DQ54" s="247"/>
      <c r="DR54" s="2"/>
      <c r="DS54" s="2"/>
      <c r="DT54" s="249"/>
      <c r="DU54" s="250"/>
      <c r="DV54" s="250"/>
      <c r="DW54" s="250"/>
      <c r="DX54" s="251"/>
      <c r="DY54" s="249"/>
      <c r="DZ54" s="250"/>
      <c r="EA54" s="250"/>
      <c r="EB54" s="250"/>
      <c r="EC54" s="251"/>
      <c r="ED54" s="249"/>
      <c r="EE54" s="250"/>
      <c r="EF54" s="250"/>
      <c r="EG54" s="250"/>
      <c r="EH54" s="251"/>
      <c r="EI54" s="249"/>
      <c r="EJ54" s="250"/>
      <c r="EK54" s="250"/>
      <c r="EL54" s="250"/>
      <c r="EM54" s="251"/>
      <c r="EN54" s="248"/>
      <c r="EO54" s="247"/>
      <c r="EP54" s="248"/>
      <c r="EQ54" s="2"/>
      <c r="ER54" s="247"/>
      <c r="ES54" s="248"/>
      <c r="ET54" s="2"/>
      <c r="EU54" s="2"/>
      <c r="EV54" s="3"/>
      <c r="EW54" s="236"/>
      <c r="EX54" s="236"/>
      <c r="EY54" s="10"/>
      <c r="EZ54" s="10"/>
      <c r="FA54" s="10"/>
      <c r="FB54" s="11"/>
      <c r="FC54" s="238"/>
      <c r="FD54" s="239"/>
      <c r="FE54" s="239"/>
      <c r="FF54" s="239"/>
      <c r="FG54" s="240"/>
      <c r="FH54" s="238"/>
      <c r="FI54" s="239"/>
      <c r="FJ54" s="239"/>
      <c r="FK54" s="239"/>
      <c r="FL54" s="240"/>
      <c r="FM54" s="238"/>
      <c r="FN54" s="239"/>
      <c r="FO54" s="239"/>
      <c r="FP54" s="239"/>
      <c r="FQ54" s="240"/>
      <c r="FR54" s="238"/>
      <c r="FS54" s="239"/>
      <c r="FT54" s="239"/>
      <c r="FU54" s="239"/>
      <c r="FV54" s="240"/>
      <c r="FW54" s="10"/>
      <c r="FX54" s="10"/>
      <c r="FY54" s="10"/>
      <c r="FZ54" s="10"/>
      <c r="GA54" s="11"/>
      <c r="GB54" s="9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1"/>
      <c r="GP54" s="13"/>
      <c r="GT54" s="13"/>
      <c r="JK54" s="12"/>
      <c r="JL54" s="261"/>
      <c r="JM54" s="261"/>
      <c r="JN54" s="261"/>
      <c r="JO54" s="261"/>
      <c r="JP54" s="261"/>
      <c r="JQ54" s="261"/>
      <c r="JR54" s="261"/>
      <c r="JS54" s="261"/>
      <c r="JT54" s="261"/>
      <c r="JU54" s="261"/>
      <c r="JV54" s="261"/>
      <c r="JW54" s="261"/>
      <c r="JX54" s="261"/>
      <c r="JY54" s="261"/>
      <c r="JZ54" s="261"/>
      <c r="KA54" s="261"/>
      <c r="KB54" s="261"/>
      <c r="KC54" s="261"/>
      <c r="KD54" s="261"/>
      <c r="KE54" s="261"/>
      <c r="KF54" s="261"/>
      <c r="KG54" s="261"/>
      <c r="KH54" s="261"/>
      <c r="KI54" s="261"/>
      <c r="KJ54" s="261"/>
      <c r="KK54" s="261"/>
      <c r="KL54" s="261"/>
      <c r="KM54" s="261"/>
      <c r="KN54" s="261"/>
      <c r="KO54" s="261"/>
      <c r="KP54" s="261"/>
      <c r="KQ54" s="261"/>
      <c r="KR54" s="261"/>
      <c r="KS54" s="261"/>
      <c r="KT54" s="261"/>
      <c r="KU54" s="261"/>
      <c r="KV54" s="261"/>
      <c r="KW54" s="261"/>
      <c r="KX54" s="261"/>
      <c r="KY54" s="261"/>
      <c r="KZ54" s="261"/>
      <c r="LA54" s="261"/>
      <c r="LB54" s="261"/>
      <c r="LC54" s="261"/>
      <c r="LD54" s="261"/>
      <c r="LE54" s="261"/>
      <c r="LF54" s="261"/>
      <c r="LG54" s="261"/>
      <c r="LH54" s="261"/>
      <c r="LI54" s="261"/>
      <c r="LJ54" s="261"/>
      <c r="LK54" s="261"/>
      <c r="LL54" s="261"/>
      <c r="LM54" s="261"/>
      <c r="LN54" s="261"/>
      <c r="LO54" s="261"/>
      <c r="LP54" s="261"/>
      <c r="LQ54" s="261"/>
      <c r="LR54" s="261"/>
      <c r="LS54" s="261"/>
      <c r="LT54" s="261"/>
      <c r="LU54" s="261"/>
      <c r="LV54" s="261"/>
      <c r="LW54" s="261"/>
      <c r="LX54" s="261"/>
      <c r="LY54" s="261"/>
      <c r="LZ54" s="261"/>
      <c r="MA54" s="261"/>
      <c r="MB54" s="261"/>
      <c r="MC54" s="261"/>
      <c r="MD54" s="261"/>
      <c r="ME54" s="261"/>
      <c r="MF54" s="261"/>
      <c r="MG54" s="261"/>
      <c r="MH54" s="261"/>
      <c r="MI54" s="261"/>
      <c r="MJ54" s="261"/>
      <c r="MK54" s="261"/>
      <c r="ML54" s="261"/>
      <c r="MM54" s="261"/>
      <c r="MN54" s="261"/>
      <c r="MO54" s="261"/>
      <c r="MP54" s="261"/>
      <c r="MQ54" s="261"/>
      <c r="MR54" s="261"/>
      <c r="MS54" s="261"/>
      <c r="MT54" s="261"/>
      <c r="MU54" s="261"/>
      <c r="MV54" s="261"/>
      <c r="MW54" s="261"/>
      <c r="MX54" s="261"/>
      <c r="MY54" s="261"/>
      <c r="MZ54" s="261"/>
      <c r="NA54" s="261"/>
      <c r="NB54" s="261"/>
      <c r="NC54" s="261"/>
      <c r="ND54" s="261"/>
      <c r="NE54" s="261"/>
      <c r="NF54" s="261"/>
      <c r="NG54" s="261"/>
      <c r="NH54" s="261"/>
      <c r="NI54" s="261"/>
      <c r="NJ54" s="261"/>
      <c r="NK54" s="261"/>
      <c r="NL54" s="261"/>
      <c r="NM54" s="261"/>
      <c r="NN54" s="13"/>
    </row>
    <row r="55" spans="67:378" ht="10.75" customHeight="1" x14ac:dyDescent="0.2">
      <c r="BO55" s="12"/>
      <c r="BR55" s="13"/>
      <c r="BS55" s="214"/>
      <c r="BT55" s="49"/>
      <c r="BV55" s="12"/>
      <c r="CZ55" s="4"/>
      <c r="DD55" s="13"/>
      <c r="DE55" s="12"/>
      <c r="DI55" s="13"/>
      <c r="DJ55" s="12"/>
      <c r="DN55" s="13"/>
      <c r="DQ55" s="13"/>
      <c r="DT55" s="241"/>
      <c r="DU55" s="246"/>
      <c r="DV55" s="246"/>
      <c r="DW55" s="246"/>
      <c r="DX55" s="242"/>
      <c r="DY55" s="241"/>
      <c r="DZ55" s="246"/>
      <c r="EA55" s="246"/>
      <c r="EB55" s="246"/>
      <c r="EC55" s="242"/>
      <c r="ED55" s="241"/>
      <c r="EE55" s="246"/>
      <c r="EF55" s="246"/>
      <c r="EG55" s="246"/>
      <c r="EH55" s="242"/>
      <c r="EI55" s="241"/>
      <c r="EJ55" s="246"/>
      <c r="EK55" s="246"/>
      <c r="EL55" s="246"/>
      <c r="EM55" s="242"/>
      <c r="EN55" s="12"/>
      <c r="EO55" s="13"/>
      <c r="EP55" s="12"/>
      <c r="ER55" s="13"/>
      <c r="ES55" s="12"/>
      <c r="EV55" s="5"/>
      <c r="EW55" s="208"/>
      <c r="EX55" s="208"/>
      <c r="FB55" s="13"/>
      <c r="FC55" s="241"/>
      <c r="FD55" s="246"/>
      <c r="FE55" s="246"/>
      <c r="FF55" s="246"/>
      <c r="FG55" s="242"/>
      <c r="FH55" s="241"/>
      <c r="FI55" s="246"/>
      <c r="FJ55" s="246"/>
      <c r="FK55" s="246"/>
      <c r="FL55" s="242"/>
      <c r="FM55" s="241"/>
      <c r="FN55" s="246"/>
      <c r="FO55" s="246"/>
      <c r="FP55" s="246"/>
      <c r="FQ55" s="242"/>
      <c r="FR55" s="241"/>
      <c r="FS55" s="246"/>
      <c r="FT55" s="246"/>
      <c r="FU55" s="246"/>
      <c r="FV55" s="242"/>
      <c r="GA55" s="13"/>
      <c r="GB55" s="12"/>
      <c r="GM55" s="13"/>
      <c r="GP55" s="13"/>
      <c r="GT55" s="13"/>
      <c r="JK55" s="12"/>
      <c r="JL55" s="261"/>
      <c r="JM55" s="261"/>
      <c r="JN55" s="9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9"/>
      <c r="KM55" s="10"/>
      <c r="KN55" s="10"/>
      <c r="KO55" s="11"/>
      <c r="KP55" s="9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1"/>
      <c r="LL55" s="10"/>
      <c r="LM55" s="11"/>
      <c r="LN55" s="9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1"/>
      <c r="MF55" s="10"/>
      <c r="MG55" s="11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9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1"/>
      <c r="NL55" s="261"/>
      <c r="NM55" s="261"/>
      <c r="NN55" s="13"/>
    </row>
    <row r="56" spans="67:378" ht="10.75" customHeight="1" x14ac:dyDescent="0.2">
      <c r="BO56" s="12"/>
      <c r="BR56" s="13"/>
      <c r="BS56" s="214"/>
      <c r="BT56" s="49"/>
      <c r="BV56" s="12"/>
      <c r="CZ56" s="4"/>
      <c r="DD56" s="13"/>
      <c r="DE56" s="12"/>
      <c r="DI56" s="13"/>
      <c r="DJ56" s="12"/>
      <c r="DN56" s="13"/>
      <c r="DQ56" s="13"/>
      <c r="DT56" s="241"/>
      <c r="DU56" s="246"/>
      <c r="DV56" s="246"/>
      <c r="DW56" s="246"/>
      <c r="DX56" s="242"/>
      <c r="DY56" s="241"/>
      <c r="DZ56" s="246"/>
      <c r="EA56" s="246"/>
      <c r="EB56" s="246"/>
      <c r="EC56" s="242"/>
      <c r="ED56" s="241"/>
      <c r="EE56" s="246"/>
      <c r="EF56" s="246"/>
      <c r="EG56" s="246"/>
      <c r="EH56" s="242"/>
      <c r="EI56" s="241"/>
      <c r="EJ56" s="246"/>
      <c r="EK56" s="246"/>
      <c r="EL56" s="246"/>
      <c r="EM56" s="242"/>
      <c r="EN56" s="12"/>
      <c r="EO56" s="13"/>
      <c r="EP56" s="12"/>
      <c r="ER56" s="13"/>
      <c r="ES56" s="12"/>
      <c r="EV56" s="5"/>
      <c r="EW56" s="208"/>
      <c r="EX56" s="208"/>
      <c r="FB56" s="13"/>
      <c r="FC56" s="241"/>
      <c r="FD56" s="246"/>
      <c r="FE56" s="246"/>
      <c r="FF56" s="246"/>
      <c r="FG56" s="242"/>
      <c r="FH56" s="241"/>
      <c r="FI56" s="246"/>
      <c r="FJ56" s="246"/>
      <c r="FK56" s="246"/>
      <c r="FL56" s="242"/>
      <c r="FM56" s="241"/>
      <c r="FN56" s="246"/>
      <c r="FO56" s="246"/>
      <c r="FP56" s="246"/>
      <c r="FQ56" s="242"/>
      <c r="FR56" s="241"/>
      <c r="FS56" s="246"/>
      <c r="FT56" s="246"/>
      <c r="FU56" s="246"/>
      <c r="FV56" s="242"/>
      <c r="GA56" s="13"/>
      <c r="GB56" s="12"/>
      <c r="GM56" s="13"/>
      <c r="GP56" s="13"/>
      <c r="GT56" s="13"/>
      <c r="JK56" s="12"/>
      <c r="JL56" s="261"/>
      <c r="JM56" s="261"/>
      <c r="JN56" s="12"/>
      <c r="JO56" s="261"/>
      <c r="JP56" s="261"/>
      <c r="JQ56" s="261"/>
      <c r="JR56" s="261"/>
      <c r="JS56" s="261"/>
      <c r="JT56" s="261"/>
      <c r="JU56" s="261"/>
      <c r="JV56" s="261"/>
      <c r="JW56" s="261"/>
      <c r="JX56" s="261"/>
      <c r="JY56" s="261"/>
      <c r="JZ56" s="261"/>
      <c r="KA56" s="261"/>
      <c r="KB56" s="261"/>
      <c r="KC56" s="261"/>
      <c r="KD56" s="261"/>
      <c r="KE56" s="261"/>
      <c r="KF56" s="261"/>
      <c r="KG56" s="261"/>
      <c r="KH56" s="261"/>
      <c r="KI56" s="261"/>
      <c r="KJ56" s="261"/>
      <c r="KK56" s="261"/>
      <c r="KL56" s="12"/>
      <c r="KM56" s="261"/>
      <c r="KN56" s="261"/>
      <c r="KO56" s="13"/>
      <c r="KP56" s="12"/>
      <c r="KQ56" s="261"/>
      <c r="KR56" s="261"/>
      <c r="KS56" s="261"/>
      <c r="KT56" s="261"/>
      <c r="KU56" s="261"/>
      <c r="KV56" s="261"/>
      <c r="KW56" s="261"/>
      <c r="KX56" s="261"/>
      <c r="KY56" s="261"/>
      <c r="KZ56" s="261"/>
      <c r="LA56" s="261"/>
      <c r="LB56" s="261"/>
      <c r="LC56" s="261"/>
      <c r="LD56" s="261"/>
      <c r="LE56" s="261"/>
      <c r="LF56" s="261"/>
      <c r="LG56" s="261"/>
      <c r="LH56" s="261"/>
      <c r="LI56" s="261"/>
      <c r="LJ56" s="261"/>
      <c r="LK56" s="13"/>
      <c r="LL56" s="261"/>
      <c r="LM56" s="13"/>
      <c r="LN56" s="12"/>
      <c r="LO56" s="261"/>
      <c r="LP56" s="261"/>
      <c r="LQ56" s="261"/>
      <c r="LR56" s="261"/>
      <c r="LS56" s="261"/>
      <c r="LT56" s="261"/>
      <c r="LU56" s="261"/>
      <c r="LV56" s="261"/>
      <c r="LW56" s="261"/>
      <c r="LX56" s="261"/>
      <c r="LY56" s="261"/>
      <c r="LZ56" s="261"/>
      <c r="MA56" s="261"/>
      <c r="MB56" s="261"/>
      <c r="MC56" s="261"/>
      <c r="MD56" s="261"/>
      <c r="ME56" s="13"/>
      <c r="MF56" s="261"/>
      <c r="MG56" s="13"/>
      <c r="MH56" s="261"/>
      <c r="MI56" s="261"/>
      <c r="MJ56" s="261"/>
      <c r="MK56" s="261"/>
      <c r="ML56" s="261"/>
      <c r="MM56" s="261"/>
      <c r="MN56" s="261"/>
      <c r="MO56" s="261"/>
      <c r="MP56" s="261"/>
      <c r="MQ56" s="261"/>
      <c r="MR56" s="261"/>
      <c r="MS56" s="261"/>
      <c r="MT56" s="261"/>
      <c r="MU56" s="261"/>
      <c r="MV56" s="261"/>
      <c r="MW56" s="261"/>
      <c r="MX56" s="261"/>
      <c r="MY56" s="261"/>
      <c r="MZ56" s="12"/>
      <c r="NA56" s="261"/>
      <c r="NB56" s="261"/>
      <c r="NC56" s="261"/>
      <c r="ND56" s="261"/>
      <c r="NE56" s="261"/>
      <c r="NF56" s="261"/>
      <c r="NG56" s="261"/>
      <c r="NH56" s="261"/>
      <c r="NI56" s="261"/>
      <c r="NJ56" s="261"/>
      <c r="NK56" s="13"/>
      <c r="NL56" s="261"/>
      <c r="NM56" s="261"/>
      <c r="NN56" s="13"/>
    </row>
    <row r="57" spans="67:378" ht="10.75" customHeight="1" x14ac:dyDescent="0.2">
      <c r="BO57" s="12"/>
      <c r="BR57" s="13"/>
      <c r="BS57" s="214"/>
      <c r="BT57" s="49"/>
      <c r="BV57" s="12"/>
      <c r="CZ57" s="4"/>
      <c r="DD57" s="13"/>
      <c r="DE57" s="12"/>
      <c r="DI57" s="13"/>
      <c r="DJ57" s="12"/>
      <c r="DN57" s="13"/>
      <c r="DQ57" s="13"/>
      <c r="DT57" s="241"/>
      <c r="DU57" s="246"/>
      <c r="DV57" s="246"/>
      <c r="DW57" s="246"/>
      <c r="DX57" s="242"/>
      <c r="DY57" s="241"/>
      <c r="DZ57" s="246"/>
      <c r="EA57" s="246"/>
      <c r="EB57" s="246"/>
      <c r="EC57" s="242"/>
      <c r="ED57" s="241"/>
      <c r="EE57" s="246"/>
      <c r="EF57" s="246"/>
      <c r="EG57" s="246"/>
      <c r="EH57" s="242"/>
      <c r="EI57" s="241"/>
      <c r="EJ57" s="246"/>
      <c r="EK57" s="246"/>
      <c r="EL57" s="246"/>
      <c r="EM57" s="242"/>
      <c r="EN57" s="12"/>
      <c r="EO57" s="13"/>
      <c r="EP57" s="12"/>
      <c r="ER57" s="13"/>
      <c r="ES57" s="12"/>
      <c r="EV57" s="5"/>
      <c r="EW57" s="208"/>
      <c r="EX57" s="208"/>
      <c r="FB57" s="13"/>
      <c r="FC57" s="241"/>
      <c r="FD57" s="246"/>
      <c r="FE57" s="246"/>
      <c r="FF57" s="246"/>
      <c r="FG57" s="242"/>
      <c r="FH57" s="241"/>
      <c r="FI57" s="246"/>
      <c r="FJ57" s="246"/>
      <c r="FK57" s="246"/>
      <c r="FL57" s="242"/>
      <c r="FM57" s="241"/>
      <c r="FN57" s="246"/>
      <c r="FO57" s="246"/>
      <c r="FP57" s="246"/>
      <c r="FQ57" s="242"/>
      <c r="FR57" s="241"/>
      <c r="FS57" s="246"/>
      <c r="FT57" s="246"/>
      <c r="FU57" s="246"/>
      <c r="FV57" s="242"/>
      <c r="GA57" s="13"/>
      <c r="GB57" s="12"/>
      <c r="GM57" s="13"/>
      <c r="GP57" s="13"/>
      <c r="GT57" s="13"/>
      <c r="JK57" s="12"/>
      <c r="JL57" s="261"/>
      <c r="JM57" s="261"/>
      <c r="JN57" s="12"/>
      <c r="JO57" s="261"/>
      <c r="JP57" s="261"/>
      <c r="JQ57" s="261"/>
      <c r="JR57" s="261"/>
      <c r="JS57" s="261"/>
      <c r="JT57" s="261"/>
      <c r="JU57" s="261"/>
      <c r="JV57" s="261"/>
      <c r="JW57" s="261"/>
      <c r="JX57" s="261"/>
      <c r="JY57" s="261"/>
      <c r="JZ57" s="261"/>
      <c r="KA57" s="261"/>
      <c r="KB57" s="261"/>
      <c r="KC57" s="261"/>
      <c r="KD57" s="261"/>
      <c r="KE57" s="261"/>
      <c r="KF57" s="261"/>
      <c r="KG57" s="261"/>
      <c r="KH57" s="261"/>
      <c r="KI57" s="261"/>
      <c r="KJ57" s="261"/>
      <c r="KK57" s="261"/>
      <c r="KL57" s="12"/>
      <c r="KM57" s="261"/>
      <c r="KN57" s="261"/>
      <c r="KO57" s="13"/>
      <c r="KP57" s="12"/>
      <c r="KQ57" s="261"/>
      <c r="KR57" s="261"/>
      <c r="KS57" s="261"/>
      <c r="KT57" s="261"/>
      <c r="KU57" s="261"/>
      <c r="KV57" s="261"/>
      <c r="KW57" s="261"/>
      <c r="KX57" s="261"/>
      <c r="KY57" s="261"/>
      <c r="KZ57" s="261"/>
      <c r="LA57" s="261"/>
      <c r="LB57" s="261"/>
      <c r="LC57" s="261"/>
      <c r="LD57" s="261"/>
      <c r="LE57" s="261"/>
      <c r="LF57" s="261"/>
      <c r="LG57" s="261"/>
      <c r="LH57" s="261"/>
      <c r="LI57" s="261"/>
      <c r="LJ57" s="261"/>
      <c r="LK57" s="13"/>
      <c r="LL57" s="261"/>
      <c r="LM57" s="13"/>
      <c r="LN57" s="12"/>
      <c r="LO57" s="261"/>
      <c r="LP57" s="261"/>
      <c r="LQ57" s="261"/>
      <c r="LR57" s="261"/>
      <c r="LS57" s="261"/>
      <c r="LT57" s="261"/>
      <c r="LU57" s="261"/>
      <c r="LV57" s="261"/>
      <c r="LW57" s="261"/>
      <c r="LX57" s="261"/>
      <c r="LY57" s="261"/>
      <c r="LZ57" s="261"/>
      <c r="MA57" s="261"/>
      <c r="MB57" s="261"/>
      <c r="MC57" s="261"/>
      <c r="MD57" s="261"/>
      <c r="ME57" s="13"/>
      <c r="MF57" s="261"/>
      <c r="MG57" s="13"/>
      <c r="MH57" s="261"/>
      <c r="MI57" s="261"/>
      <c r="MJ57" s="261"/>
      <c r="MK57" s="261"/>
      <c r="ML57" s="261"/>
      <c r="MM57" s="261"/>
      <c r="MN57" s="261"/>
      <c r="MO57" s="261"/>
      <c r="MP57" s="261"/>
      <c r="MQ57" s="261"/>
      <c r="MR57" s="261"/>
      <c r="MS57" s="261"/>
      <c r="MT57" s="261"/>
      <c r="MU57" s="261"/>
      <c r="MV57" s="261"/>
      <c r="MW57" s="261"/>
      <c r="MX57" s="261"/>
      <c r="MY57" s="261"/>
      <c r="MZ57" s="12"/>
      <c r="NA57" s="261"/>
      <c r="NB57" s="261"/>
      <c r="NC57" s="261"/>
      <c r="ND57" s="261"/>
      <c r="NE57" s="261"/>
      <c r="NF57" s="261"/>
      <c r="NG57" s="261"/>
      <c r="NH57" s="261"/>
      <c r="NI57" s="261"/>
      <c r="NJ57" s="261"/>
      <c r="NK57" s="13"/>
      <c r="NL57" s="261"/>
      <c r="NM57" s="261"/>
      <c r="NN57" s="13"/>
    </row>
    <row r="58" spans="67:378" ht="10.75" customHeight="1" x14ac:dyDescent="0.2">
      <c r="BO58" s="12"/>
      <c r="BR58" s="13"/>
      <c r="BS58" s="214"/>
      <c r="BT58" s="49"/>
      <c r="BV58" s="12"/>
      <c r="CZ58" s="4"/>
      <c r="DD58" s="13"/>
      <c r="DE58" s="12"/>
      <c r="DI58" s="13"/>
      <c r="DJ58" s="12"/>
      <c r="DN58" s="13"/>
      <c r="DQ58" s="13"/>
      <c r="DT58" s="241"/>
      <c r="DU58" s="246"/>
      <c r="DV58" s="246"/>
      <c r="DW58" s="246"/>
      <c r="DX58" s="242"/>
      <c r="DY58" s="241"/>
      <c r="DZ58" s="246"/>
      <c r="EA58" s="246"/>
      <c r="EB58" s="246"/>
      <c r="EC58" s="242"/>
      <c r="ED58" s="241"/>
      <c r="EE58" s="246"/>
      <c r="EF58" s="246"/>
      <c r="EG58" s="246"/>
      <c r="EH58" s="242"/>
      <c r="EI58" s="241"/>
      <c r="EJ58" s="246"/>
      <c r="EK58" s="246"/>
      <c r="EL58" s="246"/>
      <c r="EM58" s="242"/>
      <c r="EN58" s="12"/>
      <c r="EO58" s="13"/>
      <c r="EP58" s="12"/>
      <c r="ER58" s="13"/>
      <c r="ES58" s="12"/>
      <c r="EV58" s="5"/>
      <c r="EW58" s="208"/>
      <c r="EX58" s="208"/>
      <c r="FB58" s="13"/>
      <c r="FC58" s="241"/>
      <c r="FD58" s="246"/>
      <c r="FE58" s="246"/>
      <c r="FF58" s="246"/>
      <c r="FG58" s="242"/>
      <c r="FH58" s="241"/>
      <c r="FI58" s="246"/>
      <c r="FJ58" s="246"/>
      <c r="FK58" s="246"/>
      <c r="FL58" s="242"/>
      <c r="FM58" s="241"/>
      <c r="FN58" s="246"/>
      <c r="FO58" s="246"/>
      <c r="FP58" s="246"/>
      <c r="FQ58" s="242"/>
      <c r="FR58" s="241"/>
      <c r="FS58" s="246"/>
      <c r="FT58" s="246"/>
      <c r="FU58" s="246"/>
      <c r="FV58" s="242"/>
      <c r="GA58" s="13"/>
      <c r="GB58" s="12"/>
      <c r="GM58" s="13"/>
      <c r="GP58" s="13"/>
      <c r="GT58" s="13"/>
      <c r="JK58" s="12"/>
      <c r="JL58" s="261"/>
      <c r="JM58" s="261"/>
      <c r="JN58" s="12"/>
      <c r="JO58" s="261"/>
      <c r="JP58" s="261"/>
      <c r="JQ58" s="261"/>
      <c r="JR58" s="261"/>
      <c r="JS58" s="261"/>
      <c r="JT58" s="261"/>
      <c r="JU58" s="261"/>
      <c r="JV58" s="261"/>
      <c r="JW58" s="261"/>
      <c r="JX58" s="261"/>
      <c r="JY58" s="261"/>
      <c r="JZ58" s="261"/>
      <c r="KA58" s="261"/>
      <c r="KB58" s="261"/>
      <c r="KC58" s="261"/>
      <c r="KD58" s="261"/>
      <c r="KE58" s="261"/>
      <c r="KF58" s="261"/>
      <c r="KG58" s="261"/>
      <c r="KH58" s="261"/>
      <c r="KI58" s="261"/>
      <c r="KJ58" s="261"/>
      <c r="KK58" s="261"/>
      <c r="KL58" s="12"/>
      <c r="KM58" s="261"/>
      <c r="KN58" s="261"/>
      <c r="KO58" s="13"/>
      <c r="KP58" s="12"/>
      <c r="KQ58" s="261"/>
      <c r="KR58" s="261"/>
      <c r="KS58" s="261"/>
      <c r="KT58" s="261"/>
      <c r="KU58" s="261"/>
      <c r="KV58" s="261"/>
      <c r="KW58" s="261"/>
      <c r="KX58" s="261"/>
      <c r="KY58" s="261"/>
      <c r="KZ58" s="261"/>
      <c r="LA58" s="261"/>
      <c r="LB58" s="261"/>
      <c r="LC58" s="261"/>
      <c r="LD58" s="261"/>
      <c r="LE58" s="261"/>
      <c r="LF58" s="261"/>
      <c r="LG58" s="261"/>
      <c r="LH58" s="261"/>
      <c r="LI58" s="261"/>
      <c r="LJ58" s="261"/>
      <c r="LK58" s="13"/>
      <c r="LL58" s="261"/>
      <c r="LM58" s="13"/>
      <c r="LN58" s="12"/>
      <c r="LO58" s="261"/>
      <c r="LP58" s="261"/>
      <c r="LQ58" s="261"/>
      <c r="LR58" s="261"/>
      <c r="LS58" s="261"/>
      <c r="LT58" s="261"/>
      <c r="LU58" s="261"/>
      <c r="LV58" s="261"/>
      <c r="LW58" s="261"/>
      <c r="LX58" s="261"/>
      <c r="LY58" s="261"/>
      <c r="LZ58" s="261"/>
      <c r="MA58" s="261"/>
      <c r="MB58" s="261"/>
      <c r="MC58" s="261"/>
      <c r="MD58" s="261"/>
      <c r="ME58" s="13"/>
      <c r="MF58" s="261"/>
      <c r="MG58" s="13"/>
      <c r="MH58" s="261"/>
      <c r="MI58" s="261"/>
      <c r="MJ58" s="261"/>
      <c r="MK58" s="261"/>
      <c r="ML58" s="261"/>
      <c r="MM58" s="261"/>
      <c r="MN58" s="261"/>
      <c r="MO58" s="261"/>
      <c r="MP58" s="261"/>
      <c r="MQ58" s="261"/>
      <c r="MR58" s="261"/>
      <c r="MS58" s="261"/>
      <c r="MT58" s="261"/>
      <c r="MU58" s="261"/>
      <c r="MV58" s="261"/>
      <c r="MW58" s="261"/>
      <c r="MX58" s="261"/>
      <c r="MY58" s="261"/>
      <c r="MZ58" s="12"/>
      <c r="NA58" s="261"/>
      <c r="NB58" s="261"/>
      <c r="NC58" s="261"/>
      <c r="ND58" s="261"/>
      <c r="NE58" s="261"/>
      <c r="NF58" s="261"/>
      <c r="NG58" s="261"/>
      <c r="NH58" s="261"/>
      <c r="NI58" s="261"/>
      <c r="NJ58" s="261"/>
      <c r="NK58" s="13"/>
      <c r="NL58" s="261"/>
      <c r="NM58" s="261"/>
      <c r="NN58" s="13"/>
    </row>
    <row r="59" spans="67:378" ht="10.75" customHeight="1" x14ac:dyDescent="0.2">
      <c r="BO59" s="12"/>
      <c r="BR59" s="13"/>
      <c r="BS59" s="214"/>
      <c r="BT59" s="49"/>
      <c r="BV59" s="12"/>
      <c r="CZ59" s="4"/>
      <c r="DD59" s="13"/>
      <c r="DE59" s="12"/>
      <c r="DI59" s="13"/>
      <c r="DJ59" s="12"/>
      <c r="DN59" s="13"/>
      <c r="DQ59" s="13"/>
      <c r="DT59" s="241"/>
      <c r="DU59" s="246"/>
      <c r="DV59" s="246"/>
      <c r="DW59" s="246"/>
      <c r="DX59" s="242"/>
      <c r="DY59" s="241"/>
      <c r="DZ59" s="246"/>
      <c r="EA59" s="246"/>
      <c r="EB59" s="246"/>
      <c r="EC59" s="242"/>
      <c r="ED59" s="241"/>
      <c r="EE59" s="246"/>
      <c r="EF59" s="246"/>
      <c r="EG59" s="246"/>
      <c r="EH59" s="242"/>
      <c r="EI59" s="241"/>
      <c r="EJ59" s="246"/>
      <c r="EK59" s="246"/>
      <c r="EL59" s="246"/>
      <c r="EM59" s="242"/>
      <c r="EN59" s="12"/>
      <c r="EO59" s="13"/>
      <c r="EP59" s="12"/>
      <c r="ER59" s="13"/>
      <c r="ES59" s="12"/>
      <c r="EV59" s="5"/>
      <c r="EW59" s="208"/>
      <c r="EX59" s="208"/>
      <c r="FB59" s="13"/>
      <c r="FC59" s="241"/>
      <c r="FD59" s="246"/>
      <c r="FE59" s="246"/>
      <c r="FF59" s="246"/>
      <c r="FG59" s="242"/>
      <c r="FH59" s="241"/>
      <c r="FI59" s="246"/>
      <c r="FJ59" s="246"/>
      <c r="FK59" s="246"/>
      <c r="FL59" s="242"/>
      <c r="FM59" s="241"/>
      <c r="FN59" s="246"/>
      <c r="FO59" s="246"/>
      <c r="FP59" s="246"/>
      <c r="FQ59" s="242"/>
      <c r="FR59" s="241"/>
      <c r="FS59" s="246"/>
      <c r="FT59" s="246"/>
      <c r="FU59" s="246"/>
      <c r="FV59" s="242"/>
      <c r="GA59" s="13"/>
      <c r="GB59" s="12"/>
      <c r="GM59" s="13"/>
      <c r="GP59" s="13"/>
      <c r="GT59" s="13"/>
      <c r="JK59" s="12"/>
      <c r="JL59" s="261"/>
      <c r="JM59" s="261"/>
      <c r="JN59" s="12"/>
      <c r="JO59" s="261"/>
      <c r="JP59" s="261"/>
      <c r="JQ59" s="261"/>
      <c r="JR59" s="261"/>
      <c r="JS59" s="261"/>
      <c r="JT59" s="261"/>
      <c r="JU59" s="261"/>
      <c r="JV59" s="261"/>
      <c r="JW59" s="261"/>
      <c r="JX59" s="261"/>
      <c r="JY59" s="261"/>
      <c r="JZ59" s="261"/>
      <c r="KA59" s="261"/>
      <c r="KB59" s="261"/>
      <c r="KC59" s="261"/>
      <c r="KD59" s="261"/>
      <c r="KE59" s="261"/>
      <c r="KF59" s="261"/>
      <c r="KG59" s="261"/>
      <c r="KH59" s="261"/>
      <c r="KI59" s="261"/>
      <c r="KJ59" s="261"/>
      <c r="KK59" s="261"/>
      <c r="KL59" s="12"/>
      <c r="KM59" s="261"/>
      <c r="KN59" s="261"/>
      <c r="KO59" s="13"/>
      <c r="KP59" s="12"/>
      <c r="KQ59" s="261"/>
      <c r="KR59" s="261"/>
      <c r="KS59" s="261"/>
      <c r="KT59" s="261"/>
      <c r="KU59" s="261"/>
      <c r="KV59" s="261"/>
      <c r="KW59" s="261"/>
      <c r="KX59" s="261"/>
      <c r="KY59" s="261"/>
      <c r="KZ59" s="261"/>
      <c r="LA59" s="261"/>
      <c r="LB59" s="261"/>
      <c r="LC59" s="261"/>
      <c r="LD59" s="261"/>
      <c r="LE59" s="261"/>
      <c r="LF59" s="261"/>
      <c r="LG59" s="261"/>
      <c r="LH59" s="261"/>
      <c r="LI59" s="261"/>
      <c r="LJ59" s="261"/>
      <c r="LK59" s="13"/>
      <c r="LL59" s="261"/>
      <c r="LM59" s="13"/>
      <c r="LN59" s="12"/>
      <c r="LO59" s="261"/>
      <c r="LP59" s="261"/>
      <c r="LQ59" s="261"/>
      <c r="LR59" s="261"/>
      <c r="LS59" s="261"/>
      <c r="LT59" s="261"/>
      <c r="LU59" s="261"/>
      <c r="LV59" s="261"/>
      <c r="LW59" s="261"/>
      <c r="LX59" s="261"/>
      <c r="LY59" s="261"/>
      <c r="LZ59" s="261"/>
      <c r="MA59" s="261"/>
      <c r="MB59" s="261"/>
      <c r="MC59" s="261"/>
      <c r="MD59" s="261"/>
      <c r="ME59" s="13"/>
      <c r="MF59" s="261"/>
      <c r="MG59" s="13"/>
      <c r="MH59" s="261"/>
      <c r="MI59" s="261"/>
      <c r="MJ59" s="261"/>
      <c r="MK59" s="261"/>
      <c r="ML59" s="261"/>
      <c r="MM59" s="261"/>
      <c r="MN59" s="261"/>
      <c r="MO59" s="261"/>
      <c r="MP59" s="261"/>
      <c r="MQ59" s="261"/>
      <c r="MR59" s="261"/>
      <c r="MS59" s="261"/>
      <c r="MT59" s="261"/>
      <c r="MU59" s="261"/>
      <c r="MV59" s="261"/>
      <c r="MW59" s="261"/>
      <c r="MX59" s="261"/>
      <c r="MY59" s="261"/>
      <c r="MZ59" s="12"/>
      <c r="NA59" s="261"/>
      <c r="NB59" s="261"/>
      <c r="NC59" s="261"/>
      <c r="ND59" s="261"/>
      <c r="NE59" s="261"/>
      <c r="NF59" s="261"/>
      <c r="NG59" s="261"/>
      <c r="NH59" s="261"/>
      <c r="NI59" s="261"/>
      <c r="NJ59" s="261"/>
      <c r="NK59" s="13"/>
      <c r="NL59" s="261"/>
      <c r="NM59" s="261"/>
      <c r="NN59" s="13"/>
    </row>
    <row r="60" spans="67:378" ht="10.75" customHeight="1" x14ac:dyDescent="0.2">
      <c r="BO60" s="12"/>
      <c r="BR60" s="13"/>
      <c r="BS60" s="214"/>
      <c r="BT60" s="49"/>
      <c r="BV60" s="12"/>
      <c r="CZ60" s="4"/>
      <c r="DD60" s="13"/>
      <c r="DE60" s="12"/>
      <c r="DI60" s="13"/>
      <c r="DJ60" s="12"/>
      <c r="DN60" s="13"/>
      <c r="DQ60" s="13"/>
      <c r="DT60" s="241"/>
      <c r="DU60" s="246"/>
      <c r="DV60" s="246"/>
      <c r="DW60" s="246"/>
      <c r="DX60" s="242"/>
      <c r="DY60" s="241"/>
      <c r="DZ60" s="246"/>
      <c r="EA60" s="246"/>
      <c r="EB60" s="246"/>
      <c r="EC60" s="242"/>
      <c r="ED60" s="241"/>
      <c r="EE60" s="246"/>
      <c r="EF60" s="246"/>
      <c r="EG60" s="246"/>
      <c r="EH60" s="242"/>
      <c r="EI60" s="241"/>
      <c r="EJ60" s="246"/>
      <c r="EK60" s="246"/>
      <c r="EL60" s="246"/>
      <c r="EM60" s="242"/>
      <c r="EN60" s="12"/>
      <c r="EO60" s="13"/>
      <c r="EP60" s="12"/>
      <c r="ER60" s="13"/>
      <c r="ES60" s="12"/>
      <c r="EV60" s="5"/>
      <c r="EW60" s="208"/>
      <c r="EX60" s="208"/>
      <c r="FB60" s="13"/>
      <c r="FC60" s="241"/>
      <c r="FD60" s="246"/>
      <c r="FE60" s="246"/>
      <c r="FF60" s="246"/>
      <c r="FG60" s="242"/>
      <c r="FH60" s="241"/>
      <c r="FI60" s="246"/>
      <c r="FJ60" s="246"/>
      <c r="FK60" s="246"/>
      <c r="FL60" s="242"/>
      <c r="FM60" s="241"/>
      <c r="FN60" s="246"/>
      <c r="FO60" s="246"/>
      <c r="FP60" s="246"/>
      <c r="FQ60" s="242"/>
      <c r="FR60" s="241"/>
      <c r="FS60" s="246"/>
      <c r="FT60" s="246"/>
      <c r="FU60" s="246"/>
      <c r="FV60" s="242"/>
      <c r="GA60" s="13"/>
      <c r="GB60" s="12"/>
      <c r="GM60" s="13"/>
      <c r="GP60" s="13"/>
      <c r="GT60" s="13"/>
      <c r="JK60" s="12"/>
      <c r="JL60" s="261"/>
      <c r="JM60" s="261"/>
      <c r="JN60" s="12"/>
      <c r="JO60" s="261"/>
      <c r="JP60" s="261"/>
      <c r="JQ60" s="261"/>
      <c r="JR60" s="261"/>
      <c r="JS60" s="261"/>
      <c r="JT60" s="261"/>
      <c r="JU60" s="261"/>
      <c r="JV60" s="261"/>
      <c r="JW60" s="261"/>
      <c r="JX60" s="261"/>
      <c r="JY60" s="261"/>
      <c r="JZ60" s="261"/>
      <c r="KA60" s="261"/>
      <c r="KB60" s="261"/>
      <c r="KC60" s="261"/>
      <c r="KD60" s="261"/>
      <c r="KE60" s="261"/>
      <c r="KF60" s="261"/>
      <c r="KG60" s="261"/>
      <c r="KH60" s="261"/>
      <c r="KI60" s="261"/>
      <c r="KJ60" s="261"/>
      <c r="KK60" s="261"/>
      <c r="KL60" s="12"/>
      <c r="KM60" s="261"/>
      <c r="KN60" s="261"/>
      <c r="KO60" s="13"/>
      <c r="KP60" s="12"/>
      <c r="KQ60" s="261"/>
      <c r="KR60" s="261"/>
      <c r="KS60" s="261"/>
      <c r="KT60" s="261"/>
      <c r="KU60" s="261"/>
      <c r="KV60" s="261"/>
      <c r="KW60" s="261"/>
      <c r="KX60" s="261"/>
      <c r="KY60" s="261"/>
      <c r="KZ60" s="261"/>
      <c r="LA60" s="261"/>
      <c r="LB60" s="261"/>
      <c r="LC60" s="261"/>
      <c r="LD60" s="261"/>
      <c r="LE60" s="261"/>
      <c r="LF60" s="261"/>
      <c r="LG60" s="261"/>
      <c r="LH60" s="261"/>
      <c r="LI60" s="261"/>
      <c r="LJ60" s="261"/>
      <c r="LK60" s="13"/>
      <c r="LL60" s="261"/>
      <c r="LM60" s="13"/>
      <c r="LN60" s="12"/>
      <c r="LO60" s="261"/>
      <c r="LP60" s="261"/>
      <c r="LQ60" s="261"/>
      <c r="LR60" s="261"/>
      <c r="LS60" s="261"/>
      <c r="LT60" s="261"/>
      <c r="LU60" s="261"/>
      <c r="LV60" s="261"/>
      <c r="LW60" s="261"/>
      <c r="LX60" s="261"/>
      <c r="LY60" s="261"/>
      <c r="LZ60" s="261"/>
      <c r="MA60" s="261"/>
      <c r="MB60" s="261"/>
      <c r="MC60" s="261"/>
      <c r="MD60" s="261"/>
      <c r="ME60" s="13"/>
      <c r="MF60" s="261"/>
      <c r="MG60" s="13"/>
      <c r="MH60" s="261"/>
      <c r="MI60" s="261"/>
      <c r="MJ60" s="261"/>
      <c r="MK60" s="261"/>
      <c r="ML60" s="261"/>
      <c r="MM60" s="261"/>
      <c r="MN60" s="261"/>
      <c r="MO60" s="261"/>
      <c r="MP60" s="261"/>
      <c r="MQ60" s="261"/>
      <c r="MR60" s="261"/>
      <c r="MS60" s="261"/>
      <c r="MT60" s="261"/>
      <c r="MU60" s="261"/>
      <c r="MV60" s="261"/>
      <c r="MW60" s="261"/>
      <c r="MX60" s="261"/>
      <c r="MY60" s="261"/>
      <c r="MZ60" s="12"/>
      <c r="NA60" s="261"/>
      <c r="NB60" s="261"/>
      <c r="NC60" s="261"/>
      <c r="ND60" s="261"/>
      <c r="NE60" s="261"/>
      <c r="NF60" s="261"/>
      <c r="NG60" s="261"/>
      <c r="NH60" s="261"/>
      <c r="NI60" s="261"/>
      <c r="NJ60" s="261"/>
      <c r="NK60" s="13"/>
      <c r="NL60" s="261"/>
      <c r="NM60" s="261"/>
      <c r="NN60" s="13"/>
    </row>
    <row r="61" spans="67:378" ht="10.75" customHeight="1" x14ac:dyDescent="0.2">
      <c r="BO61" s="12"/>
      <c r="BR61" s="13"/>
      <c r="BS61" s="214"/>
      <c r="BT61" s="49"/>
      <c r="BV61" s="12"/>
      <c r="CZ61" s="4"/>
      <c r="DD61" s="13"/>
      <c r="DE61" s="12"/>
      <c r="DI61" s="13"/>
      <c r="DJ61" s="12"/>
      <c r="DN61" s="13"/>
      <c r="DQ61" s="13"/>
      <c r="DT61" s="241"/>
      <c r="DU61" s="246"/>
      <c r="DV61" s="246"/>
      <c r="DW61" s="246"/>
      <c r="DX61" s="242"/>
      <c r="DY61" s="241"/>
      <c r="DZ61" s="246"/>
      <c r="EA61" s="246"/>
      <c r="EB61" s="246"/>
      <c r="EC61" s="242"/>
      <c r="ED61" s="241"/>
      <c r="EE61" s="246"/>
      <c r="EF61" s="246"/>
      <c r="EG61" s="246"/>
      <c r="EH61" s="242"/>
      <c r="EI61" s="241"/>
      <c r="EJ61" s="246"/>
      <c r="EK61" s="246"/>
      <c r="EL61" s="246"/>
      <c r="EM61" s="242"/>
      <c r="EN61" s="12"/>
      <c r="EO61" s="13"/>
      <c r="EP61" s="12"/>
      <c r="ER61" s="13"/>
      <c r="ES61" s="12"/>
      <c r="EV61" s="5"/>
      <c r="EW61" s="208"/>
      <c r="EX61" s="208"/>
      <c r="FB61" s="13"/>
      <c r="FC61" s="241"/>
      <c r="FD61" s="246"/>
      <c r="FE61" s="246"/>
      <c r="FF61" s="246"/>
      <c r="FG61" s="242"/>
      <c r="FH61" s="241"/>
      <c r="FI61" s="246"/>
      <c r="FJ61" s="246"/>
      <c r="FK61" s="246"/>
      <c r="FL61" s="242"/>
      <c r="FM61" s="241"/>
      <c r="FN61" s="246"/>
      <c r="FO61" s="246"/>
      <c r="FP61" s="246"/>
      <c r="FQ61" s="242"/>
      <c r="FR61" s="241"/>
      <c r="FS61" s="246"/>
      <c r="FT61" s="246"/>
      <c r="FU61" s="246"/>
      <c r="FV61" s="242"/>
      <c r="GA61" s="13"/>
      <c r="GB61" s="12"/>
      <c r="GM61" s="13"/>
      <c r="GP61" s="13"/>
      <c r="GT61" s="13"/>
      <c r="JK61" s="12"/>
      <c r="JL61" s="261"/>
      <c r="JM61" s="261"/>
      <c r="JN61" s="12"/>
      <c r="JO61" s="261"/>
      <c r="JP61" s="261"/>
      <c r="JQ61" s="261"/>
      <c r="JR61" s="261"/>
      <c r="JS61" s="261"/>
      <c r="JT61" s="261"/>
      <c r="JU61" s="261"/>
      <c r="JV61" s="261"/>
      <c r="JW61" s="261"/>
      <c r="JX61" s="261"/>
      <c r="JY61" s="261"/>
      <c r="JZ61" s="261"/>
      <c r="KA61" s="261"/>
      <c r="KB61" s="261"/>
      <c r="KC61" s="261"/>
      <c r="KD61" s="261"/>
      <c r="KE61" s="261"/>
      <c r="KF61" s="261"/>
      <c r="KG61" s="261"/>
      <c r="KH61" s="261"/>
      <c r="KI61" s="261"/>
      <c r="KJ61" s="261"/>
      <c r="KK61" s="261"/>
      <c r="KL61" s="12"/>
      <c r="KM61" s="261"/>
      <c r="KN61" s="261"/>
      <c r="KO61" s="13"/>
      <c r="KP61" s="12"/>
      <c r="KQ61" s="261"/>
      <c r="KR61" s="261"/>
      <c r="KS61" s="261"/>
      <c r="KT61" s="261"/>
      <c r="KU61" s="261"/>
      <c r="KV61" s="261"/>
      <c r="KW61" s="261"/>
      <c r="KX61" s="261"/>
      <c r="KY61" s="261"/>
      <c r="KZ61" s="261"/>
      <c r="LA61" s="261"/>
      <c r="LB61" s="261"/>
      <c r="LC61" s="261"/>
      <c r="LD61" s="261"/>
      <c r="LE61" s="261"/>
      <c r="LF61" s="261"/>
      <c r="LG61" s="261"/>
      <c r="LH61" s="261"/>
      <c r="LI61" s="261"/>
      <c r="LJ61" s="261"/>
      <c r="LK61" s="13"/>
      <c r="LL61" s="261"/>
      <c r="LM61" s="13"/>
      <c r="LN61" s="12"/>
      <c r="LO61" s="261"/>
      <c r="LP61" s="261"/>
      <c r="LQ61" s="261"/>
      <c r="LR61" s="261"/>
      <c r="LS61" s="261"/>
      <c r="LT61" s="261"/>
      <c r="LU61" s="261"/>
      <c r="LV61" s="261"/>
      <c r="LW61" s="261"/>
      <c r="LX61" s="261"/>
      <c r="LY61" s="261"/>
      <c r="LZ61" s="261"/>
      <c r="MA61" s="261"/>
      <c r="MB61" s="261"/>
      <c r="MC61" s="261"/>
      <c r="MD61" s="261"/>
      <c r="ME61" s="13"/>
      <c r="MF61" s="261"/>
      <c r="MG61" s="13"/>
      <c r="MH61" s="261"/>
      <c r="MI61" s="261"/>
      <c r="MJ61" s="261"/>
      <c r="MK61" s="261"/>
      <c r="ML61" s="261"/>
      <c r="MM61" s="261"/>
      <c r="MN61" s="261"/>
      <c r="MO61" s="261"/>
      <c r="MP61" s="261"/>
      <c r="MQ61" s="261"/>
      <c r="MR61" s="261"/>
      <c r="MS61" s="261"/>
      <c r="MT61" s="261"/>
      <c r="MU61" s="261"/>
      <c r="MV61" s="261"/>
      <c r="MW61" s="261"/>
      <c r="MX61" s="261"/>
      <c r="MY61" s="261"/>
      <c r="MZ61" s="12"/>
      <c r="NA61" s="261"/>
      <c r="NB61" s="261"/>
      <c r="NC61" s="261"/>
      <c r="ND61" s="261"/>
      <c r="NE61" s="261"/>
      <c r="NF61" s="261"/>
      <c r="NG61" s="261"/>
      <c r="NH61" s="261"/>
      <c r="NI61" s="261"/>
      <c r="NJ61" s="261"/>
      <c r="NK61" s="13"/>
      <c r="NL61" s="261"/>
      <c r="NM61" s="261"/>
      <c r="NN61" s="13"/>
    </row>
    <row r="62" spans="67:378" ht="10.75" customHeight="1" x14ac:dyDescent="0.2">
      <c r="BO62" s="12"/>
      <c r="BR62" s="13"/>
      <c r="BS62" s="214"/>
      <c r="BT62" s="49"/>
      <c r="BV62" s="12"/>
      <c r="CZ62" s="4"/>
      <c r="DD62" s="13"/>
      <c r="DE62" s="12"/>
      <c r="DI62" s="13"/>
      <c r="DJ62" s="12"/>
      <c r="DN62" s="13"/>
      <c r="DQ62" s="13"/>
      <c r="DT62" s="241"/>
      <c r="DU62" s="246"/>
      <c r="DV62" s="246"/>
      <c r="DW62" s="246"/>
      <c r="DX62" s="242"/>
      <c r="DY62" s="241"/>
      <c r="DZ62" s="246"/>
      <c r="EA62" s="246"/>
      <c r="EB62" s="246"/>
      <c r="EC62" s="242"/>
      <c r="ED62" s="241"/>
      <c r="EE62" s="246"/>
      <c r="EF62" s="246"/>
      <c r="EG62" s="246"/>
      <c r="EH62" s="242"/>
      <c r="EI62" s="241"/>
      <c r="EJ62" s="246"/>
      <c r="EK62" s="246"/>
      <c r="EL62" s="246"/>
      <c r="EM62" s="242"/>
      <c r="EN62" s="12"/>
      <c r="EO62" s="13"/>
      <c r="EP62" s="12"/>
      <c r="ER62" s="13"/>
      <c r="ES62" s="12"/>
      <c r="EV62" s="5"/>
      <c r="EW62" s="208"/>
      <c r="EX62" s="208"/>
      <c r="FB62" s="13"/>
      <c r="FC62" s="241"/>
      <c r="FD62" s="246"/>
      <c r="FE62" s="246"/>
      <c r="FF62" s="246"/>
      <c r="FG62" s="242"/>
      <c r="FH62" s="241"/>
      <c r="FI62" s="246"/>
      <c r="FJ62" s="246"/>
      <c r="FK62" s="246"/>
      <c r="FL62" s="242"/>
      <c r="FM62" s="241"/>
      <c r="FN62" s="246"/>
      <c r="FO62" s="246"/>
      <c r="FP62" s="246"/>
      <c r="FQ62" s="242"/>
      <c r="FR62" s="241"/>
      <c r="FS62" s="246"/>
      <c r="FT62" s="246"/>
      <c r="FU62" s="246"/>
      <c r="FV62" s="242"/>
      <c r="GA62" s="13"/>
      <c r="GB62" s="12"/>
      <c r="GM62" s="13"/>
      <c r="GP62" s="13"/>
      <c r="GT62" s="13"/>
      <c r="JK62" s="12"/>
      <c r="JL62" s="261"/>
      <c r="JM62" s="261"/>
      <c r="JN62" s="12"/>
      <c r="JO62" s="261"/>
      <c r="JP62" s="261"/>
      <c r="JQ62" s="261"/>
      <c r="JR62" s="261"/>
      <c r="JS62" s="261"/>
      <c r="JT62" s="261"/>
      <c r="JU62" s="261"/>
      <c r="JV62" s="261"/>
      <c r="JW62" s="261"/>
      <c r="JX62" s="261"/>
      <c r="JY62" s="261"/>
      <c r="JZ62" s="261"/>
      <c r="KA62" s="261"/>
      <c r="KB62" s="261"/>
      <c r="KC62" s="261"/>
      <c r="KD62" s="261"/>
      <c r="KE62" s="261"/>
      <c r="KF62" s="261"/>
      <c r="KG62" s="261"/>
      <c r="KH62" s="261"/>
      <c r="KI62" s="261"/>
      <c r="KJ62" s="261"/>
      <c r="KK62" s="261"/>
      <c r="KL62" s="12"/>
      <c r="KM62" s="261"/>
      <c r="KN62" s="261"/>
      <c r="KO62" s="13"/>
      <c r="KP62" s="12"/>
      <c r="KQ62" s="261"/>
      <c r="KR62" s="261"/>
      <c r="KS62" s="261"/>
      <c r="KT62" s="261"/>
      <c r="KU62" s="261"/>
      <c r="KV62" s="261"/>
      <c r="KW62" s="261"/>
      <c r="KX62" s="261"/>
      <c r="KY62" s="261"/>
      <c r="KZ62" s="261"/>
      <c r="LA62" s="261"/>
      <c r="LB62" s="261"/>
      <c r="LC62" s="261"/>
      <c r="LD62" s="261"/>
      <c r="LE62" s="261"/>
      <c r="LF62" s="261"/>
      <c r="LG62" s="261"/>
      <c r="LH62" s="261"/>
      <c r="LI62" s="261"/>
      <c r="LJ62" s="261"/>
      <c r="LK62" s="13"/>
      <c r="LL62" s="261"/>
      <c r="LM62" s="13"/>
      <c r="LN62" s="12"/>
      <c r="LO62" s="261"/>
      <c r="LP62" s="261"/>
      <c r="LQ62" s="261"/>
      <c r="LR62" s="261"/>
      <c r="LS62" s="261"/>
      <c r="LT62" s="261"/>
      <c r="LU62" s="261"/>
      <c r="LV62" s="261"/>
      <c r="LW62" s="261"/>
      <c r="LX62" s="261"/>
      <c r="LY62" s="261"/>
      <c r="LZ62" s="261"/>
      <c r="MA62" s="261"/>
      <c r="MB62" s="261"/>
      <c r="MC62" s="261"/>
      <c r="MD62" s="261"/>
      <c r="ME62" s="13"/>
      <c r="MF62" s="261"/>
      <c r="MG62" s="13"/>
      <c r="MH62" s="261"/>
      <c r="MI62" s="261"/>
      <c r="MJ62" s="261"/>
      <c r="MK62" s="261"/>
      <c r="ML62" s="261"/>
      <c r="MM62" s="261"/>
      <c r="MN62" s="261"/>
      <c r="MO62" s="261"/>
      <c r="MP62" s="261"/>
      <c r="MQ62" s="261"/>
      <c r="MR62" s="261"/>
      <c r="MS62" s="261"/>
      <c r="MT62" s="261"/>
      <c r="MU62" s="261"/>
      <c r="MV62" s="261"/>
      <c r="MW62" s="261"/>
      <c r="MX62" s="261"/>
      <c r="MY62" s="261"/>
      <c r="MZ62" s="12"/>
      <c r="NA62" s="261"/>
      <c r="NB62" s="261"/>
      <c r="NC62" s="261"/>
      <c r="ND62" s="261"/>
      <c r="NE62" s="261"/>
      <c r="NF62" s="261"/>
      <c r="NG62" s="261"/>
      <c r="NH62" s="261"/>
      <c r="NI62" s="261"/>
      <c r="NJ62" s="261"/>
      <c r="NK62" s="13"/>
      <c r="NL62" s="261"/>
      <c r="NM62" s="261"/>
      <c r="NN62" s="13"/>
    </row>
    <row r="63" spans="67:378" ht="10.75" customHeight="1" x14ac:dyDescent="0.2">
      <c r="BO63" s="12"/>
      <c r="BR63" s="13"/>
      <c r="BS63" s="214"/>
      <c r="BT63" s="49"/>
      <c r="BV63" s="12"/>
      <c r="CZ63" s="4"/>
      <c r="DD63" s="13"/>
      <c r="DE63" s="12"/>
      <c r="DI63" s="13"/>
      <c r="DJ63" s="12"/>
      <c r="DN63" s="13"/>
      <c r="DQ63" s="13"/>
      <c r="DT63" s="241"/>
      <c r="DU63" s="246"/>
      <c r="DV63" s="246"/>
      <c r="DW63" s="246"/>
      <c r="DX63" s="242"/>
      <c r="DY63" s="241"/>
      <c r="DZ63" s="246"/>
      <c r="EA63" s="246"/>
      <c r="EB63" s="246"/>
      <c r="EC63" s="242"/>
      <c r="ED63" s="241"/>
      <c r="EE63" s="246"/>
      <c r="EF63" s="246"/>
      <c r="EG63" s="246"/>
      <c r="EH63" s="242"/>
      <c r="EI63" s="241"/>
      <c r="EJ63" s="246"/>
      <c r="EK63" s="246"/>
      <c r="EL63" s="246"/>
      <c r="EM63" s="242"/>
      <c r="EN63" s="12"/>
      <c r="EO63" s="13"/>
      <c r="EP63" s="12"/>
      <c r="ER63" s="13"/>
      <c r="ES63" s="12"/>
      <c r="EV63" s="5"/>
      <c r="EW63" s="208"/>
      <c r="EX63" s="208"/>
      <c r="FB63" s="13"/>
      <c r="FC63" s="241"/>
      <c r="FD63" s="246"/>
      <c r="FE63" s="246"/>
      <c r="FF63" s="246"/>
      <c r="FG63" s="242"/>
      <c r="FH63" s="241"/>
      <c r="FI63" s="246"/>
      <c r="FJ63" s="246"/>
      <c r="FK63" s="246"/>
      <c r="FL63" s="242"/>
      <c r="FM63" s="241"/>
      <c r="FN63" s="246"/>
      <c r="FO63" s="246"/>
      <c r="FP63" s="246"/>
      <c r="FQ63" s="242"/>
      <c r="FR63" s="241"/>
      <c r="FS63" s="246"/>
      <c r="FT63" s="246"/>
      <c r="FU63" s="246"/>
      <c r="FV63" s="242"/>
      <c r="GA63" s="13"/>
      <c r="GB63" s="12"/>
      <c r="GM63" s="13"/>
      <c r="GP63" s="13"/>
      <c r="GT63" s="13"/>
      <c r="JK63" s="12"/>
      <c r="JL63" s="261"/>
      <c r="JM63" s="261"/>
      <c r="JN63" s="12"/>
      <c r="JO63" s="261"/>
      <c r="JP63" s="261"/>
      <c r="JQ63" s="261"/>
      <c r="JR63" s="261"/>
      <c r="JS63" s="261"/>
      <c r="JT63" s="261"/>
      <c r="JU63" s="261"/>
      <c r="JV63" s="261"/>
      <c r="JW63" s="261"/>
      <c r="JX63" s="261"/>
      <c r="JY63" s="261"/>
      <c r="JZ63" s="261"/>
      <c r="KA63" s="261"/>
      <c r="KB63" s="261"/>
      <c r="KC63" s="261"/>
      <c r="KD63" s="261"/>
      <c r="KE63" s="261"/>
      <c r="KF63" s="261"/>
      <c r="KG63" s="261"/>
      <c r="KH63" s="261"/>
      <c r="KI63" s="261"/>
      <c r="KJ63" s="261"/>
      <c r="KK63" s="261"/>
      <c r="KL63" s="12"/>
      <c r="KM63" s="261"/>
      <c r="KN63" s="261"/>
      <c r="KO63" s="13"/>
      <c r="KP63" s="12"/>
      <c r="KQ63" s="261"/>
      <c r="KR63" s="261"/>
      <c r="KS63" s="261"/>
      <c r="KT63" s="261"/>
      <c r="KU63" s="261"/>
      <c r="KV63" s="261"/>
      <c r="KW63" s="261"/>
      <c r="KX63" s="261"/>
      <c r="KY63" s="261"/>
      <c r="KZ63" s="261"/>
      <c r="LA63" s="261"/>
      <c r="LB63" s="261"/>
      <c r="LC63" s="261"/>
      <c r="LD63" s="261"/>
      <c r="LE63" s="261"/>
      <c r="LF63" s="261"/>
      <c r="LG63" s="261"/>
      <c r="LH63" s="261"/>
      <c r="LI63" s="261"/>
      <c r="LJ63" s="261"/>
      <c r="LK63" s="13"/>
      <c r="LL63" s="261"/>
      <c r="LM63" s="13"/>
      <c r="LN63" s="12"/>
      <c r="LO63" s="261"/>
      <c r="LP63" s="261"/>
      <c r="LQ63" s="261"/>
      <c r="LR63" s="261"/>
      <c r="LS63" s="261"/>
      <c r="LT63" s="261"/>
      <c r="LU63" s="261"/>
      <c r="LV63" s="261"/>
      <c r="LW63" s="261"/>
      <c r="LX63" s="261"/>
      <c r="LY63" s="261"/>
      <c r="LZ63" s="261"/>
      <c r="MA63" s="261"/>
      <c r="MB63" s="261"/>
      <c r="MC63" s="261"/>
      <c r="MD63" s="261"/>
      <c r="ME63" s="13"/>
      <c r="MF63" s="261"/>
      <c r="MG63" s="13"/>
      <c r="MH63" s="261"/>
      <c r="MI63" s="261"/>
      <c r="MJ63" s="261"/>
      <c r="MK63" s="261"/>
      <c r="ML63" s="261"/>
      <c r="MM63" s="261"/>
      <c r="MN63" s="261"/>
      <c r="MO63" s="261"/>
      <c r="MP63" s="261"/>
      <c r="MQ63" s="261"/>
      <c r="MR63" s="261"/>
      <c r="MS63" s="261"/>
      <c r="MT63" s="261"/>
      <c r="MU63" s="261"/>
      <c r="MV63" s="261"/>
      <c r="MW63" s="261"/>
      <c r="MX63" s="261"/>
      <c r="MY63" s="261"/>
      <c r="MZ63" s="12"/>
      <c r="NA63" s="261"/>
      <c r="NB63" s="261"/>
      <c r="NC63" s="261"/>
      <c r="ND63" s="261"/>
      <c r="NE63" s="261"/>
      <c r="NF63" s="261"/>
      <c r="NG63" s="261"/>
      <c r="NH63" s="261"/>
      <c r="NI63" s="261"/>
      <c r="NJ63" s="261"/>
      <c r="NK63" s="13"/>
      <c r="NL63" s="261"/>
      <c r="NM63" s="261"/>
      <c r="NN63" s="13"/>
    </row>
    <row r="64" spans="67:378" ht="10.75" customHeight="1" x14ac:dyDescent="0.2">
      <c r="BO64" s="12"/>
      <c r="BR64" s="13"/>
      <c r="BS64" s="214"/>
      <c r="BT64" s="49"/>
      <c r="BV64" s="12"/>
      <c r="CZ64" s="4"/>
      <c r="DD64" s="13"/>
      <c r="DE64" s="12"/>
      <c r="DI64" s="13"/>
      <c r="DJ64" s="12"/>
      <c r="DN64" s="13"/>
      <c r="DQ64" s="13"/>
      <c r="DT64" s="241"/>
      <c r="DU64" s="246"/>
      <c r="DV64" s="246"/>
      <c r="DW64" s="246"/>
      <c r="DX64" s="242"/>
      <c r="DY64" s="241"/>
      <c r="DZ64" s="246"/>
      <c r="EA64" s="246"/>
      <c r="EB64" s="246"/>
      <c r="EC64" s="242"/>
      <c r="ED64" s="241"/>
      <c r="EE64" s="246"/>
      <c r="EF64" s="246"/>
      <c r="EG64" s="246"/>
      <c r="EH64" s="242"/>
      <c r="EI64" s="241"/>
      <c r="EJ64" s="246"/>
      <c r="EK64" s="246"/>
      <c r="EL64" s="246"/>
      <c r="EM64" s="242"/>
      <c r="EN64" s="12"/>
      <c r="EO64" s="13"/>
      <c r="EP64" s="12"/>
      <c r="ER64" s="13"/>
      <c r="ES64" s="12"/>
      <c r="EV64" s="5"/>
      <c r="EW64" s="208"/>
      <c r="EX64" s="208"/>
      <c r="FB64" s="13"/>
      <c r="FC64" s="241"/>
      <c r="FD64" s="246"/>
      <c r="FE64" s="246"/>
      <c r="FF64" s="246"/>
      <c r="FG64" s="242"/>
      <c r="FH64" s="241"/>
      <c r="FI64" s="246"/>
      <c r="FJ64" s="246"/>
      <c r="FK64" s="246"/>
      <c r="FL64" s="242"/>
      <c r="FM64" s="241"/>
      <c r="FN64" s="246"/>
      <c r="FO64" s="246"/>
      <c r="FP64" s="246"/>
      <c r="FQ64" s="242"/>
      <c r="FR64" s="241"/>
      <c r="FS64" s="246"/>
      <c r="FT64" s="246"/>
      <c r="FU64" s="246"/>
      <c r="FV64" s="242"/>
      <c r="GA64" s="13"/>
      <c r="GB64" s="12"/>
      <c r="GM64" s="13"/>
      <c r="GP64" s="13"/>
      <c r="GT64" s="13"/>
      <c r="JK64" s="12"/>
      <c r="JL64" s="261"/>
      <c r="JM64" s="261"/>
      <c r="JN64" s="12"/>
      <c r="JO64" s="261"/>
      <c r="JP64" s="261"/>
      <c r="JQ64" s="261"/>
      <c r="JR64" s="261"/>
      <c r="JS64" s="261"/>
      <c r="JT64" s="261"/>
      <c r="JU64" s="261"/>
      <c r="JV64" s="261"/>
      <c r="JW64" s="261"/>
      <c r="JX64" s="261"/>
      <c r="JY64" s="261"/>
      <c r="JZ64" s="261"/>
      <c r="KA64" s="261"/>
      <c r="KB64" s="261"/>
      <c r="KC64" s="261"/>
      <c r="KD64" s="261"/>
      <c r="KE64" s="261"/>
      <c r="KF64" s="261"/>
      <c r="KG64" s="261"/>
      <c r="KH64" s="261"/>
      <c r="KI64" s="261"/>
      <c r="KJ64" s="261"/>
      <c r="KK64" s="261"/>
      <c r="KL64" s="12"/>
      <c r="KM64" s="261"/>
      <c r="KN64" s="261"/>
      <c r="KO64" s="13"/>
      <c r="KP64" s="12"/>
      <c r="KQ64" s="261"/>
      <c r="KR64" s="261"/>
      <c r="KS64" s="261"/>
      <c r="KT64" s="261"/>
      <c r="KU64" s="261"/>
      <c r="KV64" s="261"/>
      <c r="KW64" s="261"/>
      <c r="KX64" s="261"/>
      <c r="KY64" s="261"/>
      <c r="KZ64" s="261"/>
      <c r="LA64" s="261"/>
      <c r="LB64" s="261"/>
      <c r="LC64" s="261"/>
      <c r="LD64" s="261"/>
      <c r="LE64" s="261"/>
      <c r="LF64" s="261"/>
      <c r="LG64" s="261"/>
      <c r="LH64" s="261"/>
      <c r="LI64" s="261"/>
      <c r="LJ64" s="261"/>
      <c r="LK64" s="13"/>
      <c r="LL64" s="261"/>
      <c r="LM64" s="13"/>
      <c r="LN64" s="12"/>
      <c r="LO64" s="261"/>
      <c r="LP64" s="261"/>
      <c r="LQ64" s="261"/>
      <c r="LR64" s="261"/>
      <c r="LS64" s="261"/>
      <c r="LT64" s="261"/>
      <c r="LU64" s="261"/>
      <c r="LV64" s="261"/>
      <c r="LW64" s="261"/>
      <c r="LX64" s="261"/>
      <c r="LY64" s="261"/>
      <c r="LZ64" s="261"/>
      <c r="MA64" s="261"/>
      <c r="MB64" s="261"/>
      <c r="MC64" s="261"/>
      <c r="MD64" s="261"/>
      <c r="ME64" s="13"/>
      <c r="MF64" s="261"/>
      <c r="MG64" s="13"/>
      <c r="MH64" s="261"/>
      <c r="MI64" s="261"/>
      <c r="MJ64" s="261"/>
      <c r="MK64" s="261"/>
      <c r="ML64" s="261"/>
      <c r="MM64" s="261"/>
      <c r="MN64" s="261"/>
      <c r="MO64" s="261"/>
      <c r="MP64" s="261"/>
      <c r="MQ64" s="261"/>
      <c r="MR64" s="261"/>
      <c r="MS64" s="261"/>
      <c r="MT64" s="261"/>
      <c r="MU64" s="261"/>
      <c r="MV64" s="261"/>
      <c r="MW64" s="261"/>
      <c r="MX64" s="261"/>
      <c r="MY64" s="261"/>
      <c r="MZ64" s="12"/>
      <c r="NA64" s="261"/>
      <c r="NB64" s="261"/>
      <c r="NC64" s="261"/>
      <c r="ND64" s="261"/>
      <c r="NE64" s="261"/>
      <c r="NF64" s="261"/>
      <c r="NG64" s="261"/>
      <c r="NH64" s="261"/>
      <c r="NI64" s="261"/>
      <c r="NJ64" s="261"/>
      <c r="NK64" s="13"/>
      <c r="NL64" s="261"/>
      <c r="NM64" s="261"/>
      <c r="NN64" s="13"/>
    </row>
    <row r="65" spans="67:378" ht="10.75" customHeight="1" thickBot="1" x14ac:dyDescent="0.25">
      <c r="BO65" s="12"/>
      <c r="BR65" s="13"/>
      <c r="BS65" s="214"/>
      <c r="BT65" s="49"/>
      <c r="BV65" s="14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6"/>
      <c r="DA65" s="7"/>
      <c r="DB65" s="7"/>
      <c r="DC65" s="7"/>
      <c r="DD65" s="180"/>
      <c r="DE65" s="179"/>
      <c r="DF65" s="7"/>
      <c r="DG65" s="7"/>
      <c r="DH65" s="7"/>
      <c r="DI65" s="180"/>
      <c r="DJ65" s="179"/>
      <c r="DK65" s="7"/>
      <c r="DL65" s="7"/>
      <c r="DM65" s="7"/>
      <c r="DN65" s="180"/>
      <c r="DO65" s="7"/>
      <c r="DP65" s="7"/>
      <c r="DQ65" s="180"/>
      <c r="DR65" s="7"/>
      <c r="DS65" s="7"/>
      <c r="DT65" s="252"/>
      <c r="DU65" s="253"/>
      <c r="DV65" s="253"/>
      <c r="DW65" s="253"/>
      <c r="DX65" s="254"/>
      <c r="DY65" s="252"/>
      <c r="DZ65" s="253"/>
      <c r="EA65" s="253"/>
      <c r="EB65" s="253"/>
      <c r="EC65" s="254"/>
      <c r="ED65" s="252"/>
      <c r="EE65" s="253"/>
      <c r="EF65" s="253"/>
      <c r="EG65" s="253"/>
      <c r="EH65" s="254"/>
      <c r="EI65" s="252"/>
      <c r="EJ65" s="253"/>
      <c r="EK65" s="253"/>
      <c r="EL65" s="253"/>
      <c r="EM65" s="254"/>
      <c r="EN65" s="179"/>
      <c r="EO65" s="180"/>
      <c r="EP65" s="179"/>
      <c r="EQ65" s="7"/>
      <c r="ER65" s="180"/>
      <c r="ES65" s="179"/>
      <c r="ET65" s="7"/>
      <c r="EU65" s="7"/>
      <c r="EV65" s="8"/>
      <c r="EW65" s="209"/>
      <c r="EX65" s="208"/>
      <c r="EY65" s="15"/>
      <c r="EZ65" s="15"/>
      <c r="FA65" s="15"/>
      <c r="FB65" s="16"/>
      <c r="FC65" s="243"/>
      <c r="FD65" s="244"/>
      <c r="FE65" s="244"/>
      <c r="FF65" s="244"/>
      <c r="FG65" s="245"/>
      <c r="FH65" s="243"/>
      <c r="FI65" s="244"/>
      <c r="FJ65" s="244"/>
      <c r="FK65" s="244"/>
      <c r="FL65" s="245"/>
      <c r="FM65" s="243"/>
      <c r="FN65" s="244"/>
      <c r="FO65" s="244"/>
      <c r="FP65" s="244"/>
      <c r="FQ65" s="245"/>
      <c r="FR65" s="243"/>
      <c r="FS65" s="244"/>
      <c r="FT65" s="244"/>
      <c r="FU65" s="244"/>
      <c r="FV65" s="245"/>
      <c r="FW65" s="15"/>
      <c r="FX65" s="15"/>
      <c r="FY65" s="15"/>
      <c r="FZ65" s="15"/>
      <c r="GA65" s="16"/>
      <c r="GB65" s="12"/>
      <c r="GM65" s="13"/>
      <c r="GP65" s="13"/>
      <c r="GT65" s="13"/>
      <c r="JK65" s="12"/>
      <c r="JL65" s="261"/>
      <c r="JM65" s="261"/>
      <c r="JN65" s="12"/>
      <c r="JO65" s="261"/>
      <c r="JP65" s="261"/>
      <c r="JQ65" s="261"/>
      <c r="JR65" s="261"/>
      <c r="JS65" s="261"/>
      <c r="JT65" s="261"/>
      <c r="JU65" s="261"/>
      <c r="JV65" s="261"/>
      <c r="JW65" s="261"/>
      <c r="JX65" s="261"/>
      <c r="JY65" s="261"/>
      <c r="JZ65" s="261"/>
      <c r="KA65" s="261"/>
      <c r="KB65" s="261"/>
      <c r="KC65" s="261"/>
      <c r="KD65" s="261"/>
      <c r="KE65" s="261"/>
      <c r="KF65" s="261"/>
      <c r="KG65" s="261"/>
      <c r="KH65" s="261"/>
      <c r="KI65" s="261"/>
      <c r="KJ65" s="261"/>
      <c r="KK65" s="261"/>
      <c r="KL65" s="12"/>
      <c r="KM65" s="261"/>
      <c r="KN65" s="261"/>
      <c r="KO65" s="13"/>
      <c r="KP65" s="12"/>
      <c r="KQ65" s="261"/>
      <c r="KR65" s="261"/>
      <c r="KS65" s="261"/>
      <c r="KT65" s="261"/>
      <c r="KU65" s="261"/>
      <c r="KV65" s="261"/>
      <c r="KW65" s="261"/>
      <c r="KX65" s="261"/>
      <c r="KY65" s="261"/>
      <c r="KZ65" s="261"/>
      <c r="LA65" s="261"/>
      <c r="LB65" s="261"/>
      <c r="LC65" s="261"/>
      <c r="LD65" s="261"/>
      <c r="LE65" s="261"/>
      <c r="LF65" s="261"/>
      <c r="LG65" s="261"/>
      <c r="LH65" s="261"/>
      <c r="LI65" s="261"/>
      <c r="LJ65" s="261"/>
      <c r="LK65" s="13"/>
      <c r="LL65" s="261"/>
      <c r="LM65" s="13"/>
      <c r="LN65" s="12"/>
      <c r="LO65" s="261"/>
      <c r="LP65" s="261"/>
      <c r="LQ65" s="261"/>
      <c r="LR65" s="261"/>
      <c r="LS65" s="261"/>
      <c r="LT65" s="261"/>
      <c r="LU65" s="261"/>
      <c r="LV65" s="261"/>
      <c r="LW65" s="261"/>
      <c r="LX65" s="261"/>
      <c r="LY65" s="261"/>
      <c r="LZ65" s="261"/>
      <c r="MA65" s="261"/>
      <c r="MB65" s="261"/>
      <c r="MC65" s="261"/>
      <c r="MD65" s="261"/>
      <c r="ME65" s="13"/>
      <c r="MF65" s="261"/>
      <c r="MG65" s="13"/>
      <c r="MH65" s="261"/>
      <c r="MI65" s="261"/>
      <c r="MJ65" s="261"/>
      <c r="MK65" s="261"/>
      <c r="ML65" s="261"/>
      <c r="MM65" s="261"/>
      <c r="MN65" s="261"/>
      <c r="MO65" s="261"/>
      <c r="MP65" s="261"/>
      <c r="MQ65" s="261"/>
      <c r="MR65" s="261"/>
      <c r="MS65" s="261"/>
      <c r="MT65" s="261"/>
      <c r="MU65" s="261"/>
      <c r="MV65" s="261"/>
      <c r="MW65" s="261"/>
      <c r="MX65" s="261"/>
      <c r="MY65" s="261"/>
      <c r="MZ65" s="12"/>
      <c r="NA65" s="261"/>
      <c r="NB65" s="261"/>
      <c r="NC65" s="261"/>
      <c r="ND65" s="261"/>
      <c r="NE65" s="261"/>
      <c r="NF65" s="261"/>
      <c r="NG65" s="261"/>
      <c r="NH65" s="261"/>
      <c r="NI65" s="261"/>
      <c r="NJ65" s="261"/>
      <c r="NK65" s="13"/>
      <c r="NL65" s="261"/>
      <c r="NM65" s="261"/>
      <c r="NN65" s="13"/>
    </row>
    <row r="66" spans="67:378" ht="10.75" customHeight="1" x14ac:dyDescent="0.2">
      <c r="BO66" s="12"/>
      <c r="BR66" s="13"/>
      <c r="BS66" s="260"/>
      <c r="BT66" s="141"/>
      <c r="BU66" s="236"/>
      <c r="BV66" s="260"/>
      <c r="BW66" s="141"/>
      <c r="BX66" s="141"/>
      <c r="BY66" s="141"/>
      <c r="BZ66" s="141"/>
      <c r="CA66" s="141"/>
      <c r="CB66" s="141"/>
      <c r="CC66" s="141"/>
      <c r="CD66" s="141"/>
      <c r="CE66" s="141"/>
      <c r="CF66" s="141"/>
      <c r="CG66" s="141"/>
      <c r="CH66" s="141"/>
      <c r="CI66" s="141"/>
      <c r="CJ66" s="141"/>
      <c r="CK66" s="141"/>
      <c r="CL66" s="141"/>
      <c r="CM66" s="141"/>
      <c r="CN66" s="141"/>
      <c r="CO66" s="141"/>
      <c r="CP66" s="141"/>
      <c r="CQ66" s="141"/>
      <c r="CR66" s="141"/>
      <c r="CS66" s="141"/>
      <c r="CT66" s="141"/>
      <c r="CU66" s="141"/>
      <c r="CV66" s="141"/>
      <c r="CW66" s="141"/>
      <c r="CX66" s="141"/>
      <c r="CY66" s="141"/>
      <c r="CZ66" s="49"/>
      <c r="DA66" s="49"/>
      <c r="DB66" s="49"/>
      <c r="DC66" s="49"/>
      <c r="DD66" s="49"/>
      <c r="DE66" s="49"/>
      <c r="DF66" s="49"/>
      <c r="DG66" s="49"/>
      <c r="DH66" s="49"/>
      <c r="DI66" s="49"/>
      <c r="DJ66" s="49"/>
      <c r="DK66" s="49"/>
      <c r="DL66" s="49"/>
      <c r="DM66" s="49"/>
      <c r="DN66" s="49"/>
      <c r="DO66" s="49"/>
      <c r="DP66" s="49"/>
      <c r="DQ66" s="208"/>
      <c r="DR66" s="49"/>
      <c r="DS66" s="49"/>
      <c r="DT66" s="214"/>
      <c r="DU66" s="49"/>
      <c r="DV66" s="49"/>
      <c r="DW66" s="49"/>
      <c r="DX66" s="49"/>
      <c r="DY66" s="49"/>
      <c r="DZ66" s="49"/>
      <c r="EA66" s="49"/>
      <c r="EB66" s="49"/>
      <c r="EC66" s="49"/>
      <c r="ED66" s="49"/>
      <c r="EE66" s="49"/>
      <c r="EF66" s="49"/>
      <c r="EG66" s="49"/>
      <c r="EH66" s="49"/>
      <c r="EI66" s="49"/>
      <c r="EJ66" s="49"/>
      <c r="EK66" s="49"/>
      <c r="EL66" s="49"/>
      <c r="EM66" s="208"/>
      <c r="EN66" s="49"/>
      <c r="EO66" s="208"/>
      <c r="EP66" s="49"/>
      <c r="EQ66" s="49"/>
      <c r="ER66" s="49"/>
      <c r="ES66" s="49"/>
      <c r="ET66" s="49"/>
      <c r="EU66" s="49"/>
      <c r="EV66" s="49"/>
      <c r="EW66" s="49"/>
      <c r="EX66" s="208"/>
      <c r="EY66" s="21"/>
      <c r="EZ66" s="21"/>
      <c r="FA66" s="21"/>
      <c r="FB66" s="22"/>
      <c r="FC66" s="21"/>
      <c r="FD66" s="21"/>
      <c r="FE66" s="21"/>
      <c r="FF66" s="21"/>
      <c r="FG66" s="21"/>
      <c r="FH66" s="21"/>
      <c r="FI66" s="21"/>
      <c r="FJ66" s="21"/>
      <c r="FK66" s="21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2"/>
      <c r="GB66" s="12"/>
      <c r="GM66" s="13"/>
      <c r="GP66" s="13"/>
      <c r="GT66" s="13"/>
      <c r="JK66" s="12"/>
      <c r="JL66" s="261"/>
      <c r="JM66" s="261"/>
      <c r="JN66" s="14"/>
      <c r="JO66" s="15"/>
      <c r="JP66" s="15"/>
      <c r="JQ66" s="15"/>
      <c r="JR66" s="15"/>
      <c r="JS66" s="15"/>
      <c r="JT66" s="15"/>
      <c r="JU66" s="15"/>
      <c r="JV66" s="15"/>
      <c r="JW66" s="15"/>
      <c r="JX66" s="15"/>
      <c r="JY66" s="15"/>
      <c r="JZ66" s="15"/>
      <c r="KA66" s="15"/>
      <c r="KB66" s="15"/>
      <c r="KC66" s="15"/>
      <c r="KD66" s="15"/>
      <c r="KE66" s="15"/>
      <c r="KF66" s="15"/>
      <c r="KG66" s="15"/>
      <c r="KH66" s="15"/>
      <c r="KI66" s="15"/>
      <c r="KJ66" s="15"/>
      <c r="KK66" s="15"/>
      <c r="KL66" s="14"/>
      <c r="KM66" s="15"/>
      <c r="KN66" s="15"/>
      <c r="KO66" s="16"/>
      <c r="KP66" s="14"/>
      <c r="KQ66" s="15"/>
      <c r="KR66" s="15"/>
      <c r="KS66" s="15"/>
      <c r="KT66" s="15"/>
      <c r="KU66" s="15"/>
      <c r="KV66" s="15"/>
      <c r="KW66" s="15"/>
      <c r="KX66" s="15"/>
      <c r="KY66" s="15"/>
      <c r="KZ66" s="15"/>
      <c r="LA66" s="15"/>
      <c r="LB66" s="15"/>
      <c r="LC66" s="15"/>
      <c r="LD66" s="15"/>
      <c r="LE66" s="15"/>
      <c r="LF66" s="15"/>
      <c r="LG66" s="15"/>
      <c r="LH66" s="15"/>
      <c r="LI66" s="15"/>
      <c r="LJ66" s="15"/>
      <c r="LK66" s="16"/>
      <c r="LL66" s="15"/>
      <c r="LM66" s="16"/>
      <c r="LN66" s="14"/>
      <c r="LO66" s="15"/>
      <c r="LP66" s="15"/>
      <c r="LQ66" s="15"/>
      <c r="LR66" s="15"/>
      <c r="LS66" s="15"/>
      <c r="LT66" s="15"/>
      <c r="LU66" s="15"/>
      <c r="LV66" s="15"/>
      <c r="LW66" s="15"/>
      <c r="LX66" s="15"/>
      <c r="LY66" s="15"/>
      <c r="LZ66" s="15"/>
      <c r="MA66" s="15"/>
      <c r="MB66" s="15"/>
      <c r="MC66" s="15"/>
      <c r="MD66" s="15"/>
      <c r="ME66" s="16"/>
      <c r="MF66" s="15"/>
      <c r="MG66" s="16"/>
      <c r="MH66" s="15"/>
      <c r="MI66" s="15"/>
      <c r="MJ66" s="15"/>
      <c r="MK66" s="15"/>
      <c r="ML66" s="15"/>
      <c r="MM66" s="15"/>
      <c r="MN66" s="15"/>
      <c r="MO66" s="15"/>
      <c r="MP66" s="15"/>
      <c r="MQ66" s="15"/>
      <c r="MR66" s="15"/>
      <c r="MS66" s="15"/>
      <c r="MT66" s="15"/>
      <c r="MU66" s="15"/>
      <c r="MV66" s="15"/>
      <c r="MW66" s="15"/>
      <c r="MX66" s="15"/>
      <c r="MY66" s="15"/>
      <c r="MZ66" s="12"/>
      <c r="NA66" s="261"/>
      <c r="NB66" s="261"/>
      <c r="NC66" s="261"/>
      <c r="ND66" s="261"/>
      <c r="NE66" s="261"/>
      <c r="NF66" s="261"/>
      <c r="NG66" s="261"/>
      <c r="NH66" s="261"/>
      <c r="NI66" s="261"/>
      <c r="NJ66" s="261"/>
      <c r="NK66" s="13"/>
      <c r="NL66" s="261"/>
      <c r="NM66" s="261"/>
      <c r="NN66" s="13"/>
    </row>
    <row r="67" spans="67:378" ht="10.75" customHeight="1" x14ac:dyDescent="0.2">
      <c r="BO67" s="12"/>
      <c r="BR67" s="13"/>
      <c r="BS67" s="237"/>
      <c r="BT67" s="259"/>
      <c r="BU67" s="209"/>
      <c r="BV67" s="237"/>
      <c r="BW67" s="259"/>
      <c r="BX67" s="259"/>
      <c r="BY67" s="259"/>
      <c r="BZ67" s="259"/>
      <c r="CA67" s="259"/>
      <c r="CB67" s="259"/>
      <c r="CC67" s="259"/>
      <c r="CD67" s="259"/>
      <c r="CE67" s="259"/>
      <c r="CF67" s="259"/>
      <c r="CG67" s="259"/>
      <c r="CH67" s="259"/>
      <c r="CI67" s="259"/>
      <c r="CJ67" s="259"/>
      <c r="CK67" s="259"/>
      <c r="CL67" s="259"/>
      <c r="CM67" s="259"/>
      <c r="CN67" s="259"/>
      <c r="CO67" s="259"/>
      <c r="CP67" s="259"/>
      <c r="CQ67" s="259"/>
      <c r="CR67" s="259"/>
      <c r="CS67" s="259"/>
      <c r="CT67" s="259"/>
      <c r="CU67" s="259"/>
      <c r="CV67" s="259"/>
      <c r="CW67" s="259"/>
      <c r="CX67" s="259"/>
      <c r="CY67" s="259"/>
      <c r="CZ67" s="259"/>
      <c r="DA67" s="259"/>
      <c r="DB67" s="259"/>
      <c r="DC67" s="259"/>
      <c r="DD67" s="259"/>
      <c r="DE67" s="259"/>
      <c r="DF67" s="259"/>
      <c r="DG67" s="259"/>
      <c r="DH67" s="259"/>
      <c r="DI67" s="259"/>
      <c r="DJ67" s="259"/>
      <c r="DK67" s="259"/>
      <c r="DL67" s="259"/>
      <c r="DM67" s="259"/>
      <c r="DN67" s="259"/>
      <c r="DO67" s="259"/>
      <c r="DP67" s="259"/>
      <c r="DQ67" s="209"/>
      <c r="DR67" s="259"/>
      <c r="DS67" s="259"/>
      <c r="DT67" s="237"/>
      <c r="DU67" s="259"/>
      <c r="DV67" s="259"/>
      <c r="DW67" s="259"/>
      <c r="DX67" s="259"/>
      <c r="DY67" s="259"/>
      <c r="DZ67" s="259"/>
      <c r="EA67" s="259"/>
      <c r="EB67" s="259"/>
      <c r="EC67" s="259"/>
      <c r="ED67" s="259"/>
      <c r="EE67" s="259"/>
      <c r="EF67" s="259"/>
      <c r="EG67" s="259"/>
      <c r="EH67" s="259"/>
      <c r="EI67" s="259"/>
      <c r="EJ67" s="259"/>
      <c r="EK67" s="259"/>
      <c r="EL67" s="259"/>
      <c r="EM67" s="209"/>
      <c r="EN67" s="259"/>
      <c r="EO67" s="209"/>
      <c r="EP67" s="259"/>
      <c r="EQ67" s="259"/>
      <c r="ER67" s="259"/>
      <c r="ES67" s="259"/>
      <c r="ET67" s="259"/>
      <c r="EU67" s="259"/>
      <c r="EV67" s="259"/>
      <c r="EW67" s="259"/>
      <c r="EX67" s="209"/>
      <c r="FB67" s="13"/>
      <c r="GM67" s="13"/>
      <c r="GP67" s="13"/>
      <c r="GT67" s="13"/>
      <c r="JK67" s="12"/>
      <c r="JL67" s="261"/>
      <c r="JM67" s="261"/>
      <c r="JN67" s="12"/>
      <c r="JO67" s="261"/>
      <c r="JP67" s="261"/>
      <c r="JQ67" s="261"/>
      <c r="JR67" s="261"/>
      <c r="JS67" s="261"/>
      <c r="JT67" s="261"/>
      <c r="JU67" s="261"/>
      <c r="JV67" s="261"/>
      <c r="JW67" s="261"/>
      <c r="JX67" s="261"/>
      <c r="JY67" s="261"/>
      <c r="JZ67" s="261"/>
      <c r="KA67" s="261"/>
      <c r="KB67" s="261"/>
      <c r="KC67" s="261"/>
      <c r="KD67" s="261"/>
      <c r="KE67" s="261"/>
      <c r="KF67" s="261"/>
      <c r="KG67" s="261"/>
      <c r="KH67" s="261"/>
      <c r="KI67" s="261"/>
      <c r="KJ67" s="261"/>
      <c r="KK67" s="261"/>
      <c r="KL67" s="261"/>
      <c r="KM67" s="261"/>
      <c r="KN67" s="261"/>
      <c r="KO67" s="261"/>
      <c r="KP67" s="261"/>
      <c r="KQ67" s="261"/>
      <c r="KR67" s="261"/>
      <c r="KS67" s="261"/>
      <c r="KT67" s="261"/>
      <c r="KU67" s="261"/>
      <c r="KV67" s="261"/>
      <c r="KW67" s="261"/>
      <c r="KX67" s="261"/>
      <c r="KY67" s="261"/>
      <c r="KZ67" s="261"/>
      <c r="LA67" s="261"/>
      <c r="LB67" s="261"/>
      <c r="LC67" s="261"/>
      <c r="LD67" s="261"/>
      <c r="LE67" s="261"/>
      <c r="LF67" s="261"/>
      <c r="LG67" s="261"/>
      <c r="LH67" s="261"/>
      <c r="LI67" s="261"/>
      <c r="LJ67" s="261"/>
      <c r="LK67" s="13"/>
      <c r="LL67" s="261"/>
      <c r="LM67" s="13"/>
      <c r="LN67" s="261"/>
      <c r="LO67" s="261"/>
      <c r="LP67" s="261"/>
      <c r="LQ67" s="261"/>
      <c r="LR67" s="261"/>
      <c r="LS67" s="261"/>
      <c r="LT67" s="261"/>
      <c r="LU67" s="261"/>
      <c r="LV67" s="261"/>
      <c r="LW67" s="261"/>
      <c r="LX67" s="261"/>
      <c r="LY67" s="261"/>
      <c r="LZ67" s="261"/>
      <c r="MA67" s="261"/>
      <c r="MB67" s="261"/>
      <c r="MC67" s="261"/>
      <c r="MD67" s="261"/>
      <c r="ME67" s="261"/>
      <c r="MF67" s="261"/>
      <c r="MG67" s="261"/>
      <c r="MH67" s="261"/>
      <c r="MI67" s="261"/>
      <c r="MJ67" s="261"/>
      <c r="MK67" s="261"/>
      <c r="ML67" s="261"/>
      <c r="MM67" s="261"/>
      <c r="MN67" s="261"/>
      <c r="MO67" s="261"/>
      <c r="MP67" s="261"/>
      <c r="MQ67" s="261"/>
      <c r="MR67" s="261"/>
      <c r="MS67" s="261"/>
      <c r="MT67" s="261"/>
      <c r="MU67" s="261"/>
      <c r="MV67" s="261"/>
      <c r="MW67" s="261"/>
      <c r="MX67" s="261"/>
      <c r="MY67" s="261"/>
      <c r="MZ67" s="12"/>
      <c r="NA67" s="261"/>
      <c r="NB67" s="261"/>
      <c r="NC67" s="261"/>
      <c r="ND67" s="261"/>
      <c r="NE67" s="261"/>
      <c r="NF67" s="261"/>
      <c r="NG67" s="261"/>
      <c r="NH67" s="261"/>
      <c r="NI67" s="261"/>
      <c r="NJ67" s="261"/>
      <c r="NK67" s="13"/>
      <c r="NL67" s="261"/>
      <c r="NM67" s="261"/>
      <c r="NN67" s="13"/>
    </row>
    <row r="68" spans="67:378" ht="10.75" customHeight="1" x14ac:dyDescent="0.2">
      <c r="BO68" s="12"/>
      <c r="BR68" s="13"/>
      <c r="BS68" s="12"/>
      <c r="BV68" s="12"/>
      <c r="DQ68" s="13"/>
      <c r="DT68" s="12"/>
      <c r="EM68" s="13"/>
      <c r="EO68" s="13"/>
      <c r="FB68" s="13"/>
      <c r="GM68" s="13"/>
      <c r="GP68" s="13"/>
      <c r="GT68" s="13"/>
      <c r="JK68" s="12"/>
      <c r="JL68" s="261"/>
      <c r="JM68" s="261"/>
      <c r="JN68" s="14"/>
      <c r="JO68" s="15"/>
      <c r="JP68" s="15"/>
      <c r="JQ68" s="15"/>
      <c r="JR68" s="15"/>
      <c r="JS68" s="15"/>
      <c r="JT68" s="15"/>
      <c r="JU68" s="15"/>
      <c r="JV68" s="15"/>
      <c r="JW68" s="15"/>
      <c r="JX68" s="15"/>
      <c r="JY68" s="15"/>
      <c r="JZ68" s="15"/>
      <c r="KA68" s="15"/>
      <c r="KB68" s="15"/>
      <c r="KC68" s="15"/>
      <c r="KD68" s="15"/>
      <c r="KE68" s="15"/>
      <c r="KF68" s="15"/>
      <c r="KG68" s="15"/>
      <c r="KH68" s="15"/>
      <c r="KI68" s="15"/>
      <c r="KJ68" s="15"/>
      <c r="KK68" s="15"/>
      <c r="KL68" s="15"/>
      <c r="KM68" s="15"/>
      <c r="KN68" s="15"/>
      <c r="KO68" s="15"/>
      <c r="KP68" s="15"/>
      <c r="KQ68" s="15"/>
      <c r="KR68" s="15"/>
      <c r="KS68" s="15"/>
      <c r="KT68" s="15"/>
      <c r="KU68" s="15"/>
      <c r="KV68" s="15"/>
      <c r="KW68" s="15"/>
      <c r="KX68" s="15"/>
      <c r="KY68" s="15"/>
      <c r="KZ68" s="15"/>
      <c r="LA68" s="15"/>
      <c r="LB68" s="15"/>
      <c r="LC68" s="15"/>
      <c r="LD68" s="15"/>
      <c r="LE68" s="15"/>
      <c r="LF68" s="15"/>
      <c r="LG68" s="15"/>
      <c r="LH68" s="15"/>
      <c r="LI68" s="15"/>
      <c r="LJ68" s="15"/>
      <c r="LK68" s="16"/>
      <c r="LL68" s="15"/>
      <c r="LM68" s="16"/>
      <c r="LN68" s="15"/>
      <c r="LO68" s="15"/>
      <c r="LP68" s="15"/>
      <c r="LQ68" s="15"/>
      <c r="LR68" s="15"/>
      <c r="LS68" s="15"/>
      <c r="LT68" s="15"/>
      <c r="LU68" s="15"/>
      <c r="LV68" s="15"/>
      <c r="LW68" s="15"/>
      <c r="LX68" s="15"/>
      <c r="LY68" s="15"/>
      <c r="LZ68" s="15"/>
      <c r="MA68" s="15"/>
      <c r="MB68" s="15"/>
      <c r="MC68" s="15"/>
      <c r="MD68" s="15"/>
      <c r="ME68" s="15"/>
      <c r="MF68" s="15"/>
      <c r="MG68" s="15"/>
      <c r="MH68" s="15"/>
      <c r="MI68" s="15"/>
      <c r="MJ68" s="15"/>
      <c r="MK68" s="15"/>
      <c r="ML68" s="15"/>
      <c r="MM68" s="15"/>
      <c r="MN68" s="15"/>
      <c r="MO68" s="15"/>
      <c r="MP68" s="15"/>
      <c r="MQ68" s="15"/>
      <c r="MR68" s="15"/>
      <c r="MS68" s="15"/>
      <c r="MT68" s="15"/>
      <c r="MU68" s="15"/>
      <c r="MV68" s="15"/>
      <c r="MW68" s="15"/>
      <c r="MX68" s="15"/>
      <c r="MY68" s="15"/>
      <c r="MZ68" s="12"/>
      <c r="NA68" s="261"/>
      <c r="NB68" s="261"/>
      <c r="NC68" s="261"/>
      <c r="ND68" s="261"/>
      <c r="NE68" s="261"/>
      <c r="NF68" s="261"/>
      <c r="NG68" s="261"/>
      <c r="NH68" s="261"/>
      <c r="NI68" s="261"/>
      <c r="NJ68" s="261"/>
      <c r="NK68" s="13"/>
      <c r="NL68" s="261"/>
      <c r="NM68" s="261"/>
      <c r="NN68" s="13"/>
    </row>
    <row r="69" spans="67:378" ht="10.75" customHeight="1" x14ac:dyDescent="0.2">
      <c r="BO69" s="12"/>
      <c r="BS69" s="12"/>
      <c r="BV69" s="12"/>
      <c r="DQ69" s="13"/>
      <c r="DT69" s="12"/>
      <c r="EM69" s="13"/>
      <c r="EO69" s="13"/>
      <c r="FB69" s="13"/>
      <c r="GM69" s="13"/>
      <c r="GP69" s="13"/>
      <c r="GT69" s="13"/>
      <c r="JK69" s="12"/>
      <c r="JL69" s="261"/>
      <c r="JM69" s="261"/>
      <c r="JN69" s="12"/>
      <c r="JO69" s="261"/>
      <c r="JP69" s="261"/>
      <c r="JQ69" s="261"/>
      <c r="JR69" s="261"/>
      <c r="JS69" s="261"/>
      <c r="JT69" s="261"/>
      <c r="JU69" s="261"/>
      <c r="JV69" s="261"/>
      <c r="JW69" s="261"/>
      <c r="JX69" s="261"/>
      <c r="JY69" s="261"/>
      <c r="JZ69" s="261"/>
      <c r="KA69" s="261"/>
      <c r="KB69" s="261"/>
      <c r="KC69" s="261"/>
      <c r="KD69" s="261"/>
      <c r="KE69" s="261"/>
      <c r="KF69" s="261"/>
      <c r="KG69" s="261"/>
      <c r="KH69" s="261"/>
      <c r="KI69" s="261"/>
      <c r="KJ69" s="261"/>
      <c r="KK69" s="261"/>
      <c r="KL69" s="261"/>
      <c r="KM69" s="261"/>
      <c r="KN69" s="261"/>
      <c r="KO69" s="261"/>
      <c r="KP69" s="261"/>
      <c r="KQ69" s="261"/>
      <c r="KR69" s="261"/>
      <c r="KS69" s="261"/>
      <c r="KT69" s="261"/>
      <c r="KU69" s="261"/>
      <c r="KV69" s="261"/>
      <c r="KW69" s="261"/>
      <c r="KX69" s="261"/>
      <c r="KY69" s="261"/>
      <c r="KZ69" s="261"/>
      <c r="LA69" s="261"/>
      <c r="LB69" s="261"/>
      <c r="LC69" s="261"/>
      <c r="LD69" s="261"/>
      <c r="LE69" s="261"/>
      <c r="LF69" s="261"/>
      <c r="LG69" s="261"/>
      <c r="LH69" s="261"/>
      <c r="LI69" s="261"/>
      <c r="LJ69" s="261"/>
      <c r="LK69" s="13"/>
      <c r="LL69" s="261"/>
      <c r="LM69" s="13"/>
      <c r="LN69" s="261"/>
      <c r="LO69" s="261"/>
      <c r="LP69" s="261"/>
      <c r="LQ69" s="261"/>
      <c r="LR69" s="261"/>
      <c r="LS69" s="261"/>
      <c r="LT69" s="261"/>
      <c r="LU69" s="261"/>
      <c r="LV69" s="261"/>
      <c r="LW69" s="261"/>
      <c r="LX69" s="261"/>
      <c r="LY69" s="261"/>
      <c r="LZ69" s="261"/>
      <c r="MA69" s="261"/>
      <c r="MB69" s="261"/>
      <c r="MC69" s="261"/>
      <c r="MD69" s="261"/>
      <c r="ME69" s="261"/>
      <c r="MF69" s="261"/>
      <c r="MG69" s="261"/>
      <c r="MH69" s="261"/>
      <c r="MI69" s="261"/>
      <c r="MJ69" s="261"/>
      <c r="MK69" s="261"/>
      <c r="ML69" s="261"/>
      <c r="MM69" s="261"/>
      <c r="MN69" s="9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1"/>
      <c r="MZ69" s="12"/>
      <c r="NA69" s="261"/>
      <c r="NB69" s="261"/>
      <c r="NC69" s="261"/>
      <c r="ND69" s="261"/>
      <c r="NE69" s="261"/>
      <c r="NF69" s="261"/>
      <c r="NG69" s="261"/>
      <c r="NH69" s="261"/>
      <c r="NI69" s="261"/>
      <c r="NJ69" s="261"/>
      <c r="NK69" s="13"/>
      <c r="NL69" s="261"/>
      <c r="NM69" s="261"/>
      <c r="NN69" s="13"/>
    </row>
    <row r="70" spans="67:378" ht="10.75" customHeight="1" x14ac:dyDescent="0.2">
      <c r="BO70" s="12"/>
      <c r="BS70" s="12"/>
      <c r="BV70" s="12"/>
      <c r="DQ70" s="13"/>
      <c r="DT70" s="12"/>
      <c r="EM70" s="13"/>
      <c r="EO70" s="13"/>
      <c r="FB70" s="13"/>
      <c r="GM70" s="13"/>
      <c r="GP70" s="13"/>
      <c r="GT70" s="13"/>
      <c r="JK70" s="12"/>
      <c r="JL70" s="261"/>
      <c r="JM70" s="261"/>
      <c r="JN70" s="12"/>
      <c r="JO70" s="261"/>
      <c r="JP70" s="261"/>
      <c r="JQ70" s="261"/>
      <c r="JR70" s="261"/>
      <c r="JS70" s="261"/>
      <c r="JT70" s="261"/>
      <c r="JU70" s="261"/>
      <c r="JV70" s="261"/>
      <c r="JW70" s="261"/>
      <c r="JX70" s="261"/>
      <c r="JY70" s="261"/>
      <c r="JZ70" s="261"/>
      <c r="KA70" s="261"/>
      <c r="KB70" s="261"/>
      <c r="KC70" s="261"/>
      <c r="KD70" s="261"/>
      <c r="KE70" s="261"/>
      <c r="KF70" s="261"/>
      <c r="KG70" s="261"/>
      <c r="KH70" s="261"/>
      <c r="KI70" s="261"/>
      <c r="KJ70" s="261"/>
      <c r="KK70" s="261"/>
      <c r="KL70" s="261"/>
      <c r="KM70" s="261"/>
      <c r="KN70" s="261"/>
      <c r="KO70" s="261"/>
      <c r="KP70" s="261"/>
      <c r="KQ70" s="261"/>
      <c r="KR70" s="261"/>
      <c r="KS70" s="261"/>
      <c r="KT70" s="261"/>
      <c r="KU70" s="261"/>
      <c r="KV70" s="261"/>
      <c r="KW70" s="261"/>
      <c r="KX70" s="261"/>
      <c r="KY70" s="261"/>
      <c r="KZ70" s="261"/>
      <c r="LA70" s="261"/>
      <c r="LB70" s="261"/>
      <c r="LC70" s="261"/>
      <c r="LD70" s="261"/>
      <c r="LE70" s="261"/>
      <c r="LF70" s="261"/>
      <c r="LG70" s="261"/>
      <c r="LH70" s="261"/>
      <c r="LI70" s="261"/>
      <c r="LJ70" s="261"/>
      <c r="LK70" s="13"/>
      <c r="LL70" s="261"/>
      <c r="LM70" s="13"/>
      <c r="LN70" s="261"/>
      <c r="LO70" s="261"/>
      <c r="LP70" s="261"/>
      <c r="LQ70" s="261"/>
      <c r="LR70" s="261"/>
      <c r="LS70" s="261"/>
      <c r="LT70" s="261"/>
      <c r="LU70" s="261"/>
      <c r="LV70" s="261"/>
      <c r="LW70" s="261"/>
      <c r="LX70" s="261"/>
      <c r="LY70" s="261"/>
      <c r="LZ70" s="261"/>
      <c r="MA70" s="261"/>
      <c r="MB70" s="261"/>
      <c r="MC70" s="261"/>
      <c r="MD70" s="261"/>
      <c r="ME70" s="261"/>
      <c r="MF70" s="261"/>
      <c r="MG70" s="261"/>
      <c r="MH70" s="261"/>
      <c r="MI70" s="261"/>
      <c r="MJ70" s="261"/>
      <c r="MK70" s="261"/>
      <c r="ML70" s="261"/>
      <c r="MM70" s="261"/>
      <c r="MN70" s="12"/>
      <c r="MO70" s="261"/>
      <c r="MP70" s="261"/>
      <c r="MQ70" s="261"/>
      <c r="MR70" s="261"/>
      <c r="MS70" s="261"/>
      <c r="MT70" s="261"/>
      <c r="MU70" s="261"/>
      <c r="MV70" s="261"/>
      <c r="MW70" s="261"/>
      <c r="MX70" s="261"/>
      <c r="MY70" s="13"/>
      <c r="MZ70" s="12"/>
      <c r="NA70" s="261"/>
      <c r="NB70" s="261"/>
      <c r="NC70" s="261"/>
      <c r="ND70" s="261"/>
      <c r="NE70" s="261"/>
      <c r="NF70" s="261"/>
      <c r="NG70" s="261"/>
      <c r="NH70" s="261"/>
      <c r="NI70" s="261"/>
      <c r="NJ70" s="261"/>
      <c r="NK70" s="13"/>
      <c r="NL70" s="261"/>
      <c r="NM70" s="261"/>
      <c r="NN70" s="13"/>
    </row>
    <row r="71" spans="67:378" ht="10.75" customHeight="1" x14ac:dyDescent="0.2">
      <c r="BO71" s="14"/>
      <c r="BP71" s="15"/>
      <c r="BQ71" s="15"/>
      <c r="BR71" s="15"/>
      <c r="BS71" s="14"/>
      <c r="BT71" s="15"/>
      <c r="BU71" s="15"/>
      <c r="BV71" s="14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6"/>
      <c r="DR71" s="15"/>
      <c r="DS71" s="15"/>
      <c r="DT71" s="14"/>
      <c r="DU71" s="15"/>
      <c r="DV71" s="15"/>
      <c r="DW71" s="15"/>
      <c r="DX71" s="15"/>
      <c r="DY71" s="15"/>
      <c r="DZ71" s="15"/>
      <c r="EA71" s="15"/>
      <c r="EB71" s="15"/>
      <c r="EC71" s="15"/>
      <c r="ED71" s="15"/>
      <c r="EE71" s="15"/>
      <c r="EF71" s="15"/>
      <c r="EG71" s="15"/>
      <c r="EH71" s="15"/>
      <c r="EI71" s="15"/>
      <c r="EJ71" s="15"/>
      <c r="EK71" s="15"/>
      <c r="EL71" s="15"/>
      <c r="EM71" s="16"/>
      <c r="EN71" s="15"/>
      <c r="EO71" s="16"/>
      <c r="EP71" s="15"/>
      <c r="EQ71" s="15"/>
      <c r="ER71" s="15"/>
      <c r="ES71" s="15"/>
      <c r="ET71" s="15"/>
      <c r="EU71" s="15"/>
      <c r="EV71" s="15"/>
      <c r="EW71" s="15"/>
      <c r="EX71" s="15"/>
      <c r="EY71" s="15"/>
      <c r="EZ71" s="15"/>
      <c r="FA71" s="15"/>
      <c r="FB71" s="16"/>
      <c r="GM71" s="13"/>
      <c r="GP71" s="13"/>
      <c r="GT71" s="13"/>
      <c r="JK71" s="12"/>
      <c r="JL71" s="261"/>
      <c r="JM71" s="261"/>
      <c r="JN71" s="12"/>
      <c r="JO71" s="261"/>
      <c r="JP71" s="261"/>
      <c r="JQ71" s="261"/>
      <c r="JR71" s="261"/>
      <c r="JS71" s="261"/>
      <c r="JT71" s="261"/>
      <c r="JU71" s="261"/>
      <c r="JV71" s="261"/>
      <c r="JW71" s="261"/>
      <c r="JX71" s="261"/>
      <c r="JY71" s="261"/>
      <c r="JZ71" s="261"/>
      <c r="KA71" s="261"/>
      <c r="KB71" s="261"/>
      <c r="KC71" s="261"/>
      <c r="KD71" s="261"/>
      <c r="KE71" s="261"/>
      <c r="KF71" s="261"/>
      <c r="KG71" s="261"/>
      <c r="KH71" s="261"/>
      <c r="KI71" s="261"/>
      <c r="KJ71" s="261"/>
      <c r="KK71" s="261"/>
      <c r="KL71" s="261"/>
      <c r="KM71" s="261"/>
      <c r="KN71" s="261"/>
      <c r="KO71" s="261"/>
      <c r="KP71" s="261"/>
      <c r="KQ71" s="261"/>
      <c r="KR71" s="261"/>
      <c r="KS71" s="261"/>
      <c r="KT71" s="261"/>
      <c r="KU71" s="261"/>
      <c r="KV71" s="261"/>
      <c r="KW71" s="261"/>
      <c r="KX71" s="261"/>
      <c r="KY71" s="261"/>
      <c r="KZ71" s="261"/>
      <c r="LA71" s="261"/>
      <c r="LB71" s="261"/>
      <c r="LC71" s="261"/>
      <c r="LD71" s="261"/>
      <c r="LE71" s="261"/>
      <c r="LF71" s="261"/>
      <c r="LG71" s="261"/>
      <c r="LH71" s="261"/>
      <c r="LI71" s="261"/>
      <c r="LJ71" s="261"/>
      <c r="LK71" s="13"/>
      <c r="LL71" s="261"/>
      <c r="LM71" s="13"/>
      <c r="LN71" s="261"/>
      <c r="LO71" s="261"/>
      <c r="LP71" s="261"/>
      <c r="LQ71" s="261"/>
      <c r="LR71" s="261"/>
      <c r="LS71" s="261"/>
      <c r="LT71" s="261"/>
      <c r="LU71" s="261"/>
      <c r="LV71" s="261"/>
      <c r="LW71" s="261"/>
      <c r="LX71" s="261"/>
      <c r="LY71" s="261"/>
      <c r="LZ71" s="261"/>
      <c r="MA71" s="261"/>
      <c r="MB71" s="261"/>
      <c r="MC71" s="261"/>
      <c r="MD71" s="261"/>
      <c r="ME71" s="261"/>
      <c r="MF71" s="261"/>
      <c r="MG71" s="261"/>
      <c r="MH71" s="261"/>
      <c r="MI71" s="261"/>
      <c r="MJ71" s="261"/>
      <c r="MK71" s="261"/>
      <c r="ML71" s="261"/>
      <c r="MM71" s="261"/>
      <c r="MN71" s="12"/>
      <c r="MO71" s="261"/>
      <c r="MP71" s="261"/>
      <c r="MQ71" s="261"/>
      <c r="MR71" s="261"/>
      <c r="MS71" s="261"/>
      <c r="MT71" s="261"/>
      <c r="MU71" s="261"/>
      <c r="MV71" s="261"/>
      <c r="MW71" s="261"/>
      <c r="MX71" s="261"/>
      <c r="MY71" s="13"/>
      <c r="MZ71" s="12"/>
      <c r="NA71" s="261"/>
      <c r="NB71" s="261"/>
      <c r="NC71" s="261"/>
      <c r="ND71" s="261"/>
      <c r="NE71" s="261"/>
      <c r="NF71" s="261"/>
      <c r="NG71" s="261"/>
      <c r="NH71" s="261"/>
      <c r="NI71" s="261"/>
      <c r="NJ71" s="261"/>
      <c r="NK71" s="13"/>
      <c r="NL71" s="261"/>
      <c r="NM71" s="261"/>
      <c r="NN71" s="13"/>
    </row>
    <row r="72" spans="67:378" ht="10.75" customHeight="1" x14ac:dyDescent="0.2">
      <c r="BO72" s="12"/>
      <c r="BS72" s="12"/>
      <c r="BV72" s="12"/>
      <c r="DQ72" s="13"/>
      <c r="DT72" s="12"/>
      <c r="EM72" s="13"/>
      <c r="EO72" s="13"/>
      <c r="GM72" s="13"/>
      <c r="GP72" s="13"/>
      <c r="GT72" s="13"/>
      <c r="JK72" s="12"/>
      <c r="JL72" s="261"/>
      <c r="JM72" s="261"/>
      <c r="JN72" s="12"/>
      <c r="JO72" s="261"/>
      <c r="JP72" s="261"/>
      <c r="JQ72" s="261"/>
      <c r="JR72" s="261"/>
      <c r="JS72" s="261"/>
      <c r="JT72" s="261"/>
      <c r="JU72" s="261"/>
      <c r="JV72" s="261"/>
      <c r="JW72" s="261"/>
      <c r="JX72" s="261"/>
      <c r="JY72" s="261"/>
      <c r="JZ72" s="261"/>
      <c r="KA72" s="261"/>
      <c r="KB72" s="261"/>
      <c r="KC72" s="261"/>
      <c r="KD72" s="261"/>
      <c r="KE72" s="261"/>
      <c r="KF72" s="261"/>
      <c r="KG72" s="261"/>
      <c r="KH72" s="261"/>
      <c r="KI72" s="261"/>
      <c r="KJ72" s="261"/>
      <c r="KK72" s="261"/>
      <c r="KL72" s="261"/>
      <c r="KM72" s="261"/>
      <c r="KN72" s="261"/>
      <c r="KO72" s="261"/>
      <c r="KP72" s="261"/>
      <c r="KQ72" s="261"/>
      <c r="KR72" s="261"/>
      <c r="KS72" s="261"/>
      <c r="KT72" s="261"/>
      <c r="KU72" s="261"/>
      <c r="KV72" s="261"/>
      <c r="KW72" s="261"/>
      <c r="KX72" s="261"/>
      <c r="KY72" s="261"/>
      <c r="KZ72" s="261"/>
      <c r="LA72" s="261"/>
      <c r="LB72" s="261"/>
      <c r="LC72" s="261"/>
      <c r="LD72" s="261"/>
      <c r="LE72" s="261"/>
      <c r="LF72" s="261"/>
      <c r="LG72" s="261"/>
      <c r="LH72" s="261"/>
      <c r="LI72" s="261"/>
      <c r="LJ72" s="261"/>
      <c r="LK72" s="13"/>
      <c r="LL72" s="261"/>
      <c r="LM72" s="13"/>
      <c r="LN72" s="261"/>
      <c r="LO72" s="261"/>
      <c r="LP72" s="261"/>
      <c r="LQ72" s="261"/>
      <c r="LR72" s="261"/>
      <c r="LS72" s="261"/>
      <c r="LT72" s="261"/>
      <c r="LU72" s="261"/>
      <c r="LV72" s="261"/>
      <c r="LW72" s="261"/>
      <c r="LX72" s="261"/>
      <c r="LY72" s="261"/>
      <c r="LZ72" s="261"/>
      <c r="MA72" s="261"/>
      <c r="MB72" s="261"/>
      <c r="MC72" s="261"/>
      <c r="MD72" s="261"/>
      <c r="ME72" s="261"/>
      <c r="MF72" s="261"/>
      <c r="MG72" s="261"/>
      <c r="MH72" s="261"/>
      <c r="MI72" s="261"/>
      <c r="MJ72" s="261"/>
      <c r="MK72" s="261"/>
      <c r="ML72" s="261"/>
      <c r="MM72" s="261"/>
      <c r="MN72" s="12"/>
      <c r="MO72" s="261"/>
      <c r="MP72" s="261"/>
      <c r="MQ72" s="261"/>
      <c r="MR72" s="261"/>
      <c r="MS72" s="261"/>
      <c r="MT72" s="261"/>
      <c r="MU72" s="261"/>
      <c r="MV72" s="261"/>
      <c r="MW72" s="261"/>
      <c r="MX72" s="261"/>
      <c r="MY72" s="13"/>
      <c r="MZ72" s="12"/>
      <c r="NA72" s="261"/>
      <c r="NB72" s="261"/>
      <c r="NC72" s="261"/>
      <c r="ND72" s="261"/>
      <c r="NE72" s="261"/>
      <c r="NF72" s="261"/>
      <c r="NG72" s="261"/>
      <c r="NH72" s="261"/>
      <c r="NI72" s="261"/>
      <c r="NJ72" s="261"/>
      <c r="NK72" s="13"/>
      <c r="NL72" s="261"/>
      <c r="NM72" s="261"/>
      <c r="NN72" s="13"/>
    </row>
    <row r="73" spans="67:378" ht="10.75" customHeight="1" x14ac:dyDescent="0.2">
      <c r="BO73" s="12"/>
      <c r="BS73" s="12"/>
      <c r="BV73" s="12"/>
      <c r="DQ73" s="13"/>
      <c r="DT73" s="14"/>
      <c r="DU73" s="15"/>
      <c r="DV73" s="15"/>
      <c r="DW73" s="15"/>
      <c r="DX73" s="15"/>
      <c r="DY73" s="15"/>
      <c r="DZ73" s="15"/>
      <c r="EA73" s="15"/>
      <c r="EB73" s="15"/>
      <c r="EC73" s="15"/>
      <c r="ED73" s="15"/>
      <c r="EE73" s="15"/>
      <c r="EF73" s="15"/>
      <c r="EG73" s="15"/>
      <c r="EH73" s="15"/>
      <c r="EI73" s="15"/>
      <c r="EJ73" s="15"/>
      <c r="EK73" s="15"/>
      <c r="EL73" s="15"/>
      <c r="EM73" s="16"/>
      <c r="EO73" s="13"/>
      <c r="GM73" s="13"/>
      <c r="GP73" s="13"/>
      <c r="GT73" s="13"/>
      <c r="JK73" s="12"/>
      <c r="JL73" s="261"/>
      <c r="JM73" s="261"/>
      <c r="JN73" s="12"/>
      <c r="JO73" s="261"/>
      <c r="JP73" s="261"/>
      <c r="JQ73" s="261"/>
      <c r="JR73" s="261"/>
      <c r="JS73" s="261"/>
      <c r="JT73" s="261"/>
      <c r="JU73" s="261"/>
      <c r="JV73" s="261"/>
      <c r="JW73" s="261"/>
      <c r="JX73" s="261"/>
      <c r="JY73" s="261"/>
      <c r="JZ73" s="261"/>
      <c r="KA73" s="261"/>
      <c r="KB73" s="261"/>
      <c r="KC73" s="261"/>
      <c r="KD73" s="261"/>
      <c r="KE73" s="261"/>
      <c r="KF73" s="261"/>
      <c r="KG73" s="261"/>
      <c r="KH73" s="261"/>
      <c r="KI73" s="261"/>
      <c r="KJ73" s="261"/>
      <c r="KK73" s="261"/>
      <c r="KL73" s="261"/>
      <c r="KM73" s="261"/>
      <c r="KN73" s="261"/>
      <c r="KO73" s="261"/>
      <c r="KP73" s="261"/>
      <c r="KQ73" s="261"/>
      <c r="KR73" s="261"/>
      <c r="KS73" s="261"/>
      <c r="KT73" s="261"/>
      <c r="KU73" s="261"/>
      <c r="KV73" s="261"/>
      <c r="KW73" s="261"/>
      <c r="KX73" s="261"/>
      <c r="KY73" s="261"/>
      <c r="KZ73" s="261"/>
      <c r="LA73" s="261"/>
      <c r="LB73" s="261"/>
      <c r="LC73" s="261"/>
      <c r="LD73" s="261"/>
      <c r="LE73" s="261"/>
      <c r="LF73" s="261"/>
      <c r="LG73" s="261"/>
      <c r="LH73" s="261"/>
      <c r="LI73" s="261"/>
      <c r="LJ73" s="261"/>
      <c r="LK73" s="13"/>
      <c r="LL73" s="261"/>
      <c r="LM73" s="13"/>
      <c r="LN73" s="261"/>
      <c r="LO73" s="261"/>
      <c r="LP73" s="261"/>
      <c r="LQ73" s="261"/>
      <c r="LR73" s="261"/>
      <c r="LS73" s="261"/>
      <c r="LT73" s="261"/>
      <c r="LU73" s="261"/>
      <c r="LV73" s="261"/>
      <c r="LW73" s="261"/>
      <c r="LX73" s="261"/>
      <c r="LY73" s="261"/>
      <c r="LZ73" s="261"/>
      <c r="MA73" s="261"/>
      <c r="MB73" s="261"/>
      <c r="MC73" s="261"/>
      <c r="MD73" s="261"/>
      <c r="ME73" s="261"/>
      <c r="MF73" s="261"/>
      <c r="MG73" s="261"/>
      <c r="MH73" s="261"/>
      <c r="MI73" s="261"/>
      <c r="MJ73" s="261"/>
      <c r="MK73" s="261"/>
      <c r="ML73" s="261"/>
      <c r="MM73" s="261"/>
      <c r="MN73" s="12"/>
      <c r="MO73" s="261"/>
      <c r="MP73" s="261"/>
      <c r="MQ73" s="261"/>
      <c r="MR73" s="261"/>
      <c r="MS73" s="261"/>
      <c r="MT73" s="261"/>
      <c r="MU73" s="261"/>
      <c r="MV73" s="261"/>
      <c r="MW73" s="261"/>
      <c r="MX73" s="261"/>
      <c r="MY73" s="13"/>
      <c r="MZ73" s="12"/>
      <c r="NA73" s="261"/>
      <c r="NB73" s="261"/>
      <c r="NC73" s="261"/>
      <c r="ND73" s="261"/>
      <c r="NE73" s="261"/>
      <c r="NF73" s="261"/>
      <c r="NG73" s="261"/>
      <c r="NH73" s="261"/>
      <c r="NI73" s="261"/>
      <c r="NJ73" s="261"/>
      <c r="NK73" s="13"/>
      <c r="NL73" s="261"/>
      <c r="NM73" s="261"/>
      <c r="NN73" s="13"/>
    </row>
    <row r="74" spans="67:378" ht="10.75" customHeight="1" x14ac:dyDescent="0.2">
      <c r="BO74" s="12"/>
      <c r="BS74" s="12"/>
      <c r="BV74" s="12"/>
      <c r="DQ74" s="13"/>
      <c r="DT74" s="12"/>
      <c r="EO74" s="13"/>
      <c r="GM74" s="13"/>
      <c r="GP74" s="13"/>
      <c r="GT74" s="13"/>
      <c r="JK74" s="12"/>
      <c r="JL74" s="261"/>
      <c r="JM74" s="261"/>
      <c r="JN74" s="12"/>
      <c r="JO74" s="261"/>
      <c r="JP74" s="261"/>
      <c r="JQ74" s="261"/>
      <c r="JR74" s="261"/>
      <c r="JS74" s="261"/>
      <c r="JT74" s="261"/>
      <c r="JU74" s="261"/>
      <c r="JV74" s="261"/>
      <c r="JW74" s="261"/>
      <c r="JX74" s="261"/>
      <c r="JY74" s="261"/>
      <c r="JZ74" s="261"/>
      <c r="KA74" s="261"/>
      <c r="KB74" s="261"/>
      <c r="KC74" s="261"/>
      <c r="KD74" s="261"/>
      <c r="KE74" s="261"/>
      <c r="KF74" s="261"/>
      <c r="KG74" s="261"/>
      <c r="KH74" s="261"/>
      <c r="KI74" s="261"/>
      <c r="KJ74" s="261"/>
      <c r="KK74" s="261"/>
      <c r="KL74" s="261"/>
      <c r="KM74" s="261"/>
      <c r="KN74" s="261"/>
      <c r="KO74" s="261"/>
      <c r="KP74" s="261"/>
      <c r="KQ74" s="261"/>
      <c r="KR74" s="261"/>
      <c r="KS74" s="261"/>
      <c r="KT74" s="261"/>
      <c r="KU74" s="261"/>
      <c r="KV74" s="261"/>
      <c r="KW74" s="261"/>
      <c r="KX74" s="261"/>
      <c r="KY74" s="261"/>
      <c r="KZ74" s="261"/>
      <c r="LA74" s="261"/>
      <c r="LB74" s="261"/>
      <c r="LC74" s="261"/>
      <c r="LD74" s="261"/>
      <c r="LE74" s="261"/>
      <c r="LF74" s="261"/>
      <c r="LG74" s="261"/>
      <c r="LH74" s="261"/>
      <c r="LI74" s="261"/>
      <c r="LJ74" s="261"/>
      <c r="LK74" s="13"/>
      <c r="LL74" s="261"/>
      <c r="LM74" s="13"/>
      <c r="LN74" s="261"/>
      <c r="LO74" s="261"/>
      <c r="LP74" s="261"/>
      <c r="LQ74" s="261"/>
      <c r="LR74" s="261"/>
      <c r="LS74" s="261"/>
      <c r="LT74" s="261"/>
      <c r="LU74" s="261"/>
      <c r="LV74" s="261"/>
      <c r="LW74" s="261"/>
      <c r="LX74" s="261"/>
      <c r="LY74" s="261"/>
      <c r="LZ74" s="261"/>
      <c r="MA74" s="261"/>
      <c r="MB74" s="261"/>
      <c r="MC74" s="261"/>
      <c r="MD74" s="261"/>
      <c r="ME74" s="261"/>
      <c r="MF74" s="261"/>
      <c r="MG74" s="261"/>
      <c r="MH74" s="261"/>
      <c r="MI74" s="261"/>
      <c r="MJ74" s="261"/>
      <c r="MK74" s="261"/>
      <c r="ML74" s="261"/>
      <c r="MM74" s="261"/>
      <c r="MN74" s="12"/>
      <c r="MO74" s="261"/>
      <c r="MP74" s="261"/>
      <c r="MQ74" s="261"/>
      <c r="MR74" s="261"/>
      <c r="MS74" s="261"/>
      <c r="MT74" s="261"/>
      <c r="MU74" s="261"/>
      <c r="MV74" s="261"/>
      <c r="MW74" s="261"/>
      <c r="MX74" s="261"/>
      <c r="MY74" s="13"/>
      <c r="MZ74" s="12"/>
      <c r="NA74" s="261"/>
      <c r="NB74" s="261"/>
      <c r="NC74" s="261"/>
      <c r="ND74" s="261"/>
      <c r="NE74" s="261"/>
      <c r="NF74" s="261"/>
      <c r="NG74" s="261"/>
      <c r="NH74" s="261"/>
      <c r="NI74" s="261"/>
      <c r="NJ74" s="261"/>
      <c r="NK74" s="13"/>
      <c r="NL74" s="261"/>
      <c r="NM74" s="261"/>
      <c r="NN74" s="13"/>
    </row>
    <row r="75" spans="67:378" ht="10.75" customHeight="1" x14ac:dyDescent="0.2">
      <c r="BO75" s="12"/>
      <c r="BS75" s="12"/>
      <c r="BV75" s="12"/>
      <c r="DQ75" s="13"/>
      <c r="DT75" s="14"/>
      <c r="DU75" s="15"/>
      <c r="DV75" s="15"/>
      <c r="DW75" s="15"/>
      <c r="DX75" s="15"/>
      <c r="DY75" s="15"/>
      <c r="DZ75" s="15"/>
      <c r="EA75" s="15"/>
      <c r="EB75" s="15"/>
      <c r="EC75" s="15"/>
      <c r="ED75" s="15"/>
      <c r="EE75" s="15"/>
      <c r="EF75" s="15"/>
      <c r="EG75" s="15"/>
      <c r="EH75" s="15"/>
      <c r="EI75" s="15"/>
      <c r="EJ75" s="15"/>
      <c r="EK75" s="15"/>
      <c r="EL75" s="15"/>
      <c r="EM75" s="15"/>
      <c r="EN75" s="15"/>
      <c r="EO75" s="16"/>
      <c r="GM75" s="13"/>
      <c r="GP75" s="13"/>
      <c r="GT75" s="13"/>
      <c r="JK75" s="12"/>
      <c r="JL75" s="261"/>
      <c r="JM75" s="261"/>
      <c r="JN75" s="12"/>
      <c r="JO75" s="261"/>
      <c r="JP75" s="261"/>
      <c r="JQ75" s="261"/>
      <c r="JR75" s="261"/>
      <c r="JS75" s="261"/>
      <c r="JT75" s="261"/>
      <c r="JU75" s="261"/>
      <c r="JV75" s="261"/>
      <c r="JW75" s="261"/>
      <c r="JX75" s="261"/>
      <c r="JY75" s="261"/>
      <c r="JZ75" s="261"/>
      <c r="KA75" s="261"/>
      <c r="KB75" s="261"/>
      <c r="KC75" s="261"/>
      <c r="KD75" s="261"/>
      <c r="KE75" s="261"/>
      <c r="KF75" s="261"/>
      <c r="KG75" s="261"/>
      <c r="KH75" s="261"/>
      <c r="KI75" s="261"/>
      <c r="KJ75" s="261"/>
      <c r="KK75" s="261"/>
      <c r="KL75" s="261"/>
      <c r="KM75" s="261"/>
      <c r="KN75" s="261"/>
      <c r="KO75" s="261"/>
      <c r="KP75" s="261"/>
      <c r="KQ75" s="261"/>
      <c r="KR75" s="261"/>
      <c r="KS75" s="261"/>
      <c r="KT75" s="261"/>
      <c r="KU75" s="261"/>
      <c r="KV75" s="261"/>
      <c r="KW75" s="261"/>
      <c r="KX75" s="261"/>
      <c r="KY75" s="261"/>
      <c r="KZ75" s="261"/>
      <c r="LA75" s="261"/>
      <c r="LB75" s="261"/>
      <c r="LC75" s="261"/>
      <c r="LD75" s="261"/>
      <c r="LE75" s="261"/>
      <c r="LF75" s="261"/>
      <c r="LG75" s="261"/>
      <c r="LH75" s="261"/>
      <c r="LI75" s="261"/>
      <c r="LJ75" s="261"/>
      <c r="LK75" s="13"/>
      <c r="LL75" s="261"/>
      <c r="LM75" s="13"/>
      <c r="LN75" s="261"/>
      <c r="LO75" s="261"/>
      <c r="LP75" s="261"/>
      <c r="LQ75" s="261"/>
      <c r="LR75" s="261"/>
      <c r="LS75" s="261"/>
      <c r="LT75" s="261"/>
      <c r="LU75" s="261"/>
      <c r="LV75" s="261"/>
      <c r="LW75" s="261"/>
      <c r="LX75" s="261"/>
      <c r="LY75" s="261"/>
      <c r="LZ75" s="261"/>
      <c r="MA75" s="261"/>
      <c r="MB75" s="261"/>
      <c r="MC75" s="261"/>
      <c r="MD75" s="261"/>
      <c r="ME75" s="261"/>
      <c r="MF75" s="261"/>
      <c r="MG75" s="261"/>
      <c r="MH75" s="261"/>
      <c r="MI75" s="261"/>
      <c r="MJ75" s="261"/>
      <c r="MK75" s="261"/>
      <c r="ML75" s="261"/>
      <c r="MM75" s="261"/>
      <c r="MN75" s="12"/>
      <c r="MO75" s="261"/>
      <c r="MP75" s="261"/>
      <c r="MQ75" s="261"/>
      <c r="MR75" s="261"/>
      <c r="MS75" s="261"/>
      <c r="MT75" s="261"/>
      <c r="MU75" s="261"/>
      <c r="MV75" s="261"/>
      <c r="MW75" s="261"/>
      <c r="MX75" s="261"/>
      <c r="MY75" s="13"/>
      <c r="MZ75" s="12"/>
      <c r="NA75" s="261"/>
      <c r="NB75" s="261"/>
      <c r="NC75" s="261"/>
      <c r="ND75" s="261"/>
      <c r="NE75" s="261"/>
      <c r="NF75" s="261"/>
      <c r="NG75" s="261"/>
      <c r="NH75" s="261"/>
      <c r="NI75" s="261"/>
      <c r="NJ75" s="261"/>
      <c r="NK75" s="13"/>
      <c r="NL75" s="261"/>
      <c r="NM75" s="261"/>
      <c r="NN75" s="13"/>
    </row>
    <row r="76" spans="67:378" ht="10.75" customHeight="1" x14ac:dyDescent="0.2">
      <c r="BO76" s="12"/>
      <c r="BS76" s="12"/>
      <c r="BV76" s="12"/>
      <c r="DQ76" s="13"/>
      <c r="DT76" s="12"/>
      <c r="GM76" s="13"/>
      <c r="GP76" s="13"/>
      <c r="GT76" s="13"/>
      <c r="JK76" s="12"/>
      <c r="JL76" s="261"/>
      <c r="JM76" s="261"/>
      <c r="JN76" s="12"/>
      <c r="JO76" s="261"/>
      <c r="JP76" s="261"/>
      <c r="JQ76" s="261"/>
      <c r="JR76" s="261"/>
      <c r="JS76" s="261"/>
      <c r="JT76" s="261"/>
      <c r="JU76" s="261"/>
      <c r="JV76" s="261"/>
      <c r="JW76" s="261"/>
      <c r="JX76" s="261"/>
      <c r="JY76" s="261"/>
      <c r="JZ76" s="261"/>
      <c r="KA76" s="261"/>
      <c r="KB76" s="261"/>
      <c r="KC76" s="261"/>
      <c r="KD76" s="261"/>
      <c r="KE76" s="261"/>
      <c r="KF76" s="261"/>
      <c r="KG76" s="261"/>
      <c r="KH76" s="261"/>
      <c r="KI76" s="261"/>
      <c r="KJ76" s="261"/>
      <c r="KK76" s="261"/>
      <c r="KL76" s="261"/>
      <c r="KM76" s="261"/>
      <c r="KN76" s="261"/>
      <c r="KO76" s="261"/>
      <c r="KP76" s="261"/>
      <c r="KQ76" s="261"/>
      <c r="KR76" s="261"/>
      <c r="KS76" s="261"/>
      <c r="KT76" s="261"/>
      <c r="KU76" s="261"/>
      <c r="KV76" s="261"/>
      <c r="KW76" s="261"/>
      <c r="KX76" s="261"/>
      <c r="KY76" s="261"/>
      <c r="KZ76" s="261"/>
      <c r="LA76" s="261"/>
      <c r="LB76" s="261"/>
      <c r="LC76" s="261"/>
      <c r="LD76" s="261"/>
      <c r="LE76" s="261"/>
      <c r="LF76" s="261"/>
      <c r="LG76" s="261"/>
      <c r="LH76" s="261"/>
      <c r="LI76" s="261"/>
      <c r="LJ76" s="261"/>
      <c r="LK76" s="13"/>
      <c r="LL76" s="261"/>
      <c r="LM76" s="13"/>
      <c r="LN76" s="261"/>
      <c r="LO76" s="261"/>
      <c r="LP76" s="261"/>
      <c r="LQ76" s="261"/>
      <c r="LR76" s="261"/>
      <c r="LS76" s="261"/>
      <c r="LT76" s="261"/>
      <c r="LU76" s="261"/>
      <c r="LV76" s="261"/>
      <c r="LW76" s="261"/>
      <c r="LX76" s="261"/>
      <c r="LY76" s="261"/>
      <c r="LZ76" s="261"/>
      <c r="MA76" s="261"/>
      <c r="MB76" s="261"/>
      <c r="MC76" s="261"/>
      <c r="MD76" s="261"/>
      <c r="ME76" s="261"/>
      <c r="MF76" s="261"/>
      <c r="MG76" s="261"/>
      <c r="MH76" s="261"/>
      <c r="MI76" s="261"/>
      <c r="MJ76" s="261"/>
      <c r="MK76" s="261"/>
      <c r="ML76" s="261"/>
      <c r="MM76" s="261"/>
      <c r="MN76" s="12"/>
      <c r="MO76" s="261"/>
      <c r="MP76" s="261"/>
      <c r="MQ76" s="261"/>
      <c r="MR76" s="261"/>
      <c r="MS76" s="261"/>
      <c r="MT76" s="261"/>
      <c r="MU76" s="261"/>
      <c r="MV76" s="261"/>
      <c r="MW76" s="261"/>
      <c r="MX76" s="261"/>
      <c r="MY76" s="13"/>
      <c r="MZ76" s="12"/>
      <c r="NA76" s="261"/>
      <c r="NB76" s="261"/>
      <c r="NC76" s="261"/>
      <c r="ND76" s="261"/>
      <c r="NE76" s="261"/>
      <c r="NF76" s="261"/>
      <c r="NG76" s="261"/>
      <c r="NH76" s="261"/>
      <c r="NI76" s="261"/>
      <c r="NJ76" s="261"/>
      <c r="NK76" s="13"/>
      <c r="NL76" s="261"/>
      <c r="NM76" s="261"/>
      <c r="NN76" s="13"/>
    </row>
    <row r="77" spans="67:378" ht="10.75" customHeight="1" x14ac:dyDescent="0.2">
      <c r="BO77" s="12"/>
      <c r="BS77" s="12"/>
      <c r="BV77" s="12"/>
      <c r="DQ77" s="13"/>
      <c r="DT77" s="12"/>
      <c r="GM77" s="13"/>
      <c r="GP77" s="13"/>
      <c r="GT77" s="13"/>
      <c r="JK77" s="12"/>
      <c r="JL77" s="261"/>
      <c r="JM77" s="261"/>
      <c r="JN77" s="12"/>
      <c r="JO77" s="261"/>
      <c r="JP77" s="261"/>
      <c r="JQ77" s="261"/>
      <c r="JR77" s="261"/>
      <c r="JS77" s="261"/>
      <c r="JT77" s="261"/>
      <c r="JU77" s="261"/>
      <c r="JV77" s="261"/>
      <c r="JW77" s="261"/>
      <c r="JX77" s="261"/>
      <c r="JY77" s="261"/>
      <c r="JZ77" s="261"/>
      <c r="KA77" s="261"/>
      <c r="KB77" s="261"/>
      <c r="KC77" s="261"/>
      <c r="KD77" s="261"/>
      <c r="KE77" s="261"/>
      <c r="KF77" s="261"/>
      <c r="KG77" s="261"/>
      <c r="KH77" s="261"/>
      <c r="KI77" s="261"/>
      <c r="KJ77" s="261"/>
      <c r="KK77" s="261"/>
      <c r="KL77" s="261"/>
      <c r="KM77" s="261"/>
      <c r="KN77" s="261"/>
      <c r="KO77" s="261"/>
      <c r="KP77" s="261"/>
      <c r="KQ77" s="261"/>
      <c r="KR77" s="261"/>
      <c r="KS77" s="261"/>
      <c r="KT77" s="261"/>
      <c r="KU77" s="261"/>
      <c r="KV77" s="261"/>
      <c r="KW77" s="261"/>
      <c r="KX77" s="261"/>
      <c r="KY77" s="261"/>
      <c r="KZ77" s="261"/>
      <c r="LA77" s="261"/>
      <c r="LB77" s="261"/>
      <c r="LC77" s="261"/>
      <c r="LD77" s="261"/>
      <c r="LE77" s="261"/>
      <c r="LF77" s="261"/>
      <c r="LG77" s="261"/>
      <c r="LH77" s="261"/>
      <c r="LI77" s="261"/>
      <c r="LJ77" s="261"/>
      <c r="LK77" s="13"/>
      <c r="LL77" s="261"/>
      <c r="LM77" s="13"/>
      <c r="LN77" s="261"/>
      <c r="LO77" s="261"/>
      <c r="LP77" s="261"/>
      <c r="LQ77" s="261"/>
      <c r="LR77" s="261"/>
      <c r="LS77" s="261"/>
      <c r="LT77" s="261"/>
      <c r="LU77" s="261"/>
      <c r="LV77" s="261"/>
      <c r="LW77" s="261"/>
      <c r="LX77" s="261"/>
      <c r="LY77" s="261"/>
      <c r="LZ77" s="261"/>
      <c r="MA77" s="261"/>
      <c r="MB77" s="261"/>
      <c r="MC77" s="261"/>
      <c r="MD77" s="261"/>
      <c r="ME77" s="261"/>
      <c r="MF77" s="261"/>
      <c r="MG77" s="261"/>
      <c r="MH77" s="261"/>
      <c r="MI77" s="261"/>
      <c r="MJ77" s="261"/>
      <c r="MK77" s="261"/>
      <c r="ML77" s="261"/>
      <c r="MM77" s="261"/>
      <c r="MN77" s="12"/>
      <c r="MO77" s="261"/>
      <c r="MP77" s="261"/>
      <c r="MQ77" s="261"/>
      <c r="MR77" s="261"/>
      <c r="MS77" s="261"/>
      <c r="MT77" s="261"/>
      <c r="MU77" s="261"/>
      <c r="MV77" s="261"/>
      <c r="MW77" s="261"/>
      <c r="MX77" s="261"/>
      <c r="MY77" s="13"/>
      <c r="MZ77" s="12"/>
      <c r="NA77" s="261"/>
      <c r="NB77" s="261"/>
      <c r="NC77" s="261"/>
      <c r="ND77" s="261"/>
      <c r="NE77" s="261"/>
      <c r="NF77" s="261"/>
      <c r="NG77" s="261"/>
      <c r="NH77" s="261"/>
      <c r="NI77" s="261"/>
      <c r="NJ77" s="261"/>
      <c r="NK77" s="13"/>
      <c r="NL77" s="261"/>
      <c r="NM77" s="261"/>
      <c r="NN77" s="13"/>
    </row>
    <row r="78" spans="67:378" ht="10.75" customHeight="1" x14ac:dyDescent="0.2">
      <c r="BO78" s="12"/>
      <c r="BS78" s="12"/>
      <c r="BV78" s="12"/>
      <c r="DQ78" s="13"/>
      <c r="DT78" s="12"/>
      <c r="GM78" s="13"/>
      <c r="GP78" s="13"/>
      <c r="GT78" s="13"/>
      <c r="JK78" s="12"/>
      <c r="JL78" s="261"/>
      <c r="JM78" s="261"/>
      <c r="JN78" s="12"/>
      <c r="JO78" s="261"/>
      <c r="JP78" s="261"/>
      <c r="JQ78" s="261"/>
      <c r="JR78" s="261"/>
      <c r="JS78" s="261"/>
      <c r="JT78" s="261"/>
      <c r="JU78" s="261"/>
      <c r="JV78" s="261"/>
      <c r="JW78" s="261"/>
      <c r="JX78" s="261"/>
      <c r="JY78" s="261"/>
      <c r="JZ78" s="261"/>
      <c r="KA78" s="261"/>
      <c r="KB78" s="261"/>
      <c r="KC78" s="261"/>
      <c r="KD78" s="261"/>
      <c r="KE78" s="261"/>
      <c r="KF78" s="261"/>
      <c r="KG78" s="261"/>
      <c r="KH78" s="261"/>
      <c r="KI78" s="261"/>
      <c r="KJ78" s="261"/>
      <c r="KK78" s="261"/>
      <c r="KL78" s="261"/>
      <c r="KM78" s="261"/>
      <c r="KN78" s="261"/>
      <c r="KO78" s="261"/>
      <c r="KP78" s="261"/>
      <c r="KQ78" s="261"/>
      <c r="KR78" s="261"/>
      <c r="KS78" s="261"/>
      <c r="KT78" s="261"/>
      <c r="KU78" s="261"/>
      <c r="KV78" s="261"/>
      <c r="KW78" s="261"/>
      <c r="KX78" s="261"/>
      <c r="KY78" s="261"/>
      <c r="KZ78" s="261"/>
      <c r="LA78" s="261"/>
      <c r="LB78" s="261"/>
      <c r="LC78" s="261"/>
      <c r="LD78" s="261"/>
      <c r="LE78" s="261"/>
      <c r="LF78" s="261"/>
      <c r="LG78" s="261"/>
      <c r="LH78" s="261"/>
      <c r="LI78" s="261"/>
      <c r="LJ78" s="261"/>
      <c r="LK78" s="13"/>
      <c r="LL78" s="261"/>
      <c r="LM78" s="13"/>
      <c r="LN78" s="261"/>
      <c r="LO78" s="261"/>
      <c r="LP78" s="261"/>
      <c r="LQ78" s="261"/>
      <c r="LR78" s="261"/>
      <c r="LS78" s="261"/>
      <c r="LT78" s="261"/>
      <c r="LU78" s="261"/>
      <c r="LV78" s="261"/>
      <c r="LW78" s="261"/>
      <c r="LX78" s="261"/>
      <c r="LY78" s="261"/>
      <c r="LZ78" s="261"/>
      <c r="MA78" s="261"/>
      <c r="MB78" s="261"/>
      <c r="MC78" s="261"/>
      <c r="MD78" s="261"/>
      <c r="ME78" s="261"/>
      <c r="MF78" s="261"/>
      <c r="MG78" s="261"/>
      <c r="MH78" s="261"/>
      <c r="MI78" s="261"/>
      <c r="MJ78" s="261"/>
      <c r="MK78" s="261"/>
      <c r="ML78" s="261"/>
      <c r="MM78" s="261"/>
      <c r="MN78" s="12"/>
      <c r="MO78" s="261"/>
      <c r="MP78" s="261"/>
      <c r="MQ78" s="261"/>
      <c r="MR78" s="261"/>
      <c r="MS78" s="261"/>
      <c r="MT78" s="261"/>
      <c r="MU78" s="261"/>
      <c r="MV78" s="261"/>
      <c r="MW78" s="261"/>
      <c r="MX78" s="261"/>
      <c r="MY78" s="13"/>
      <c r="MZ78" s="12"/>
      <c r="NA78" s="261"/>
      <c r="NB78" s="261"/>
      <c r="NC78" s="261"/>
      <c r="ND78" s="261"/>
      <c r="NE78" s="261"/>
      <c r="NF78" s="261"/>
      <c r="NG78" s="261"/>
      <c r="NH78" s="261"/>
      <c r="NI78" s="261"/>
      <c r="NJ78" s="261"/>
      <c r="NK78" s="13"/>
      <c r="NL78" s="261"/>
      <c r="NM78" s="261"/>
      <c r="NN78" s="13"/>
    </row>
    <row r="79" spans="67:378" ht="10.75" customHeight="1" x14ac:dyDescent="0.2">
      <c r="BO79" s="12"/>
      <c r="BS79" s="12"/>
      <c r="BV79" s="12"/>
      <c r="DQ79" s="13"/>
      <c r="DT79" s="12"/>
      <c r="GM79" s="13"/>
      <c r="GP79" s="13"/>
      <c r="GT79" s="13"/>
      <c r="JK79" s="12"/>
      <c r="JL79" s="261"/>
      <c r="JM79" s="261"/>
      <c r="JN79" s="12"/>
      <c r="JO79" s="261"/>
      <c r="JP79" s="261"/>
      <c r="JQ79" s="261"/>
      <c r="JR79" s="261"/>
      <c r="JS79" s="261"/>
      <c r="JT79" s="261"/>
      <c r="JU79" s="261"/>
      <c r="JV79" s="261"/>
      <c r="JW79" s="261"/>
      <c r="JX79" s="261"/>
      <c r="JY79" s="261"/>
      <c r="JZ79" s="261"/>
      <c r="KA79" s="261"/>
      <c r="KB79" s="261"/>
      <c r="KC79" s="261"/>
      <c r="KD79" s="261"/>
      <c r="KE79" s="261"/>
      <c r="KF79" s="261"/>
      <c r="KG79" s="261"/>
      <c r="KH79" s="261"/>
      <c r="KI79" s="261"/>
      <c r="KJ79" s="261"/>
      <c r="KK79" s="261"/>
      <c r="KL79" s="261"/>
      <c r="KM79" s="261"/>
      <c r="KN79" s="261"/>
      <c r="KO79" s="261"/>
      <c r="KP79" s="261"/>
      <c r="KQ79" s="261"/>
      <c r="KR79" s="261"/>
      <c r="KS79" s="261"/>
      <c r="KT79" s="261"/>
      <c r="KU79" s="261"/>
      <c r="KV79" s="261"/>
      <c r="KW79" s="261"/>
      <c r="KX79" s="261"/>
      <c r="KY79" s="261"/>
      <c r="KZ79" s="261"/>
      <c r="LA79" s="261"/>
      <c r="LB79" s="261"/>
      <c r="LC79" s="261"/>
      <c r="LD79" s="261"/>
      <c r="LE79" s="261"/>
      <c r="LF79" s="261"/>
      <c r="LG79" s="261"/>
      <c r="LH79" s="261"/>
      <c r="LI79" s="261"/>
      <c r="LJ79" s="261"/>
      <c r="LK79" s="13"/>
      <c r="LL79" s="261"/>
      <c r="LM79" s="13"/>
      <c r="LN79" s="261"/>
      <c r="LO79" s="261"/>
      <c r="LP79" s="261"/>
      <c r="LQ79" s="261"/>
      <c r="LR79" s="261"/>
      <c r="LS79" s="261"/>
      <c r="LT79" s="261"/>
      <c r="LU79" s="261"/>
      <c r="LV79" s="261"/>
      <c r="LW79" s="261"/>
      <c r="LX79" s="261"/>
      <c r="LY79" s="261"/>
      <c r="LZ79" s="261"/>
      <c r="MA79" s="261"/>
      <c r="MB79" s="261"/>
      <c r="MC79" s="261"/>
      <c r="MD79" s="261"/>
      <c r="ME79" s="261"/>
      <c r="MF79" s="261"/>
      <c r="MG79" s="261"/>
      <c r="MH79" s="261"/>
      <c r="MI79" s="261"/>
      <c r="MJ79" s="261"/>
      <c r="MK79" s="261"/>
      <c r="ML79" s="261"/>
      <c r="MM79" s="261"/>
      <c r="MN79" s="12"/>
      <c r="MO79" s="261"/>
      <c r="MP79" s="261"/>
      <c r="MQ79" s="261"/>
      <c r="MR79" s="261"/>
      <c r="MS79" s="261"/>
      <c r="MT79" s="261"/>
      <c r="MU79" s="261"/>
      <c r="MV79" s="261"/>
      <c r="MW79" s="261"/>
      <c r="MX79" s="261"/>
      <c r="MY79" s="13"/>
      <c r="MZ79" s="12"/>
      <c r="NA79" s="261"/>
      <c r="NB79" s="261"/>
      <c r="NC79" s="261"/>
      <c r="ND79" s="261"/>
      <c r="NE79" s="261"/>
      <c r="NF79" s="261"/>
      <c r="NG79" s="261"/>
      <c r="NH79" s="261"/>
      <c r="NI79" s="261"/>
      <c r="NJ79" s="261"/>
      <c r="NK79" s="13"/>
      <c r="NL79" s="261"/>
      <c r="NM79" s="261"/>
      <c r="NN79" s="13"/>
    </row>
    <row r="80" spans="67:378" ht="10.75" customHeight="1" x14ac:dyDescent="0.2">
      <c r="BO80" s="12"/>
      <c r="BS80" s="12"/>
      <c r="BV80" s="12"/>
      <c r="DQ80" s="13"/>
      <c r="DT80" s="12"/>
      <c r="GM80" s="13"/>
      <c r="GP80" s="13"/>
      <c r="GT80" s="13"/>
      <c r="JK80" s="12"/>
      <c r="JL80" s="261"/>
      <c r="JM80" s="261"/>
      <c r="JN80" s="12"/>
      <c r="JO80" s="261"/>
      <c r="JP80" s="261"/>
      <c r="JQ80" s="261"/>
      <c r="JR80" s="261"/>
      <c r="JS80" s="261"/>
      <c r="JT80" s="261"/>
      <c r="JU80" s="261"/>
      <c r="JV80" s="261"/>
      <c r="JW80" s="261"/>
      <c r="JX80" s="261"/>
      <c r="JY80" s="261"/>
      <c r="JZ80" s="261"/>
      <c r="KA80" s="261"/>
      <c r="KB80" s="261"/>
      <c r="KC80" s="261"/>
      <c r="KD80" s="261"/>
      <c r="KE80" s="261"/>
      <c r="KF80" s="261"/>
      <c r="KG80" s="261"/>
      <c r="KH80" s="261"/>
      <c r="KI80" s="261"/>
      <c r="KJ80" s="261"/>
      <c r="KK80" s="261"/>
      <c r="KL80" s="261"/>
      <c r="KM80" s="261"/>
      <c r="KN80" s="261"/>
      <c r="KO80" s="261"/>
      <c r="KP80" s="261"/>
      <c r="KQ80" s="261"/>
      <c r="KR80" s="261"/>
      <c r="KS80" s="261"/>
      <c r="KT80" s="261"/>
      <c r="KU80" s="261"/>
      <c r="KV80" s="261"/>
      <c r="KW80" s="261"/>
      <c r="KX80" s="261"/>
      <c r="KY80" s="261"/>
      <c r="KZ80" s="261"/>
      <c r="LA80" s="261"/>
      <c r="LB80" s="261"/>
      <c r="LC80" s="261"/>
      <c r="LD80" s="261"/>
      <c r="LE80" s="261"/>
      <c r="LF80" s="261"/>
      <c r="LG80" s="261"/>
      <c r="LH80" s="261"/>
      <c r="LI80" s="261"/>
      <c r="LJ80" s="261"/>
      <c r="LK80" s="13"/>
      <c r="LL80" s="261"/>
      <c r="LM80" s="13"/>
      <c r="LN80" s="261"/>
      <c r="LO80" s="261"/>
      <c r="LP80" s="261"/>
      <c r="LQ80" s="261"/>
      <c r="LR80" s="261"/>
      <c r="LS80" s="261"/>
      <c r="LT80" s="261"/>
      <c r="LU80" s="261"/>
      <c r="LV80" s="261"/>
      <c r="LW80" s="261"/>
      <c r="LX80" s="261"/>
      <c r="LY80" s="261"/>
      <c r="LZ80" s="261"/>
      <c r="MA80" s="261"/>
      <c r="MB80" s="261"/>
      <c r="MC80" s="261"/>
      <c r="MD80" s="261"/>
      <c r="ME80" s="261"/>
      <c r="MF80" s="261"/>
      <c r="MG80" s="261"/>
      <c r="MH80" s="261"/>
      <c r="MI80" s="261"/>
      <c r="MJ80" s="261"/>
      <c r="MK80" s="261"/>
      <c r="ML80" s="261"/>
      <c r="MM80" s="261"/>
      <c r="MN80" s="14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6"/>
      <c r="MZ80" s="14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6"/>
      <c r="NL80" s="261"/>
      <c r="NM80" s="261"/>
      <c r="NN80" s="13"/>
    </row>
    <row r="81" spans="67:378" ht="10.75" customHeight="1" x14ac:dyDescent="0.2">
      <c r="BO81" s="12"/>
      <c r="BS81" s="12"/>
      <c r="BV81" s="12"/>
      <c r="DQ81" s="13"/>
      <c r="DT81" s="12"/>
      <c r="GM81" s="13"/>
      <c r="GP81" s="13"/>
      <c r="GT81" s="13"/>
      <c r="JK81" s="12"/>
      <c r="JL81" s="261"/>
      <c r="JM81" s="261"/>
      <c r="JN81" s="12"/>
      <c r="JO81" s="261"/>
      <c r="JP81" s="261"/>
      <c r="JQ81" s="261"/>
      <c r="JR81" s="261"/>
      <c r="JS81" s="261"/>
      <c r="JT81" s="261"/>
      <c r="JU81" s="261"/>
      <c r="JV81" s="261"/>
      <c r="JW81" s="261"/>
      <c r="JX81" s="261"/>
      <c r="JY81" s="261"/>
      <c r="JZ81" s="261"/>
      <c r="KA81" s="261"/>
      <c r="KB81" s="261"/>
      <c r="KC81" s="261"/>
      <c r="KD81" s="261"/>
      <c r="KE81" s="261"/>
      <c r="KF81" s="261"/>
      <c r="KG81" s="261"/>
      <c r="KH81" s="261"/>
      <c r="KI81" s="261"/>
      <c r="KJ81" s="261"/>
      <c r="KK81" s="261"/>
      <c r="KL81" s="261"/>
      <c r="KM81" s="261"/>
      <c r="KN81" s="261"/>
      <c r="KO81" s="261"/>
      <c r="KP81" s="261"/>
      <c r="KQ81" s="261"/>
      <c r="KR81" s="261"/>
      <c r="KS81" s="261"/>
      <c r="KT81" s="261"/>
      <c r="KU81" s="261"/>
      <c r="KV81" s="261"/>
      <c r="KW81" s="261"/>
      <c r="KX81" s="261"/>
      <c r="KY81" s="261"/>
      <c r="KZ81" s="261"/>
      <c r="LA81" s="261"/>
      <c r="LB81" s="261"/>
      <c r="LC81" s="261"/>
      <c r="LD81" s="261"/>
      <c r="LE81" s="261"/>
      <c r="LF81" s="261"/>
      <c r="LG81" s="261"/>
      <c r="LH81" s="261"/>
      <c r="LI81" s="261"/>
      <c r="LJ81" s="261"/>
      <c r="LK81" s="13"/>
      <c r="LL81" s="261"/>
      <c r="LM81" s="13"/>
      <c r="LN81" s="261"/>
      <c r="LO81" s="261"/>
      <c r="LP81" s="261"/>
      <c r="LQ81" s="261"/>
      <c r="LR81" s="261"/>
      <c r="LS81" s="261"/>
      <c r="LT81" s="261"/>
      <c r="LU81" s="261"/>
      <c r="LV81" s="261"/>
      <c r="LW81" s="261"/>
      <c r="LX81" s="261"/>
      <c r="LY81" s="261"/>
      <c r="LZ81" s="261"/>
      <c r="MA81" s="261"/>
      <c r="MB81" s="261"/>
      <c r="MC81" s="261"/>
      <c r="MD81" s="261"/>
      <c r="ME81" s="261"/>
      <c r="MF81" s="261"/>
      <c r="MG81" s="261"/>
      <c r="MH81" s="261"/>
      <c r="MI81" s="261"/>
      <c r="MJ81" s="261"/>
      <c r="MK81" s="261"/>
      <c r="ML81" s="261"/>
      <c r="MM81" s="261"/>
      <c r="MN81" s="9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1"/>
      <c r="NL81" s="261"/>
      <c r="NM81" s="261"/>
      <c r="NN81" s="13"/>
    </row>
    <row r="82" spans="67:378" ht="10.75" customHeight="1" x14ac:dyDescent="0.2">
      <c r="BO82" s="12"/>
      <c r="BS82" s="12"/>
      <c r="BV82" s="12"/>
      <c r="DQ82" s="13"/>
      <c r="DT82" s="12"/>
      <c r="GM82" s="13"/>
      <c r="GP82" s="13"/>
      <c r="GT82" s="13"/>
      <c r="JK82" s="12"/>
      <c r="JL82" s="261"/>
      <c r="JM82" s="261"/>
      <c r="JN82" s="12"/>
      <c r="JO82" s="261"/>
      <c r="JP82" s="261"/>
      <c r="JQ82" s="261"/>
      <c r="JR82" s="261"/>
      <c r="JS82" s="261"/>
      <c r="JT82" s="261"/>
      <c r="JU82" s="261"/>
      <c r="JV82" s="261"/>
      <c r="JW82" s="261"/>
      <c r="JX82" s="261"/>
      <c r="JY82" s="261"/>
      <c r="JZ82" s="261"/>
      <c r="KA82" s="261"/>
      <c r="KB82" s="261"/>
      <c r="KC82" s="261"/>
      <c r="KD82" s="261"/>
      <c r="KE82" s="261"/>
      <c r="KF82" s="261"/>
      <c r="KG82" s="261"/>
      <c r="KH82" s="261"/>
      <c r="KI82" s="261"/>
      <c r="KJ82" s="261"/>
      <c r="KK82" s="261"/>
      <c r="KL82" s="261"/>
      <c r="KM82" s="261"/>
      <c r="KN82" s="261"/>
      <c r="KO82" s="261"/>
      <c r="KP82" s="261"/>
      <c r="KQ82" s="261"/>
      <c r="KR82" s="261"/>
      <c r="KS82" s="261"/>
      <c r="KT82" s="261"/>
      <c r="KU82" s="261"/>
      <c r="KV82" s="261"/>
      <c r="KW82" s="261"/>
      <c r="KX82" s="261"/>
      <c r="KY82" s="261"/>
      <c r="KZ82" s="261"/>
      <c r="LA82" s="261"/>
      <c r="LB82" s="261"/>
      <c r="LC82" s="261"/>
      <c r="LD82" s="261"/>
      <c r="LE82" s="261"/>
      <c r="LF82" s="261"/>
      <c r="LG82" s="261"/>
      <c r="LH82" s="261"/>
      <c r="LI82" s="261"/>
      <c r="LJ82" s="261"/>
      <c r="LK82" s="13"/>
      <c r="LL82" s="261"/>
      <c r="LM82" s="13"/>
      <c r="LN82" s="261"/>
      <c r="LO82" s="261"/>
      <c r="LP82" s="261"/>
      <c r="LQ82" s="261"/>
      <c r="LR82" s="261"/>
      <c r="LS82" s="261"/>
      <c r="LT82" s="261"/>
      <c r="LU82" s="261"/>
      <c r="LV82" s="261"/>
      <c r="LW82" s="261"/>
      <c r="LX82" s="261"/>
      <c r="LY82" s="261"/>
      <c r="LZ82" s="261"/>
      <c r="MA82" s="261"/>
      <c r="MB82" s="261"/>
      <c r="MC82" s="261"/>
      <c r="MD82" s="261"/>
      <c r="ME82" s="261"/>
      <c r="MF82" s="261"/>
      <c r="MG82" s="261"/>
      <c r="MH82" s="261"/>
      <c r="MI82" s="261"/>
      <c r="MJ82" s="261"/>
      <c r="MK82" s="261"/>
      <c r="ML82" s="261"/>
      <c r="MM82" s="261"/>
      <c r="MN82" s="14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6"/>
      <c r="NL82" s="261"/>
      <c r="NM82" s="261"/>
      <c r="NN82" s="13"/>
    </row>
    <row r="83" spans="67:378" ht="10.75" customHeight="1" x14ac:dyDescent="0.2">
      <c r="BO83" s="12"/>
      <c r="BS83" s="12"/>
      <c r="BV83" s="12"/>
      <c r="DQ83" s="13"/>
      <c r="DT83" s="12"/>
      <c r="GM83" s="13"/>
      <c r="GP83" s="13"/>
      <c r="GT83" s="13"/>
      <c r="JK83" s="12"/>
      <c r="JL83" s="261"/>
      <c r="JM83" s="261"/>
      <c r="JN83" s="12"/>
      <c r="JO83" s="261"/>
      <c r="JP83" s="261"/>
      <c r="JQ83" s="261"/>
      <c r="JR83" s="261"/>
      <c r="JS83" s="261"/>
      <c r="JT83" s="261"/>
      <c r="JU83" s="261"/>
      <c r="JV83" s="261"/>
      <c r="JW83" s="261"/>
      <c r="JX83" s="261"/>
      <c r="JY83" s="261"/>
      <c r="JZ83" s="261"/>
      <c r="KA83" s="261"/>
      <c r="KB83" s="261"/>
      <c r="KC83" s="261"/>
      <c r="KD83" s="261"/>
      <c r="KE83" s="261"/>
      <c r="KF83" s="261"/>
      <c r="KG83" s="261"/>
      <c r="KH83" s="261"/>
      <c r="KI83" s="261"/>
      <c r="KJ83" s="261"/>
      <c r="KK83" s="261"/>
      <c r="KL83" s="261"/>
      <c r="KM83" s="261"/>
      <c r="KN83" s="261"/>
      <c r="KO83" s="261"/>
      <c r="KP83" s="261"/>
      <c r="KQ83" s="261"/>
      <c r="KR83" s="261"/>
      <c r="KS83" s="261"/>
      <c r="KT83" s="261"/>
      <c r="KU83" s="261"/>
      <c r="KV83" s="261"/>
      <c r="KW83" s="261"/>
      <c r="KX83" s="261"/>
      <c r="KY83" s="261"/>
      <c r="KZ83" s="261"/>
      <c r="LA83" s="261"/>
      <c r="LB83" s="261"/>
      <c r="LC83" s="261"/>
      <c r="LD83" s="261"/>
      <c r="LE83" s="261"/>
      <c r="LF83" s="261"/>
      <c r="LG83" s="261"/>
      <c r="LH83" s="261"/>
      <c r="LI83" s="261"/>
      <c r="LJ83" s="261"/>
      <c r="LK83" s="13"/>
      <c r="LL83" s="261"/>
      <c r="LM83" s="13"/>
      <c r="LN83" s="261"/>
      <c r="LO83" s="261"/>
      <c r="LP83" s="261"/>
      <c r="LQ83" s="261"/>
      <c r="LR83" s="261"/>
      <c r="LS83" s="261"/>
      <c r="LT83" s="261"/>
      <c r="LU83" s="261"/>
      <c r="LV83" s="261"/>
      <c r="LW83" s="261"/>
      <c r="LX83" s="261"/>
      <c r="LY83" s="261"/>
      <c r="LZ83" s="261"/>
      <c r="MA83" s="261"/>
      <c r="MB83" s="261"/>
      <c r="MC83" s="261"/>
      <c r="MD83" s="261"/>
      <c r="ME83" s="261"/>
      <c r="MF83" s="261"/>
      <c r="MG83" s="261"/>
      <c r="MH83" s="261"/>
      <c r="MI83" s="261"/>
      <c r="MJ83" s="261"/>
      <c r="MK83" s="261"/>
      <c r="ML83" s="261"/>
      <c r="MM83" s="261"/>
      <c r="MN83" s="261"/>
      <c r="MO83" s="261"/>
      <c r="MP83" s="261"/>
      <c r="MQ83" s="261"/>
      <c r="MR83" s="261"/>
      <c r="MS83" s="261"/>
      <c r="MT83" s="261"/>
      <c r="MU83" s="261"/>
      <c r="MV83" s="261"/>
      <c r="MW83" s="261"/>
      <c r="MX83" s="261"/>
      <c r="MY83" s="261"/>
      <c r="MZ83" s="261"/>
      <c r="NA83" s="261"/>
      <c r="NB83" s="261"/>
      <c r="NC83" s="261"/>
      <c r="ND83" s="261"/>
      <c r="NE83" s="261"/>
      <c r="NF83" s="261"/>
      <c r="NG83" s="261"/>
      <c r="NH83" s="261"/>
      <c r="NI83" s="261"/>
      <c r="NJ83" s="261"/>
      <c r="NK83" s="13"/>
      <c r="NL83" s="261"/>
      <c r="NM83" s="261"/>
      <c r="NN83" s="13"/>
    </row>
    <row r="84" spans="67:378" ht="10.75" customHeight="1" x14ac:dyDescent="0.2">
      <c r="BO84" s="12"/>
      <c r="BS84" s="12"/>
      <c r="BV84" s="12"/>
      <c r="DQ84" s="13"/>
      <c r="DT84" s="12"/>
      <c r="GM84" s="13"/>
      <c r="GP84" s="13"/>
      <c r="GT84" s="13"/>
      <c r="JK84" s="12"/>
      <c r="JL84" s="261"/>
      <c r="JM84" s="261"/>
      <c r="JN84" s="12"/>
      <c r="JO84" s="261"/>
      <c r="JP84" s="261"/>
      <c r="JQ84" s="261"/>
      <c r="JR84" s="261"/>
      <c r="JS84" s="261"/>
      <c r="JT84" s="261"/>
      <c r="JU84" s="261"/>
      <c r="JV84" s="261"/>
      <c r="JW84" s="261"/>
      <c r="JX84" s="261"/>
      <c r="JY84" s="261"/>
      <c r="JZ84" s="261"/>
      <c r="KA84" s="261"/>
      <c r="KB84" s="261"/>
      <c r="KC84" s="261"/>
      <c r="KD84" s="261"/>
      <c r="KE84" s="261"/>
      <c r="KF84" s="261"/>
      <c r="KG84" s="261"/>
      <c r="KH84" s="261"/>
      <c r="KI84" s="261"/>
      <c r="KJ84" s="261"/>
      <c r="KK84" s="261"/>
      <c r="KL84" s="261"/>
      <c r="KM84" s="261"/>
      <c r="KN84" s="261"/>
      <c r="KO84" s="261"/>
      <c r="KP84" s="261"/>
      <c r="KQ84" s="261"/>
      <c r="KR84" s="261"/>
      <c r="KS84" s="261"/>
      <c r="KT84" s="261"/>
      <c r="KU84" s="261"/>
      <c r="KV84" s="261"/>
      <c r="KW84" s="261"/>
      <c r="KX84" s="261"/>
      <c r="KY84" s="261"/>
      <c r="KZ84" s="261"/>
      <c r="LA84" s="261"/>
      <c r="LB84" s="261"/>
      <c r="LC84" s="261"/>
      <c r="LD84" s="261"/>
      <c r="LE84" s="261"/>
      <c r="LF84" s="261"/>
      <c r="LG84" s="261"/>
      <c r="LH84" s="261"/>
      <c r="LI84" s="261"/>
      <c r="LJ84" s="261"/>
      <c r="LK84" s="13"/>
      <c r="LL84" s="261"/>
      <c r="LM84" s="13"/>
      <c r="LN84" s="261"/>
      <c r="LO84" s="261"/>
      <c r="LP84" s="261"/>
      <c r="LQ84" s="261"/>
      <c r="LR84" s="261"/>
      <c r="LS84" s="261"/>
      <c r="LT84" s="261"/>
      <c r="LU84" s="261"/>
      <c r="LV84" s="261"/>
      <c r="LW84" s="261"/>
      <c r="LX84" s="261"/>
      <c r="LY84" s="261"/>
      <c r="LZ84" s="261"/>
      <c r="MA84" s="261"/>
      <c r="MB84" s="261"/>
      <c r="MC84" s="261"/>
      <c r="MD84" s="261"/>
      <c r="ME84" s="261"/>
      <c r="MF84" s="261"/>
      <c r="MG84" s="261"/>
      <c r="MH84" s="261"/>
      <c r="MI84" s="261"/>
      <c r="MJ84" s="261"/>
      <c r="MK84" s="261"/>
      <c r="ML84" s="261"/>
      <c r="MM84" s="261"/>
      <c r="MN84" s="261"/>
      <c r="MO84" s="261"/>
      <c r="MP84" s="261"/>
      <c r="MQ84" s="261"/>
      <c r="MR84" s="261"/>
      <c r="MS84" s="261"/>
      <c r="MT84" s="261"/>
      <c r="MU84" s="261"/>
      <c r="MV84" s="261"/>
      <c r="MW84" s="261"/>
      <c r="MX84" s="261"/>
      <c r="MY84" s="261"/>
      <c r="MZ84" s="261"/>
      <c r="NA84" s="261"/>
      <c r="NB84" s="261"/>
      <c r="NC84" s="261"/>
      <c r="ND84" s="261"/>
      <c r="NE84" s="261"/>
      <c r="NF84" s="261"/>
      <c r="NG84" s="261"/>
      <c r="NH84" s="261"/>
      <c r="NI84" s="261"/>
      <c r="NJ84" s="261"/>
      <c r="NK84" s="13"/>
      <c r="NL84" s="261"/>
      <c r="NM84" s="261"/>
      <c r="NN84" s="13"/>
    </row>
    <row r="85" spans="67:378" ht="10.75" customHeight="1" x14ac:dyDescent="0.2">
      <c r="BO85" s="12"/>
      <c r="BS85" s="12"/>
      <c r="BV85" s="12"/>
      <c r="DQ85" s="13"/>
      <c r="DT85" s="12"/>
      <c r="GM85" s="13"/>
      <c r="GP85" s="13"/>
      <c r="GT85" s="13"/>
      <c r="JK85" s="12"/>
      <c r="JL85" s="261"/>
      <c r="JM85" s="261"/>
      <c r="JN85" s="12"/>
      <c r="JO85" s="261"/>
      <c r="JP85" s="261"/>
      <c r="JQ85" s="261"/>
      <c r="JR85" s="261"/>
      <c r="JS85" s="261"/>
      <c r="JT85" s="261"/>
      <c r="JU85" s="261"/>
      <c r="JV85" s="261"/>
      <c r="JW85" s="261"/>
      <c r="JX85" s="261"/>
      <c r="JY85" s="261"/>
      <c r="JZ85" s="261"/>
      <c r="KA85" s="261"/>
      <c r="KB85" s="261"/>
      <c r="KC85" s="261"/>
      <c r="KD85" s="261"/>
      <c r="KE85" s="261"/>
      <c r="KF85" s="261"/>
      <c r="KG85" s="261"/>
      <c r="KH85" s="261"/>
      <c r="KI85" s="261"/>
      <c r="KJ85" s="261"/>
      <c r="KK85" s="261"/>
      <c r="KL85" s="261"/>
      <c r="KM85" s="261"/>
      <c r="KN85" s="261"/>
      <c r="KO85" s="261"/>
      <c r="KP85" s="261"/>
      <c r="KQ85" s="261"/>
      <c r="KR85" s="261"/>
      <c r="KS85" s="261"/>
      <c r="KT85" s="261"/>
      <c r="KU85" s="261"/>
      <c r="KV85" s="261"/>
      <c r="KW85" s="261"/>
      <c r="KX85" s="261"/>
      <c r="KY85" s="261"/>
      <c r="KZ85" s="261"/>
      <c r="LA85" s="261"/>
      <c r="LB85" s="261"/>
      <c r="LC85" s="261"/>
      <c r="LD85" s="261"/>
      <c r="LE85" s="261"/>
      <c r="LF85" s="261"/>
      <c r="LG85" s="261"/>
      <c r="LH85" s="261"/>
      <c r="LI85" s="261"/>
      <c r="LJ85" s="261"/>
      <c r="LK85" s="13"/>
      <c r="LL85" s="261"/>
      <c r="LM85" s="13"/>
      <c r="LN85" s="261"/>
      <c r="LO85" s="261"/>
      <c r="LP85" s="261"/>
      <c r="LQ85" s="261"/>
      <c r="LR85" s="261"/>
      <c r="LS85" s="261"/>
      <c r="LT85" s="261"/>
      <c r="LU85" s="261"/>
      <c r="LV85" s="261"/>
      <c r="LW85" s="261"/>
      <c r="LX85" s="261"/>
      <c r="LY85" s="261"/>
      <c r="LZ85" s="261"/>
      <c r="MA85" s="261"/>
      <c r="MB85" s="261"/>
      <c r="MC85" s="261"/>
      <c r="MD85" s="261"/>
      <c r="ME85" s="261"/>
      <c r="MF85" s="261"/>
      <c r="MG85" s="261"/>
      <c r="MH85" s="261"/>
      <c r="MI85" s="261"/>
      <c r="MJ85" s="261"/>
      <c r="MK85" s="261"/>
      <c r="ML85" s="261"/>
      <c r="MM85" s="261"/>
      <c r="MN85" s="261"/>
      <c r="MO85" s="261"/>
      <c r="MP85" s="261"/>
      <c r="MQ85" s="261"/>
      <c r="MR85" s="261"/>
      <c r="MS85" s="261"/>
      <c r="MT85" s="261"/>
      <c r="MU85" s="261"/>
      <c r="MV85" s="261"/>
      <c r="MW85" s="261"/>
      <c r="MX85" s="261"/>
      <c r="MY85" s="261"/>
      <c r="MZ85" s="261"/>
      <c r="NA85" s="261"/>
      <c r="NB85" s="261"/>
      <c r="NC85" s="261"/>
      <c r="ND85" s="261"/>
      <c r="NE85" s="261"/>
      <c r="NF85" s="261"/>
      <c r="NG85" s="261"/>
      <c r="NH85" s="261"/>
      <c r="NI85" s="261"/>
      <c r="NJ85" s="261"/>
      <c r="NK85" s="13"/>
      <c r="NL85" s="261"/>
      <c r="NM85" s="261"/>
      <c r="NN85" s="13"/>
    </row>
    <row r="86" spans="67:378" ht="10.75" customHeight="1" x14ac:dyDescent="0.2">
      <c r="BO86" s="12"/>
      <c r="BS86" s="12"/>
      <c r="BV86" s="12"/>
      <c r="DQ86" s="13"/>
      <c r="DT86" s="12"/>
      <c r="GM86" s="13"/>
      <c r="GP86" s="13"/>
      <c r="GT86" s="13"/>
      <c r="JK86" s="12"/>
      <c r="JL86" s="261"/>
      <c r="JM86" s="261"/>
      <c r="JN86" s="12"/>
      <c r="JO86" s="261"/>
      <c r="JP86" s="261"/>
      <c r="JQ86" s="261"/>
      <c r="JR86" s="261"/>
      <c r="JS86" s="261"/>
      <c r="JT86" s="261"/>
      <c r="JU86" s="261"/>
      <c r="JV86" s="261"/>
      <c r="JW86" s="261"/>
      <c r="JX86" s="261"/>
      <c r="JY86" s="261"/>
      <c r="JZ86" s="261"/>
      <c r="KA86" s="261"/>
      <c r="KB86" s="261"/>
      <c r="KC86" s="261"/>
      <c r="KD86" s="261"/>
      <c r="KE86" s="261"/>
      <c r="KF86" s="261"/>
      <c r="KG86" s="261"/>
      <c r="KH86" s="261"/>
      <c r="KI86" s="261"/>
      <c r="KJ86" s="261"/>
      <c r="KK86" s="261"/>
      <c r="KL86" s="261"/>
      <c r="KM86" s="261"/>
      <c r="KN86" s="261"/>
      <c r="KO86" s="261"/>
      <c r="KP86" s="261"/>
      <c r="KQ86" s="261"/>
      <c r="KR86" s="261"/>
      <c r="KS86" s="261"/>
      <c r="KT86" s="261"/>
      <c r="KU86" s="261"/>
      <c r="KV86" s="261"/>
      <c r="KW86" s="261"/>
      <c r="KX86" s="261"/>
      <c r="KY86" s="261"/>
      <c r="KZ86" s="261"/>
      <c r="LA86" s="261"/>
      <c r="LB86" s="261"/>
      <c r="LC86" s="261"/>
      <c r="LD86" s="261"/>
      <c r="LE86" s="261"/>
      <c r="LF86" s="261"/>
      <c r="LG86" s="261"/>
      <c r="LH86" s="261"/>
      <c r="LI86" s="261"/>
      <c r="LJ86" s="261"/>
      <c r="LK86" s="13"/>
      <c r="LL86" s="261"/>
      <c r="LM86" s="13"/>
      <c r="LN86" s="261"/>
      <c r="LO86" s="261"/>
      <c r="LP86" s="261"/>
      <c r="LQ86" s="261"/>
      <c r="LR86" s="261"/>
      <c r="LS86" s="261"/>
      <c r="LT86" s="261"/>
      <c r="LU86" s="261"/>
      <c r="LV86" s="261"/>
      <c r="LW86" s="261"/>
      <c r="LX86" s="261"/>
      <c r="LY86" s="261"/>
      <c r="LZ86" s="261"/>
      <c r="MA86" s="261"/>
      <c r="MB86" s="261"/>
      <c r="MC86" s="261"/>
      <c r="MD86" s="261"/>
      <c r="ME86" s="261"/>
      <c r="MF86" s="261"/>
      <c r="MG86" s="261"/>
      <c r="MH86" s="261"/>
      <c r="MI86" s="261"/>
      <c r="MJ86" s="261"/>
      <c r="MK86" s="261"/>
      <c r="ML86" s="261"/>
      <c r="MM86" s="261"/>
      <c r="MN86" s="261"/>
      <c r="MO86" s="261"/>
      <c r="MP86" s="261"/>
      <c r="MQ86" s="261"/>
      <c r="MR86" s="261"/>
      <c r="MS86" s="261"/>
      <c r="MT86" s="261"/>
      <c r="MU86" s="261"/>
      <c r="MV86" s="261"/>
      <c r="MW86" s="261"/>
      <c r="MX86" s="261"/>
      <c r="MY86" s="261"/>
      <c r="MZ86" s="261"/>
      <c r="NA86" s="261"/>
      <c r="NB86" s="261"/>
      <c r="NC86" s="261"/>
      <c r="ND86" s="261"/>
      <c r="NE86" s="261"/>
      <c r="NF86" s="261"/>
      <c r="NG86" s="261"/>
      <c r="NH86" s="261"/>
      <c r="NI86" s="261"/>
      <c r="NJ86" s="261"/>
      <c r="NK86" s="13"/>
      <c r="NL86" s="261"/>
      <c r="NM86" s="261"/>
      <c r="NN86" s="13"/>
    </row>
    <row r="87" spans="67:378" ht="10.75" customHeight="1" x14ac:dyDescent="0.2">
      <c r="BO87" s="12"/>
      <c r="BS87" s="12"/>
      <c r="BV87" s="12"/>
      <c r="DQ87" s="13"/>
      <c r="DT87" s="12"/>
      <c r="GM87" s="13"/>
      <c r="GP87" s="13"/>
      <c r="GT87" s="13"/>
      <c r="JK87" s="12"/>
      <c r="JL87" s="261"/>
      <c r="JM87" s="261"/>
      <c r="JN87" s="12"/>
      <c r="JO87" s="261"/>
      <c r="JP87" s="261"/>
      <c r="JQ87" s="261"/>
      <c r="JR87" s="261"/>
      <c r="JS87" s="261"/>
      <c r="JT87" s="261"/>
      <c r="JU87" s="261"/>
      <c r="JV87" s="261"/>
      <c r="JW87" s="261"/>
      <c r="JX87" s="261"/>
      <c r="JY87" s="261"/>
      <c r="JZ87" s="261"/>
      <c r="KA87" s="261"/>
      <c r="KB87" s="261"/>
      <c r="KC87" s="261"/>
      <c r="KD87" s="261"/>
      <c r="KE87" s="261"/>
      <c r="KF87" s="261"/>
      <c r="KG87" s="261"/>
      <c r="KH87" s="261"/>
      <c r="KI87" s="261"/>
      <c r="KJ87" s="261"/>
      <c r="KK87" s="261"/>
      <c r="KL87" s="261"/>
      <c r="KM87" s="261"/>
      <c r="KN87" s="261"/>
      <c r="KO87" s="261"/>
      <c r="KP87" s="261"/>
      <c r="KQ87" s="261"/>
      <c r="KR87" s="261"/>
      <c r="KS87" s="261"/>
      <c r="KT87" s="261"/>
      <c r="KU87" s="261"/>
      <c r="KV87" s="261"/>
      <c r="KW87" s="261"/>
      <c r="KX87" s="261"/>
      <c r="KY87" s="261"/>
      <c r="KZ87" s="261"/>
      <c r="LA87" s="261"/>
      <c r="LB87" s="261"/>
      <c r="LC87" s="261"/>
      <c r="LD87" s="261"/>
      <c r="LE87" s="261"/>
      <c r="LF87" s="261"/>
      <c r="LG87" s="261"/>
      <c r="LH87" s="261"/>
      <c r="LI87" s="261"/>
      <c r="LJ87" s="261"/>
      <c r="LK87" s="13"/>
      <c r="LL87" s="261"/>
      <c r="LM87" s="13"/>
      <c r="LN87" s="261"/>
      <c r="LO87" s="261"/>
      <c r="LP87" s="261"/>
      <c r="LQ87" s="261"/>
      <c r="LR87" s="261"/>
      <c r="LS87" s="261"/>
      <c r="LT87" s="261"/>
      <c r="LU87" s="261"/>
      <c r="LV87" s="261"/>
      <c r="LW87" s="261"/>
      <c r="LX87" s="261"/>
      <c r="LY87" s="261"/>
      <c r="LZ87" s="261"/>
      <c r="MA87" s="261"/>
      <c r="MB87" s="261"/>
      <c r="MC87" s="261"/>
      <c r="MD87" s="261"/>
      <c r="ME87" s="261"/>
      <c r="MF87" s="261"/>
      <c r="MG87" s="261"/>
      <c r="MH87" s="261"/>
      <c r="MI87" s="261"/>
      <c r="MJ87" s="261"/>
      <c r="MK87" s="261"/>
      <c r="ML87" s="261"/>
      <c r="MM87" s="261"/>
      <c r="MN87" s="261"/>
      <c r="MO87" s="261"/>
      <c r="MP87" s="261"/>
      <c r="MQ87" s="261"/>
      <c r="MR87" s="261"/>
      <c r="MS87" s="261"/>
      <c r="MT87" s="261"/>
      <c r="MU87" s="261"/>
      <c r="MV87" s="261"/>
      <c r="MW87" s="261"/>
      <c r="MX87" s="261"/>
      <c r="MY87" s="261"/>
      <c r="MZ87" s="261"/>
      <c r="NA87" s="261"/>
      <c r="NB87" s="261"/>
      <c r="NC87" s="261"/>
      <c r="ND87" s="261"/>
      <c r="NE87" s="261"/>
      <c r="NF87" s="261"/>
      <c r="NG87" s="261"/>
      <c r="NH87" s="261"/>
      <c r="NI87" s="261"/>
      <c r="NJ87" s="261"/>
      <c r="NK87" s="13"/>
      <c r="NL87" s="261"/>
      <c r="NM87" s="261"/>
      <c r="NN87" s="13"/>
    </row>
    <row r="88" spans="67:378" ht="10.75" customHeight="1" x14ac:dyDescent="0.2">
      <c r="BO88" s="12"/>
      <c r="BS88" s="12"/>
      <c r="BV88" s="12"/>
      <c r="DQ88" s="13"/>
      <c r="DT88" s="12"/>
      <c r="GM88" s="13"/>
      <c r="GP88" s="13"/>
      <c r="GT88" s="13"/>
      <c r="JK88" s="12"/>
      <c r="JL88" s="261"/>
      <c r="JM88" s="261"/>
      <c r="JN88" s="12"/>
      <c r="JO88" s="261"/>
      <c r="JP88" s="261"/>
      <c r="JQ88" s="261"/>
      <c r="JR88" s="261"/>
      <c r="JS88" s="261"/>
      <c r="JT88" s="261"/>
      <c r="JU88" s="261"/>
      <c r="JV88" s="261"/>
      <c r="JW88" s="261"/>
      <c r="JX88" s="261"/>
      <c r="JY88" s="261"/>
      <c r="JZ88" s="261"/>
      <c r="KA88" s="261"/>
      <c r="KB88" s="261"/>
      <c r="KC88" s="261"/>
      <c r="KD88" s="261"/>
      <c r="KE88" s="261"/>
      <c r="KF88" s="261"/>
      <c r="KG88" s="261"/>
      <c r="KH88" s="261"/>
      <c r="KI88" s="261"/>
      <c r="KJ88" s="261"/>
      <c r="KK88" s="261"/>
      <c r="KL88" s="261"/>
      <c r="KM88" s="261"/>
      <c r="KN88" s="261"/>
      <c r="KO88" s="261"/>
      <c r="KP88" s="261"/>
      <c r="KQ88" s="261"/>
      <c r="KR88" s="261"/>
      <c r="KS88" s="261"/>
      <c r="KT88" s="261"/>
      <c r="KU88" s="261"/>
      <c r="KV88" s="261"/>
      <c r="KW88" s="261"/>
      <c r="KX88" s="261"/>
      <c r="KY88" s="261"/>
      <c r="KZ88" s="261"/>
      <c r="LA88" s="261"/>
      <c r="LB88" s="261"/>
      <c r="LC88" s="261"/>
      <c r="LD88" s="261"/>
      <c r="LE88" s="261"/>
      <c r="LF88" s="261"/>
      <c r="LG88" s="261"/>
      <c r="LH88" s="261"/>
      <c r="LI88" s="261"/>
      <c r="LJ88" s="261"/>
      <c r="LK88" s="13"/>
      <c r="LL88" s="261"/>
      <c r="LM88" s="13"/>
      <c r="LN88" s="261"/>
      <c r="LO88" s="261"/>
      <c r="LP88" s="261"/>
      <c r="LQ88" s="261"/>
      <c r="LR88" s="261"/>
      <c r="LS88" s="261"/>
      <c r="LT88" s="261"/>
      <c r="LU88" s="261"/>
      <c r="LV88" s="261"/>
      <c r="LW88" s="261"/>
      <c r="LX88" s="261"/>
      <c r="LY88" s="261"/>
      <c r="LZ88" s="261"/>
      <c r="MA88" s="261"/>
      <c r="MB88" s="261"/>
      <c r="MC88" s="261"/>
      <c r="MD88" s="261"/>
      <c r="ME88" s="261"/>
      <c r="MF88" s="261"/>
      <c r="MG88" s="261"/>
      <c r="MH88" s="261"/>
      <c r="MI88" s="261"/>
      <c r="MJ88" s="261"/>
      <c r="MK88" s="261"/>
      <c r="ML88" s="261"/>
      <c r="MM88" s="261"/>
      <c r="MN88" s="261"/>
      <c r="MO88" s="261"/>
      <c r="MP88" s="261"/>
      <c r="MQ88" s="261"/>
      <c r="MR88" s="261"/>
      <c r="MS88" s="261"/>
      <c r="MT88" s="261"/>
      <c r="MU88" s="261"/>
      <c r="MV88" s="261"/>
      <c r="MW88" s="261"/>
      <c r="MX88" s="261"/>
      <c r="MY88" s="261"/>
      <c r="MZ88" s="261"/>
      <c r="NA88" s="261"/>
      <c r="NB88" s="261"/>
      <c r="NC88" s="261"/>
      <c r="ND88" s="261"/>
      <c r="NE88" s="261"/>
      <c r="NF88" s="261"/>
      <c r="NG88" s="261"/>
      <c r="NH88" s="261"/>
      <c r="NI88" s="261"/>
      <c r="NJ88" s="261"/>
      <c r="NK88" s="13"/>
      <c r="NL88" s="261"/>
      <c r="NM88" s="261"/>
      <c r="NN88" s="13"/>
    </row>
    <row r="89" spans="67:378" ht="10.75" customHeight="1" x14ac:dyDescent="0.2">
      <c r="BO89" s="12"/>
      <c r="BS89" s="12"/>
      <c r="BV89" s="12"/>
      <c r="DQ89" s="13"/>
      <c r="DT89" s="12"/>
      <c r="GM89" s="13"/>
      <c r="GP89" s="13"/>
      <c r="GT89" s="13"/>
      <c r="JK89" s="12"/>
      <c r="JL89" s="261"/>
      <c r="JM89" s="261"/>
      <c r="JN89" s="12"/>
      <c r="JO89" s="261"/>
      <c r="JP89" s="261"/>
      <c r="JQ89" s="261"/>
      <c r="JR89" s="261"/>
      <c r="JS89" s="261"/>
      <c r="JT89" s="261"/>
      <c r="JU89" s="261"/>
      <c r="JV89" s="261"/>
      <c r="JW89" s="261"/>
      <c r="JX89" s="261"/>
      <c r="JY89" s="261"/>
      <c r="JZ89" s="261"/>
      <c r="KA89" s="261"/>
      <c r="KB89" s="261"/>
      <c r="KC89" s="261"/>
      <c r="KD89" s="261"/>
      <c r="KE89" s="261"/>
      <c r="KF89" s="261"/>
      <c r="KG89" s="261"/>
      <c r="KH89" s="261"/>
      <c r="KI89" s="261"/>
      <c r="KJ89" s="261"/>
      <c r="KK89" s="261"/>
      <c r="KL89" s="261"/>
      <c r="KM89" s="261"/>
      <c r="KN89" s="261"/>
      <c r="KO89" s="261"/>
      <c r="KP89" s="261"/>
      <c r="KQ89" s="261"/>
      <c r="KR89" s="261"/>
      <c r="KS89" s="261"/>
      <c r="KT89" s="261"/>
      <c r="KU89" s="261"/>
      <c r="KV89" s="261"/>
      <c r="KW89" s="261"/>
      <c r="KX89" s="261"/>
      <c r="KY89" s="261"/>
      <c r="KZ89" s="261"/>
      <c r="LA89" s="261"/>
      <c r="LB89" s="261"/>
      <c r="LC89" s="261"/>
      <c r="LD89" s="261"/>
      <c r="LE89" s="261"/>
      <c r="LF89" s="261"/>
      <c r="LG89" s="261"/>
      <c r="LH89" s="261"/>
      <c r="LI89" s="261"/>
      <c r="LJ89" s="261"/>
      <c r="LK89" s="13"/>
      <c r="LL89" s="261"/>
      <c r="LM89" s="13"/>
      <c r="LN89" s="261"/>
      <c r="LO89" s="261"/>
      <c r="LP89" s="261"/>
      <c r="LQ89" s="261"/>
      <c r="LR89" s="261"/>
      <c r="LS89" s="261"/>
      <c r="LT89" s="261"/>
      <c r="LU89" s="261"/>
      <c r="LV89" s="261"/>
      <c r="LW89" s="261"/>
      <c r="LX89" s="261"/>
      <c r="LY89" s="261"/>
      <c r="LZ89" s="261"/>
      <c r="MA89" s="261"/>
      <c r="MB89" s="261"/>
      <c r="MC89" s="261"/>
      <c r="MD89" s="261"/>
      <c r="ME89" s="261"/>
      <c r="MF89" s="261"/>
      <c r="MG89" s="261"/>
      <c r="MH89" s="261"/>
      <c r="MI89" s="261"/>
      <c r="MJ89" s="261"/>
      <c r="MK89" s="261"/>
      <c r="ML89" s="261"/>
      <c r="MM89" s="261"/>
      <c r="MN89" s="261"/>
      <c r="MO89" s="261"/>
      <c r="MP89" s="261"/>
      <c r="MQ89" s="261"/>
      <c r="MR89" s="261"/>
      <c r="MS89" s="261"/>
      <c r="MT89" s="261"/>
      <c r="MU89" s="261"/>
      <c r="MV89" s="261"/>
      <c r="MW89" s="261"/>
      <c r="MX89" s="261"/>
      <c r="MY89" s="261"/>
      <c r="MZ89" s="261"/>
      <c r="NA89" s="261"/>
      <c r="NB89" s="261"/>
      <c r="NC89" s="261"/>
      <c r="ND89" s="261"/>
      <c r="NE89" s="261"/>
      <c r="NF89" s="261"/>
      <c r="NG89" s="261"/>
      <c r="NH89" s="261"/>
      <c r="NI89" s="261"/>
      <c r="NJ89" s="261"/>
      <c r="NK89" s="13"/>
      <c r="NL89" s="261"/>
      <c r="NM89" s="261"/>
      <c r="NN89" s="13"/>
    </row>
    <row r="90" spans="67:378" ht="10.75" customHeight="1" x14ac:dyDescent="0.2">
      <c r="BO90" s="12"/>
      <c r="BS90" s="12"/>
      <c r="BV90" s="12"/>
      <c r="DQ90" s="13"/>
      <c r="DT90" s="12"/>
      <c r="GM90" s="13"/>
      <c r="GP90" s="13"/>
      <c r="GT90" s="13"/>
      <c r="JK90" s="12"/>
      <c r="JL90" s="261"/>
      <c r="JM90" s="261"/>
      <c r="JN90" s="12"/>
      <c r="JO90" s="261"/>
      <c r="JP90" s="261"/>
      <c r="JQ90" s="261"/>
      <c r="JR90" s="261"/>
      <c r="JS90" s="261"/>
      <c r="JT90" s="261"/>
      <c r="JU90" s="261"/>
      <c r="JV90" s="261"/>
      <c r="JW90" s="261"/>
      <c r="JX90" s="261"/>
      <c r="JY90" s="261"/>
      <c r="JZ90" s="261"/>
      <c r="KA90" s="261"/>
      <c r="KB90" s="261"/>
      <c r="KC90" s="261"/>
      <c r="KD90" s="261"/>
      <c r="KE90" s="261"/>
      <c r="KF90" s="261"/>
      <c r="KG90" s="261"/>
      <c r="KH90" s="261"/>
      <c r="KI90" s="261"/>
      <c r="KJ90" s="261"/>
      <c r="KK90" s="261"/>
      <c r="KL90" s="261"/>
      <c r="KM90" s="261"/>
      <c r="KN90" s="261"/>
      <c r="KO90" s="261"/>
      <c r="KP90" s="261"/>
      <c r="KQ90" s="261"/>
      <c r="KR90" s="261"/>
      <c r="KS90" s="261"/>
      <c r="KT90" s="261"/>
      <c r="KU90" s="261"/>
      <c r="KV90" s="261"/>
      <c r="KW90" s="261"/>
      <c r="KX90" s="261"/>
      <c r="KY90" s="261"/>
      <c r="KZ90" s="261"/>
      <c r="LA90" s="261"/>
      <c r="LB90" s="261"/>
      <c r="LC90" s="261"/>
      <c r="LD90" s="261"/>
      <c r="LE90" s="261"/>
      <c r="LF90" s="261"/>
      <c r="LG90" s="261"/>
      <c r="LH90" s="261"/>
      <c r="LI90" s="261"/>
      <c r="LJ90" s="261"/>
      <c r="LK90" s="13"/>
      <c r="LL90" s="261"/>
      <c r="LM90" s="13"/>
      <c r="LN90" s="261"/>
      <c r="LO90" s="261"/>
      <c r="LP90" s="261"/>
      <c r="LQ90" s="261"/>
      <c r="LR90" s="261"/>
      <c r="LS90" s="261"/>
      <c r="LT90" s="261"/>
      <c r="LU90" s="261"/>
      <c r="LV90" s="261"/>
      <c r="LW90" s="261"/>
      <c r="LX90" s="261"/>
      <c r="LY90" s="261"/>
      <c r="LZ90" s="261"/>
      <c r="MA90" s="261"/>
      <c r="MB90" s="261"/>
      <c r="MC90" s="261"/>
      <c r="MD90" s="261"/>
      <c r="ME90" s="261"/>
      <c r="MF90" s="261"/>
      <c r="MG90" s="261"/>
      <c r="MH90" s="261"/>
      <c r="MI90" s="261"/>
      <c r="MJ90" s="261"/>
      <c r="MK90" s="261"/>
      <c r="ML90" s="261"/>
      <c r="MM90" s="261"/>
      <c r="MN90" s="261"/>
      <c r="MO90" s="261"/>
      <c r="MP90" s="261"/>
      <c r="MQ90" s="261"/>
      <c r="MR90" s="261"/>
      <c r="MS90" s="261"/>
      <c r="MT90" s="261"/>
      <c r="MU90" s="261"/>
      <c r="MV90" s="261"/>
      <c r="MW90" s="261"/>
      <c r="MX90" s="261"/>
      <c r="MY90" s="261"/>
      <c r="MZ90" s="261"/>
      <c r="NA90" s="261"/>
      <c r="NB90" s="261"/>
      <c r="NC90" s="261"/>
      <c r="ND90" s="261"/>
      <c r="NE90" s="261"/>
      <c r="NF90" s="261"/>
      <c r="NG90" s="261"/>
      <c r="NH90" s="261"/>
      <c r="NI90" s="261"/>
      <c r="NJ90" s="261"/>
      <c r="NK90" s="13"/>
      <c r="NL90" s="261"/>
      <c r="NM90" s="261"/>
      <c r="NN90" s="13"/>
    </row>
    <row r="91" spans="67:378" ht="10.75" customHeight="1" x14ac:dyDescent="0.2">
      <c r="BO91" s="12"/>
      <c r="BS91" s="12"/>
      <c r="BV91" s="12"/>
      <c r="DQ91" s="13"/>
      <c r="DT91" s="12"/>
      <c r="GM91" s="13"/>
      <c r="GP91" s="13"/>
      <c r="GT91" s="13"/>
      <c r="JK91" s="12"/>
      <c r="JL91" s="261"/>
      <c r="JM91" s="261"/>
      <c r="JN91" s="12"/>
      <c r="JO91" s="261"/>
      <c r="JP91" s="261"/>
      <c r="JQ91" s="261"/>
      <c r="JR91" s="261"/>
      <c r="JS91" s="261"/>
      <c r="JT91" s="261"/>
      <c r="JU91" s="261"/>
      <c r="JV91" s="261"/>
      <c r="JW91" s="261"/>
      <c r="JX91" s="261"/>
      <c r="JY91" s="261"/>
      <c r="JZ91" s="261"/>
      <c r="KA91" s="261"/>
      <c r="KB91" s="261"/>
      <c r="KC91" s="261"/>
      <c r="KD91" s="261"/>
      <c r="KE91" s="261"/>
      <c r="KF91" s="261"/>
      <c r="KG91" s="261"/>
      <c r="KH91" s="261"/>
      <c r="KI91" s="261"/>
      <c r="KJ91" s="261"/>
      <c r="KK91" s="261"/>
      <c r="KL91" s="261"/>
      <c r="KM91" s="261"/>
      <c r="KN91" s="261"/>
      <c r="KO91" s="261"/>
      <c r="KP91" s="261"/>
      <c r="KQ91" s="261"/>
      <c r="KR91" s="261"/>
      <c r="KS91" s="261"/>
      <c r="KT91" s="261"/>
      <c r="KU91" s="261"/>
      <c r="KV91" s="261"/>
      <c r="KW91" s="261"/>
      <c r="KX91" s="261"/>
      <c r="KY91" s="261"/>
      <c r="KZ91" s="261"/>
      <c r="LA91" s="261"/>
      <c r="LB91" s="261"/>
      <c r="LC91" s="261"/>
      <c r="LD91" s="261"/>
      <c r="LE91" s="261"/>
      <c r="LF91" s="261"/>
      <c r="LG91" s="261"/>
      <c r="LH91" s="261"/>
      <c r="LI91" s="261"/>
      <c r="LJ91" s="261"/>
      <c r="LK91" s="13"/>
      <c r="LL91" s="261"/>
      <c r="LM91" s="13"/>
      <c r="LN91" s="261"/>
      <c r="LO91" s="261"/>
      <c r="LP91" s="261"/>
      <c r="LQ91" s="261"/>
      <c r="LR91" s="261"/>
      <c r="LS91" s="261"/>
      <c r="LT91" s="261"/>
      <c r="LU91" s="261"/>
      <c r="LV91" s="261"/>
      <c r="LW91" s="261"/>
      <c r="LX91" s="261"/>
      <c r="LY91" s="261"/>
      <c r="LZ91" s="261"/>
      <c r="MA91" s="261"/>
      <c r="MB91" s="261"/>
      <c r="MC91" s="261"/>
      <c r="MD91" s="261"/>
      <c r="ME91" s="261"/>
      <c r="MF91" s="261"/>
      <c r="MG91" s="261"/>
      <c r="MH91" s="261"/>
      <c r="MI91" s="261"/>
      <c r="MJ91" s="261"/>
      <c r="MK91" s="261"/>
      <c r="ML91" s="261"/>
      <c r="MM91" s="261"/>
      <c r="MN91" s="261"/>
      <c r="MO91" s="261"/>
      <c r="MP91" s="261"/>
      <c r="MQ91" s="261"/>
      <c r="MR91" s="261"/>
      <c r="MS91" s="261"/>
      <c r="MT91" s="261"/>
      <c r="MU91" s="261"/>
      <c r="MV91" s="261"/>
      <c r="MW91" s="261"/>
      <c r="MX91" s="261"/>
      <c r="MY91" s="261"/>
      <c r="MZ91" s="261"/>
      <c r="NA91" s="261"/>
      <c r="NB91" s="261"/>
      <c r="NC91" s="261"/>
      <c r="ND91" s="261"/>
      <c r="NE91" s="261"/>
      <c r="NF91" s="261"/>
      <c r="NG91" s="261"/>
      <c r="NH91" s="261"/>
      <c r="NI91" s="261"/>
      <c r="NJ91" s="261"/>
      <c r="NK91" s="13"/>
      <c r="NL91" s="261"/>
      <c r="NM91" s="261"/>
      <c r="NN91" s="13"/>
    </row>
    <row r="92" spans="67:378" ht="10.75" customHeight="1" x14ac:dyDescent="0.2">
      <c r="BO92" s="12"/>
      <c r="BS92" s="12"/>
      <c r="BV92" s="12"/>
      <c r="DQ92" s="13"/>
      <c r="DT92" s="12"/>
      <c r="GM92" s="13"/>
      <c r="GP92" s="13"/>
      <c r="GT92" s="13"/>
      <c r="JK92" s="12"/>
      <c r="JL92" s="261"/>
      <c r="JM92" s="261"/>
      <c r="JN92" s="12"/>
      <c r="JO92" s="261"/>
      <c r="JP92" s="261"/>
      <c r="JQ92" s="261"/>
      <c r="JR92" s="261"/>
      <c r="JS92" s="261"/>
      <c r="JT92" s="261"/>
      <c r="JU92" s="261"/>
      <c r="JV92" s="261"/>
      <c r="JW92" s="261"/>
      <c r="JX92" s="261"/>
      <c r="JY92" s="261"/>
      <c r="JZ92" s="261"/>
      <c r="KA92" s="261"/>
      <c r="KB92" s="261"/>
      <c r="KC92" s="261"/>
      <c r="KD92" s="261"/>
      <c r="KE92" s="261"/>
      <c r="KF92" s="261"/>
      <c r="KG92" s="261"/>
      <c r="KH92" s="261"/>
      <c r="KI92" s="261"/>
      <c r="KJ92" s="261"/>
      <c r="KK92" s="261"/>
      <c r="KL92" s="261"/>
      <c r="KM92" s="261"/>
      <c r="KN92" s="261"/>
      <c r="KO92" s="261"/>
      <c r="KP92" s="261"/>
      <c r="KQ92" s="261"/>
      <c r="KR92" s="261"/>
      <c r="KS92" s="261"/>
      <c r="KT92" s="261"/>
      <c r="KU92" s="261"/>
      <c r="KV92" s="261"/>
      <c r="KW92" s="261"/>
      <c r="KX92" s="261"/>
      <c r="KY92" s="261"/>
      <c r="KZ92" s="261"/>
      <c r="LA92" s="261"/>
      <c r="LB92" s="261"/>
      <c r="LC92" s="261"/>
      <c r="LD92" s="261"/>
      <c r="LE92" s="261"/>
      <c r="LF92" s="261"/>
      <c r="LG92" s="261"/>
      <c r="LH92" s="261"/>
      <c r="LI92" s="261"/>
      <c r="LJ92" s="261"/>
      <c r="LK92" s="13"/>
      <c r="LL92" s="261"/>
      <c r="LM92" s="13"/>
      <c r="LN92" s="261"/>
      <c r="LO92" s="261"/>
      <c r="LP92" s="261"/>
      <c r="LQ92" s="261"/>
      <c r="LR92" s="261"/>
      <c r="LS92" s="261"/>
      <c r="LT92" s="261"/>
      <c r="LU92" s="261"/>
      <c r="LV92" s="261"/>
      <c r="LW92" s="261"/>
      <c r="LX92" s="261"/>
      <c r="LY92" s="261"/>
      <c r="LZ92" s="261"/>
      <c r="MA92" s="261"/>
      <c r="MB92" s="261"/>
      <c r="MC92" s="261"/>
      <c r="MD92" s="261"/>
      <c r="ME92" s="261"/>
      <c r="MF92" s="261"/>
      <c r="MG92" s="261"/>
      <c r="MH92" s="261"/>
      <c r="MI92" s="261"/>
      <c r="MJ92" s="261"/>
      <c r="MK92" s="261"/>
      <c r="ML92" s="261"/>
      <c r="MM92" s="261"/>
      <c r="MN92" s="261"/>
      <c r="MO92" s="261"/>
      <c r="MP92" s="261"/>
      <c r="MQ92" s="261"/>
      <c r="MR92" s="261"/>
      <c r="MS92" s="261"/>
      <c r="MT92" s="261"/>
      <c r="MU92" s="261"/>
      <c r="MV92" s="261"/>
      <c r="MW92" s="261"/>
      <c r="MX92" s="261"/>
      <c r="MY92" s="261"/>
      <c r="MZ92" s="261"/>
      <c r="NA92" s="261"/>
      <c r="NB92" s="261"/>
      <c r="NC92" s="261"/>
      <c r="ND92" s="261"/>
      <c r="NE92" s="261"/>
      <c r="NF92" s="261"/>
      <c r="NG92" s="261"/>
      <c r="NH92" s="261"/>
      <c r="NI92" s="261"/>
      <c r="NJ92" s="261"/>
      <c r="NK92" s="13"/>
      <c r="NL92" s="261"/>
      <c r="NM92" s="261"/>
      <c r="NN92" s="13"/>
    </row>
    <row r="93" spans="67:378" ht="10.75" customHeight="1" x14ac:dyDescent="0.2">
      <c r="BO93" s="12"/>
      <c r="BS93" s="12"/>
      <c r="BV93" s="12"/>
      <c r="DQ93" s="13"/>
      <c r="DT93" s="12"/>
      <c r="GM93" s="13"/>
      <c r="GP93" s="13"/>
      <c r="GT93" s="13"/>
      <c r="JK93" s="12"/>
      <c r="JL93" s="261"/>
      <c r="JM93" s="261"/>
      <c r="JN93" s="12"/>
      <c r="JO93" s="261"/>
      <c r="JP93" s="261"/>
      <c r="JQ93" s="261"/>
      <c r="JR93" s="261"/>
      <c r="JS93" s="261"/>
      <c r="JT93" s="261"/>
      <c r="JU93" s="261"/>
      <c r="JV93" s="261"/>
      <c r="JW93" s="261"/>
      <c r="JX93" s="261"/>
      <c r="JY93" s="261"/>
      <c r="JZ93" s="261"/>
      <c r="KA93" s="261"/>
      <c r="KB93" s="261"/>
      <c r="KC93" s="261"/>
      <c r="KD93" s="261"/>
      <c r="KE93" s="261"/>
      <c r="KF93" s="261"/>
      <c r="KG93" s="261"/>
      <c r="KH93" s="261"/>
      <c r="KI93" s="261"/>
      <c r="KJ93" s="261"/>
      <c r="KK93" s="261"/>
      <c r="KL93" s="261"/>
      <c r="KM93" s="261"/>
      <c r="KN93" s="261"/>
      <c r="KO93" s="261"/>
      <c r="KP93" s="261"/>
      <c r="KQ93" s="261"/>
      <c r="KR93" s="261"/>
      <c r="KS93" s="261"/>
      <c r="KT93" s="261"/>
      <c r="KU93" s="261"/>
      <c r="KV93" s="261"/>
      <c r="KW93" s="261"/>
      <c r="KX93" s="261"/>
      <c r="KY93" s="261"/>
      <c r="KZ93" s="261"/>
      <c r="LA93" s="261"/>
      <c r="LB93" s="261"/>
      <c r="LC93" s="261"/>
      <c r="LD93" s="261"/>
      <c r="LE93" s="261"/>
      <c r="LF93" s="261"/>
      <c r="LG93" s="261"/>
      <c r="LH93" s="261"/>
      <c r="LI93" s="261"/>
      <c r="LJ93" s="261"/>
      <c r="LK93" s="13"/>
      <c r="LL93" s="261"/>
      <c r="LM93" s="13"/>
      <c r="LN93" s="261"/>
      <c r="LO93" s="261"/>
      <c r="LP93" s="261"/>
      <c r="LQ93" s="261"/>
      <c r="LR93" s="261"/>
      <c r="LS93" s="261"/>
      <c r="LT93" s="261"/>
      <c r="LU93" s="261"/>
      <c r="LV93" s="261"/>
      <c r="LW93" s="261"/>
      <c r="LX93" s="261"/>
      <c r="LY93" s="261"/>
      <c r="LZ93" s="261"/>
      <c r="MA93" s="261"/>
      <c r="MB93" s="261"/>
      <c r="MC93" s="261"/>
      <c r="MD93" s="261"/>
      <c r="ME93" s="261"/>
      <c r="MF93" s="261"/>
      <c r="MG93" s="261"/>
      <c r="MH93" s="261"/>
      <c r="MI93" s="261"/>
      <c r="MJ93" s="261"/>
      <c r="MK93" s="261"/>
      <c r="ML93" s="261"/>
      <c r="MM93" s="261"/>
      <c r="MN93" s="261"/>
      <c r="MO93" s="261"/>
      <c r="MP93" s="261"/>
      <c r="MQ93" s="261"/>
      <c r="MR93" s="261"/>
      <c r="MS93" s="261"/>
      <c r="MT93" s="261"/>
      <c r="MU93" s="261"/>
      <c r="MV93" s="261"/>
      <c r="MW93" s="261"/>
      <c r="MX93" s="261"/>
      <c r="MY93" s="261"/>
      <c r="MZ93" s="261"/>
      <c r="NA93" s="261"/>
      <c r="NB93" s="261"/>
      <c r="NC93" s="261"/>
      <c r="ND93" s="261"/>
      <c r="NE93" s="261"/>
      <c r="NF93" s="261"/>
      <c r="NG93" s="261"/>
      <c r="NH93" s="261"/>
      <c r="NI93" s="261"/>
      <c r="NJ93" s="261"/>
      <c r="NK93" s="13"/>
      <c r="NL93" s="261"/>
      <c r="NM93" s="261"/>
      <c r="NN93" s="13"/>
    </row>
    <row r="94" spans="67:378" ht="10.75" customHeight="1" x14ac:dyDescent="0.2">
      <c r="BO94" s="12"/>
      <c r="BS94" s="12"/>
      <c r="BV94" s="12"/>
      <c r="DQ94" s="13"/>
      <c r="DT94" s="12"/>
      <c r="GM94" s="13"/>
      <c r="GP94" s="13"/>
      <c r="GT94" s="13"/>
      <c r="JK94" s="12"/>
      <c r="JL94" s="261"/>
      <c r="JM94" s="261"/>
      <c r="JN94" s="12"/>
      <c r="JO94" s="261"/>
      <c r="JP94" s="261"/>
      <c r="JQ94" s="261"/>
      <c r="JR94" s="261"/>
      <c r="JS94" s="261"/>
      <c r="JT94" s="261"/>
      <c r="JU94" s="261"/>
      <c r="JV94" s="261"/>
      <c r="JW94" s="261"/>
      <c r="JX94" s="261"/>
      <c r="JY94" s="261"/>
      <c r="JZ94" s="261"/>
      <c r="KA94" s="261"/>
      <c r="KB94" s="261"/>
      <c r="KC94" s="261"/>
      <c r="KD94" s="261"/>
      <c r="KE94" s="261"/>
      <c r="KF94" s="261"/>
      <c r="KG94" s="261"/>
      <c r="KH94" s="261"/>
      <c r="KI94" s="261"/>
      <c r="KJ94" s="261"/>
      <c r="KK94" s="261"/>
      <c r="KL94" s="261"/>
      <c r="KM94" s="261"/>
      <c r="KN94" s="261"/>
      <c r="KO94" s="261"/>
      <c r="KP94" s="261"/>
      <c r="KQ94" s="261"/>
      <c r="KR94" s="261"/>
      <c r="KS94" s="261"/>
      <c r="KT94" s="261"/>
      <c r="KU94" s="261"/>
      <c r="KV94" s="261"/>
      <c r="KW94" s="261"/>
      <c r="KX94" s="261"/>
      <c r="KY94" s="261"/>
      <c r="KZ94" s="261"/>
      <c r="LA94" s="261"/>
      <c r="LB94" s="261"/>
      <c r="LC94" s="261"/>
      <c r="LD94" s="261"/>
      <c r="LE94" s="261"/>
      <c r="LF94" s="261"/>
      <c r="LG94" s="261"/>
      <c r="LH94" s="261"/>
      <c r="LI94" s="261"/>
      <c r="LJ94" s="261"/>
      <c r="LK94" s="13"/>
      <c r="LL94" s="261"/>
      <c r="LM94" s="13"/>
      <c r="LN94" s="261"/>
      <c r="LO94" s="261"/>
      <c r="LP94" s="261"/>
      <c r="LQ94" s="261"/>
      <c r="LR94" s="261"/>
      <c r="LS94" s="261"/>
      <c r="LT94" s="261"/>
      <c r="LU94" s="261"/>
      <c r="LV94" s="261"/>
      <c r="LW94" s="261"/>
      <c r="LX94" s="261"/>
      <c r="LY94" s="261"/>
      <c r="LZ94" s="261"/>
      <c r="MA94" s="261"/>
      <c r="MB94" s="261"/>
      <c r="MC94" s="261"/>
      <c r="MD94" s="261"/>
      <c r="ME94" s="261"/>
      <c r="MF94" s="261"/>
      <c r="MG94" s="261"/>
      <c r="MH94" s="261"/>
      <c r="MI94" s="261"/>
      <c r="MJ94" s="261"/>
      <c r="MK94" s="261"/>
      <c r="ML94" s="261"/>
      <c r="MM94" s="261"/>
      <c r="MN94" s="261"/>
      <c r="MO94" s="261"/>
      <c r="MP94" s="261"/>
      <c r="MQ94" s="261"/>
      <c r="MR94" s="261"/>
      <c r="MS94" s="261"/>
      <c r="MT94" s="261"/>
      <c r="MU94" s="261"/>
      <c r="MV94" s="261"/>
      <c r="MW94" s="261"/>
      <c r="MX94" s="261"/>
      <c r="MY94" s="261"/>
      <c r="MZ94" s="261"/>
      <c r="NA94" s="261"/>
      <c r="NB94" s="261"/>
      <c r="NC94" s="261"/>
      <c r="ND94" s="261"/>
      <c r="NE94" s="261"/>
      <c r="NF94" s="261"/>
      <c r="NG94" s="261"/>
      <c r="NH94" s="261"/>
      <c r="NI94" s="261"/>
      <c r="NJ94" s="261"/>
      <c r="NK94" s="13"/>
      <c r="NL94" s="261"/>
      <c r="NM94" s="261"/>
      <c r="NN94" s="13"/>
    </row>
    <row r="95" spans="67:378" ht="10.75" customHeight="1" x14ac:dyDescent="0.2">
      <c r="BO95" s="12"/>
      <c r="BS95" s="12"/>
      <c r="BV95" s="12"/>
      <c r="DQ95" s="13"/>
      <c r="DT95" s="12"/>
      <c r="GM95" s="13"/>
      <c r="GP95" s="13"/>
      <c r="GT95" s="13"/>
      <c r="JK95" s="12"/>
      <c r="JL95" s="261"/>
      <c r="JM95" s="261"/>
      <c r="JN95" s="12"/>
      <c r="JO95" s="261"/>
      <c r="JP95" s="261"/>
      <c r="JQ95" s="261"/>
      <c r="JR95" s="261"/>
      <c r="JS95" s="261"/>
      <c r="JT95" s="261"/>
      <c r="JU95" s="261"/>
      <c r="JV95" s="261"/>
      <c r="JW95" s="261"/>
      <c r="JX95" s="261"/>
      <c r="JY95" s="261"/>
      <c r="JZ95" s="261"/>
      <c r="KA95" s="261"/>
      <c r="KB95" s="261"/>
      <c r="KC95" s="261"/>
      <c r="KD95" s="261"/>
      <c r="KE95" s="261"/>
      <c r="KF95" s="261"/>
      <c r="KG95" s="261"/>
      <c r="KH95" s="261"/>
      <c r="KI95" s="261"/>
      <c r="KJ95" s="261"/>
      <c r="KK95" s="261"/>
      <c r="KL95" s="261"/>
      <c r="KM95" s="261"/>
      <c r="KN95" s="261"/>
      <c r="KO95" s="261"/>
      <c r="KP95" s="261"/>
      <c r="KQ95" s="261"/>
      <c r="KR95" s="261"/>
      <c r="KS95" s="261"/>
      <c r="KT95" s="261"/>
      <c r="KU95" s="261"/>
      <c r="KV95" s="261"/>
      <c r="KW95" s="261"/>
      <c r="KX95" s="261"/>
      <c r="KY95" s="261"/>
      <c r="KZ95" s="261"/>
      <c r="LA95" s="261"/>
      <c r="LB95" s="261"/>
      <c r="LC95" s="261"/>
      <c r="LD95" s="261"/>
      <c r="LE95" s="261"/>
      <c r="LF95" s="261"/>
      <c r="LG95" s="261"/>
      <c r="LH95" s="261"/>
      <c r="LI95" s="261"/>
      <c r="LJ95" s="261"/>
      <c r="LK95" s="13"/>
      <c r="LL95" s="261"/>
      <c r="LM95" s="13"/>
      <c r="LN95" s="261"/>
      <c r="LO95" s="261"/>
      <c r="LP95" s="261"/>
      <c r="LQ95" s="261"/>
      <c r="LR95" s="261"/>
      <c r="LS95" s="261"/>
      <c r="LT95" s="261"/>
      <c r="LU95" s="261"/>
      <c r="LV95" s="261"/>
      <c r="LW95" s="261"/>
      <c r="LX95" s="261"/>
      <c r="LY95" s="261"/>
      <c r="LZ95" s="261"/>
      <c r="MA95" s="261"/>
      <c r="MB95" s="261"/>
      <c r="MC95" s="261"/>
      <c r="MD95" s="261"/>
      <c r="ME95" s="261"/>
      <c r="MF95" s="261"/>
      <c r="MG95" s="261"/>
      <c r="MH95" s="261"/>
      <c r="MI95" s="261"/>
      <c r="MJ95" s="261"/>
      <c r="MK95" s="261"/>
      <c r="ML95" s="261"/>
      <c r="MM95" s="261"/>
      <c r="MN95" s="261"/>
      <c r="MO95" s="261"/>
      <c r="MP95" s="261"/>
      <c r="MQ95" s="261"/>
      <c r="MR95" s="261"/>
      <c r="MS95" s="261"/>
      <c r="MT95" s="261"/>
      <c r="MU95" s="261"/>
      <c r="MV95" s="261"/>
      <c r="MW95" s="261"/>
      <c r="MX95" s="261"/>
      <c r="MY95" s="261"/>
      <c r="MZ95" s="261"/>
      <c r="NA95" s="261"/>
      <c r="NB95" s="261"/>
      <c r="NC95" s="261"/>
      <c r="ND95" s="261"/>
      <c r="NE95" s="261"/>
      <c r="NF95" s="261"/>
      <c r="NG95" s="261"/>
      <c r="NH95" s="261"/>
      <c r="NI95" s="261"/>
      <c r="NJ95" s="261"/>
      <c r="NK95" s="13"/>
      <c r="NL95" s="261"/>
      <c r="NM95" s="261"/>
      <c r="NN95" s="13"/>
    </row>
    <row r="96" spans="67:378" ht="10.75" customHeight="1" x14ac:dyDescent="0.2">
      <c r="BO96" s="12"/>
      <c r="BS96" s="12"/>
      <c r="BV96" s="12"/>
      <c r="DQ96" s="13"/>
      <c r="DT96" s="12"/>
      <c r="GM96" s="13"/>
      <c r="GP96" s="13"/>
      <c r="GT96" s="13"/>
      <c r="JK96" s="12"/>
      <c r="JL96" s="261"/>
      <c r="JM96" s="261"/>
      <c r="JN96" s="12"/>
      <c r="JO96" s="261"/>
      <c r="JP96" s="261"/>
      <c r="JQ96" s="261"/>
      <c r="JR96" s="261"/>
      <c r="JS96" s="261"/>
      <c r="JT96" s="261"/>
      <c r="JU96" s="261"/>
      <c r="JV96" s="261"/>
      <c r="JW96" s="261"/>
      <c r="JX96" s="261"/>
      <c r="JY96" s="261"/>
      <c r="JZ96" s="261"/>
      <c r="KA96" s="261"/>
      <c r="KB96" s="261"/>
      <c r="KC96" s="261"/>
      <c r="KD96" s="261"/>
      <c r="KE96" s="261"/>
      <c r="KF96" s="261"/>
      <c r="KG96" s="261"/>
      <c r="KH96" s="261"/>
      <c r="KI96" s="261"/>
      <c r="KJ96" s="261"/>
      <c r="KK96" s="261"/>
      <c r="KL96" s="261"/>
      <c r="KM96" s="261"/>
      <c r="KN96" s="261"/>
      <c r="KO96" s="261"/>
      <c r="KP96" s="261"/>
      <c r="KQ96" s="261"/>
      <c r="KR96" s="261"/>
      <c r="KS96" s="261"/>
      <c r="KT96" s="261"/>
      <c r="KU96" s="261"/>
      <c r="KV96" s="261"/>
      <c r="KW96" s="261"/>
      <c r="KX96" s="261"/>
      <c r="KY96" s="261"/>
      <c r="KZ96" s="261"/>
      <c r="LA96" s="261"/>
      <c r="LB96" s="261"/>
      <c r="LC96" s="261"/>
      <c r="LD96" s="261"/>
      <c r="LE96" s="261"/>
      <c r="LF96" s="261"/>
      <c r="LG96" s="261"/>
      <c r="LH96" s="261"/>
      <c r="LI96" s="261"/>
      <c r="LJ96" s="261"/>
      <c r="LK96" s="13"/>
      <c r="LL96" s="261"/>
      <c r="LM96" s="13"/>
      <c r="LN96" s="261"/>
      <c r="LO96" s="261"/>
      <c r="LP96" s="261"/>
      <c r="LQ96" s="261"/>
      <c r="LR96" s="261"/>
      <c r="LS96" s="261"/>
      <c r="LT96" s="261"/>
      <c r="LU96" s="261"/>
      <c r="LV96" s="261"/>
      <c r="LW96" s="261"/>
      <c r="LX96" s="261"/>
      <c r="LY96" s="261"/>
      <c r="LZ96" s="261"/>
      <c r="MA96" s="261"/>
      <c r="MB96" s="261"/>
      <c r="MC96" s="261"/>
      <c r="MD96" s="261"/>
      <c r="ME96" s="261"/>
      <c r="MF96" s="261"/>
      <c r="MG96" s="261"/>
      <c r="MH96" s="261"/>
      <c r="MI96" s="261"/>
      <c r="MJ96" s="261"/>
      <c r="MK96" s="261"/>
      <c r="ML96" s="261"/>
      <c r="MM96" s="261"/>
      <c r="MN96" s="261"/>
      <c r="MO96" s="261"/>
      <c r="MP96" s="261"/>
      <c r="MQ96" s="261"/>
      <c r="MR96" s="261"/>
      <c r="MS96" s="261"/>
      <c r="MT96" s="261"/>
      <c r="MU96" s="261"/>
      <c r="MV96" s="261"/>
      <c r="MW96" s="261"/>
      <c r="MX96" s="261"/>
      <c r="MY96" s="261"/>
      <c r="MZ96" s="261"/>
      <c r="NA96" s="261"/>
      <c r="NB96" s="261"/>
      <c r="NC96" s="261"/>
      <c r="ND96" s="261"/>
      <c r="NE96" s="261"/>
      <c r="NF96" s="261"/>
      <c r="NG96" s="261"/>
      <c r="NH96" s="261"/>
      <c r="NI96" s="261"/>
      <c r="NJ96" s="261"/>
      <c r="NK96" s="13"/>
      <c r="NL96" s="261"/>
      <c r="NM96" s="261"/>
      <c r="NN96" s="13"/>
    </row>
    <row r="97" spans="67:378" ht="10.75" customHeight="1" x14ac:dyDescent="0.2">
      <c r="BO97" s="12"/>
      <c r="BS97" s="12"/>
      <c r="BV97" s="12"/>
      <c r="DQ97" s="13"/>
      <c r="DT97" s="12"/>
      <c r="GM97" s="13"/>
      <c r="GP97" s="13"/>
      <c r="GT97" s="13"/>
      <c r="JK97" s="12"/>
      <c r="JL97" s="261"/>
      <c r="JM97" s="261"/>
      <c r="JN97" s="12"/>
      <c r="JO97" s="261"/>
      <c r="JP97" s="261"/>
      <c r="JQ97" s="261"/>
      <c r="JR97" s="261"/>
      <c r="JS97" s="261"/>
      <c r="JT97" s="261"/>
      <c r="JU97" s="261"/>
      <c r="JV97" s="261"/>
      <c r="JW97" s="261"/>
      <c r="JX97" s="261"/>
      <c r="JY97" s="261"/>
      <c r="JZ97" s="261"/>
      <c r="KA97" s="261"/>
      <c r="KB97" s="261"/>
      <c r="KC97" s="261"/>
      <c r="KD97" s="261"/>
      <c r="KE97" s="261"/>
      <c r="KF97" s="261"/>
      <c r="KG97" s="261"/>
      <c r="KH97" s="261"/>
      <c r="KI97" s="261"/>
      <c r="KJ97" s="261"/>
      <c r="KK97" s="261"/>
      <c r="KL97" s="261"/>
      <c r="KM97" s="261"/>
      <c r="KN97" s="261"/>
      <c r="KO97" s="261"/>
      <c r="KP97" s="261"/>
      <c r="KQ97" s="261"/>
      <c r="KR97" s="261"/>
      <c r="KS97" s="261"/>
      <c r="KT97" s="261"/>
      <c r="KU97" s="261"/>
      <c r="KV97" s="261"/>
      <c r="KW97" s="261"/>
      <c r="KX97" s="261"/>
      <c r="KY97" s="261"/>
      <c r="KZ97" s="261"/>
      <c r="LA97" s="261"/>
      <c r="LB97" s="261"/>
      <c r="LC97" s="261"/>
      <c r="LD97" s="261"/>
      <c r="LE97" s="261"/>
      <c r="LF97" s="261"/>
      <c r="LG97" s="261"/>
      <c r="LH97" s="261"/>
      <c r="LI97" s="261"/>
      <c r="LJ97" s="261"/>
      <c r="LK97" s="13"/>
      <c r="LL97" s="261"/>
      <c r="LM97" s="13"/>
      <c r="LN97" s="261"/>
      <c r="LO97" s="261"/>
      <c r="LP97" s="261"/>
      <c r="LQ97" s="261"/>
      <c r="LR97" s="261"/>
      <c r="LS97" s="261"/>
      <c r="LT97" s="261"/>
      <c r="LU97" s="261"/>
      <c r="LV97" s="261"/>
      <c r="LW97" s="261"/>
      <c r="LX97" s="261"/>
      <c r="LY97" s="261"/>
      <c r="LZ97" s="261"/>
      <c r="MA97" s="261"/>
      <c r="MB97" s="261"/>
      <c r="MC97" s="261"/>
      <c r="MD97" s="261"/>
      <c r="ME97" s="261"/>
      <c r="MF97" s="261"/>
      <c r="MG97" s="261"/>
      <c r="MH97" s="261"/>
      <c r="MI97" s="261"/>
      <c r="MJ97" s="261"/>
      <c r="MK97" s="261"/>
      <c r="ML97" s="261"/>
      <c r="MM97" s="261"/>
      <c r="MN97" s="261"/>
      <c r="MO97" s="261"/>
      <c r="MP97" s="261"/>
      <c r="MQ97" s="261"/>
      <c r="MR97" s="261"/>
      <c r="MS97" s="261"/>
      <c r="MT97" s="261"/>
      <c r="MU97" s="261"/>
      <c r="MV97" s="261"/>
      <c r="MW97" s="261"/>
      <c r="MX97" s="261"/>
      <c r="MY97" s="261"/>
      <c r="MZ97" s="261"/>
      <c r="NA97" s="261"/>
      <c r="NB97" s="261"/>
      <c r="NC97" s="261"/>
      <c r="ND97" s="261"/>
      <c r="NE97" s="261"/>
      <c r="NF97" s="261"/>
      <c r="NG97" s="261"/>
      <c r="NH97" s="261"/>
      <c r="NI97" s="261"/>
      <c r="NJ97" s="261"/>
      <c r="NK97" s="13"/>
      <c r="NL97" s="261"/>
      <c r="NM97" s="261"/>
      <c r="NN97" s="13"/>
    </row>
    <row r="98" spans="67:378" ht="10.75" customHeight="1" x14ac:dyDescent="0.2">
      <c r="BO98" s="12"/>
      <c r="BS98" s="12"/>
      <c r="BV98" s="12"/>
      <c r="DQ98" s="13"/>
      <c r="DT98" s="12"/>
      <c r="GM98" s="13"/>
      <c r="GP98" s="13"/>
      <c r="GT98" s="13"/>
      <c r="JK98" s="12"/>
      <c r="JL98" s="261"/>
      <c r="JM98" s="261"/>
      <c r="JN98" s="12"/>
      <c r="JO98" s="261"/>
      <c r="JP98" s="261"/>
      <c r="JQ98" s="261"/>
      <c r="JR98" s="261"/>
      <c r="JS98" s="261"/>
      <c r="JT98" s="261"/>
      <c r="JU98" s="261"/>
      <c r="JV98" s="261"/>
      <c r="JW98" s="261"/>
      <c r="JX98" s="261"/>
      <c r="JY98" s="261"/>
      <c r="JZ98" s="261"/>
      <c r="KA98" s="261"/>
      <c r="KB98" s="261"/>
      <c r="KC98" s="261"/>
      <c r="KD98" s="261"/>
      <c r="KE98" s="261"/>
      <c r="KF98" s="261"/>
      <c r="KG98" s="261"/>
      <c r="KH98" s="261"/>
      <c r="KI98" s="261"/>
      <c r="KJ98" s="261"/>
      <c r="KK98" s="261"/>
      <c r="KL98" s="261"/>
      <c r="KM98" s="261"/>
      <c r="KN98" s="261"/>
      <c r="KO98" s="261"/>
      <c r="KP98" s="261"/>
      <c r="KQ98" s="261"/>
      <c r="KR98" s="261"/>
      <c r="KS98" s="261"/>
      <c r="KT98" s="261"/>
      <c r="KU98" s="261"/>
      <c r="KV98" s="261"/>
      <c r="KW98" s="261"/>
      <c r="KX98" s="261"/>
      <c r="KY98" s="261"/>
      <c r="KZ98" s="261"/>
      <c r="LA98" s="261"/>
      <c r="LB98" s="261"/>
      <c r="LC98" s="261"/>
      <c r="LD98" s="261"/>
      <c r="LE98" s="261"/>
      <c r="LF98" s="261"/>
      <c r="LG98" s="261"/>
      <c r="LH98" s="261"/>
      <c r="LI98" s="261"/>
      <c r="LJ98" s="261"/>
      <c r="LK98" s="13"/>
      <c r="LL98" s="261"/>
      <c r="LM98" s="13"/>
      <c r="LN98" s="261"/>
      <c r="LO98" s="261"/>
      <c r="LP98" s="261"/>
      <c r="LQ98" s="261"/>
      <c r="LR98" s="261"/>
      <c r="LS98" s="261"/>
      <c r="LT98" s="261"/>
      <c r="LU98" s="261"/>
      <c r="LV98" s="261"/>
      <c r="LW98" s="261"/>
      <c r="LX98" s="261"/>
      <c r="LY98" s="261"/>
      <c r="LZ98" s="261"/>
      <c r="MA98" s="261"/>
      <c r="MB98" s="261"/>
      <c r="MC98" s="261"/>
      <c r="MD98" s="261"/>
      <c r="ME98" s="261"/>
      <c r="MF98" s="261"/>
      <c r="MG98" s="261"/>
      <c r="MH98" s="261"/>
      <c r="MI98" s="261"/>
      <c r="MJ98" s="261"/>
      <c r="MK98" s="261"/>
      <c r="ML98" s="261"/>
      <c r="MM98" s="261"/>
      <c r="MN98" s="261"/>
      <c r="MO98" s="261"/>
      <c r="MP98" s="261"/>
      <c r="MQ98" s="261"/>
      <c r="MR98" s="261"/>
      <c r="MS98" s="261"/>
      <c r="MT98" s="261"/>
      <c r="MU98" s="261"/>
      <c r="MV98" s="261"/>
      <c r="MW98" s="261"/>
      <c r="MX98" s="261"/>
      <c r="MY98" s="261"/>
      <c r="MZ98" s="261"/>
      <c r="NA98" s="261"/>
      <c r="NB98" s="261"/>
      <c r="NC98" s="261"/>
      <c r="ND98" s="261"/>
      <c r="NE98" s="261"/>
      <c r="NF98" s="261"/>
      <c r="NG98" s="261"/>
      <c r="NH98" s="261"/>
      <c r="NI98" s="261"/>
      <c r="NJ98" s="261"/>
      <c r="NK98" s="13"/>
      <c r="NL98" s="261"/>
      <c r="NM98" s="261"/>
      <c r="NN98" s="13"/>
    </row>
    <row r="99" spans="67:378" ht="10.75" customHeight="1" x14ac:dyDescent="0.2">
      <c r="BO99" s="12"/>
      <c r="BS99" s="12"/>
      <c r="BV99" s="12"/>
      <c r="DQ99" s="13"/>
      <c r="DT99" s="12"/>
      <c r="GM99" s="13"/>
      <c r="GP99" s="13"/>
      <c r="GT99" s="13"/>
      <c r="JK99" s="12"/>
      <c r="JL99" s="261"/>
      <c r="JM99" s="261"/>
      <c r="JN99" s="12"/>
      <c r="JO99" s="261"/>
      <c r="JP99" s="261"/>
      <c r="JQ99" s="261"/>
      <c r="JR99" s="261"/>
      <c r="JS99" s="261"/>
      <c r="JT99" s="261"/>
      <c r="JU99" s="261"/>
      <c r="JV99" s="261"/>
      <c r="JW99" s="261"/>
      <c r="JX99" s="261"/>
      <c r="JY99" s="261"/>
      <c r="JZ99" s="261"/>
      <c r="KA99" s="261"/>
      <c r="KB99" s="261"/>
      <c r="KC99" s="261"/>
      <c r="KD99" s="261"/>
      <c r="KE99" s="261"/>
      <c r="KF99" s="261"/>
      <c r="KG99" s="261"/>
      <c r="KH99" s="261"/>
      <c r="KI99" s="261"/>
      <c r="KJ99" s="261"/>
      <c r="KK99" s="261"/>
      <c r="KL99" s="261"/>
      <c r="KM99" s="261"/>
      <c r="KN99" s="261"/>
      <c r="KO99" s="261"/>
      <c r="KP99" s="261"/>
      <c r="KQ99" s="261"/>
      <c r="KR99" s="261"/>
      <c r="KS99" s="261"/>
      <c r="KT99" s="261"/>
      <c r="KU99" s="261"/>
      <c r="KV99" s="261"/>
      <c r="KW99" s="261"/>
      <c r="KX99" s="261"/>
      <c r="KY99" s="261"/>
      <c r="KZ99" s="261"/>
      <c r="LA99" s="261"/>
      <c r="LB99" s="261"/>
      <c r="LC99" s="261"/>
      <c r="LD99" s="261"/>
      <c r="LE99" s="261"/>
      <c r="LF99" s="261"/>
      <c r="LG99" s="261"/>
      <c r="LH99" s="261"/>
      <c r="LI99" s="261"/>
      <c r="LJ99" s="261"/>
      <c r="LK99" s="13"/>
      <c r="LL99" s="261"/>
      <c r="LM99" s="13"/>
      <c r="LN99" s="261"/>
      <c r="LO99" s="261"/>
      <c r="LP99" s="261"/>
      <c r="LQ99" s="261"/>
      <c r="LR99" s="261"/>
      <c r="LS99" s="261"/>
      <c r="LT99" s="261"/>
      <c r="LU99" s="261"/>
      <c r="LV99" s="261"/>
      <c r="LW99" s="261"/>
      <c r="LX99" s="261"/>
      <c r="LY99" s="261"/>
      <c r="LZ99" s="261"/>
      <c r="MA99" s="261"/>
      <c r="MB99" s="261"/>
      <c r="MC99" s="261"/>
      <c r="MD99" s="261"/>
      <c r="ME99" s="261"/>
      <c r="MF99" s="261"/>
      <c r="MG99" s="261"/>
      <c r="MH99" s="261"/>
      <c r="MI99" s="261"/>
      <c r="MJ99" s="261"/>
      <c r="MK99" s="261"/>
      <c r="ML99" s="261"/>
      <c r="MM99" s="261"/>
      <c r="MN99" s="261"/>
      <c r="MO99" s="261"/>
      <c r="MP99" s="261"/>
      <c r="MQ99" s="261"/>
      <c r="MR99" s="261"/>
      <c r="MS99" s="261"/>
      <c r="MT99" s="261"/>
      <c r="MU99" s="261"/>
      <c r="MV99" s="261"/>
      <c r="MW99" s="261"/>
      <c r="MX99" s="261"/>
      <c r="MY99" s="261"/>
      <c r="MZ99" s="261"/>
      <c r="NA99" s="261"/>
      <c r="NB99" s="261"/>
      <c r="NC99" s="261"/>
      <c r="ND99" s="261"/>
      <c r="NE99" s="261"/>
      <c r="NF99" s="261"/>
      <c r="NG99" s="261"/>
      <c r="NH99" s="261"/>
      <c r="NI99" s="261"/>
      <c r="NJ99" s="261"/>
      <c r="NK99" s="13"/>
      <c r="NL99" s="261"/>
      <c r="NM99" s="261"/>
      <c r="NN99" s="13"/>
    </row>
    <row r="100" spans="67:378" ht="10.75" customHeight="1" x14ac:dyDescent="0.2">
      <c r="BO100" s="12"/>
      <c r="BS100" s="96"/>
      <c r="BT100" s="97"/>
      <c r="BU100" s="97"/>
      <c r="BV100" s="12"/>
      <c r="DQ100" s="13"/>
      <c r="DT100" s="12"/>
      <c r="EC100" s="97"/>
      <c r="ED100" s="97"/>
      <c r="EE100" s="97"/>
      <c r="EF100" s="97"/>
      <c r="GM100" s="13"/>
      <c r="GN100" s="97"/>
      <c r="GO100" s="97"/>
      <c r="GP100" s="98"/>
      <c r="GT100" s="13"/>
      <c r="JK100" s="12"/>
      <c r="JL100" s="261"/>
      <c r="JM100" s="261"/>
      <c r="JN100" s="12"/>
      <c r="JO100" s="261"/>
      <c r="JP100" s="261"/>
      <c r="JQ100" s="261"/>
      <c r="JR100" s="261"/>
      <c r="JS100" s="261"/>
      <c r="JT100" s="261"/>
      <c r="JU100" s="261"/>
      <c r="JV100" s="261"/>
      <c r="JW100" s="261"/>
      <c r="JX100" s="261"/>
      <c r="JY100" s="261"/>
      <c r="JZ100" s="261"/>
      <c r="KA100" s="261"/>
      <c r="KB100" s="261"/>
      <c r="KC100" s="261"/>
      <c r="KD100" s="261"/>
      <c r="KE100" s="261"/>
      <c r="KF100" s="261"/>
      <c r="KG100" s="261"/>
      <c r="KH100" s="261"/>
      <c r="KI100" s="261"/>
      <c r="KJ100" s="261"/>
      <c r="KK100" s="261"/>
      <c r="KL100" s="261"/>
      <c r="KM100" s="261"/>
      <c r="KN100" s="261"/>
      <c r="KO100" s="261"/>
      <c r="KP100" s="261"/>
      <c r="KQ100" s="261"/>
      <c r="KR100" s="261"/>
      <c r="KS100" s="261"/>
      <c r="KT100" s="261"/>
      <c r="KU100" s="261"/>
      <c r="KV100" s="261"/>
      <c r="KW100" s="261"/>
      <c r="KX100" s="261"/>
      <c r="KY100" s="261"/>
      <c r="KZ100" s="261"/>
      <c r="LA100" s="261"/>
      <c r="LB100" s="261"/>
      <c r="LC100" s="261"/>
      <c r="LD100" s="261"/>
      <c r="LE100" s="261"/>
      <c r="LF100" s="261"/>
      <c r="LG100" s="261"/>
      <c r="LH100" s="261"/>
      <c r="LI100" s="261"/>
      <c r="LJ100" s="261"/>
      <c r="LK100" s="13"/>
      <c r="LL100" s="261"/>
      <c r="LM100" s="13"/>
      <c r="LN100" s="261"/>
      <c r="LO100" s="261"/>
      <c r="LP100" s="261"/>
      <c r="LQ100" s="261"/>
      <c r="LR100" s="261"/>
      <c r="LS100" s="261"/>
      <c r="LT100" s="261"/>
      <c r="LU100" s="261"/>
      <c r="LV100" s="261"/>
      <c r="LW100" s="261"/>
      <c r="LX100" s="261"/>
      <c r="LY100" s="261"/>
      <c r="LZ100" s="261"/>
      <c r="MA100" s="261"/>
      <c r="MB100" s="261"/>
      <c r="MC100" s="261"/>
      <c r="MD100" s="261"/>
      <c r="ME100" s="261"/>
      <c r="MF100" s="261"/>
      <c r="MG100" s="261"/>
      <c r="MH100" s="261"/>
      <c r="MI100" s="261"/>
      <c r="MJ100" s="261"/>
      <c r="MK100" s="261"/>
      <c r="ML100" s="261"/>
      <c r="MM100" s="261"/>
      <c r="MN100" s="261"/>
      <c r="MO100" s="261"/>
      <c r="MP100" s="261"/>
      <c r="MQ100" s="261"/>
      <c r="MR100" s="261"/>
      <c r="MS100" s="261"/>
      <c r="MT100" s="261"/>
      <c r="MU100" s="261"/>
      <c r="MV100" s="261"/>
      <c r="MW100" s="261"/>
      <c r="MX100" s="261"/>
      <c r="MY100" s="261"/>
      <c r="MZ100" s="261"/>
      <c r="NA100" s="261"/>
      <c r="NB100" s="261"/>
      <c r="NC100" s="261"/>
      <c r="ND100" s="261"/>
      <c r="NE100" s="261"/>
      <c r="NF100" s="261"/>
      <c r="NG100" s="261"/>
      <c r="NH100" s="261"/>
      <c r="NI100" s="261"/>
      <c r="NJ100" s="261"/>
      <c r="NK100" s="13"/>
      <c r="NL100" s="261"/>
      <c r="NM100" s="261"/>
      <c r="NN100" s="13"/>
    </row>
    <row r="101" spans="67:378" ht="10.75" customHeight="1" x14ac:dyDescent="0.2">
      <c r="BO101" s="12"/>
      <c r="BS101" s="96"/>
      <c r="BT101" s="97"/>
      <c r="BU101" s="97"/>
      <c r="BV101" s="14"/>
      <c r="BW101" s="15"/>
      <c r="BX101" s="15"/>
      <c r="BY101" s="15"/>
      <c r="BZ101" s="15"/>
      <c r="CA101" s="15"/>
      <c r="CB101" s="15"/>
      <c r="CC101" s="15"/>
      <c r="CD101" s="15"/>
      <c r="CE101" s="15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Y101" s="15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  <c r="DL101" s="15"/>
      <c r="DM101" s="15"/>
      <c r="DN101" s="15"/>
      <c r="DO101" s="15"/>
      <c r="DP101" s="15"/>
      <c r="DQ101" s="16"/>
      <c r="DT101" s="14"/>
      <c r="DU101" s="15"/>
      <c r="DV101" s="15"/>
      <c r="DW101" s="15"/>
      <c r="DX101" s="15"/>
      <c r="DY101" s="15"/>
      <c r="DZ101" s="15"/>
      <c r="EA101" s="15"/>
      <c r="EB101" s="15"/>
      <c r="EC101" s="60"/>
      <c r="ED101" s="60"/>
      <c r="EE101" s="60"/>
      <c r="EF101" s="60"/>
      <c r="EG101" s="15"/>
      <c r="EH101" s="15"/>
      <c r="EI101" s="15"/>
      <c r="EJ101" s="15"/>
      <c r="EK101" s="15"/>
      <c r="EL101" s="15"/>
      <c r="EM101" s="15"/>
      <c r="EN101" s="15"/>
      <c r="EO101" s="15"/>
      <c r="GM101" s="13"/>
      <c r="GN101" s="97"/>
      <c r="GO101" s="97"/>
      <c r="GP101" s="98"/>
      <c r="GT101" s="13"/>
      <c r="JK101" s="12"/>
      <c r="JL101" s="261"/>
      <c r="JM101" s="261"/>
      <c r="JN101" s="12"/>
      <c r="JO101" s="261"/>
      <c r="JP101" s="261"/>
      <c r="JQ101" s="261"/>
      <c r="JR101" s="261"/>
      <c r="JS101" s="261"/>
      <c r="JT101" s="261"/>
      <c r="JU101" s="261"/>
      <c r="JV101" s="261"/>
      <c r="JW101" s="261"/>
      <c r="JX101" s="261"/>
      <c r="JY101" s="261"/>
      <c r="JZ101" s="261"/>
      <c r="KA101" s="261"/>
      <c r="KB101" s="261"/>
      <c r="KC101" s="261"/>
      <c r="KD101" s="261"/>
      <c r="KE101" s="261"/>
      <c r="KF101" s="261"/>
      <c r="KG101" s="261"/>
      <c r="KH101" s="261"/>
      <c r="KI101" s="261"/>
      <c r="KJ101" s="261"/>
      <c r="KK101" s="261"/>
      <c r="KL101" s="261"/>
      <c r="KM101" s="261"/>
      <c r="KN101" s="261"/>
      <c r="KO101" s="261"/>
      <c r="KP101" s="261"/>
      <c r="KQ101" s="261"/>
      <c r="KR101" s="261"/>
      <c r="KS101" s="261"/>
      <c r="KT101" s="261"/>
      <c r="KU101" s="261"/>
      <c r="KV101" s="261"/>
      <c r="KW101" s="261"/>
      <c r="KX101" s="261"/>
      <c r="KY101" s="261"/>
      <c r="KZ101" s="261"/>
      <c r="LA101" s="261"/>
      <c r="LB101" s="261"/>
      <c r="LC101" s="261"/>
      <c r="LD101" s="261"/>
      <c r="LE101" s="261"/>
      <c r="LF101" s="261"/>
      <c r="LG101" s="261"/>
      <c r="LH101" s="261"/>
      <c r="LI101" s="261"/>
      <c r="LJ101" s="261"/>
      <c r="LK101" s="13"/>
      <c r="LL101" s="261"/>
      <c r="LM101" s="13"/>
      <c r="LN101" s="261"/>
      <c r="LO101" s="261"/>
      <c r="LP101" s="261"/>
      <c r="LQ101" s="261"/>
      <c r="LR101" s="261"/>
      <c r="LS101" s="261"/>
      <c r="LT101" s="261"/>
      <c r="LU101" s="261"/>
      <c r="LV101" s="261"/>
      <c r="LW101" s="261"/>
      <c r="LX101" s="261"/>
      <c r="LY101" s="261"/>
      <c r="LZ101" s="261"/>
      <c r="MA101" s="261"/>
      <c r="MB101" s="261"/>
      <c r="MC101" s="261"/>
      <c r="MD101" s="261"/>
      <c r="ME101" s="261"/>
      <c r="MF101" s="261"/>
      <c r="MG101" s="261"/>
      <c r="MH101" s="261"/>
      <c r="MI101" s="261"/>
      <c r="MJ101" s="261"/>
      <c r="MK101" s="261"/>
      <c r="ML101" s="261"/>
      <c r="MM101" s="261"/>
      <c r="MN101" s="261"/>
      <c r="MO101" s="261"/>
      <c r="MP101" s="261"/>
      <c r="MQ101" s="261"/>
      <c r="MR101" s="261"/>
      <c r="MS101" s="261"/>
      <c r="MT101" s="261"/>
      <c r="MU101" s="261"/>
      <c r="MV101" s="261"/>
      <c r="MW101" s="261"/>
      <c r="MX101" s="261"/>
      <c r="MY101" s="261"/>
      <c r="MZ101" s="261"/>
      <c r="NA101" s="261"/>
      <c r="NB101" s="261"/>
      <c r="NC101" s="261"/>
      <c r="ND101" s="261"/>
      <c r="NE101" s="261"/>
      <c r="NF101" s="261"/>
      <c r="NG101" s="261"/>
      <c r="NH101" s="261"/>
      <c r="NI101" s="261"/>
      <c r="NJ101" s="261"/>
      <c r="NK101" s="13"/>
      <c r="NL101" s="261"/>
      <c r="NM101" s="261"/>
      <c r="NN101" s="13"/>
    </row>
    <row r="102" spans="67:378" ht="10.75" customHeight="1" x14ac:dyDescent="0.2">
      <c r="BO102" s="12"/>
      <c r="BS102" s="96"/>
      <c r="BT102" s="97"/>
      <c r="BU102" s="97"/>
      <c r="BV102" s="12"/>
      <c r="DT102" s="49"/>
      <c r="DU102" s="49"/>
      <c r="DV102" s="49"/>
      <c r="DW102" s="49"/>
      <c r="DX102" s="49"/>
      <c r="DY102" s="49"/>
      <c r="DZ102" s="49"/>
      <c r="EA102" s="49"/>
      <c r="EB102" s="49"/>
      <c r="EC102" s="97"/>
      <c r="ED102" s="97"/>
      <c r="EE102" s="97"/>
      <c r="EF102" s="97"/>
      <c r="EG102" s="49"/>
      <c r="EH102" s="49"/>
      <c r="EI102" s="49"/>
      <c r="EJ102" s="49"/>
      <c r="EK102" s="49"/>
      <c r="EL102" s="49"/>
      <c r="EM102" s="49"/>
      <c r="EN102" s="49"/>
      <c r="EO102" s="49"/>
      <c r="EP102" s="141"/>
      <c r="EQ102" s="236"/>
      <c r="GM102" s="13"/>
      <c r="GN102" s="97"/>
      <c r="GO102" s="97"/>
      <c r="GP102" s="98"/>
      <c r="GT102" s="13"/>
      <c r="JK102" s="12"/>
      <c r="JL102" s="261"/>
      <c r="JM102" s="261"/>
      <c r="JN102" s="12"/>
      <c r="JO102" s="261"/>
      <c r="JP102" s="261"/>
      <c r="JQ102" s="261"/>
      <c r="JR102" s="261"/>
      <c r="JS102" s="261"/>
      <c r="JT102" s="261"/>
      <c r="JU102" s="261"/>
      <c r="JV102" s="261"/>
      <c r="JW102" s="261"/>
      <c r="JX102" s="261"/>
      <c r="JY102" s="261"/>
      <c r="JZ102" s="261"/>
      <c r="KA102" s="261"/>
      <c r="KB102" s="261"/>
      <c r="KC102" s="261"/>
      <c r="KD102" s="261"/>
      <c r="KE102" s="261"/>
      <c r="KF102" s="261"/>
      <c r="KG102" s="261"/>
      <c r="KH102" s="261"/>
      <c r="KI102" s="261"/>
      <c r="KJ102" s="261"/>
      <c r="KK102" s="261"/>
      <c r="KL102" s="261"/>
      <c r="KM102" s="261"/>
      <c r="KN102" s="261"/>
      <c r="KO102" s="261"/>
      <c r="KP102" s="261"/>
      <c r="KQ102" s="261"/>
      <c r="KR102" s="261"/>
      <c r="KS102" s="261"/>
      <c r="KT102" s="261"/>
      <c r="KU102" s="261"/>
      <c r="KV102" s="261"/>
      <c r="KW102" s="261"/>
      <c r="KX102" s="261"/>
      <c r="KY102" s="261"/>
      <c r="KZ102" s="261"/>
      <c r="LA102" s="261"/>
      <c r="LB102" s="261"/>
      <c r="LC102" s="261"/>
      <c r="LD102" s="261"/>
      <c r="LE102" s="261"/>
      <c r="LF102" s="261"/>
      <c r="LG102" s="261"/>
      <c r="LH102" s="261"/>
      <c r="LI102" s="261"/>
      <c r="LJ102" s="261"/>
      <c r="LK102" s="13"/>
      <c r="LL102" s="261"/>
      <c r="LM102" s="13"/>
      <c r="LN102" s="261"/>
      <c r="LO102" s="261"/>
      <c r="LP102" s="261"/>
      <c r="LQ102" s="261"/>
      <c r="LR102" s="261"/>
      <c r="LS102" s="261"/>
      <c r="LT102" s="261"/>
      <c r="LU102" s="261"/>
      <c r="LV102" s="261"/>
      <c r="LW102" s="261"/>
      <c r="LX102" s="261"/>
      <c r="LY102" s="261"/>
      <c r="LZ102" s="261"/>
      <c r="MA102" s="261"/>
      <c r="MB102" s="261"/>
      <c r="MC102" s="261"/>
      <c r="MD102" s="261"/>
      <c r="ME102" s="261"/>
      <c r="MF102" s="261"/>
      <c r="MG102" s="261"/>
      <c r="MH102" s="261"/>
      <c r="MI102" s="261"/>
      <c r="MJ102" s="261"/>
      <c r="MK102" s="261"/>
      <c r="ML102" s="261"/>
      <c r="MM102" s="261"/>
      <c r="MN102" s="261"/>
      <c r="MO102" s="261"/>
      <c r="MP102" s="261"/>
      <c r="MQ102" s="261"/>
      <c r="MR102" s="261"/>
      <c r="MS102" s="261"/>
      <c r="MT102" s="261"/>
      <c r="MU102" s="261"/>
      <c r="MV102" s="261"/>
      <c r="MW102" s="261"/>
      <c r="MX102" s="261"/>
      <c r="MY102" s="261"/>
      <c r="MZ102" s="261"/>
      <c r="NA102" s="261"/>
      <c r="NB102" s="261"/>
      <c r="NC102" s="261"/>
      <c r="ND102" s="261"/>
      <c r="NE102" s="261"/>
      <c r="NF102" s="261"/>
      <c r="NG102" s="261"/>
      <c r="NH102" s="261"/>
      <c r="NI102" s="261"/>
      <c r="NJ102" s="261"/>
      <c r="NK102" s="13"/>
      <c r="NL102" s="261"/>
      <c r="NM102" s="261"/>
      <c r="NN102" s="13"/>
    </row>
    <row r="103" spans="67:378" ht="10.75" customHeight="1" x14ac:dyDescent="0.2">
      <c r="BO103" s="12"/>
      <c r="BS103" s="96"/>
      <c r="BT103" s="97"/>
      <c r="BU103" s="97"/>
      <c r="BV103" s="12"/>
      <c r="DT103" s="49"/>
      <c r="DU103" s="49"/>
      <c r="DV103" s="49"/>
      <c r="DW103" s="49"/>
      <c r="DX103" s="49"/>
      <c r="DY103" s="49"/>
      <c r="DZ103" s="49"/>
      <c r="EA103" s="49"/>
      <c r="EB103" s="49"/>
      <c r="EC103" s="97"/>
      <c r="ED103" s="97"/>
      <c r="EE103" s="97"/>
      <c r="EF103" s="97"/>
      <c r="EG103" s="49"/>
      <c r="EH103" s="49"/>
      <c r="EI103" s="49"/>
      <c r="EJ103" s="49"/>
      <c r="EK103" s="49"/>
      <c r="EL103" s="49"/>
      <c r="EM103" s="49"/>
      <c r="EN103" s="49"/>
      <c r="EO103" s="49"/>
      <c r="EP103" s="49"/>
      <c r="EQ103" s="208"/>
      <c r="GM103" s="13"/>
      <c r="GN103" s="97"/>
      <c r="GO103" s="97"/>
      <c r="GP103" s="98"/>
      <c r="GT103" s="13"/>
      <c r="JK103" s="12"/>
      <c r="JL103" s="261"/>
      <c r="JM103" s="261"/>
      <c r="JN103" s="12"/>
      <c r="JO103" s="261"/>
      <c r="JP103" s="261"/>
      <c r="JQ103" s="261"/>
      <c r="JR103" s="261"/>
      <c r="JS103" s="261"/>
      <c r="JT103" s="261"/>
      <c r="JU103" s="261"/>
      <c r="JV103" s="261"/>
      <c r="JW103" s="261"/>
      <c r="JX103" s="261"/>
      <c r="JY103" s="261"/>
      <c r="JZ103" s="261"/>
      <c r="KA103" s="261"/>
      <c r="KB103" s="261"/>
      <c r="KC103" s="261"/>
      <c r="KD103" s="261"/>
      <c r="KE103" s="261"/>
      <c r="KF103" s="261"/>
      <c r="KG103" s="261"/>
      <c r="KH103" s="261"/>
      <c r="KI103" s="261"/>
      <c r="KJ103" s="261"/>
      <c r="KK103" s="261"/>
      <c r="KL103" s="261"/>
      <c r="KM103" s="261"/>
      <c r="KN103" s="261"/>
      <c r="KO103" s="261"/>
      <c r="KP103" s="261"/>
      <c r="KQ103" s="261"/>
      <c r="KR103" s="261"/>
      <c r="KS103" s="261"/>
      <c r="KT103" s="261"/>
      <c r="KU103" s="261"/>
      <c r="KV103" s="261"/>
      <c r="KW103" s="261"/>
      <c r="KX103" s="261"/>
      <c r="KY103" s="261"/>
      <c r="KZ103" s="261"/>
      <c r="LA103" s="261"/>
      <c r="LB103" s="261"/>
      <c r="LC103" s="261"/>
      <c r="LD103" s="261"/>
      <c r="LE103" s="261"/>
      <c r="LF103" s="261"/>
      <c r="LG103" s="261"/>
      <c r="LH103" s="261"/>
      <c r="LI103" s="261"/>
      <c r="LJ103" s="261"/>
      <c r="LK103" s="13"/>
      <c r="LL103" s="261"/>
      <c r="LM103" s="13"/>
      <c r="LN103" s="261"/>
      <c r="LO103" s="261"/>
      <c r="LP103" s="261"/>
      <c r="LQ103" s="261"/>
      <c r="LR103" s="261"/>
      <c r="LS103" s="261"/>
      <c r="LT103" s="261"/>
      <c r="LU103" s="261"/>
      <c r="LV103" s="261"/>
      <c r="LW103" s="261"/>
      <c r="LX103" s="261"/>
      <c r="LY103" s="261"/>
      <c r="LZ103" s="261"/>
      <c r="MA103" s="261"/>
      <c r="MB103" s="261"/>
      <c r="MC103" s="261"/>
      <c r="MD103" s="261"/>
      <c r="ME103" s="261"/>
      <c r="MF103" s="261"/>
      <c r="MG103" s="261"/>
      <c r="MH103" s="261"/>
      <c r="MI103" s="261"/>
      <c r="MJ103" s="261"/>
      <c r="MK103" s="261"/>
      <c r="ML103" s="261"/>
      <c r="MM103" s="261"/>
      <c r="MN103" s="261"/>
      <c r="MO103" s="261"/>
      <c r="MP103" s="261"/>
      <c r="MQ103" s="261"/>
      <c r="MR103" s="261"/>
      <c r="MS103" s="261"/>
      <c r="MT103" s="261"/>
      <c r="MU103" s="261"/>
      <c r="MV103" s="261"/>
      <c r="MW103" s="261"/>
      <c r="MX103" s="261"/>
      <c r="MY103" s="261"/>
      <c r="MZ103" s="261"/>
      <c r="NA103" s="261"/>
      <c r="NB103" s="261"/>
      <c r="NC103" s="261"/>
      <c r="ND103" s="261"/>
      <c r="NE103" s="261"/>
      <c r="NF103" s="261"/>
      <c r="NG103" s="261"/>
      <c r="NH103" s="261"/>
      <c r="NI103" s="261"/>
      <c r="NJ103" s="261"/>
      <c r="NK103" s="13"/>
      <c r="NL103" s="261"/>
      <c r="NM103" s="261"/>
      <c r="NN103" s="13"/>
    </row>
    <row r="104" spans="67:378" ht="10.75" customHeight="1" x14ac:dyDescent="0.2">
      <c r="BO104" s="12"/>
      <c r="BS104" s="12"/>
      <c r="BV104" s="9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1"/>
      <c r="DJ104" s="9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  <c r="DV104" s="10"/>
      <c r="DW104" s="10"/>
      <c r="DX104" s="10"/>
      <c r="DY104" s="10"/>
      <c r="DZ104" s="10"/>
      <c r="EA104" s="10"/>
      <c r="EB104" s="10"/>
      <c r="EC104" s="10"/>
      <c r="ED104" s="10"/>
      <c r="EE104" s="10"/>
      <c r="EF104" s="10"/>
      <c r="EG104" s="10"/>
      <c r="EH104" s="10"/>
      <c r="EI104" s="10"/>
      <c r="EJ104" s="10"/>
      <c r="EK104" s="10"/>
      <c r="EL104" s="10"/>
      <c r="EM104" s="10"/>
      <c r="EN104" s="10"/>
      <c r="EO104" s="11"/>
      <c r="EP104" s="214"/>
      <c r="EQ104" s="208"/>
      <c r="GM104" s="13"/>
      <c r="GP104" s="13"/>
      <c r="GT104" s="13"/>
      <c r="JK104" s="12"/>
      <c r="JL104" s="261"/>
      <c r="JM104" s="261"/>
      <c r="JN104" s="12"/>
      <c r="JO104" s="261"/>
      <c r="JP104" s="261"/>
      <c r="JQ104" s="261"/>
      <c r="JR104" s="261"/>
      <c r="JS104" s="261"/>
      <c r="JT104" s="261"/>
      <c r="JU104" s="261"/>
      <c r="JV104" s="261"/>
      <c r="JW104" s="261"/>
      <c r="JX104" s="261"/>
      <c r="JY104" s="261"/>
      <c r="JZ104" s="261"/>
      <c r="KA104" s="261"/>
      <c r="KB104" s="261"/>
      <c r="KC104" s="261"/>
      <c r="KD104" s="261"/>
      <c r="KE104" s="261"/>
      <c r="KF104" s="261"/>
      <c r="KG104" s="261"/>
      <c r="KH104" s="261"/>
      <c r="KI104" s="261"/>
      <c r="KJ104" s="261"/>
      <c r="KK104" s="261"/>
      <c r="KL104" s="261"/>
      <c r="KM104" s="261"/>
      <c r="KN104" s="261"/>
      <c r="KO104" s="261"/>
      <c r="KP104" s="261"/>
      <c r="KQ104" s="261"/>
      <c r="KR104" s="261"/>
      <c r="KS104" s="261"/>
      <c r="KT104" s="261"/>
      <c r="KU104" s="261"/>
      <c r="KV104" s="261"/>
      <c r="KW104" s="261"/>
      <c r="KX104" s="261"/>
      <c r="KY104" s="261"/>
      <c r="KZ104" s="261"/>
      <c r="LA104" s="261"/>
      <c r="LB104" s="261"/>
      <c r="LC104" s="261"/>
      <c r="LD104" s="261"/>
      <c r="LE104" s="261"/>
      <c r="LF104" s="261"/>
      <c r="LG104" s="261"/>
      <c r="LH104" s="261"/>
      <c r="LI104" s="261"/>
      <c r="LJ104" s="261"/>
      <c r="LK104" s="13"/>
      <c r="LL104" s="261"/>
      <c r="LM104" s="13"/>
      <c r="LN104" s="261"/>
      <c r="LO104" s="261"/>
      <c r="LP104" s="261"/>
      <c r="LQ104" s="261"/>
      <c r="LR104" s="261"/>
      <c r="LS104" s="261"/>
      <c r="LT104" s="261"/>
      <c r="LU104" s="261"/>
      <c r="LV104" s="261"/>
      <c r="LW104" s="261"/>
      <c r="LX104" s="261"/>
      <c r="LY104" s="261"/>
      <c r="LZ104" s="261"/>
      <c r="MA104" s="261"/>
      <c r="MB104" s="261"/>
      <c r="MC104" s="261"/>
      <c r="MD104" s="261"/>
      <c r="ME104" s="261"/>
      <c r="MF104" s="261"/>
      <c r="MG104" s="261"/>
      <c r="MH104" s="261"/>
      <c r="MI104" s="261"/>
      <c r="MJ104" s="261"/>
      <c r="MK104" s="261"/>
      <c r="ML104" s="261"/>
      <c r="MM104" s="261"/>
      <c r="MN104" s="261"/>
      <c r="MO104" s="261"/>
      <c r="MP104" s="261"/>
      <c r="MQ104" s="261"/>
      <c r="MR104" s="261"/>
      <c r="MS104" s="261"/>
      <c r="MT104" s="261"/>
      <c r="MU104" s="261"/>
      <c r="MV104" s="261"/>
      <c r="MW104" s="261"/>
      <c r="MX104" s="261"/>
      <c r="MY104" s="261"/>
      <c r="MZ104" s="261"/>
      <c r="NA104" s="261"/>
      <c r="NB104" s="261"/>
      <c r="NC104" s="261"/>
      <c r="ND104" s="261"/>
      <c r="NE104" s="261"/>
      <c r="NF104" s="261"/>
      <c r="NG104" s="261"/>
      <c r="NH104" s="261"/>
      <c r="NI104" s="261"/>
      <c r="NJ104" s="261"/>
      <c r="NK104" s="13"/>
      <c r="NL104" s="261"/>
      <c r="NM104" s="261"/>
      <c r="NN104" s="13"/>
    </row>
    <row r="105" spans="67:378" ht="10.75" customHeight="1" x14ac:dyDescent="0.2">
      <c r="BO105" s="12"/>
      <c r="BS105" s="12"/>
      <c r="BV105" s="12"/>
      <c r="DG105" s="13"/>
      <c r="DJ105" s="12"/>
      <c r="EO105" s="13"/>
      <c r="EP105" s="214"/>
      <c r="EQ105" s="208"/>
      <c r="GM105" s="13"/>
      <c r="GP105" s="13"/>
      <c r="GT105" s="13"/>
      <c r="JK105" s="12"/>
      <c r="JL105" s="261"/>
      <c r="JM105" s="261"/>
      <c r="JN105" s="12"/>
      <c r="JO105" s="261"/>
      <c r="JP105" s="261"/>
      <c r="JQ105" s="261"/>
      <c r="JR105" s="261"/>
      <c r="JS105" s="261"/>
      <c r="JT105" s="261"/>
      <c r="JU105" s="261"/>
      <c r="JV105" s="261"/>
      <c r="JW105" s="261"/>
      <c r="JX105" s="261"/>
      <c r="JY105" s="261"/>
      <c r="JZ105" s="261"/>
      <c r="KA105" s="261"/>
      <c r="KB105" s="261"/>
      <c r="KC105" s="261"/>
      <c r="KD105" s="261"/>
      <c r="KE105" s="261"/>
      <c r="KF105" s="261"/>
      <c r="KG105" s="261"/>
      <c r="KH105" s="261"/>
      <c r="KI105" s="261"/>
      <c r="KJ105" s="261"/>
      <c r="KK105" s="261"/>
      <c r="KL105" s="261"/>
      <c r="KM105" s="261"/>
      <c r="KN105" s="261"/>
      <c r="KO105" s="261"/>
      <c r="KP105" s="261"/>
      <c r="KQ105" s="261"/>
      <c r="KR105" s="261"/>
      <c r="KS105" s="261"/>
      <c r="KT105" s="261"/>
      <c r="KU105" s="261"/>
      <c r="KV105" s="261"/>
      <c r="KW105" s="261"/>
      <c r="KX105" s="261"/>
      <c r="KY105" s="261"/>
      <c r="KZ105" s="261"/>
      <c r="LA105" s="261"/>
      <c r="LB105" s="261"/>
      <c r="LC105" s="261"/>
      <c r="LD105" s="261"/>
      <c r="LE105" s="261"/>
      <c r="LF105" s="261"/>
      <c r="LG105" s="261"/>
      <c r="LH105" s="261"/>
      <c r="LI105" s="261"/>
      <c r="LJ105" s="261"/>
      <c r="LK105" s="13"/>
      <c r="LL105" s="261"/>
      <c r="LM105" s="13"/>
      <c r="LN105" s="261"/>
      <c r="LO105" s="261"/>
      <c r="LP105" s="261"/>
      <c r="LQ105" s="261"/>
      <c r="LR105" s="261"/>
      <c r="LS105" s="261"/>
      <c r="LT105" s="261"/>
      <c r="LU105" s="261"/>
      <c r="LV105" s="261"/>
      <c r="LW105" s="261"/>
      <c r="LX105" s="261"/>
      <c r="LY105" s="261"/>
      <c r="LZ105" s="261"/>
      <c r="MA105" s="261"/>
      <c r="MB105" s="261"/>
      <c r="MC105" s="261"/>
      <c r="MD105" s="261"/>
      <c r="ME105" s="261"/>
      <c r="MF105" s="261"/>
      <c r="MG105" s="261"/>
      <c r="MH105" s="261"/>
      <c r="MI105" s="261"/>
      <c r="MJ105" s="261"/>
      <c r="MK105" s="261"/>
      <c r="ML105" s="261"/>
      <c r="MM105" s="261"/>
      <c r="MN105" s="261"/>
      <c r="MO105" s="261"/>
      <c r="MP105" s="261"/>
      <c r="MQ105" s="261"/>
      <c r="MR105" s="261"/>
      <c r="MS105" s="261"/>
      <c r="MT105" s="261"/>
      <c r="MU105" s="261"/>
      <c r="MV105" s="261"/>
      <c r="MW105" s="261"/>
      <c r="MX105" s="261"/>
      <c r="MY105" s="261"/>
      <c r="MZ105" s="261"/>
      <c r="NA105" s="261"/>
      <c r="NB105" s="261"/>
      <c r="NC105" s="261"/>
      <c r="ND105" s="261"/>
      <c r="NE105" s="261"/>
      <c r="NF105" s="261"/>
      <c r="NG105" s="261"/>
      <c r="NH105" s="261"/>
      <c r="NI105" s="261"/>
      <c r="NJ105" s="261"/>
      <c r="NK105" s="13"/>
      <c r="NL105" s="261"/>
      <c r="NM105" s="261"/>
      <c r="NN105" s="13"/>
    </row>
    <row r="106" spans="67:378" ht="10.75" customHeight="1" x14ac:dyDescent="0.2">
      <c r="BO106" s="12"/>
      <c r="BS106" s="12"/>
      <c r="BV106" s="12"/>
      <c r="DG106" s="13"/>
      <c r="DJ106" s="12"/>
      <c r="EO106" s="13"/>
      <c r="EP106" s="214"/>
      <c r="EQ106" s="208"/>
      <c r="GM106" s="13"/>
      <c r="GP106" s="13"/>
      <c r="GT106" s="13"/>
      <c r="JK106" s="12"/>
      <c r="JL106" s="261"/>
      <c r="JM106" s="261"/>
      <c r="JN106" s="14"/>
      <c r="JO106" s="15"/>
      <c r="JP106" s="15"/>
      <c r="JQ106" s="15"/>
      <c r="JR106" s="15"/>
      <c r="JS106" s="15"/>
      <c r="JT106" s="15"/>
      <c r="JU106" s="15"/>
      <c r="JV106" s="15"/>
      <c r="JW106" s="15"/>
      <c r="JX106" s="15"/>
      <c r="JY106" s="15"/>
      <c r="JZ106" s="15"/>
      <c r="KA106" s="15"/>
      <c r="KB106" s="15"/>
      <c r="KC106" s="15"/>
      <c r="KD106" s="15"/>
      <c r="KE106" s="15"/>
      <c r="KF106" s="15"/>
      <c r="KG106" s="15"/>
      <c r="KH106" s="15"/>
      <c r="KI106" s="15"/>
      <c r="KJ106" s="15"/>
      <c r="KK106" s="15"/>
      <c r="KL106" s="15"/>
      <c r="KM106" s="15"/>
      <c r="KN106" s="15"/>
      <c r="KO106" s="15"/>
      <c r="KP106" s="15"/>
      <c r="KQ106" s="15"/>
      <c r="KR106" s="15"/>
      <c r="KS106" s="15"/>
      <c r="KT106" s="15"/>
      <c r="KU106" s="15"/>
      <c r="KV106" s="15"/>
      <c r="KW106" s="15"/>
      <c r="KX106" s="15"/>
      <c r="KY106" s="15"/>
      <c r="KZ106" s="15"/>
      <c r="LA106" s="15"/>
      <c r="LB106" s="15"/>
      <c r="LC106" s="15"/>
      <c r="LD106" s="15"/>
      <c r="LE106" s="15"/>
      <c r="LF106" s="15"/>
      <c r="LG106" s="15"/>
      <c r="LH106" s="15"/>
      <c r="LI106" s="15"/>
      <c r="LJ106" s="15"/>
      <c r="LK106" s="16"/>
      <c r="LL106" s="261"/>
      <c r="LM106" s="13"/>
      <c r="LN106" s="261"/>
      <c r="LO106" s="261"/>
      <c r="LP106" s="261"/>
      <c r="LQ106" s="261"/>
      <c r="LR106" s="261"/>
      <c r="LS106" s="261"/>
      <c r="LT106" s="261"/>
      <c r="LU106" s="261"/>
      <c r="LV106" s="261"/>
      <c r="LW106" s="261"/>
      <c r="LX106" s="261"/>
      <c r="LY106" s="261"/>
      <c r="LZ106" s="261"/>
      <c r="MA106" s="261"/>
      <c r="MB106" s="261"/>
      <c r="MC106" s="261"/>
      <c r="MD106" s="261"/>
      <c r="ME106" s="261"/>
      <c r="MF106" s="261"/>
      <c r="MG106" s="261"/>
      <c r="MH106" s="261"/>
      <c r="MI106" s="261"/>
      <c r="MJ106" s="261"/>
      <c r="MK106" s="261"/>
      <c r="ML106" s="261"/>
      <c r="MM106" s="261"/>
      <c r="MN106" s="261"/>
      <c r="MO106" s="261"/>
      <c r="MP106" s="261"/>
      <c r="MQ106" s="261"/>
      <c r="MR106" s="261"/>
      <c r="MS106" s="261"/>
      <c r="MT106" s="261"/>
      <c r="MU106" s="261"/>
      <c r="MV106" s="261"/>
      <c r="MW106" s="261"/>
      <c r="MX106" s="261"/>
      <c r="MY106" s="261"/>
      <c r="MZ106" s="261"/>
      <c r="NA106" s="261"/>
      <c r="NB106" s="261"/>
      <c r="NC106" s="261"/>
      <c r="ND106" s="261"/>
      <c r="NE106" s="261"/>
      <c r="NF106" s="261"/>
      <c r="NG106" s="261"/>
      <c r="NH106" s="261"/>
      <c r="NI106" s="261"/>
      <c r="NJ106" s="261"/>
      <c r="NK106" s="13"/>
      <c r="NL106" s="261"/>
      <c r="NM106" s="261"/>
      <c r="NN106" s="13"/>
    </row>
    <row r="107" spans="67:378" ht="10.75" customHeight="1" x14ac:dyDescent="0.2">
      <c r="BO107" s="12"/>
      <c r="BS107" s="12"/>
      <c r="BV107" s="12"/>
      <c r="DG107" s="13"/>
      <c r="DJ107" s="12"/>
      <c r="EO107" s="13"/>
      <c r="EP107" s="214"/>
      <c r="EQ107" s="208"/>
      <c r="GM107" s="13"/>
      <c r="GP107" s="13"/>
      <c r="GQ107" s="9"/>
      <c r="GR107" s="10"/>
      <c r="GS107" s="10"/>
      <c r="GT107" s="11"/>
      <c r="GU107" s="10"/>
      <c r="GV107" s="10"/>
      <c r="GW107" s="10"/>
      <c r="GX107" s="10"/>
      <c r="GY107" s="10"/>
      <c r="GZ107" s="10"/>
      <c r="HA107" s="10"/>
      <c r="HB107" s="10"/>
      <c r="HC107" s="10"/>
      <c r="HD107" s="10"/>
      <c r="HE107" s="10"/>
      <c r="HF107" s="10"/>
      <c r="HG107" s="10"/>
      <c r="HH107" s="10"/>
      <c r="HI107" s="10"/>
      <c r="HJ107" s="10"/>
      <c r="HK107" s="10"/>
      <c r="HL107" s="10"/>
      <c r="HM107" s="10"/>
      <c r="HN107" s="10"/>
      <c r="HO107" s="10"/>
      <c r="HP107" s="10"/>
      <c r="HQ107" s="10"/>
      <c r="HR107" s="10"/>
      <c r="HS107" s="10"/>
      <c r="HT107" s="10"/>
      <c r="HU107" s="10"/>
      <c r="HV107" s="11"/>
      <c r="JK107" s="12"/>
      <c r="JL107" s="261"/>
      <c r="JM107" s="261"/>
      <c r="JN107" s="12"/>
      <c r="JO107" s="261"/>
      <c r="JP107" s="261"/>
      <c r="JQ107" s="261"/>
      <c r="JR107" s="261"/>
      <c r="JS107" s="261"/>
      <c r="JT107" s="261"/>
      <c r="JU107" s="261"/>
      <c r="JV107" s="261"/>
      <c r="JW107" s="261"/>
      <c r="JX107" s="261"/>
      <c r="JY107" s="261"/>
      <c r="JZ107" s="261"/>
      <c r="KA107" s="261"/>
      <c r="KB107" s="261"/>
      <c r="KC107" s="261"/>
      <c r="KD107" s="261"/>
      <c r="KE107" s="261"/>
      <c r="KF107" s="261"/>
      <c r="KG107" s="261"/>
      <c r="KH107" s="261"/>
      <c r="KI107" s="261"/>
      <c r="KJ107" s="261"/>
      <c r="KK107" s="261"/>
      <c r="KL107" s="261"/>
      <c r="KM107" s="261"/>
      <c r="KN107" s="261"/>
      <c r="KO107" s="261"/>
      <c r="KP107" s="261"/>
      <c r="KQ107" s="261"/>
      <c r="KR107" s="261"/>
      <c r="KS107" s="261"/>
      <c r="KT107" s="261"/>
      <c r="KU107" s="261"/>
      <c r="KV107" s="261"/>
      <c r="KW107" s="261"/>
      <c r="KX107" s="261"/>
      <c r="KY107" s="261"/>
      <c r="KZ107" s="261"/>
      <c r="LA107" s="261"/>
      <c r="LB107" s="261"/>
      <c r="LC107" s="261"/>
      <c r="LD107" s="261"/>
      <c r="LE107" s="261"/>
      <c r="LF107" s="261"/>
      <c r="LG107" s="261"/>
      <c r="LH107" s="261"/>
      <c r="LI107" s="261"/>
      <c r="LJ107" s="261"/>
      <c r="LK107" s="261"/>
      <c r="LL107" s="261"/>
      <c r="LM107" s="13"/>
      <c r="LN107" s="261"/>
      <c r="LO107" s="261"/>
      <c r="LP107" s="261"/>
      <c r="LQ107" s="261"/>
      <c r="LR107" s="261"/>
      <c r="LS107" s="261"/>
      <c r="LT107" s="261"/>
      <c r="LU107" s="261"/>
      <c r="LV107" s="261"/>
      <c r="LW107" s="261"/>
      <c r="LX107" s="261"/>
      <c r="LY107" s="261"/>
      <c r="LZ107" s="261"/>
      <c r="MA107" s="261"/>
      <c r="MB107" s="261"/>
      <c r="MC107" s="261"/>
      <c r="MD107" s="261"/>
      <c r="ME107" s="261"/>
      <c r="MF107" s="261"/>
      <c r="MG107" s="261"/>
      <c r="MH107" s="261"/>
      <c r="MI107" s="261"/>
      <c r="MJ107" s="261"/>
      <c r="MK107" s="261"/>
      <c r="ML107" s="261"/>
      <c r="MM107" s="261"/>
      <c r="MN107" s="261"/>
      <c r="MO107" s="261"/>
      <c r="MP107" s="261"/>
      <c r="MQ107" s="261"/>
      <c r="MR107" s="261"/>
      <c r="MS107" s="261"/>
      <c r="MT107" s="261"/>
      <c r="MU107" s="261"/>
      <c r="MV107" s="261"/>
      <c r="MW107" s="261"/>
      <c r="MX107" s="261"/>
      <c r="MY107" s="261"/>
      <c r="MZ107" s="261"/>
      <c r="NA107" s="261"/>
      <c r="NB107" s="261"/>
      <c r="NC107" s="261"/>
      <c r="ND107" s="261"/>
      <c r="NE107" s="261"/>
      <c r="NF107" s="261"/>
      <c r="NG107" s="261"/>
      <c r="NH107" s="261"/>
      <c r="NI107" s="261"/>
      <c r="NJ107" s="261"/>
      <c r="NK107" s="13"/>
      <c r="NL107" s="261"/>
      <c r="NM107" s="261"/>
      <c r="NN107" s="13"/>
    </row>
    <row r="108" spans="67:378" ht="10.75" customHeight="1" x14ac:dyDescent="0.2">
      <c r="BO108" s="12"/>
      <c r="BS108" s="12"/>
      <c r="BV108" s="12"/>
      <c r="DG108" s="13"/>
      <c r="DJ108" s="12"/>
      <c r="EO108" s="13"/>
      <c r="EP108" s="214"/>
      <c r="EQ108" s="208"/>
      <c r="GM108" s="13"/>
      <c r="GP108" s="13"/>
      <c r="GQ108" s="12"/>
      <c r="GT108" s="13"/>
      <c r="HV108" s="13"/>
      <c r="JK108" s="12"/>
      <c r="JL108" s="261"/>
      <c r="JM108" s="261"/>
      <c r="JN108" s="14"/>
      <c r="JO108" s="15"/>
      <c r="JP108" s="15"/>
      <c r="JQ108" s="15"/>
      <c r="JR108" s="15"/>
      <c r="JS108" s="15"/>
      <c r="JT108" s="15"/>
      <c r="JU108" s="15"/>
      <c r="JV108" s="15"/>
      <c r="JW108" s="15"/>
      <c r="JX108" s="15"/>
      <c r="JY108" s="15"/>
      <c r="JZ108" s="15"/>
      <c r="KA108" s="15"/>
      <c r="KB108" s="15"/>
      <c r="KC108" s="15"/>
      <c r="KD108" s="15"/>
      <c r="KE108" s="15"/>
      <c r="KF108" s="15"/>
      <c r="KG108" s="15"/>
      <c r="KH108" s="15"/>
      <c r="KI108" s="15"/>
      <c r="KJ108" s="15"/>
      <c r="KK108" s="15"/>
      <c r="KL108" s="15"/>
      <c r="KM108" s="15"/>
      <c r="KN108" s="15"/>
      <c r="KO108" s="15"/>
      <c r="KP108" s="15"/>
      <c r="KQ108" s="15"/>
      <c r="KR108" s="15"/>
      <c r="KS108" s="15"/>
      <c r="KT108" s="15"/>
      <c r="KU108" s="15"/>
      <c r="KV108" s="15"/>
      <c r="KW108" s="15"/>
      <c r="KX108" s="15"/>
      <c r="KY108" s="15"/>
      <c r="KZ108" s="15"/>
      <c r="LA108" s="15"/>
      <c r="LB108" s="15"/>
      <c r="LC108" s="15"/>
      <c r="LD108" s="15"/>
      <c r="LE108" s="15"/>
      <c r="LF108" s="15"/>
      <c r="LG108" s="15"/>
      <c r="LH108" s="15"/>
      <c r="LI108" s="15"/>
      <c r="LJ108" s="15"/>
      <c r="LK108" s="15"/>
      <c r="LL108" s="15"/>
      <c r="LM108" s="16"/>
      <c r="LN108" s="261"/>
      <c r="LO108" s="261"/>
      <c r="LP108" s="261"/>
      <c r="LQ108" s="261"/>
      <c r="LR108" s="261"/>
      <c r="LS108" s="261"/>
      <c r="LT108" s="261"/>
      <c r="LU108" s="261"/>
      <c r="LV108" s="261"/>
      <c r="LW108" s="261"/>
      <c r="LX108" s="261"/>
      <c r="LY108" s="261"/>
      <c r="LZ108" s="261"/>
      <c r="MA108" s="261"/>
      <c r="MB108" s="261"/>
      <c r="MC108" s="261"/>
      <c r="MD108" s="261"/>
      <c r="ME108" s="261"/>
      <c r="MF108" s="261"/>
      <c r="MG108" s="261"/>
      <c r="MH108" s="261"/>
      <c r="MI108" s="261"/>
      <c r="MJ108" s="261"/>
      <c r="MK108" s="261"/>
      <c r="ML108" s="261"/>
      <c r="MM108" s="261"/>
      <c r="MN108" s="261"/>
      <c r="MO108" s="261"/>
      <c r="MP108" s="261"/>
      <c r="MQ108" s="261"/>
      <c r="MR108" s="261"/>
      <c r="MS108" s="261"/>
      <c r="MT108" s="261"/>
      <c r="MU108" s="261"/>
      <c r="MV108" s="261"/>
      <c r="MW108" s="261"/>
      <c r="MX108" s="261"/>
      <c r="MY108" s="261"/>
      <c r="MZ108" s="261"/>
      <c r="NA108" s="261"/>
      <c r="NB108" s="261"/>
      <c r="NC108" s="261"/>
      <c r="ND108" s="261"/>
      <c r="NE108" s="261"/>
      <c r="NF108" s="261"/>
      <c r="NG108" s="261"/>
      <c r="NH108" s="261"/>
      <c r="NI108" s="261"/>
      <c r="NJ108" s="261"/>
      <c r="NK108" s="13"/>
      <c r="NL108" s="261"/>
      <c r="NM108" s="261"/>
      <c r="NN108" s="13"/>
    </row>
    <row r="109" spans="67:378" ht="10.75" customHeight="1" x14ac:dyDescent="0.2">
      <c r="BO109" s="12"/>
      <c r="BS109" s="12"/>
      <c r="BV109" s="12"/>
      <c r="DG109" s="13"/>
      <c r="DJ109" s="12"/>
      <c r="EO109" s="13"/>
      <c r="EP109" s="214"/>
      <c r="EQ109" s="208"/>
      <c r="GM109" s="13"/>
      <c r="GP109" s="13"/>
      <c r="GQ109" s="12"/>
      <c r="GT109" s="13"/>
      <c r="HV109" s="13"/>
      <c r="JK109" s="12"/>
      <c r="JL109" s="261"/>
      <c r="JM109" s="261"/>
      <c r="JN109" s="9"/>
      <c r="JO109" s="10"/>
      <c r="JP109" s="10"/>
      <c r="JQ109" s="10"/>
      <c r="JR109" s="10"/>
      <c r="JS109" s="10"/>
      <c r="JT109" s="10"/>
      <c r="JU109" s="10"/>
      <c r="JV109" s="10"/>
      <c r="JW109" s="10"/>
      <c r="JX109" s="10"/>
      <c r="JY109" s="10"/>
      <c r="JZ109" s="10"/>
      <c r="KA109" s="10"/>
      <c r="KB109" s="10"/>
      <c r="KC109" s="10"/>
      <c r="KD109" s="10"/>
      <c r="KE109" s="10"/>
      <c r="KF109" s="10"/>
      <c r="KG109" s="10"/>
      <c r="KH109" s="10"/>
      <c r="KI109" s="10"/>
      <c r="KJ109" s="10"/>
      <c r="KK109" s="10"/>
      <c r="KL109" s="10"/>
      <c r="KM109" s="10"/>
      <c r="KN109" s="10"/>
      <c r="KO109" s="10"/>
      <c r="KP109" s="10"/>
      <c r="KQ109" s="10"/>
      <c r="KR109" s="10"/>
      <c r="KS109" s="11"/>
      <c r="KT109" s="10"/>
      <c r="KU109" s="11"/>
      <c r="KV109" s="261"/>
      <c r="KW109" s="261"/>
      <c r="KX109" s="261"/>
      <c r="KY109" s="261"/>
      <c r="KZ109" s="261"/>
      <c r="LA109" s="261"/>
      <c r="LB109" s="261"/>
      <c r="LC109" s="261"/>
      <c r="LD109" s="261"/>
      <c r="LE109" s="261"/>
      <c r="LF109" s="261"/>
      <c r="LG109" s="261"/>
      <c r="LH109" s="261"/>
      <c r="LI109" s="261"/>
      <c r="LJ109" s="261"/>
      <c r="LK109" s="261"/>
      <c r="LL109" s="261"/>
      <c r="LM109" s="261"/>
      <c r="LN109" s="261"/>
      <c r="LO109" s="261"/>
      <c r="LP109" s="261"/>
      <c r="LQ109" s="261"/>
      <c r="LR109" s="261"/>
      <c r="LS109" s="261"/>
      <c r="LT109" s="261"/>
      <c r="LU109" s="261"/>
      <c r="LV109" s="261"/>
      <c r="LW109" s="261"/>
      <c r="LX109" s="261"/>
      <c r="LY109" s="261"/>
      <c r="LZ109" s="261"/>
      <c r="MA109" s="261"/>
      <c r="MB109" s="261"/>
      <c r="MC109" s="261"/>
      <c r="MD109" s="261"/>
      <c r="ME109" s="261"/>
      <c r="MF109" s="261"/>
      <c r="MG109" s="261"/>
      <c r="MH109" s="261"/>
      <c r="MI109" s="261"/>
      <c r="MJ109" s="261"/>
      <c r="MK109" s="261"/>
      <c r="ML109" s="261"/>
      <c r="MM109" s="261"/>
      <c r="MN109" s="261"/>
      <c r="MO109" s="261"/>
      <c r="MP109" s="261"/>
      <c r="MQ109" s="261"/>
      <c r="MR109" s="261"/>
      <c r="MS109" s="261"/>
      <c r="MT109" s="261"/>
      <c r="MU109" s="261"/>
      <c r="MV109" s="261"/>
      <c r="MW109" s="261"/>
      <c r="MX109" s="261"/>
      <c r="MY109" s="261"/>
      <c r="MZ109" s="261"/>
      <c r="NA109" s="261"/>
      <c r="NB109" s="261"/>
      <c r="NC109" s="261"/>
      <c r="ND109" s="261"/>
      <c r="NE109" s="261"/>
      <c r="NF109" s="261"/>
      <c r="NG109" s="261"/>
      <c r="NH109" s="261"/>
      <c r="NI109" s="261"/>
      <c r="NJ109" s="261"/>
      <c r="NK109" s="13"/>
      <c r="NL109" s="261"/>
      <c r="NM109" s="261"/>
      <c r="NN109" s="13"/>
    </row>
    <row r="110" spans="67:378" ht="10.75" customHeight="1" x14ac:dyDescent="0.2">
      <c r="BO110" s="12"/>
      <c r="BS110" s="12"/>
      <c r="BV110" s="12"/>
      <c r="DG110" s="13"/>
      <c r="DJ110" s="12"/>
      <c r="EO110" s="13"/>
      <c r="EP110" s="214"/>
      <c r="EQ110" s="208"/>
      <c r="GM110" s="13"/>
      <c r="GP110" s="13"/>
      <c r="GQ110" s="12"/>
      <c r="GT110" s="13"/>
      <c r="HV110" s="13"/>
      <c r="JK110" s="12"/>
      <c r="JL110" s="261"/>
      <c r="JM110" s="261"/>
      <c r="JN110" s="12"/>
      <c r="JO110" s="261"/>
      <c r="JP110" s="261"/>
      <c r="JQ110" s="261"/>
      <c r="JR110" s="261"/>
      <c r="JS110" s="261"/>
      <c r="JT110" s="261"/>
      <c r="JU110" s="261"/>
      <c r="JV110" s="261"/>
      <c r="JW110" s="261"/>
      <c r="JX110" s="261"/>
      <c r="JY110" s="261"/>
      <c r="JZ110" s="261"/>
      <c r="KA110" s="261"/>
      <c r="KB110" s="261"/>
      <c r="KC110" s="261"/>
      <c r="KD110" s="261"/>
      <c r="KE110" s="261"/>
      <c r="KF110" s="261"/>
      <c r="KG110" s="261"/>
      <c r="KH110" s="261"/>
      <c r="KI110" s="261"/>
      <c r="KJ110" s="261"/>
      <c r="KK110" s="261"/>
      <c r="KL110" s="261"/>
      <c r="KM110" s="261"/>
      <c r="KN110" s="261"/>
      <c r="KO110" s="261"/>
      <c r="KP110" s="261"/>
      <c r="KQ110" s="261"/>
      <c r="KR110" s="261"/>
      <c r="KS110" s="13"/>
      <c r="KT110" s="261"/>
      <c r="KU110" s="13"/>
      <c r="KV110" s="261"/>
      <c r="KW110" s="261"/>
      <c r="KX110" s="261"/>
      <c r="KY110" s="261"/>
      <c r="KZ110" s="261"/>
      <c r="LA110" s="261"/>
      <c r="LB110" s="261"/>
      <c r="LC110" s="261"/>
      <c r="LD110" s="261"/>
      <c r="LE110" s="261"/>
      <c r="LF110" s="261"/>
      <c r="LG110" s="261"/>
      <c r="LH110" s="261"/>
      <c r="LI110" s="261"/>
      <c r="LJ110" s="261"/>
      <c r="LK110" s="261"/>
      <c r="LL110" s="261"/>
      <c r="LM110" s="261"/>
      <c r="LN110" s="261"/>
      <c r="LO110" s="261"/>
      <c r="LP110" s="261"/>
      <c r="LQ110" s="261"/>
      <c r="LR110" s="261"/>
      <c r="LS110" s="261"/>
      <c r="LT110" s="261"/>
      <c r="LU110" s="261"/>
      <c r="LV110" s="261"/>
      <c r="LW110" s="261"/>
      <c r="LX110" s="261"/>
      <c r="LY110" s="261"/>
      <c r="LZ110" s="261"/>
      <c r="MA110" s="261"/>
      <c r="MB110" s="261"/>
      <c r="MC110" s="261"/>
      <c r="MD110" s="261"/>
      <c r="ME110" s="261"/>
      <c r="MF110" s="261"/>
      <c r="MG110" s="261"/>
      <c r="MH110" s="261"/>
      <c r="MI110" s="261"/>
      <c r="MJ110" s="261"/>
      <c r="MK110" s="261"/>
      <c r="ML110" s="261"/>
      <c r="MM110" s="261"/>
      <c r="MN110" s="261"/>
      <c r="MO110" s="261"/>
      <c r="MP110" s="261"/>
      <c r="MQ110" s="261"/>
      <c r="MR110" s="261"/>
      <c r="MS110" s="261"/>
      <c r="MT110" s="261"/>
      <c r="MU110" s="261"/>
      <c r="MV110" s="261"/>
      <c r="MW110" s="261"/>
      <c r="MX110" s="261"/>
      <c r="MY110" s="261"/>
      <c r="MZ110" s="261"/>
      <c r="NA110" s="261"/>
      <c r="NB110" s="261"/>
      <c r="NC110" s="261"/>
      <c r="ND110" s="261"/>
      <c r="NE110" s="261"/>
      <c r="NF110" s="261"/>
      <c r="NG110" s="261"/>
      <c r="NH110" s="261"/>
      <c r="NI110" s="261"/>
      <c r="NJ110" s="261"/>
      <c r="NK110" s="13"/>
      <c r="NL110" s="261"/>
      <c r="NM110" s="261"/>
      <c r="NN110" s="13"/>
    </row>
    <row r="111" spans="67:378" ht="10.75" customHeight="1" x14ac:dyDescent="0.2">
      <c r="BO111" s="12"/>
      <c r="BS111" s="12"/>
      <c r="BV111" s="12"/>
      <c r="DG111" s="13"/>
      <c r="DJ111" s="12"/>
      <c r="DR111" s="15"/>
      <c r="DS111" s="15"/>
      <c r="DT111" s="15"/>
      <c r="DU111" s="15"/>
      <c r="DV111" s="15"/>
      <c r="DW111" s="15"/>
      <c r="DX111" s="15"/>
      <c r="DY111" s="15"/>
      <c r="DZ111" s="15"/>
      <c r="EA111" s="15"/>
      <c r="EB111" s="15"/>
      <c r="EC111" s="15"/>
      <c r="ED111" s="15"/>
      <c r="EE111" s="15"/>
      <c r="EF111" s="15"/>
      <c r="EG111" s="15"/>
      <c r="EO111" s="13"/>
      <c r="EP111" s="214"/>
      <c r="EQ111" s="208"/>
      <c r="GM111" s="13"/>
      <c r="GP111" s="13"/>
      <c r="GQ111" s="12"/>
      <c r="GT111" s="13"/>
      <c r="HV111" s="13"/>
      <c r="JK111" s="12"/>
      <c r="JL111" s="261"/>
      <c r="JM111" s="261"/>
      <c r="JN111" s="12"/>
      <c r="JO111" s="261"/>
      <c r="JP111" s="261"/>
      <c r="JQ111" s="261"/>
      <c r="JR111" s="261"/>
      <c r="JS111" s="261"/>
      <c r="JT111" s="261"/>
      <c r="JU111" s="261"/>
      <c r="JV111" s="261"/>
      <c r="JW111" s="261"/>
      <c r="JX111" s="261"/>
      <c r="JY111" s="261"/>
      <c r="JZ111" s="261"/>
      <c r="KA111" s="261"/>
      <c r="KB111" s="261"/>
      <c r="KC111" s="261"/>
      <c r="KD111" s="261"/>
      <c r="KE111" s="261"/>
      <c r="KF111" s="261"/>
      <c r="KG111" s="261"/>
      <c r="KH111" s="261"/>
      <c r="KI111" s="261"/>
      <c r="KJ111" s="261"/>
      <c r="KK111" s="261"/>
      <c r="KL111" s="261"/>
      <c r="KM111" s="261"/>
      <c r="KN111" s="261"/>
      <c r="KO111" s="261"/>
      <c r="KP111" s="261"/>
      <c r="KQ111" s="261"/>
      <c r="KR111" s="261"/>
      <c r="KS111" s="13"/>
      <c r="KT111" s="261"/>
      <c r="KU111" s="13"/>
      <c r="KV111" s="261"/>
      <c r="KW111" s="261"/>
      <c r="KX111" s="261"/>
      <c r="KY111" s="261"/>
      <c r="KZ111" s="261"/>
      <c r="LA111" s="261"/>
      <c r="LB111" s="261"/>
      <c r="LC111" s="261"/>
      <c r="LD111" s="261"/>
      <c r="LE111" s="261"/>
      <c r="LF111" s="261"/>
      <c r="LG111" s="261"/>
      <c r="LH111" s="261"/>
      <c r="LI111" s="261"/>
      <c r="LJ111" s="261"/>
      <c r="LK111" s="261"/>
      <c r="LL111" s="261"/>
      <c r="LM111" s="261"/>
      <c r="LN111" s="261"/>
      <c r="LO111" s="261"/>
      <c r="LP111" s="261"/>
      <c r="LQ111" s="261"/>
      <c r="LR111" s="261"/>
      <c r="LS111" s="261"/>
      <c r="LT111" s="261"/>
      <c r="LU111" s="261"/>
      <c r="LV111" s="261"/>
      <c r="LW111" s="261"/>
      <c r="LX111" s="261"/>
      <c r="LY111" s="261"/>
      <c r="LZ111" s="261"/>
      <c r="MA111" s="261"/>
      <c r="MB111" s="261"/>
      <c r="MC111" s="261"/>
      <c r="MD111" s="261"/>
      <c r="ME111" s="261"/>
      <c r="MF111" s="261"/>
      <c r="MG111" s="261"/>
      <c r="MH111" s="261"/>
      <c r="MI111" s="261"/>
      <c r="MJ111" s="261"/>
      <c r="MK111" s="261"/>
      <c r="ML111" s="261"/>
      <c r="MM111" s="261"/>
      <c r="MN111" s="261"/>
      <c r="MO111" s="261"/>
      <c r="MP111" s="261"/>
      <c r="MQ111" s="261"/>
      <c r="MR111" s="261"/>
      <c r="MS111" s="261"/>
      <c r="MT111" s="261"/>
      <c r="MU111" s="261"/>
      <c r="MV111" s="261"/>
      <c r="MW111" s="261"/>
      <c r="MX111" s="261"/>
      <c r="MY111" s="261"/>
      <c r="MZ111" s="261"/>
      <c r="NA111" s="261"/>
      <c r="NB111" s="261"/>
      <c r="NC111" s="261"/>
      <c r="ND111" s="261"/>
      <c r="NE111" s="261"/>
      <c r="NF111" s="261"/>
      <c r="NG111" s="261"/>
      <c r="NH111" s="261"/>
      <c r="NI111" s="261"/>
      <c r="NJ111" s="261"/>
      <c r="NK111" s="13"/>
      <c r="NL111" s="261"/>
      <c r="NM111" s="261"/>
      <c r="NN111" s="13"/>
    </row>
    <row r="112" spans="67:378" ht="10.75" customHeight="1" x14ac:dyDescent="0.2">
      <c r="BO112" s="12"/>
      <c r="BS112" s="12"/>
      <c r="BV112" s="12"/>
      <c r="DG112" s="13"/>
      <c r="DJ112" s="12"/>
      <c r="DQ112" s="13"/>
      <c r="EH112" s="12"/>
      <c r="EO112" s="13"/>
      <c r="EP112" s="214"/>
      <c r="EQ112" s="208"/>
      <c r="GM112" s="13"/>
      <c r="GP112" s="13"/>
      <c r="GQ112" s="12"/>
      <c r="GT112" s="13"/>
      <c r="HV112" s="13"/>
      <c r="JK112" s="12"/>
      <c r="JL112" s="261"/>
      <c r="JM112" s="261"/>
      <c r="JN112" s="12"/>
      <c r="JO112" s="261"/>
      <c r="JP112" s="261"/>
      <c r="JQ112" s="261"/>
      <c r="JR112" s="261"/>
      <c r="JS112" s="261"/>
      <c r="JT112" s="261"/>
      <c r="JU112" s="261"/>
      <c r="JV112" s="261"/>
      <c r="JW112" s="261"/>
      <c r="JX112" s="261"/>
      <c r="JY112" s="261"/>
      <c r="JZ112" s="261"/>
      <c r="KA112" s="261"/>
      <c r="KB112" s="261"/>
      <c r="KC112" s="261"/>
      <c r="KD112" s="261"/>
      <c r="KE112" s="261"/>
      <c r="KF112" s="261"/>
      <c r="KG112" s="261"/>
      <c r="KH112" s="261"/>
      <c r="KI112" s="261"/>
      <c r="KJ112" s="261"/>
      <c r="KK112" s="261"/>
      <c r="KL112" s="261"/>
      <c r="KM112" s="261"/>
      <c r="KN112" s="261"/>
      <c r="KO112" s="261"/>
      <c r="KP112" s="261"/>
      <c r="KQ112" s="261"/>
      <c r="KR112" s="261"/>
      <c r="KS112" s="13"/>
      <c r="KT112" s="261"/>
      <c r="KU112" s="13"/>
      <c r="KV112" s="261"/>
      <c r="KW112" s="261"/>
      <c r="KX112" s="261"/>
      <c r="KY112" s="261"/>
      <c r="KZ112" s="261"/>
      <c r="LA112" s="261"/>
      <c r="LB112" s="261"/>
      <c r="LC112" s="261"/>
      <c r="LD112" s="261"/>
      <c r="LE112" s="261"/>
      <c r="LF112" s="261"/>
      <c r="LG112" s="261"/>
      <c r="LH112" s="261"/>
      <c r="LI112" s="261"/>
      <c r="LJ112" s="261"/>
      <c r="LK112" s="261"/>
      <c r="LL112" s="261"/>
      <c r="LM112" s="261"/>
      <c r="LN112" s="261"/>
      <c r="LO112" s="261"/>
      <c r="LP112" s="261"/>
      <c r="LQ112" s="261"/>
      <c r="LR112" s="261"/>
      <c r="LS112" s="261"/>
      <c r="LT112" s="261"/>
      <c r="LU112" s="261"/>
      <c r="LV112" s="261"/>
      <c r="LW112" s="261"/>
      <c r="LX112" s="261"/>
      <c r="LY112" s="261"/>
      <c r="LZ112" s="261"/>
      <c r="MA112" s="261"/>
      <c r="MB112" s="261"/>
      <c r="MC112" s="261"/>
      <c r="MD112" s="261"/>
      <c r="ME112" s="261"/>
      <c r="MF112" s="261"/>
      <c r="MG112" s="261"/>
      <c r="MH112" s="261"/>
      <c r="MI112" s="261"/>
      <c r="MJ112" s="261"/>
      <c r="MK112" s="261"/>
      <c r="ML112" s="261"/>
      <c r="MM112" s="261"/>
      <c r="MN112" s="261"/>
      <c r="MO112" s="261"/>
      <c r="MP112" s="261"/>
      <c r="MQ112" s="261"/>
      <c r="MR112" s="261"/>
      <c r="MS112" s="261"/>
      <c r="MT112" s="261"/>
      <c r="MU112" s="261"/>
      <c r="MV112" s="261"/>
      <c r="MW112" s="261"/>
      <c r="MX112" s="261"/>
      <c r="MY112" s="261"/>
      <c r="MZ112" s="261"/>
      <c r="NA112" s="261"/>
      <c r="NB112" s="261"/>
      <c r="NC112" s="261"/>
      <c r="ND112" s="261"/>
      <c r="NE112" s="261"/>
      <c r="NF112" s="261"/>
      <c r="NG112" s="261"/>
      <c r="NH112" s="261"/>
      <c r="NI112" s="261"/>
      <c r="NJ112" s="261"/>
      <c r="NK112" s="13"/>
      <c r="NL112" s="261"/>
      <c r="NM112" s="261"/>
      <c r="NN112" s="13"/>
    </row>
    <row r="113" spans="67:378" ht="10.75" customHeight="1" x14ac:dyDescent="0.2">
      <c r="BO113" s="12"/>
      <c r="BS113" s="12"/>
      <c r="BV113" s="12"/>
      <c r="DG113" s="13"/>
      <c r="DJ113" s="12"/>
      <c r="DQ113" s="13"/>
      <c r="EH113" s="12"/>
      <c r="EO113" s="13"/>
      <c r="EP113" s="214"/>
      <c r="EQ113" s="208"/>
      <c r="GM113" s="13"/>
      <c r="GP113" s="13"/>
      <c r="GQ113" s="12"/>
      <c r="GT113" s="13"/>
      <c r="HV113" s="13"/>
      <c r="JK113" s="12"/>
      <c r="JL113" s="261"/>
      <c r="JM113" s="261"/>
      <c r="JN113" s="12"/>
      <c r="JO113" s="261"/>
      <c r="JP113" s="261"/>
      <c r="JQ113" s="261"/>
      <c r="JR113" s="261"/>
      <c r="JS113" s="261"/>
      <c r="JT113" s="261"/>
      <c r="JU113" s="261"/>
      <c r="JV113" s="261"/>
      <c r="JW113" s="261"/>
      <c r="JX113" s="261"/>
      <c r="JY113" s="261"/>
      <c r="JZ113" s="261"/>
      <c r="KA113" s="261"/>
      <c r="KB113" s="261"/>
      <c r="KC113" s="261"/>
      <c r="KD113" s="261"/>
      <c r="KE113" s="261"/>
      <c r="KF113" s="261"/>
      <c r="KG113" s="261"/>
      <c r="KH113" s="261"/>
      <c r="KI113" s="261"/>
      <c r="KJ113" s="261"/>
      <c r="KK113" s="261"/>
      <c r="KL113" s="261"/>
      <c r="KM113" s="261"/>
      <c r="KN113" s="261"/>
      <c r="KO113" s="261"/>
      <c r="KP113" s="261"/>
      <c r="KQ113" s="261"/>
      <c r="KR113" s="261"/>
      <c r="KS113" s="13"/>
      <c r="KT113" s="261"/>
      <c r="KU113" s="13"/>
      <c r="KV113" s="261"/>
      <c r="KW113" s="261"/>
      <c r="KX113" s="261"/>
      <c r="KY113" s="261"/>
      <c r="KZ113" s="261"/>
      <c r="LA113" s="261"/>
      <c r="LB113" s="261"/>
      <c r="LC113" s="261"/>
      <c r="LD113" s="261"/>
      <c r="LE113" s="261"/>
      <c r="LF113" s="261"/>
      <c r="LG113" s="261"/>
      <c r="LH113" s="261"/>
      <c r="LI113" s="261"/>
      <c r="LJ113" s="261"/>
      <c r="LK113" s="261"/>
      <c r="LL113" s="261"/>
      <c r="LM113" s="261"/>
      <c r="LN113" s="261"/>
      <c r="LO113" s="261"/>
      <c r="LP113" s="261"/>
      <c r="LQ113" s="261"/>
      <c r="LR113" s="261"/>
      <c r="LS113" s="261"/>
      <c r="LT113" s="261"/>
      <c r="LU113" s="261"/>
      <c r="LV113" s="261"/>
      <c r="LW113" s="261"/>
      <c r="LX113" s="261"/>
      <c r="LY113" s="261"/>
      <c r="LZ113" s="261"/>
      <c r="MA113" s="261"/>
      <c r="MB113" s="261"/>
      <c r="MC113" s="261"/>
      <c r="MD113" s="261"/>
      <c r="ME113" s="261"/>
      <c r="MF113" s="261"/>
      <c r="MG113" s="261"/>
      <c r="MH113" s="261"/>
      <c r="MI113" s="261"/>
      <c r="MJ113" s="261"/>
      <c r="MK113" s="261"/>
      <c r="ML113" s="261"/>
      <c r="MM113" s="261"/>
      <c r="MN113" s="261"/>
      <c r="MO113" s="261"/>
      <c r="MP113" s="261"/>
      <c r="MQ113" s="261"/>
      <c r="MR113" s="261"/>
      <c r="MS113" s="261"/>
      <c r="MT113" s="261"/>
      <c r="MU113" s="261"/>
      <c r="MV113" s="261"/>
      <c r="MW113" s="261"/>
      <c r="MX113" s="261"/>
      <c r="MY113" s="261"/>
      <c r="MZ113" s="261"/>
      <c r="NA113" s="261"/>
      <c r="NB113" s="261"/>
      <c r="NC113" s="261"/>
      <c r="ND113" s="261"/>
      <c r="NE113" s="261"/>
      <c r="NF113" s="261"/>
      <c r="NG113" s="261"/>
      <c r="NH113" s="261"/>
      <c r="NI113" s="261"/>
      <c r="NJ113" s="261"/>
      <c r="NK113" s="13"/>
      <c r="NL113" s="261"/>
      <c r="NM113" s="261"/>
      <c r="NN113" s="13"/>
    </row>
    <row r="114" spans="67:378" ht="10.75" customHeight="1" x14ac:dyDescent="0.2">
      <c r="BO114" s="12"/>
      <c r="BS114" s="12"/>
      <c r="BV114" s="12"/>
      <c r="DG114" s="13"/>
      <c r="DJ114" s="12"/>
      <c r="DQ114" s="13"/>
      <c r="EH114" s="12"/>
      <c r="EO114" s="13"/>
      <c r="EP114" s="214"/>
      <c r="EQ114" s="208"/>
      <c r="GM114" s="13"/>
      <c r="GP114" s="13"/>
      <c r="GQ114" s="12"/>
      <c r="GT114" s="13"/>
      <c r="HV114" s="13"/>
      <c r="JK114" s="12"/>
      <c r="JL114" s="261"/>
      <c r="JM114" s="261"/>
      <c r="JN114" s="12"/>
      <c r="JO114" s="261"/>
      <c r="JP114" s="261"/>
      <c r="JQ114" s="261"/>
      <c r="JR114" s="261"/>
      <c r="JS114" s="261"/>
      <c r="JT114" s="261"/>
      <c r="JU114" s="261"/>
      <c r="JV114" s="261"/>
      <c r="JW114" s="261"/>
      <c r="JX114" s="261"/>
      <c r="JY114" s="261"/>
      <c r="JZ114" s="261"/>
      <c r="KA114" s="261"/>
      <c r="KB114" s="261"/>
      <c r="KC114" s="261"/>
      <c r="KD114" s="261"/>
      <c r="KE114" s="261"/>
      <c r="KF114" s="261"/>
      <c r="KG114" s="261"/>
      <c r="KH114" s="261"/>
      <c r="KI114" s="261"/>
      <c r="KJ114" s="261"/>
      <c r="KK114" s="261"/>
      <c r="KL114" s="261"/>
      <c r="KM114" s="261"/>
      <c r="KN114" s="261"/>
      <c r="KO114" s="261"/>
      <c r="KP114" s="261"/>
      <c r="KQ114" s="261"/>
      <c r="KR114" s="261"/>
      <c r="KS114" s="13"/>
      <c r="KT114" s="261"/>
      <c r="KU114" s="13"/>
      <c r="KV114" s="261"/>
      <c r="KW114" s="261"/>
      <c r="KX114" s="261"/>
      <c r="KY114" s="261"/>
      <c r="KZ114" s="261"/>
      <c r="LA114" s="261"/>
      <c r="LB114" s="261"/>
      <c r="LC114" s="261"/>
      <c r="LD114" s="261"/>
      <c r="LE114" s="261"/>
      <c r="LF114" s="261"/>
      <c r="LG114" s="261"/>
      <c r="LH114" s="261"/>
      <c r="LI114" s="261"/>
      <c r="LJ114" s="261"/>
      <c r="LK114" s="261"/>
      <c r="LL114" s="261"/>
      <c r="LM114" s="261"/>
      <c r="LN114" s="261"/>
      <c r="LO114" s="261"/>
      <c r="LP114" s="261"/>
      <c r="LQ114" s="261"/>
      <c r="LR114" s="261"/>
      <c r="LS114" s="261"/>
      <c r="LT114" s="261"/>
      <c r="LU114" s="261"/>
      <c r="LV114" s="261"/>
      <c r="LW114" s="261"/>
      <c r="LX114" s="261"/>
      <c r="LY114" s="261"/>
      <c r="LZ114" s="261"/>
      <c r="MA114" s="261"/>
      <c r="MB114" s="261"/>
      <c r="MC114" s="261"/>
      <c r="MD114" s="261"/>
      <c r="ME114" s="261"/>
      <c r="MF114" s="261"/>
      <c r="MG114" s="261"/>
      <c r="MH114" s="261"/>
      <c r="MI114" s="261"/>
      <c r="MJ114" s="261"/>
      <c r="MK114" s="261"/>
      <c r="ML114" s="261"/>
      <c r="MM114" s="261"/>
      <c r="MN114" s="261"/>
      <c r="MO114" s="261"/>
      <c r="MP114" s="261"/>
      <c r="MQ114" s="261"/>
      <c r="MR114" s="261"/>
      <c r="MS114" s="261"/>
      <c r="MT114" s="261"/>
      <c r="MU114" s="261"/>
      <c r="MV114" s="261"/>
      <c r="MW114" s="261"/>
      <c r="MX114" s="261"/>
      <c r="MY114" s="261"/>
      <c r="MZ114" s="261"/>
      <c r="NA114" s="261"/>
      <c r="NB114" s="261"/>
      <c r="NC114" s="261"/>
      <c r="ND114" s="261"/>
      <c r="NE114" s="261"/>
      <c r="NF114" s="261"/>
      <c r="NG114" s="261"/>
      <c r="NH114" s="261"/>
      <c r="NI114" s="261"/>
      <c r="NJ114" s="261"/>
      <c r="NK114" s="13"/>
      <c r="NL114" s="261"/>
      <c r="NM114" s="261"/>
      <c r="NN114" s="13"/>
    </row>
    <row r="115" spans="67:378" ht="10.75" customHeight="1" x14ac:dyDescent="0.2">
      <c r="BO115" s="12"/>
      <c r="BS115" s="12"/>
      <c r="BV115" s="12"/>
      <c r="DG115" s="13"/>
      <c r="DJ115" s="12"/>
      <c r="DQ115" s="13"/>
      <c r="EH115" s="12"/>
      <c r="EO115" s="13"/>
      <c r="EP115" s="214"/>
      <c r="EQ115" s="208"/>
      <c r="GM115" s="13"/>
      <c r="GP115" s="13"/>
      <c r="GQ115" s="12"/>
      <c r="GT115" s="13"/>
      <c r="HV115" s="13"/>
      <c r="JK115" s="12"/>
      <c r="JL115" s="261"/>
      <c r="JM115" s="261"/>
      <c r="JN115" s="12"/>
      <c r="JO115" s="261"/>
      <c r="JP115" s="261"/>
      <c r="JQ115" s="261"/>
      <c r="JR115" s="261"/>
      <c r="JS115" s="261"/>
      <c r="JT115" s="261"/>
      <c r="JU115" s="261"/>
      <c r="JV115" s="261"/>
      <c r="JW115" s="261"/>
      <c r="JX115" s="261"/>
      <c r="JY115" s="261"/>
      <c r="JZ115" s="261"/>
      <c r="KA115" s="261"/>
      <c r="KB115" s="261"/>
      <c r="KC115" s="261"/>
      <c r="KD115" s="261"/>
      <c r="KE115" s="261"/>
      <c r="KF115" s="261"/>
      <c r="KG115" s="261"/>
      <c r="KH115" s="261"/>
      <c r="KI115" s="261"/>
      <c r="KJ115" s="261"/>
      <c r="KK115" s="261"/>
      <c r="KL115" s="261"/>
      <c r="KM115" s="261"/>
      <c r="KN115" s="261"/>
      <c r="KO115" s="261"/>
      <c r="KP115" s="261"/>
      <c r="KQ115" s="261"/>
      <c r="KR115" s="261"/>
      <c r="KS115" s="13"/>
      <c r="KT115" s="261"/>
      <c r="KU115" s="13"/>
      <c r="KV115" s="261"/>
      <c r="KW115" s="261"/>
      <c r="KX115" s="261"/>
      <c r="KY115" s="261"/>
      <c r="KZ115" s="261"/>
      <c r="LA115" s="261"/>
      <c r="LB115" s="261"/>
      <c r="LC115" s="261"/>
      <c r="LD115" s="261"/>
      <c r="LE115" s="261"/>
      <c r="LF115" s="261"/>
      <c r="LG115" s="261"/>
      <c r="LH115" s="261"/>
      <c r="LI115" s="261"/>
      <c r="LJ115" s="261"/>
      <c r="LK115" s="261"/>
      <c r="LL115" s="261"/>
      <c r="LM115" s="261"/>
      <c r="LN115" s="261"/>
      <c r="LO115" s="261"/>
      <c r="LP115" s="261"/>
      <c r="LQ115" s="261"/>
      <c r="LR115" s="261"/>
      <c r="LS115" s="261"/>
      <c r="LT115" s="261"/>
      <c r="LU115" s="261"/>
      <c r="LV115" s="261"/>
      <c r="LW115" s="261"/>
      <c r="LX115" s="261"/>
      <c r="LY115" s="261"/>
      <c r="LZ115" s="261"/>
      <c r="MA115" s="261"/>
      <c r="MB115" s="261"/>
      <c r="MC115" s="261"/>
      <c r="MD115" s="261"/>
      <c r="ME115" s="261"/>
      <c r="MF115" s="261"/>
      <c r="MG115" s="261"/>
      <c r="MH115" s="261"/>
      <c r="MI115" s="261"/>
      <c r="MJ115" s="261"/>
      <c r="MK115" s="261"/>
      <c r="ML115" s="261"/>
      <c r="MM115" s="261"/>
      <c r="MN115" s="261"/>
      <c r="MO115" s="261"/>
      <c r="MP115" s="261"/>
      <c r="MQ115" s="261"/>
      <c r="MR115" s="261"/>
      <c r="MS115" s="261"/>
      <c r="MT115" s="261"/>
      <c r="MU115" s="261"/>
      <c r="MV115" s="261"/>
      <c r="MW115" s="261"/>
      <c r="MX115" s="261"/>
      <c r="MY115" s="261"/>
      <c r="MZ115" s="261"/>
      <c r="NA115" s="261"/>
      <c r="NB115" s="261"/>
      <c r="NC115" s="261"/>
      <c r="ND115" s="261"/>
      <c r="NE115" s="261"/>
      <c r="NF115" s="261"/>
      <c r="NG115" s="261"/>
      <c r="NH115" s="261"/>
      <c r="NI115" s="261"/>
      <c r="NJ115" s="261"/>
      <c r="NK115" s="13"/>
      <c r="NL115" s="261"/>
      <c r="NM115" s="261"/>
      <c r="NN115" s="13"/>
    </row>
    <row r="116" spans="67:378" ht="10.75" customHeight="1" x14ac:dyDescent="0.2">
      <c r="BO116" s="12"/>
      <c r="BS116" s="12"/>
      <c r="BV116" s="12"/>
      <c r="DG116" s="13"/>
      <c r="DJ116" s="12"/>
      <c r="DQ116" s="13"/>
      <c r="EH116" s="12"/>
      <c r="EO116" s="13"/>
      <c r="EP116" s="214"/>
      <c r="EQ116" s="208"/>
      <c r="GM116" s="13"/>
      <c r="GP116" s="13"/>
      <c r="GQ116" s="12"/>
      <c r="GT116" s="13"/>
      <c r="HV116" s="13"/>
      <c r="JK116" s="12"/>
      <c r="JL116" s="261"/>
      <c r="JM116" s="261"/>
      <c r="JN116" s="12"/>
      <c r="JO116" s="261"/>
      <c r="JP116" s="261"/>
      <c r="JQ116" s="261"/>
      <c r="JR116" s="261"/>
      <c r="JS116" s="261"/>
      <c r="JT116" s="261"/>
      <c r="JU116" s="261"/>
      <c r="JV116" s="261"/>
      <c r="JW116" s="261"/>
      <c r="JX116" s="261"/>
      <c r="JY116" s="261"/>
      <c r="JZ116" s="261"/>
      <c r="KA116" s="261"/>
      <c r="KB116" s="261"/>
      <c r="KC116" s="261"/>
      <c r="KD116" s="261"/>
      <c r="KE116" s="261"/>
      <c r="KF116" s="261"/>
      <c r="KG116" s="261"/>
      <c r="KH116" s="261"/>
      <c r="KI116" s="261"/>
      <c r="KJ116" s="261"/>
      <c r="KK116" s="261"/>
      <c r="KL116" s="261"/>
      <c r="KM116" s="261"/>
      <c r="KN116" s="261"/>
      <c r="KO116" s="261"/>
      <c r="KP116" s="261"/>
      <c r="KQ116" s="261"/>
      <c r="KR116" s="261"/>
      <c r="KS116" s="13"/>
      <c r="KT116" s="261"/>
      <c r="KU116" s="13"/>
      <c r="KV116" s="261"/>
      <c r="KW116" s="261"/>
      <c r="KX116" s="261"/>
      <c r="KY116" s="261"/>
      <c r="KZ116" s="261"/>
      <c r="LA116" s="261"/>
      <c r="LB116" s="261"/>
      <c r="LC116" s="261"/>
      <c r="LD116" s="261"/>
      <c r="LE116" s="261"/>
      <c r="LF116" s="261"/>
      <c r="LG116" s="261"/>
      <c r="LH116" s="261"/>
      <c r="LI116" s="261"/>
      <c r="LJ116" s="261"/>
      <c r="LK116" s="261"/>
      <c r="LL116" s="261"/>
      <c r="LM116" s="261"/>
      <c r="LN116" s="261"/>
      <c r="LO116" s="261"/>
      <c r="LP116" s="261"/>
      <c r="LQ116" s="261"/>
      <c r="LR116" s="261"/>
      <c r="LS116" s="261"/>
      <c r="LT116" s="261"/>
      <c r="LU116" s="261"/>
      <c r="LV116" s="261"/>
      <c r="LW116" s="261"/>
      <c r="LX116" s="261"/>
      <c r="LY116" s="261"/>
      <c r="LZ116" s="261"/>
      <c r="MA116" s="261"/>
      <c r="MB116" s="261"/>
      <c r="MC116" s="261"/>
      <c r="MD116" s="261"/>
      <c r="ME116" s="261"/>
      <c r="MF116" s="261"/>
      <c r="MG116" s="261"/>
      <c r="MH116" s="261"/>
      <c r="MI116" s="261"/>
      <c r="MJ116" s="261"/>
      <c r="MK116" s="261"/>
      <c r="ML116" s="261"/>
      <c r="MM116" s="261"/>
      <c r="MN116" s="261"/>
      <c r="MO116" s="261"/>
      <c r="MP116" s="261"/>
      <c r="MQ116" s="261"/>
      <c r="MR116" s="261"/>
      <c r="MS116" s="261"/>
      <c r="MT116" s="261"/>
      <c r="MU116" s="261"/>
      <c r="MV116" s="261"/>
      <c r="MW116" s="261"/>
      <c r="MX116" s="261"/>
      <c r="MY116" s="261"/>
      <c r="MZ116" s="261"/>
      <c r="NA116" s="261"/>
      <c r="NB116" s="261"/>
      <c r="NC116" s="261"/>
      <c r="ND116" s="261"/>
      <c r="NE116" s="261"/>
      <c r="NF116" s="261"/>
      <c r="NG116" s="261"/>
      <c r="NH116" s="261"/>
      <c r="NI116" s="261"/>
      <c r="NJ116" s="261"/>
      <c r="NK116" s="13"/>
      <c r="NL116" s="261"/>
      <c r="NM116" s="261"/>
      <c r="NN116" s="13"/>
    </row>
    <row r="117" spans="67:378" ht="10.75" customHeight="1" x14ac:dyDescent="0.2">
      <c r="BO117" s="12"/>
      <c r="BS117" s="12"/>
      <c r="BV117" s="12"/>
      <c r="DG117" s="13"/>
      <c r="DJ117" s="12"/>
      <c r="DQ117" s="13"/>
      <c r="EH117" s="12"/>
      <c r="EO117" s="13"/>
      <c r="EP117" s="214"/>
      <c r="EQ117" s="208"/>
      <c r="GM117" s="13"/>
      <c r="GP117" s="13"/>
      <c r="GQ117" s="12"/>
      <c r="GT117" s="13"/>
      <c r="HV117" s="13"/>
      <c r="JK117" s="12"/>
      <c r="JL117" s="261"/>
      <c r="JM117" s="261"/>
      <c r="JN117" s="12"/>
      <c r="JO117" s="261"/>
      <c r="JP117" s="261"/>
      <c r="JQ117" s="261"/>
      <c r="JR117" s="261"/>
      <c r="JS117" s="261"/>
      <c r="JT117" s="261"/>
      <c r="JU117" s="261"/>
      <c r="JV117" s="261"/>
      <c r="JW117" s="261"/>
      <c r="JX117" s="261"/>
      <c r="JY117" s="261"/>
      <c r="JZ117" s="261"/>
      <c r="KA117" s="261"/>
      <c r="KB117" s="261"/>
      <c r="KC117" s="261"/>
      <c r="KD117" s="261"/>
      <c r="KE117" s="261"/>
      <c r="KF117" s="261"/>
      <c r="KG117" s="261"/>
      <c r="KH117" s="261"/>
      <c r="KI117" s="261"/>
      <c r="KJ117" s="261"/>
      <c r="KK117" s="261"/>
      <c r="KL117" s="261"/>
      <c r="KM117" s="261"/>
      <c r="KN117" s="261"/>
      <c r="KO117" s="261"/>
      <c r="KP117" s="261"/>
      <c r="KQ117" s="261"/>
      <c r="KR117" s="261"/>
      <c r="KS117" s="13"/>
      <c r="KT117" s="261"/>
      <c r="KU117" s="13"/>
      <c r="KV117" s="261"/>
      <c r="KW117" s="261"/>
      <c r="KX117" s="261"/>
      <c r="KY117" s="261"/>
      <c r="KZ117" s="261"/>
      <c r="LA117" s="261"/>
      <c r="LB117" s="261"/>
      <c r="LC117" s="261"/>
      <c r="LD117" s="261"/>
      <c r="LE117" s="261"/>
      <c r="LF117" s="261"/>
      <c r="LG117" s="261"/>
      <c r="LH117" s="261"/>
      <c r="LI117" s="261"/>
      <c r="LJ117" s="261"/>
      <c r="LK117" s="261"/>
      <c r="LL117" s="261"/>
      <c r="LM117" s="261"/>
      <c r="LN117" s="261"/>
      <c r="LO117" s="261"/>
      <c r="LP117" s="261"/>
      <c r="LQ117" s="261"/>
      <c r="LR117" s="261"/>
      <c r="LS117" s="261"/>
      <c r="LT117" s="261"/>
      <c r="LU117" s="261"/>
      <c r="LV117" s="261"/>
      <c r="LW117" s="261"/>
      <c r="LX117" s="261"/>
      <c r="LY117" s="261"/>
      <c r="LZ117" s="261"/>
      <c r="MA117" s="261"/>
      <c r="MB117" s="261"/>
      <c r="MC117" s="261"/>
      <c r="MD117" s="261"/>
      <c r="ME117" s="261"/>
      <c r="MF117" s="261"/>
      <c r="MG117" s="261"/>
      <c r="MH117" s="261"/>
      <c r="MI117" s="261"/>
      <c r="MJ117" s="261"/>
      <c r="MK117" s="261"/>
      <c r="ML117" s="261"/>
      <c r="MM117" s="261"/>
      <c r="MN117" s="261"/>
      <c r="MO117" s="261"/>
      <c r="MP117" s="261"/>
      <c r="MQ117" s="261"/>
      <c r="MR117" s="261"/>
      <c r="MS117" s="261"/>
      <c r="MT117" s="261"/>
      <c r="MU117" s="261"/>
      <c r="MV117" s="261"/>
      <c r="MW117" s="261"/>
      <c r="MX117" s="261"/>
      <c r="MY117" s="261"/>
      <c r="MZ117" s="261"/>
      <c r="NA117" s="261"/>
      <c r="NB117" s="261"/>
      <c r="NC117" s="261"/>
      <c r="ND117" s="261"/>
      <c r="NE117" s="261"/>
      <c r="NF117" s="261"/>
      <c r="NG117" s="261"/>
      <c r="NH117" s="261"/>
      <c r="NI117" s="261"/>
      <c r="NJ117" s="261"/>
      <c r="NK117" s="13"/>
      <c r="NL117" s="261"/>
      <c r="NM117" s="261"/>
      <c r="NN117" s="13"/>
    </row>
    <row r="118" spans="67:378" ht="10.75" customHeight="1" x14ac:dyDescent="0.2">
      <c r="BO118" s="12"/>
      <c r="BS118" s="12"/>
      <c r="BV118" s="12"/>
      <c r="DG118" s="13"/>
      <c r="DJ118" s="12"/>
      <c r="DQ118" s="13"/>
      <c r="EH118" s="12"/>
      <c r="EO118" s="13"/>
      <c r="EP118" s="214"/>
      <c r="EQ118" s="208"/>
      <c r="GM118" s="13"/>
      <c r="GP118" s="13"/>
      <c r="GQ118" s="12"/>
      <c r="GT118" s="13"/>
      <c r="HV118" s="13"/>
      <c r="JK118" s="12"/>
      <c r="JL118" s="261"/>
      <c r="JM118" s="261"/>
      <c r="JN118" s="12"/>
      <c r="JO118" s="261"/>
      <c r="JP118" s="261"/>
      <c r="JQ118" s="261"/>
      <c r="JR118" s="261"/>
      <c r="JS118" s="261"/>
      <c r="JT118" s="261"/>
      <c r="JU118" s="261"/>
      <c r="JV118" s="261"/>
      <c r="JW118" s="261"/>
      <c r="JX118" s="261"/>
      <c r="JY118" s="261"/>
      <c r="JZ118" s="261"/>
      <c r="KA118" s="261"/>
      <c r="KB118" s="261"/>
      <c r="KC118" s="261"/>
      <c r="KD118" s="261"/>
      <c r="KE118" s="261"/>
      <c r="KF118" s="261"/>
      <c r="KG118" s="261"/>
      <c r="KH118" s="261"/>
      <c r="KI118" s="261"/>
      <c r="KJ118" s="261"/>
      <c r="KK118" s="261"/>
      <c r="KL118" s="261"/>
      <c r="KM118" s="261"/>
      <c r="KN118" s="261"/>
      <c r="KO118" s="261"/>
      <c r="KP118" s="261"/>
      <c r="KQ118" s="261"/>
      <c r="KR118" s="261"/>
      <c r="KS118" s="13"/>
      <c r="KT118" s="261"/>
      <c r="KU118" s="13"/>
      <c r="KV118" s="261"/>
      <c r="KW118" s="261"/>
      <c r="KX118" s="261"/>
      <c r="KY118" s="261"/>
      <c r="KZ118" s="261"/>
      <c r="LA118" s="261"/>
      <c r="LB118" s="261"/>
      <c r="LC118" s="261"/>
      <c r="LD118" s="261"/>
      <c r="LE118" s="261"/>
      <c r="LF118" s="261"/>
      <c r="LG118" s="261"/>
      <c r="LH118" s="261"/>
      <c r="LI118" s="261"/>
      <c r="LJ118" s="261"/>
      <c r="LK118" s="261"/>
      <c r="LL118" s="261"/>
      <c r="LM118" s="261"/>
      <c r="LN118" s="261"/>
      <c r="LO118" s="261"/>
      <c r="LP118" s="261"/>
      <c r="LQ118" s="261"/>
      <c r="LR118" s="261"/>
      <c r="LS118" s="261"/>
      <c r="LT118" s="261"/>
      <c r="LU118" s="261"/>
      <c r="LV118" s="261"/>
      <c r="LW118" s="261"/>
      <c r="LX118" s="261"/>
      <c r="LY118" s="261"/>
      <c r="LZ118" s="261"/>
      <c r="MA118" s="261"/>
      <c r="MB118" s="261"/>
      <c r="MC118" s="261"/>
      <c r="MD118" s="261"/>
      <c r="ME118" s="261"/>
      <c r="MF118" s="261"/>
      <c r="MG118" s="261"/>
      <c r="MH118" s="261"/>
      <c r="MI118" s="261"/>
      <c r="MJ118" s="261"/>
      <c r="MK118" s="261"/>
      <c r="ML118" s="261"/>
      <c r="MM118" s="261"/>
      <c r="MN118" s="261"/>
      <c r="MO118" s="261"/>
      <c r="MP118" s="261"/>
      <c r="MQ118" s="261"/>
      <c r="MR118" s="261"/>
      <c r="MS118" s="261"/>
      <c r="MT118" s="261"/>
      <c r="MU118" s="261"/>
      <c r="MV118" s="261"/>
      <c r="MW118" s="261"/>
      <c r="MX118" s="261"/>
      <c r="MY118" s="261"/>
      <c r="MZ118" s="261"/>
      <c r="NA118" s="261"/>
      <c r="NB118" s="261"/>
      <c r="NC118" s="261"/>
      <c r="ND118" s="261"/>
      <c r="NE118" s="261"/>
      <c r="NF118" s="261"/>
      <c r="NG118" s="261"/>
      <c r="NH118" s="261"/>
      <c r="NI118" s="261"/>
      <c r="NJ118" s="261"/>
      <c r="NK118" s="13"/>
      <c r="NL118" s="261"/>
      <c r="NM118" s="261"/>
      <c r="NN118" s="13"/>
    </row>
    <row r="119" spans="67:378" ht="10.75" customHeight="1" x14ac:dyDescent="0.2">
      <c r="BO119" s="12"/>
      <c r="BS119" s="12"/>
      <c r="BV119" s="12"/>
      <c r="DG119" s="13"/>
      <c r="DJ119" s="12"/>
      <c r="DQ119" s="13"/>
      <c r="EH119" s="12"/>
      <c r="EO119" s="13"/>
      <c r="EP119" s="214"/>
      <c r="EQ119" s="208"/>
      <c r="GM119" s="13"/>
      <c r="GP119" s="13"/>
      <c r="GQ119" s="12"/>
      <c r="GT119" s="13"/>
      <c r="HV119" s="13"/>
      <c r="JK119" s="12"/>
      <c r="JL119" s="261"/>
      <c r="JM119" s="261"/>
      <c r="JN119" s="12"/>
      <c r="JO119" s="261"/>
      <c r="JP119" s="261"/>
      <c r="JQ119" s="261"/>
      <c r="JR119" s="261"/>
      <c r="JS119" s="261"/>
      <c r="JT119" s="261"/>
      <c r="JU119" s="261"/>
      <c r="JV119" s="261"/>
      <c r="JW119" s="261"/>
      <c r="JX119" s="261"/>
      <c r="JY119" s="261"/>
      <c r="JZ119" s="261"/>
      <c r="KA119" s="261"/>
      <c r="KB119" s="261"/>
      <c r="KC119" s="261"/>
      <c r="KD119" s="261"/>
      <c r="KE119" s="261"/>
      <c r="KF119" s="261"/>
      <c r="KG119" s="261"/>
      <c r="KH119" s="261"/>
      <c r="KI119" s="261"/>
      <c r="KJ119" s="261"/>
      <c r="KK119" s="261"/>
      <c r="KL119" s="261"/>
      <c r="KM119" s="261"/>
      <c r="KN119" s="261"/>
      <c r="KO119" s="261"/>
      <c r="KP119" s="261"/>
      <c r="KQ119" s="261"/>
      <c r="KR119" s="261"/>
      <c r="KS119" s="13"/>
      <c r="KT119" s="261"/>
      <c r="KU119" s="13"/>
      <c r="KV119" s="261"/>
      <c r="KW119" s="261"/>
      <c r="KX119" s="261"/>
      <c r="KY119" s="261"/>
      <c r="KZ119" s="261"/>
      <c r="LA119" s="261"/>
      <c r="LB119" s="261"/>
      <c r="LC119" s="261"/>
      <c r="LD119" s="261"/>
      <c r="LE119" s="261"/>
      <c r="LF119" s="261"/>
      <c r="LG119" s="261"/>
      <c r="LH119" s="261"/>
      <c r="LI119" s="261"/>
      <c r="LJ119" s="261"/>
      <c r="LK119" s="261"/>
      <c r="LL119" s="261"/>
      <c r="LM119" s="261"/>
      <c r="LN119" s="261"/>
      <c r="LO119" s="261"/>
      <c r="LP119" s="261"/>
      <c r="LQ119" s="261"/>
      <c r="LR119" s="261"/>
      <c r="LS119" s="261"/>
      <c r="LT119" s="261"/>
      <c r="LU119" s="261"/>
      <c r="LV119" s="261"/>
      <c r="LW119" s="261"/>
      <c r="LX119" s="261"/>
      <c r="LY119" s="261"/>
      <c r="LZ119" s="261"/>
      <c r="MA119" s="261"/>
      <c r="MB119" s="261"/>
      <c r="MC119" s="261"/>
      <c r="MD119" s="261"/>
      <c r="ME119" s="261"/>
      <c r="MF119" s="261"/>
      <c r="MG119" s="261"/>
      <c r="MH119" s="261"/>
      <c r="MI119" s="261"/>
      <c r="MJ119" s="261"/>
      <c r="MK119" s="261"/>
      <c r="ML119" s="261"/>
      <c r="MM119" s="261"/>
      <c r="MN119" s="261"/>
      <c r="MO119" s="261"/>
      <c r="MP119" s="261"/>
      <c r="MQ119" s="261"/>
      <c r="MR119" s="261"/>
      <c r="MS119" s="261"/>
      <c r="MT119" s="261"/>
      <c r="MU119" s="261"/>
      <c r="MV119" s="261"/>
      <c r="MW119" s="261"/>
      <c r="MX119" s="261"/>
      <c r="MY119" s="261"/>
      <c r="MZ119" s="261"/>
      <c r="NA119" s="261"/>
      <c r="NB119" s="261"/>
      <c r="NC119" s="261"/>
      <c r="ND119" s="261"/>
      <c r="NE119" s="261"/>
      <c r="NF119" s="261"/>
      <c r="NG119" s="261"/>
      <c r="NH119" s="261"/>
      <c r="NI119" s="261"/>
      <c r="NJ119" s="261"/>
      <c r="NK119" s="13"/>
      <c r="NL119" s="261"/>
      <c r="NM119" s="261"/>
      <c r="NN119" s="13"/>
    </row>
    <row r="120" spans="67:378" ht="10.75" customHeight="1" x14ac:dyDescent="0.2">
      <c r="BO120" s="12"/>
      <c r="BS120" s="12"/>
      <c r="BV120" s="12"/>
      <c r="DG120" s="13"/>
      <c r="DJ120" s="12"/>
      <c r="DQ120" s="13"/>
      <c r="EH120" s="12"/>
      <c r="EO120" s="13"/>
      <c r="EP120" s="214"/>
      <c r="EQ120" s="208"/>
      <c r="GM120" s="13"/>
      <c r="GP120" s="13"/>
      <c r="GQ120" s="12"/>
      <c r="GT120" s="13"/>
      <c r="HV120" s="13"/>
      <c r="JK120" s="12"/>
      <c r="JL120" s="261"/>
      <c r="JM120" s="261"/>
      <c r="JN120" s="12"/>
      <c r="JO120" s="261"/>
      <c r="JP120" s="261"/>
      <c r="JQ120" s="261"/>
      <c r="JR120" s="261"/>
      <c r="JS120" s="261"/>
      <c r="JT120" s="261"/>
      <c r="JU120" s="261"/>
      <c r="JV120" s="261"/>
      <c r="JW120" s="261"/>
      <c r="JX120" s="261"/>
      <c r="JY120" s="261"/>
      <c r="JZ120" s="261"/>
      <c r="KA120" s="261"/>
      <c r="KB120" s="261"/>
      <c r="KC120" s="261"/>
      <c r="KD120" s="261"/>
      <c r="KE120" s="261"/>
      <c r="KF120" s="261"/>
      <c r="KG120" s="261"/>
      <c r="KH120" s="261"/>
      <c r="KI120" s="261"/>
      <c r="KJ120" s="261"/>
      <c r="KK120" s="261"/>
      <c r="KL120" s="261"/>
      <c r="KM120" s="261"/>
      <c r="KN120" s="261"/>
      <c r="KO120" s="261"/>
      <c r="KP120" s="261"/>
      <c r="KQ120" s="261"/>
      <c r="KR120" s="261"/>
      <c r="KS120" s="13"/>
      <c r="KT120" s="261"/>
      <c r="KU120" s="13"/>
      <c r="KV120" s="261"/>
      <c r="KW120" s="261"/>
      <c r="KX120" s="261"/>
      <c r="KY120" s="261"/>
      <c r="KZ120" s="261"/>
      <c r="LA120" s="261"/>
      <c r="LB120" s="261"/>
      <c r="LC120" s="261"/>
      <c r="LD120" s="261"/>
      <c r="LE120" s="261"/>
      <c r="LF120" s="261"/>
      <c r="LG120" s="261"/>
      <c r="LH120" s="261"/>
      <c r="LI120" s="261"/>
      <c r="LJ120" s="261"/>
      <c r="LK120" s="261"/>
      <c r="LL120" s="261"/>
      <c r="LM120" s="261"/>
      <c r="LN120" s="261"/>
      <c r="LO120" s="261"/>
      <c r="LP120" s="261"/>
      <c r="LQ120" s="261"/>
      <c r="LR120" s="261"/>
      <c r="LS120" s="261"/>
      <c r="LT120" s="261"/>
      <c r="LU120" s="261"/>
      <c r="LV120" s="261"/>
      <c r="LW120" s="261"/>
      <c r="LX120" s="261"/>
      <c r="LY120" s="261"/>
      <c r="LZ120" s="261"/>
      <c r="MA120" s="261"/>
      <c r="MB120" s="261"/>
      <c r="MC120" s="261"/>
      <c r="MD120" s="261"/>
      <c r="ME120" s="261"/>
      <c r="MF120" s="261"/>
      <c r="MG120" s="261"/>
      <c r="MH120" s="261"/>
      <c r="MI120" s="261"/>
      <c r="MJ120" s="261"/>
      <c r="MK120" s="261"/>
      <c r="ML120" s="261"/>
      <c r="MM120" s="261"/>
      <c r="MN120" s="261"/>
      <c r="MO120" s="261"/>
      <c r="MP120" s="261"/>
      <c r="MQ120" s="261"/>
      <c r="MR120" s="261"/>
      <c r="MS120" s="261"/>
      <c r="MT120" s="261"/>
      <c r="MU120" s="261"/>
      <c r="MV120" s="261"/>
      <c r="MW120" s="261"/>
      <c r="MX120" s="261"/>
      <c r="MY120" s="261"/>
      <c r="MZ120" s="261"/>
      <c r="NA120" s="261"/>
      <c r="NB120" s="261"/>
      <c r="NC120" s="261"/>
      <c r="ND120" s="261"/>
      <c r="NE120" s="261"/>
      <c r="NF120" s="261"/>
      <c r="NG120" s="261"/>
      <c r="NH120" s="261"/>
      <c r="NI120" s="261"/>
      <c r="NJ120" s="261"/>
      <c r="NK120" s="13"/>
      <c r="NL120" s="261"/>
      <c r="NM120" s="261"/>
      <c r="NN120" s="13"/>
    </row>
    <row r="121" spans="67:378" ht="10.75" customHeight="1" x14ac:dyDescent="0.2">
      <c r="BO121" s="12"/>
      <c r="BS121" s="12"/>
      <c r="BV121" s="12"/>
      <c r="DG121" s="13"/>
      <c r="DJ121" s="12"/>
      <c r="DQ121" s="13"/>
      <c r="EH121" s="12"/>
      <c r="EO121" s="13"/>
      <c r="EP121" s="214"/>
      <c r="EQ121" s="208"/>
      <c r="GM121" s="13"/>
      <c r="GP121" s="13"/>
      <c r="GQ121" s="12"/>
      <c r="GT121" s="13"/>
      <c r="HV121" s="13"/>
      <c r="JK121" s="12"/>
      <c r="JL121" s="261"/>
      <c r="JM121" s="261"/>
      <c r="JN121" s="12"/>
      <c r="JO121" s="261"/>
      <c r="JP121" s="261"/>
      <c r="JQ121" s="261"/>
      <c r="JR121" s="261"/>
      <c r="JS121" s="261"/>
      <c r="JT121" s="261"/>
      <c r="JU121" s="261"/>
      <c r="JV121" s="261"/>
      <c r="JW121" s="261"/>
      <c r="JX121" s="261"/>
      <c r="JY121" s="261"/>
      <c r="JZ121" s="261"/>
      <c r="KA121" s="261"/>
      <c r="KB121" s="261"/>
      <c r="KC121" s="261"/>
      <c r="KD121" s="261"/>
      <c r="KE121" s="261"/>
      <c r="KF121" s="261"/>
      <c r="KG121" s="261"/>
      <c r="KH121" s="261"/>
      <c r="KI121" s="261"/>
      <c r="KJ121" s="261"/>
      <c r="KK121" s="261"/>
      <c r="KL121" s="261"/>
      <c r="KM121" s="261"/>
      <c r="KN121" s="261"/>
      <c r="KO121" s="261"/>
      <c r="KP121" s="261"/>
      <c r="KQ121" s="261"/>
      <c r="KR121" s="261"/>
      <c r="KS121" s="13"/>
      <c r="KT121" s="261"/>
      <c r="KU121" s="13"/>
      <c r="KV121" s="261"/>
      <c r="KW121" s="261"/>
      <c r="KX121" s="261"/>
      <c r="KY121" s="261"/>
      <c r="KZ121" s="261"/>
      <c r="LA121" s="261"/>
      <c r="LB121" s="261"/>
      <c r="LC121" s="261"/>
      <c r="LD121" s="261"/>
      <c r="LE121" s="261"/>
      <c r="LF121" s="261"/>
      <c r="LG121" s="261"/>
      <c r="LH121" s="261"/>
      <c r="LI121" s="261"/>
      <c r="LJ121" s="261"/>
      <c r="LK121" s="261"/>
      <c r="LL121" s="261"/>
      <c r="LM121" s="261"/>
      <c r="LN121" s="261"/>
      <c r="LO121" s="261"/>
      <c r="LP121" s="261"/>
      <c r="LQ121" s="261"/>
      <c r="LR121" s="261"/>
      <c r="LS121" s="261"/>
      <c r="LT121" s="261"/>
      <c r="LU121" s="261"/>
      <c r="LV121" s="261"/>
      <c r="LW121" s="261"/>
      <c r="LX121" s="261"/>
      <c r="LY121" s="261"/>
      <c r="LZ121" s="261"/>
      <c r="MA121" s="261"/>
      <c r="MB121" s="261"/>
      <c r="MC121" s="261"/>
      <c r="MD121" s="261"/>
      <c r="ME121" s="261"/>
      <c r="MF121" s="261"/>
      <c r="MG121" s="261"/>
      <c r="MH121" s="261"/>
      <c r="MI121" s="261"/>
      <c r="MJ121" s="261"/>
      <c r="MK121" s="261"/>
      <c r="ML121" s="261"/>
      <c r="MM121" s="261"/>
      <c r="MN121" s="261"/>
      <c r="MO121" s="261"/>
      <c r="MP121" s="261"/>
      <c r="MQ121" s="261"/>
      <c r="MR121" s="261"/>
      <c r="MS121" s="261"/>
      <c r="MT121" s="261"/>
      <c r="MU121" s="261"/>
      <c r="MV121" s="261"/>
      <c r="MW121" s="261"/>
      <c r="MX121" s="261"/>
      <c r="MY121" s="261"/>
      <c r="MZ121" s="261"/>
      <c r="NA121" s="261"/>
      <c r="NB121" s="261"/>
      <c r="NC121" s="261"/>
      <c r="ND121" s="261"/>
      <c r="NE121" s="261"/>
      <c r="NF121" s="261"/>
      <c r="NG121" s="261"/>
      <c r="NH121" s="261"/>
      <c r="NI121" s="261"/>
      <c r="NJ121" s="261"/>
      <c r="NK121" s="13"/>
      <c r="NL121" s="261"/>
      <c r="NM121" s="261"/>
      <c r="NN121" s="13"/>
    </row>
    <row r="122" spans="67:378" ht="10.75" customHeight="1" x14ac:dyDescent="0.2">
      <c r="BO122" s="12"/>
      <c r="BS122" s="12"/>
      <c r="BV122" s="12"/>
      <c r="DG122" s="13"/>
      <c r="DJ122" s="12"/>
      <c r="DQ122" s="13"/>
      <c r="EH122" s="12"/>
      <c r="EO122" s="13"/>
      <c r="EP122" s="214"/>
      <c r="EQ122" s="208"/>
      <c r="GM122" s="13"/>
      <c r="GP122" s="13"/>
      <c r="GQ122" s="12"/>
      <c r="GT122" s="13"/>
      <c r="HV122" s="13"/>
      <c r="JK122" s="12"/>
      <c r="JL122" s="261"/>
      <c r="JM122" s="261"/>
      <c r="JN122" s="12"/>
      <c r="JO122" s="261"/>
      <c r="JP122" s="261"/>
      <c r="JQ122" s="261"/>
      <c r="JR122" s="261"/>
      <c r="JS122" s="261"/>
      <c r="JT122" s="261"/>
      <c r="JU122" s="261"/>
      <c r="JV122" s="261"/>
      <c r="JW122" s="261"/>
      <c r="JX122" s="261"/>
      <c r="JY122" s="261"/>
      <c r="JZ122" s="261"/>
      <c r="KA122" s="261"/>
      <c r="KB122" s="261"/>
      <c r="KC122" s="261"/>
      <c r="KD122" s="261"/>
      <c r="KE122" s="261"/>
      <c r="KF122" s="261"/>
      <c r="KG122" s="261"/>
      <c r="KH122" s="261"/>
      <c r="KI122" s="261"/>
      <c r="KJ122" s="261"/>
      <c r="KK122" s="261"/>
      <c r="KL122" s="261"/>
      <c r="KM122" s="261"/>
      <c r="KN122" s="261"/>
      <c r="KO122" s="261"/>
      <c r="KP122" s="261"/>
      <c r="KQ122" s="261"/>
      <c r="KR122" s="261"/>
      <c r="KS122" s="13"/>
      <c r="KT122" s="261"/>
      <c r="KU122" s="13"/>
      <c r="KV122" s="261"/>
      <c r="KW122" s="261"/>
      <c r="KX122" s="261"/>
      <c r="KY122" s="261"/>
      <c r="KZ122" s="261"/>
      <c r="LA122" s="261"/>
      <c r="LB122" s="261"/>
      <c r="LC122" s="261"/>
      <c r="LD122" s="261"/>
      <c r="LE122" s="261"/>
      <c r="LF122" s="261"/>
      <c r="LG122" s="261"/>
      <c r="LH122" s="261"/>
      <c r="LI122" s="261"/>
      <c r="LJ122" s="261"/>
      <c r="LK122" s="261"/>
      <c r="LL122" s="261"/>
      <c r="LM122" s="261"/>
      <c r="LN122" s="261"/>
      <c r="LO122" s="261"/>
      <c r="LP122" s="261"/>
      <c r="LQ122" s="261"/>
      <c r="LR122" s="261"/>
      <c r="LS122" s="261"/>
      <c r="LT122" s="261"/>
      <c r="LU122" s="261"/>
      <c r="LV122" s="261"/>
      <c r="LW122" s="261"/>
      <c r="LX122" s="261"/>
      <c r="LY122" s="261"/>
      <c r="LZ122" s="261"/>
      <c r="MA122" s="261"/>
      <c r="MB122" s="261"/>
      <c r="MC122" s="261"/>
      <c r="MD122" s="261"/>
      <c r="ME122" s="261"/>
      <c r="MF122" s="261"/>
      <c r="MG122" s="261"/>
      <c r="MH122" s="261"/>
      <c r="MI122" s="261"/>
      <c r="MJ122" s="261"/>
      <c r="MK122" s="261"/>
      <c r="ML122" s="261"/>
      <c r="MM122" s="261"/>
      <c r="MN122" s="261"/>
      <c r="MO122" s="261"/>
      <c r="MP122" s="261"/>
      <c r="MQ122" s="261"/>
      <c r="MR122" s="261"/>
      <c r="MS122" s="261"/>
      <c r="MT122" s="261"/>
      <c r="MU122" s="261"/>
      <c r="MV122" s="261"/>
      <c r="MW122" s="261"/>
      <c r="MX122" s="261"/>
      <c r="MY122" s="261"/>
      <c r="MZ122" s="261"/>
      <c r="NA122" s="261"/>
      <c r="NB122" s="261"/>
      <c r="NC122" s="261"/>
      <c r="ND122" s="261"/>
      <c r="NE122" s="261"/>
      <c r="NF122" s="261"/>
      <c r="NG122" s="261"/>
      <c r="NH122" s="261"/>
      <c r="NI122" s="261"/>
      <c r="NJ122" s="261"/>
      <c r="NK122" s="13"/>
      <c r="NL122" s="261"/>
      <c r="NM122" s="261"/>
      <c r="NN122" s="13"/>
    </row>
    <row r="123" spans="67:378" ht="10.75" customHeight="1" x14ac:dyDescent="0.2">
      <c r="BO123" s="12"/>
      <c r="BS123" s="12"/>
      <c r="BV123" s="14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6"/>
      <c r="DJ123" s="12"/>
      <c r="DQ123" s="13"/>
      <c r="EH123" s="12"/>
      <c r="EO123" s="13"/>
      <c r="EP123" s="214"/>
      <c r="EQ123" s="208"/>
      <c r="GM123" s="13"/>
      <c r="GP123" s="13"/>
      <c r="GQ123" s="12"/>
      <c r="GT123" s="13"/>
      <c r="HV123" s="13"/>
      <c r="JK123" s="12"/>
      <c r="JL123" s="261"/>
      <c r="JM123" s="261"/>
      <c r="JN123" s="12"/>
      <c r="JO123" s="261"/>
      <c r="JP123" s="261"/>
      <c r="JQ123" s="261"/>
      <c r="JR123" s="261"/>
      <c r="JS123" s="261"/>
      <c r="JT123" s="261"/>
      <c r="JU123" s="261"/>
      <c r="JV123" s="261"/>
      <c r="JW123" s="261"/>
      <c r="JX123" s="261"/>
      <c r="JY123" s="261"/>
      <c r="JZ123" s="261"/>
      <c r="KA123" s="261"/>
      <c r="KB123" s="261"/>
      <c r="KC123" s="261"/>
      <c r="KD123" s="261"/>
      <c r="KE123" s="261"/>
      <c r="KF123" s="261"/>
      <c r="KG123" s="261"/>
      <c r="KH123" s="261"/>
      <c r="KI123" s="261"/>
      <c r="KJ123" s="261"/>
      <c r="KK123" s="261"/>
      <c r="KL123" s="261"/>
      <c r="KM123" s="261"/>
      <c r="KN123" s="261"/>
      <c r="KO123" s="261"/>
      <c r="KP123" s="261"/>
      <c r="KQ123" s="261"/>
      <c r="KR123" s="261"/>
      <c r="KS123" s="13"/>
      <c r="KT123" s="261"/>
      <c r="KU123" s="13"/>
      <c r="KV123" s="261"/>
      <c r="KW123" s="261"/>
      <c r="KX123" s="261"/>
      <c r="KY123" s="261"/>
      <c r="KZ123" s="261"/>
      <c r="LA123" s="261"/>
      <c r="LB123" s="261"/>
      <c r="LC123" s="261"/>
      <c r="LD123" s="261"/>
      <c r="LE123" s="261"/>
      <c r="LF123" s="261"/>
      <c r="LG123" s="261"/>
      <c r="LH123" s="261"/>
      <c r="LI123" s="261"/>
      <c r="LJ123" s="261"/>
      <c r="LK123" s="261"/>
      <c r="LL123" s="261"/>
      <c r="LM123" s="261"/>
      <c r="LN123" s="261"/>
      <c r="LO123" s="261"/>
      <c r="LP123" s="261"/>
      <c r="LQ123" s="261"/>
      <c r="LR123" s="261"/>
      <c r="LS123" s="261"/>
      <c r="LT123" s="261"/>
      <c r="LU123" s="261"/>
      <c r="LV123" s="261"/>
      <c r="LW123" s="261"/>
      <c r="LX123" s="261"/>
      <c r="LY123" s="261"/>
      <c r="LZ123" s="261"/>
      <c r="MA123" s="261"/>
      <c r="MB123" s="261"/>
      <c r="MC123" s="261"/>
      <c r="MD123" s="261"/>
      <c r="ME123" s="261"/>
      <c r="MF123" s="261"/>
      <c r="MG123" s="261"/>
      <c r="MH123" s="261"/>
      <c r="MI123" s="261"/>
      <c r="MJ123" s="261"/>
      <c r="MK123" s="261"/>
      <c r="ML123" s="261"/>
      <c r="MM123" s="261"/>
      <c r="MN123" s="261"/>
      <c r="MO123" s="261"/>
      <c r="MP123" s="261"/>
      <c r="MQ123" s="261"/>
      <c r="MR123" s="261"/>
      <c r="MS123" s="261"/>
      <c r="MT123" s="261"/>
      <c r="MU123" s="261"/>
      <c r="MV123" s="261"/>
      <c r="MW123" s="261"/>
      <c r="MX123" s="261"/>
      <c r="MY123" s="261"/>
      <c r="MZ123" s="261"/>
      <c r="NA123" s="261"/>
      <c r="NB123" s="261"/>
      <c r="NC123" s="261"/>
      <c r="ND123" s="261"/>
      <c r="NE123" s="261"/>
      <c r="NF123" s="261"/>
      <c r="NG123" s="261"/>
      <c r="NH123" s="261"/>
      <c r="NI123" s="261"/>
      <c r="NJ123" s="261"/>
      <c r="NK123" s="13"/>
      <c r="NL123" s="261"/>
      <c r="NM123" s="261"/>
      <c r="NN123" s="13"/>
    </row>
    <row r="124" spans="67:378" ht="10.75" customHeight="1" x14ac:dyDescent="0.2">
      <c r="BO124" s="12"/>
      <c r="BS124" s="12"/>
      <c r="DJ124" s="12"/>
      <c r="DQ124" s="13"/>
      <c r="EH124" s="12"/>
      <c r="EO124" s="13"/>
      <c r="EP124" s="214"/>
      <c r="EQ124" s="208"/>
      <c r="GM124" s="13"/>
      <c r="GP124" s="13"/>
      <c r="GQ124" s="12"/>
      <c r="GT124" s="13"/>
      <c r="HV124" s="13"/>
      <c r="JK124" s="12"/>
      <c r="JL124" s="261"/>
      <c r="JM124" s="261"/>
      <c r="JN124" s="12"/>
      <c r="JO124" s="261"/>
      <c r="JP124" s="261"/>
      <c r="JQ124" s="261"/>
      <c r="JR124" s="261"/>
      <c r="JS124" s="261"/>
      <c r="JT124" s="261"/>
      <c r="JU124" s="261"/>
      <c r="JV124" s="261"/>
      <c r="JW124" s="261"/>
      <c r="JX124" s="261"/>
      <c r="JY124" s="261"/>
      <c r="JZ124" s="261"/>
      <c r="KA124" s="261"/>
      <c r="KB124" s="261"/>
      <c r="KC124" s="261"/>
      <c r="KD124" s="261"/>
      <c r="KE124" s="261"/>
      <c r="KF124" s="261"/>
      <c r="KG124" s="261"/>
      <c r="KH124" s="261"/>
      <c r="KI124" s="261"/>
      <c r="KJ124" s="261"/>
      <c r="KK124" s="261"/>
      <c r="KL124" s="261"/>
      <c r="KM124" s="261"/>
      <c r="KN124" s="261"/>
      <c r="KO124" s="261"/>
      <c r="KP124" s="261"/>
      <c r="KQ124" s="261"/>
      <c r="KR124" s="261"/>
      <c r="KS124" s="13"/>
      <c r="KT124" s="261"/>
      <c r="KU124" s="13"/>
      <c r="KV124" s="261"/>
      <c r="KW124" s="261"/>
      <c r="KX124" s="261"/>
      <c r="KY124" s="261"/>
      <c r="KZ124" s="261"/>
      <c r="LA124" s="261"/>
      <c r="LB124" s="261"/>
      <c r="LC124" s="261"/>
      <c r="LD124" s="261"/>
      <c r="LE124" s="261"/>
      <c r="LF124" s="261"/>
      <c r="LG124" s="261"/>
      <c r="LH124" s="261"/>
      <c r="LI124" s="261"/>
      <c r="LJ124" s="261"/>
      <c r="LK124" s="261"/>
      <c r="LL124" s="261"/>
      <c r="LM124" s="261"/>
      <c r="LN124" s="261"/>
      <c r="LO124" s="261"/>
      <c r="LP124" s="261"/>
      <c r="LQ124" s="261"/>
      <c r="LR124" s="261"/>
      <c r="LS124" s="261"/>
      <c r="LT124" s="261"/>
      <c r="LU124" s="261"/>
      <c r="LV124" s="261"/>
      <c r="LW124" s="261"/>
      <c r="LX124" s="261"/>
      <c r="LY124" s="261"/>
      <c r="LZ124" s="261"/>
      <c r="MA124" s="261"/>
      <c r="MB124" s="261"/>
      <c r="MC124" s="261"/>
      <c r="MD124" s="261"/>
      <c r="ME124" s="261"/>
      <c r="MF124" s="261"/>
      <c r="MG124" s="261"/>
      <c r="MH124" s="261"/>
      <c r="MI124" s="261"/>
      <c r="MJ124" s="261"/>
      <c r="MK124" s="261"/>
      <c r="ML124" s="261"/>
      <c r="MM124" s="261"/>
      <c r="MN124" s="261"/>
      <c r="MO124" s="261"/>
      <c r="MP124" s="261"/>
      <c r="MQ124" s="261"/>
      <c r="MR124" s="261"/>
      <c r="MS124" s="261"/>
      <c r="MT124" s="261"/>
      <c r="MU124" s="261"/>
      <c r="MV124" s="261"/>
      <c r="MW124" s="261"/>
      <c r="MX124" s="261"/>
      <c r="MY124" s="261"/>
      <c r="MZ124" s="261"/>
      <c r="NA124" s="261"/>
      <c r="NB124" s="261"/>
      <c r="NC124" s="261"/>
      <c r="ND124" s="261"/>
      <c r="NE124" s="261"/>
      <c r="NF124" s="261"/>
      <c r="NG124" s="261"/>
      <c r="NH124" s="261"/>
      <c r="NI124" s="261"/>
      <c r="NJ124" s="261"/>
      <c r="NK124" s="13"/>
      <c r="NL124" s="261"/>
      <c r="NM124" s="261"/>
      <c r="NN124" s="13"/>
    </row>
    <row r="125" spans="67:378" ht="10.75" customHeight="1" x14ac:dyDescent="0.2">
      <c r="BO125" s="12"/>
      <c r="BS125" s="12"/>
      <c r="DJ125" s="12"/>
      <c r="DQ125" s="13"/>
      <c r="EH125" s="12"/>
      <c r="EO125" s="13"/>
      <c r="EP125" s="214"/>
      <c r="EQ125" s="208"/>
      <c r="GM125" s="13"/>
      <c r="GP125" s="13"/>
      <c r="GQ125" s="12"/>
      <c r="GT125" s="13"/>
      <c r="HV125" s="13"/>
      <c r="JK125" s="12"/>
      <c r="JL125" s="261"/>
      <c r="JM125" s="261"/>
      <c r="JN125" s="12"/>
      <c r="JO125" s="261"/>
      <c r="JP125" s="261"/>
      <c r="JQ125" s="261"/>
      <c r="JR125" s="261"/>
      <c r="JS125" s="261"/>
      <c r="JT125" s="261"/>
      <c r="JU125" s="261"/>
      <c r="JV125" s="261"/>
      <c r="JW125" s="261"/>
      <c r="JX125" s="261"/>
      <c r="JY125" s="261"/>
      <c r="JZ125" s="261"/>
      <c r="KA125" s="261"/>
      <c r="KB125" s="261"/>
      <c r="KC125" s="261"/>
      <c r="KD125" s="261"/>
      <c r="KE125" s="261"/>
      <c r="KF125" s="261"/>
      <c r="KG125" s="261"/>
      <c r="KH125" s="261"/>
      <c r="KI125" s="261"/>
      <c r="KJ125" s="261"/>
      <c r="KK125" s="261"/>
      <c r="KL125" s="261"/>
      <c r="KM125" s="261"/>
      <c r="KN125" s="261"/>
      <c r="KO125" s="261"/>
      <c r="KP125" s="261"/>
      <c r="KQ125" s="261"/>
      <c r="KR125" s="261"/>
      <c r="KS125" s="13"/>
      <c r="KT125" s="261"/>
      <c r="KU125" s="13"/>
      <c r="KV125" s="261"/>
      <c r="KW125" s="261"/>
      <c r="KX125" s="261"/>
      <c r="KY125" s="261"/>
      <c r="KZ125" s="261"/>
      <c r="LA125" s="261"/>
      <c r="LB125" s="261"/>
      <c r="LC125" s="261"/>
      <c r="LD125" s="261"/>
      <c r="LE125" s="261"/>
      <c r="LF125" s="261"/>
      <c r="LG125" s="261"/>
      <c r="LH125" s="261"/>
      <c r="LI125" s="261"/>
      <c r="LJ125" s="261"/>
      <c r="LK125" s="261"/>
      <c r="LL125" s="261"/>
      <c r="LM125" s="261"/>
      <c r="LN125" s="261"/>
      <c r="LO125" s="261"/>
      <c r="LP125" s="261"/>
      <c r="LQ125" s="261"/>
      <c r="LR125" s="261"/>
      <c r="LS125" s="261"/>
      <c r="LT125" s="261"/>
      <c r="LU125" s="261"/>
      <c r="LV125" s="261"/>
      <c r="LW125" s="261"/>
      <c r="LX125" s="261"/>
      <c r="LY125" s="261"/>
      <c r="LZ125" s="261"/>
      <c r="MA125" s="261"/>
      <c r="MB125" s="261"/>
      <c r="MC125" s="261"/>
      <c r="MD125" s="261"/>
      <c r="ME125" s="261"/>
      <c r="MF125" s="261"/>
      <c r="MG125" s="261"/>
      <c r="MH125" s="261"/>
      <c r="MI125" s="261"/>
      <c r="MJ125" s="261"/>
      <c r="MK125" s="261"/>
      <c r="ML125" s="261"/>
      <c r="MM125" s="261"/>
      <c r="MN125" s="261"/>
      <c r="MO125" s="261"/>
      <c r="MP125" s="261"/>
      <c r="MQ125" s="261"/>
      <c r="MR125" s="261"/>
      <c r="MS125" s="261"/>
      <c r="MT125" s="261"/>
      <c r="MU125" s="261"/>
      <c r="MV125" s="261"/>
      <c r="MW125" s="261"/>
      <c r="MX125" s="261"/>
      <c r="MY125" s="261"/>
      <c r="MZ125" s="261"/>
      <c r="NA125" s="261"/>
      <c r="NB125" s="261"/>
      <c r="NC125" s="261"/>
      <c r="ND125" s="261"/>
      <c r="NE125" s="261"/>
      <c r="NF125" s="261"/>
      <c r="NG125" s="261"/>
      <c r="NH125" s="261"/>
      <c r="NI125" s="261"/>
      <c r="NJ125" s="261"/>
      <c r="NK125" s="13"/>
      <c r="NL125" s="261"/>
      <c r="NM125" s="261"/>
      <c r="NN125" s="13"/>
    </row>
    <row r="126" spans="67:378" ht="10.75" customHeight="1" x14ac:dyDescent="0.2">
      <c r="BO126" s="12"/>
      <c r="BS126" s="12"/>
      <c r="DJ126" s="12"/>
      <c r="DQ126" s="13"/>
      <c r="EH126" s="12"/>
      <c r="EO126" s="13"/>
      <c r="EP126" s="214"/>
      <c r="EQ126" s="208"/>
      <c r="GM126" s="13"/>
      <c r="GP126" s="13"/>
      <c r="GQ126" s="12"/>
      <c r="GT126" s="13"/>
      <c r="HV126" s="13"/>
      <c r="JK126" s="12"/>
      <c r="JL126" s="261"/>
      <c r="JM126" s="261"/>
      <c r="JN126" s="14"/>
      <c r="JO126" s="15"/>
      <c r="JP126" s="15"/>
      <c r="JQ126" s="15"/>
      <c r="JR126" s="15"/>
      <c r="JS126" s="15"/>
      <c r="JT126" s="15"/>
      <c r="JU126" s="15"/>
      <c r="JV126" s="15"/>
      <c r="JW126" s="15"/>
      <c r="JX126" s="15"/>
      <c r="JY126" s="15"/>
      <c r="JZ126" s="15"/>
      <c r="KA126" s="15"/>
      <c r="KB126" s="15"/>
      <c r="KC126" s="15"/>
      <c r="KD126" s="15"/>
      <c r="KE126" s="15"/>
      <c r="KF126" s="15"/>
      <c r="KG126" s="15"/>
      <c r="KH126" s="15"/>
      <c r="KI126" s="15"/>
      <c r="KJ126" s="15"/>
      <c r="KK126" s="15"/>
      <c r="KL126" s="15"/>
      <c r="KM126" s="15"/>
      <c r="KN126" s="15"/>
      <c r="KO126" s="15"/>
      <c r="KP126" s="15"/>
      <c r="KQ126" s="15"/>
      <c r="KR126" s="15"/>
      <c r="KS126" s="16"/>
      <c r="KT126" s="261"/>
      <c r="KU126" s="13"/>
      <c r="KV126" s="261"/>
      <c r="KW126" s="261"/>
      <c r="KX126" s="261"/>
      <c r="KY126" s="261"/>
      <c r="KZ126" s="261"/>
      <c r="LA126" s="261"/>
      <c r="LB126" s="261"/>
      <c r="LC126" s="261"/>
      <c r="LD126" s="261"/>
      <c r="LE126" s="261"/>
      <c r="LF126" s="261"/>
      <c r="LG126" s="261"/>
      <c r="LH126" s="261"/>
      <c r="LI126" s="261"/>
      <c r="LJ126" s="261"/>
      <c r="LK126" s="261"/>
      <c r="LL126" s="261"/>
      <c r="LM126" s="261"/>
      <c r="LN126" s="261"/>
      <c r="LO126" s="261"/>
      <c r="LP126" s="261"/>
      <c r="LQ126" s="261"/>
      <c r="LR126" s="261"/>
      <c r="LS126" s="261"/>
      <c r="LT126" s="261"/>
      <c r="LU126" s="261"/>
      <c r="LV126" s="261"/>
      <c r="LW126" s="261"/>
      <c r="LX126" s="261"/>
      <c r="LY126" s="261"/>
      <c r="LZ126" s="261"/>
      <c r="MA126" s="261"/>
      <c r="MB126" s="261"/>
      <c r="MC126" s="261"/>
      <c r="MD126" s="261"/>
      <c r="ME126" s="261"/>
      <c r="MF126" s="261"/>
      <c r="MG126" s="261"/>
      <c r="MH126" s="261"/>
      <c r="MI126" s="261"/>
      <c r="MJ126" s="261"/>
      <c r="MK126" s="261"/>
      <c r="ML126" s="261"/>
      <c r="MM126" s="261"/>
      <c r="MN126" s="261"/>
      <c r="MO126" s="261"/>
      <c r="MP126" s="261"/>
      <c r="MQ126" s="261"/>
      <c r="MR126" s="261"/>
      <c r="MS126" s="261"/>
      <c r="MT126" s="261"/>
      <c r="MU126" s="261"/>
      <c r="MV126" s="261"/>
      <c r="MW126" s="261"/>
      <c r="MX126" s="261"/>
      <c r="MY126" s="261"/>
      <c r="MZ126" s="261"/>
      <c r="NA126" s="261"/>
      <c r="NB126" s="261"/>
      <c r="NC126" s="261"/>
      <c r="ND126" s="261"/>
      <c r="NE126" s="261"/>
      <c r="NF126" s="261"/>
      <c r="NG126" s="261"/>
      <c r="NH126" s="261"/>
      <c r="NI126" s="261"/>
      <c r="NJ126" s="261"/>
      <c r="NK126" s="13"/>
      <c r="NL126" s="261"/>
      <c r="NM126" s="261"/>
      <c r="NN126" s="13"/>
    </row>
    <row r="127" spans="67:378" ht="10.75" customHeight="1" x14ac:dyDescent="0.2">
      <c r="BO127" s="12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1"/>
      <c r="DJ127" s="12"/>
      <c r="DQ127" s="13"/>
      <c r="EH127" s="12"/>
      <c r="EO127" s="13"/>
      <c r="EP127" s="214"/>
      <c r="EQ127" s="208"/>
      <c r="GM127" s="13"/>
      <c r="GP127" s="13"/>
      <c r="GQ127" s="12"/>
      <c r="GT127" s="13"/>
      <c r="HV127" s="13"/>
      <c r="JK127" s="12"/>
      <c r="JL127" s="261"/>
      <c r="JM127" s="261"/>
      <c r="JN127" s="12"/>
      <c r="JO127" s="261"/>
      <c r="JP127" s="261"/>
      <c r="JQ127" s="261"/>
      <c r="JR127" s="261"/>
      <c r="JS127" s="261"/>
      <c r="JT127" s="261"/>
      <c r="JU127" s="261"/>
      <c r="JV127" s="261"/>
      <c r="JW127" s="261"/>
      <c r="JX127" s="261"/>
      <c r="JY127" s="261"/>
      <c r="JZ127" s="261"/>
      <c r="KA127" s="261"/>
      <c r="KB127" s="261"/>
      <c r="KC127" s="261"/>
      <c r="KD127" s="261"/>
      <c r="KE127" s="261"/>
      <c r="KF127" s="261"/>
      <c r="KG127" s="261"/>
      <c r="KH127" s="261"/>
      <c r="KI127" s="261"/>
      <c r="KJ127" s="261"/>
      <c r="KK127" s="261"/>
      <c r="KL127" s="261"/>
      <c r="KM127" s="261"/>
      <c r="KN127" s="261"/>
      <c r="KO127" s="261"/>
      <c r="KP127" s="261"/>
      <c r="KQ127" s="261"/>
      <c r="KR127" s="261"/>
      <c r="KS127" s="261"/>
      <c r="KT127" s="261"/>
      <c r="KU127" s="13"/>
      <c r="KV127" s="261"/>
      <c r="KW127" s="261"/>
      <c r="KX127" s="261"/>
      <c r="KY127" s="261"/>
      <c r="KZ127" s="261"/>
      <c r="LA127" s="261"/>
      <c r="LB127" s="261"/>
      <c r="LC127" s="261"/>
      <c r="LD127" s="261"/>
      <c r="LE127" s="261"/>
      <c r="LF127" s="261"/>
      <c r="LG127" s="261"/>
      <c r="LH127" s="261"/>
      <c r="LI127" s="261"/>
      <c r="LJ127" s="261"/>
      <c r="LK127" s="261"/>
      <c r="LL127" s="261"/>
      <c r="LM127" s="261"/>
      <c r="LN127" s="261"/>
      <c r="LO127" s="261"/>
      <c r="LP127" s="261"/>
      <c r="LQ127" s="261"/>
      <c r="LR127" s="261"/>
      <c r="LS127" s="261"/>
      <c r="LT127" s="261"/>
      <c r="LU127" s="261"/>
      <c r="LV127" s="261"/>
      <c r="LW127" s="261"/>
      <c r="LX127" s="261"/>
      <c r="LY127" s="261"/>
      <c r="LZ127" s="261"/>
      <c r="MA127" s="261"/>
      <c r="MB127" s="261"/>
      <c r="MC127" s="261"/>
      <c r="MD127" s="261"/>
      <c r="ME127" s="261"/>
      <c r="MF127" s="261"/>
      <c r="MG127" s="261"/>
      <c r="MH127" s="261"/>
      <c r="MI127" s="261"/>
      <c r="MJ127" s="261"/>
      <c r="MK127" s="261"/>
      <c r="ML127" s="261"/>
      <c r="MM127" s="261"/>
      <c r="MN127" s="261"/>
      <c r="MO127" s="261"/>
      <c r="MP127" s="261"/>
      <c r="MQ127" s="261"/>
      <c r="MR127" s="261"/>
      <c r="MS127" s="261"/>
      <c r="MT127" s="261"/>
      <c r="MU127" s="261"/>
      <c r="MV127" s="261"/>
      <c r="MW127" s="261"/>
      <c r="MX127" s="261"/>
      <c r="MY127" s="261"/>
      <c r="MZ127" s="261"/>
      <c r="NA127" s="261"/>
      <c r="NB127" s="261"/>
      <c r="NC127" s="261"/>
      <c r="ND127" s="261"/>
      <c r="NE127" s="261"/>
      <c r="NF127" s="261"/>
      <c r="NG127" s="261"/>
      <c r="NH127" s="261"/>
      <c r="NI127" s="261"/>
      <c r="NJ127" s="261"/>
      <c r="NK127" s="13"/>
      <c r="NL127" s="261"/>
      <c r="NM127" s="261"/>
      <c r="NN127" s="13"/>
    </row>
    <row r="128" spans="67:378" ht="10.75" customHeight="1" x14ac:dyDescent="0.2">
      <c r="BO128" s="12"/>
      <c r="DF128" s="13"/>
      <c r="DJ128" s="12"/>
      <c r="DQ128" s="13"/>
      <c r="EH128" s="12"/>
      <c r="EO128" s="13"/>
      <c r="EP128" s="214"/>
      <c r="EQ128" s="208"/>
      <c r="GM128" s="13"/>
      <c r="GP128" s="13"/>
      <c r="GQ128" s="12"/>
      <c r="GT128" s="13"/>
      <c r="HV128" s="13"/>
      <c r="JK128" s="12"/>
      <c r="JL128" s="261"/>
      <c r="JM128" s="261"/>
      <c r="JN128" s="14"/>
      <c r="JO128" s="15"/>
      <c r="JP128" s="15"/>
      <c r="JQ128" s="15"/>
      <c r="JR128" s="15"/>
      <c r="JS128" s="15"/>
      <c r="JT128" s="15"/>
      <c r="JU128" s="15"/>
      <c r="JV128" s="15"/>
      <c r="JW128" s="15"/>
      <c r="JX128" s="15"/>
      <c r="JY128" s="15"/>
      <c r="JZ128" s="15"/>
      <c r="KA128" s="15"/>
      <c r="KB128" s="15"/>
      <c r="KC128" s="15"/>
      <c r="KD128" s="15"/>
      <c r="KE128" s="15"/>
      <c r="KF128" s="15"/>
      <c r="KG128" s="15"/>
      <c r="KH128" s="15"/>
      <c r="KI128" s="15"/>
      <c r="KJ128" s="15"/>
      <c r="KK128" s="15"/>
      <c r="KL128" s="15"/>
      <c r="KM128" s="15"/>
      <c r="KN128" s="15"/>
      <c r="KO128" s="15"/>
      <c r="KP128" s="15"/>
      <c r="KQ128" s="15"/>
      <c r="KR128" s="15"/>
      <c r="KS128" s="15"/>
      <c r="KT128" s="15"/>
      <c r="KU128" s="16"/>
      <c r="KV128" s="261"/>
      <c r="KW128" s="261"/>
      <c r="KX128" s="261"/>
      <c r="KY128" s="261"/>
      <c r="KZ128" s="261"/>
      <c r="LA128" s="261"/>
      <c r="LB128" s="261"/>
      <c r="LC128" s="261"/>
      <c r="LD128" s="261"/>
      <c r="LE128" s="261"/>
      <c r="LF128" s="261"/>
      <c r="LG128" s="261"/>
      <c r="LH128" s="261"/>
      <c r="LI128" s="261"/>
      <c r="LJ128" s="261"/>
      <c r="LK128" s="261"/>
      <c r="LL128" s="261"/>
      <c r="LM128" s="261"/>
      <c r="LN128" s="261"/>
      <c r="LO128" s="261"/>
      <c r="LP128" s="261"/>
      <c r="LQ128" s="261"/>
      <c r="LR128" s="261"/>
      <c r="LS128" s="261"/>
      <c r="LT128" s="261"/>
      <c r="LU128" s="261"/>
      <c r="LV128" s="261"/>
      <c r="LW128" s="261"/>
      <c r="LX128" s="261"/>
      <c r="LY128" s="261"/>
      <c r="LZ128" s="261"/>
      <c r="MA128" s="261"/>
      <c r="MB128" s="261"/>
      <c r="MC128" s="261"/>
      <c r="MD128" s="261"/>
      <c r="ME128" s="261"/>
      <c r="MF128" s="261"/>
      <c r="MG128" s="261"/>
      <c r="MH128" s="261"/>
      <c r="MI128" s="261"/>
      <c r="MJ128" s="261"/>
      <c r="MK128" s="261"/>
      <c r="ML128" s="261"/>
      <c r="MM128" s="261"/>
      <c r="MN128" s="261"/>
      <c r="MO128" s="261"/>
      <c r="MP128" s="261"/>
      <c r="MQ128" s="261"/>
      <c r="MR128" s="261"/>
      <c r="MS128" s="261"/>
      <c r="MT128" s="261"/>
      <c r="MU128" s="261"/>
      <c r="MV128" s="261"/>
      <c r="MW128" s="261"/>
      <c r="MX128" s="261"/>
      <c r="MY128" s="261"/>
      <c r="MZ128" s="261"/>
      <c r="NA128" s="261"/>
      <c r="NB128" s="261"/>
      <c r="NC128" s="261"/>
      <c r="ND128" s="261"/>
      <c r="NE128" s="261"/>
      <c r="NF128" s="261"/>
      <c r="NG128" s="261"/>
      <c r="NH128" s="261"/>
      <c r="NI128" s="261"/>
      <c r="NJ128" s="261"/>
      <c r="NK128" s="13"/>
      <c r="NL128" s="261"/>
      <c r="NM128" s="261"/>
      <c r="NN128" s="13"/>
    </row>
    <row r="129" spans="67:378" ht="10.75" customHeight="1" x14ac:dyDescent="0.2">
      <c r="BO129" s="12"/>
      <c r="DF129" s="13"/>
      <c r="DJ129" s="12"/>
      <c r="DQ129" s="13"/>
      <c r="EH129" s="12"/>
      <c r="EO129" s="13"/>
      <c r="EP129" s="214"/>
      <c r="EQ129" s="208"/>
      <c r="GM129" s="13"/>
      <c r="GP129" s="13"/>
      <c r="GQ129" s="12"/>
      <c r="GT129" s="13"/>
      <c r="HV129" s="13"/>
      <c r="JK129" s="12"/>
      <c r="JL129" s="261"/>
      <c r="JM129" s="261"/>
      <c r="JN129" s="9"/>
      <c r="JO129" s="10"/>
      <c r="JP129" s="10"/>
      <c r="JQ129" s="10"/>
      <c r="JR129" s="10"/>
      <c r="JS129" s="10"/>
      <c r="JT129" s="10"/>
      <c r="JU129" s="10"/>
      <c r="JV129" s="10"/>
      <c r="JW129" s="10"/>
      <c r="JX129" s="10"/>
      <c r="JY129" s="10"/>
      <c r="JZ129" s="10"/>
      <c r="KA129" s="10"/>
      <c r="KB129" s="10"/>
      <c r="KC129" s="10"/>
      <c r="KD129" s="10"/>
      <c r="KE129" s="10"/>
      <c r="KF129" s="10"/>
      <c r="KG129" s="10"/>
      <c r="KH129" s="10"/>
      <c r="KI129" s="10"/>
      <c r="KJ129" s="10"/>
      <c r="KK129" s="10"/>
      <c r="KL129" s="10"/>
      <c r="KM129" s="10"/>
      <c r="KN129" s="10"/>
      <c r="KO129" s="10"/>
      <c r="KP129" s="10"/>
      <c r="KQ129" s="10"/>
      <c r="KR129" s="10"/>
      <c r="KS129" s="10"/>
      <c r="KT129" s="9"/>
      <c r="KU129" s="11"/>
      <c r="KV129" s="261"/>
      <c r="KW129" s="261"/>
      <c r="KX129" s="261"/>
      <c r="KY129" s="261"/>
      <c r="KZ129" s="261"/>
      <c r="LA129" s="261"/>
      <c r="LB129" s="261"/>
      <c r="LC129" s="261"/>
      <c r="LD129" s="261"/>
      <c r="LE129" s="261"/>
      <c r="LF129" s="261"/>
      <c r="LG129" s="261"/>
      <c r="LH129" s="261"/>
      <c r="LI129" s="261"/>
      <c r="LJ129" s="261"/>
      <c r="LK129" s="261"/>
      <c r="LL129" s="261"/>
      <c r="LM129" s="261"/>
      <c r="LN129" s="261"/>
      <c r="LO129" s="261"/>
      <c r="LP129" s="261"/>
      <c r="LQ129" s="261"/>
      <c r="LR129" s="261"/>
      <c r="LS129" s="261"/>
      <c r="LT129" s="261"/>
      <c r="LU129" s="261"/>
      <c r="LV129" s="261"/>
      <c r="LW129" s="261"/>
      <c r="LX129" s="261"/>
      <c r="LY129" s="261"/>
      <c r="LZ129" s="261"/>
      <c r="MA129" s="261"/>
      <c r="MB129" s="261"/>
      <c r="MC129" s="261"/>
      <c r="MD129" s="261"/>
      <c r="ME129" s="261"/>
      <c r="MF129" s="261"/>
      <c r="MG129" s="261"/>
      <c r="MH129" s="261"/>
      <c r="MI129" s="261"/>
      <c r="MJ129" s="261"/>
      <c r="MK129" s="261"/>
      <c r="ML129" s="261"/>
      <c r="MM129" s="261"/>
      <c r="MN129" s="261"/>
      <c r="MO129" s="261"/>
      <c r="MP129" s="261"/>
      <c r="MQ129" s="261"/>
      <c r="MR129" s="261"/>
      <c r="MS129" s="261"/>
      <c r="MT129" s="261"/>
      <c r="MU129" s="261"/>
      <c r="MV129" s="261"/>
      <c r="MW129" s="261"/>
      <c r="MX129" s="261"/>
      <c r="MY129" s="261"/>
      <c r="MZ129" s="261"/>
      <c r="NA129" s="261"/>
      <c r="NB129" s="261"/>
      <c r="NC129" s="261"/>
      <c r="ND129" s="261"/>
      <c r="NE129" s="261"/>
      <c r="NF129" s="261"/>
      <c r="NG129" s="261"/>
      <c r="NH129" s="261"/>
      <c r="NI129" s="261"/>
      <c r="NJ129" s="261"/>
      <c r="NK129" s="13"/>
      <c r="NL129" s="261"/>
      <c r="NM129" s="261"/>
      <c r="NN129" s="13"/>
    </row>
    <row r="130" spans="67:378" ht="10.75" customHeight="1" x14ac:dyDescent="0.2">
      <c r="BO130" s="12"/>
      <c r="DF130" s="13"/>
      <c r="DJ130" s="12"/>
      <c r="DQ130" s="13"/>
      <c r="EH130" s="12"/>
      <c r="EO130" s="13"/>
      <c r="EP130" s="214"/>
      <c r="EQ130" s="208"/>
      <c r="GM130" s="13"/>
      <c r="GP130" s="13"/>
      <c r="GQ130" s="12"/>
      <c r="GT130" s="13"/>
      <c r="HV130" s="13"/>
      <c r="JK130" s="12"/>
      <c r="JL130" s="261"/>
      <c r="JM130" s="261"/>
      <c r="JN130" s="12"/>
      <c r="JO130" s="261"/>
      <c r="JP130" s="261"/>
      <c r="JQ130" s="261"/>
      <c r="JR130" s="261"/>
      <c r="JS130" s="261"/>
      <c r="JT130" s="261"/>
      <c r="JU130" s="261"/>
      <c r="JV130" s="261"/>
      <c r="JW130" s="261"/>
      <c r="JX130" s="261"/>
      <c r="JY130" s="261"/>
      <c r="JZ130" s="261"/>
      <c r="KA130" s="261"/>
      <c r="KB130" s="261"/>
      <c r="KC130" s="261"/>
      <c r="KD130" s="261"/>
      <c r="KE130" s="261"/>
      <c r="KF130" s="261"/>
      <c r="KG130" s="261"/>
      <c r="KH130" s="261"/>
      <c r="KI130" s="261"/>
      <c r="KJ130" s="261"/>
      <c r="KK130" s="261"/>
      <c r="KL130" s="261"/>
      <c r="KM130" s="261"/>
      <c r="KN130" s="261"/>
      <c r="KO130" s="261"/>
      <c r="KP130" s="261"/>
      <c r="KQ130" s="261"/>
      <c r="KR130" s="261"/>
      <c r="KS130" s="261"/>
      <c r="KT130" s="12"/>
      <c r="KU130" s="13"/>
      <c r="KV130" s="261"/>
      <c r="KW130" s="261"/>
      <c r="KX130" s="261"/>
      <c r="KY130" s="261"/>
      <c r="KZ130" s="261"/>
      <c r="LA130" s="261"/>
      <c r="LB130" s="261"/>
      <c r="LC130" s="261"/>
      <c r="LD130" s="261"/>
      <c r="LE130" s="261"/>
      <c r="LF130" s="261"/>
      <c r="LG130" s="261"/>
      <c r="LH130" s="261"/>
      <c r="LI130" s="261"/>
      <c r="LJ130" s="261"/>
      <c r="LK130" s="261"/>
      <c r="LL130" s="261"/>
      <c r="LM130" s="261"/>
      <c r="LN130" s="261"/>
      <c r="LO130" s="261"/>
      <c r="LP130" s="261"/>
      <c r="LQ130" s="261"/>
      <c r="LR130" s="261"/>
      <c r="LS130" s="261"/>
      <c r="LT130" s="261"/>
      <c r="LU130" s="261"/>
      <c r="LV130" s="261"/>
      <c r="LW130" s="261"/>
      <c r="LX130" s="261"/>
      <c r="LY130" s="261"/>
      <c r="LZ130" s="261"/>
      <c r="MA130" s="261"/>
      <c r="MB130" s="261"/>
      <c r="MC130" s="261"/>
      <c r="MD130" s="261"/>
      <c r="ME130" s="261"/>
      <c r="MF130" s="261"/>
      <c r="MG130" s="261"/>
      <c r="MH130" s="261"/>
      <c r="MI130" s="261"/>
      <c r="MJ130" s="261"/>
      <c r="MK130" s="261"/>
      <c r="ML130" s="261"/>
      <c r="MM130" s="261"/>
      <c r="MN130" s="261"/>
      <c r="MO130" s="261"/>
      <c r="MP130" s="261"/>
      <c r="MQ130" s="261"/>
      <c r="MR130" s="261"/>
      <c r="MS130" s="261"/>
      <c r="MT130" s="261"/>
      <c r="MU130" s="261"/>
      <c r="MV130" s="261"/>
      <c r="MW130" s="261"/>
      <c r="MX130" s="261"/>
      <c r="MY130" s="261"/>
      <c r="MZ130" s="261"/>
      <c r="NA130" s="261"/>
      <c r="NB130" s="261"/>
      <c r="NC130" s="261"/>
      <c r="ND130" s="261"/>
      <c r="NE130" s="261"/>
      <c r="NF130" s="261"/>
      <c r="NG130" s="261"/>
      <c r="NH130" s="261"/>
      <c r="NI130" s="261"/>
      <c r="NJ130" s="261"/>
      <c r="NK130" s="13"/>
      <c r="NL130" s="261"/>
      <c r="NM130" s="261"/>
      <c r="NN130" s="13"/>
    </row>
    <row r="131" spans="67:378" ht="10.75" customHeight="1" x14ac:dyDescent="0.2">
      <c r="BO131" s="12"/>
      <c r="DF131" s="13"/>
      <c r="DJ131" s="12"/>
      <c r="DQ131" s="13"/>
      <c r="EH131" s="12"/>
      <c r="EO131" s="13"/>
      <c r="EP131" s="214"/>
      <c r="EQ131" s="208"/>
      <c r="GM131" s="13"/>
      <c r="GP131" s="13"/>
      <c r="GQ131" s="12"/>
      <c r="GT131" s="13"/>
      <c r="HV131" s="13"/>
      <c r="JK131" s="12"/>
      <c r="JL131" s="261"/>
      <c r="JM131" s="261"/>
      <c r="JN131" s="12"/>
      <c r="JO131" s="261"/>
      <c r="JP131" s="261"/>
      <c r="JQ131" s="261"/>
      <c r="JR131" s="261"/>
      <c r="JS131" s="261"/>
      <c r="JT131" s="261"/>
      <c r="JU131" s="261"/>
      <c r="JV131" s="261"/>
      <c r="JW131" s="261"/>
      <c r="JX131" s="261"/>
      <c r="JY131" s="261"/>
      <c r="JZ131" s="261"/>
      <c r="KA131" s="261"/>
      <c r="KB131" s="261"/>
      <c r="KC131" s="261"/>
      <c r="KD131" s="261"/>
      <c r="KE131" s="261"/>
      <c r="KF131" s="261"/>
      <c r="KG131" s="261"/>
      <c r="KH131" s="261"/>
      <c r="KI131" s="261"/>
      <c r="KJ131" s="261"/>
      <c r="KK131" s="261"/>
      <c r="KL131" s="261"/>
      <c r="KM131" s="261"/>
      <c r="KN131" s="261"/>
      <c r="KO131" s="261"/>
      <c r="KP131" s="261"/>
      <c r="KQ131" s="261"/>
      <c r="KR131" s="261"/>
      <c r="KS131" s="261"/>
      <c r="KT131" s="12"/>
      <c r="KU131" s="13"/>
      <c r="KV131" s="261"/>
      <c r="KW131" s="261"/>
      <c r="KX131" s="261"/>
      <c r="KY131" s="261"/>
      <c r="KZ131" s="261"/>
      <c r="LA131" s="261"/>
      <c r="LB131" s="261"/>
      <c r="LC131" s="261"/>
      <c r="LD131" s="261"/>
      <c r="LE131" s="261"/>
      <c r="LF131" s="261"/>
      <c r="LG131" s="261"/>
      <c r="LH131" s="261"/>
      <c r="LI131" s="261"/>
      <c r="LJ131" s="261"/>
      <c r="LK131" s="261"/>
      <c r="LL131" s="261"/>
      <c r="LM131" s="261"/>
      <c r="LN131" s="261"/>
      <c r="LO131" s="261"/>
      <c r="LP131" s="261"/>
      <c r="LQ131" s="261"/>
      <c r="LR131" s="261"/>
      <c r="LS131" s="261"/>
      <c r="LT131" s="261"/>
      <c r="LU131" s="261"/>
      <c r="LV131" s="261"/>
      <c r="LW131" s="261"/>
      <c r="LX131" s="261"/>
      <c r="LY131" s="261"/>
      <c r="LZ131" s="261"/>
      <c r="MA131" s="261"/>
      <c r="MB131" s="261"/>
      <c r="MC131" s="261"/>
      <c r="MD131" s="261"/>
      <c r="ME131" s="261"/>
      <c r="MF131" s="261"/>
      <c r="MG131" s="261"/>
      <c r="MH131" s="261"/>
      <c r="MI131" s="261"/>
      <c r="MJ131" s="261"/>
      <c r="MK131" s="261"/>
      <c r="ML131" s="261"/>
      <c r="MM131" s="261"/>
      <c r="MN131" s="261"/>
      <c r="MO131" s="261"/>
      <c r="MP131" s="261"/>
      <c r="MQ131" s="261"/>
      <c r="MR131" s="261"/>
      <c r="MS131" s="261"/>
      <c r="MT131" s="261"/>
      <c r="MU131" s="261"/>
      <c r="MV131" s="261"/>
      <c r="MW131" s="261"/>
      <c r="MX131" s="261"/>
      <c r="MY131" s="261"/>
      <c r="MZ131" s="261"/>
      <c r="NA131" s="261"/>
      <c r="NB131" s="261"/>
      <c r="NC131" s="261"/>
      <c r="ND131" s="261"/>
      <c r="NE131" s="261"/>
      <c r="NF131" s="261"/>
      <c r="NG131" s="261"/>
      <c r="NH131" s="261"/>
      <c r="NI131" s="261"/>
      <c r="NJ131" s="261"/>
      <c r="NK131" s="13"/>
      <c r="NL131" s="261"/>
      <c r="NM131" s="261"/>
      <c r="NN131" s="13"/>
    </row>
    <row r="132" spans="67:378" ht="10.75" customHeight="1" x14ac:dyDescent="0.2">
      <c r="BO132" s="12"/>
      <c r="DF132" s="13"/>
      <c r="DJ132" s="12"/>
      <c r="DQ132" s="13"/>
      <c r="EH132" s="12"/>
      <c r="EO132" s="13"/>
      <c r="EP132" s="214"/>
      <c r="EQ132" s="208"/>
      <c r="GM132" s="13"/>
      <c r="GP132" s="13"/>
      <c r="GQ132" s="12"/>
      <c r="GT132" s="13"/>
      <c r="HV132" s="13"/>
      <c r="JK132" s="12"/>
      <c r="JL132" s="261"/>
      <c r="JM132" s="261"/>
      <c r="JN132" s="12"/>
      <c r="JO132" s="261"/>
      <c r="JP132" s="261"/>
      <c r="JQ132" s="261"/>
      <c r="JR132" s="261"/>
      <c r="JS132" s="261"/>
      <c r="JT132" s="261"/>
      <c r="JU132" s="261"/>
      <c r="JV132" s="261"/>
      <c r="JW132" s="261"/>
      <c r="JX132" s="261"/>
      <c r="JY132" s="261"/>
      <c r="JZ132" s="261"/>
      <c r="KA132" s="261"/>
      <c r="KB132" s="261"/>
      <c r="KC132" s="261"/>
      <c r="KD132" s="261"/>
      <c r="KE132" s="261"/>
      <c r="KF132" s="261"/>
      <c r="KG132" s="261"/>
      <c r="KH132" s="261"/>
      <c r="KI132" s="261"/>
      <c r="KJ132" s="261"/>
      <c r="KK132" s="261"/>
      <c r="KL132" s="261"/>
      <c r="KM132" s="261"/>
      <c r="KN132" s="261"/>
      <c r="KO132" s="261"/>
      <c r="KP132" s="261"/>
      <c r="KQ132" s="261"/>
      <c r="KR132" s="261"/>
      <c r="KS132" s="261"/>
      <c r="KT132" s="12"/>
      <c r="KU132" s="13"/>
      <c r="KV132" s="261"/>
      <c r="KW132" s="261"/>
      <c r="KX132" s="261"/>
      <c r="KY132" s="261"/>
      <c r="KZ132" s="261"/>
      <c r="LA132" s="261"/>
      <c r="LB132" s="261"/>
      <c r="LC132" s="261"/>
      <c r="LD132" s="261"/>
      <c r="LE132" s="261"/>
      <c r="LF132" s="261"/>
      <c r="LG132" s="261"/>
      <c r="LH132" s="261"/>
      <c r="LI132" s="261"/>
      <c r="LJ132" s="261"/>
      <c r="LK132" s="261"/>
      <c r="LL132" s="261"/>
      <c r="LM132" s="261"/>
      <c r="LN132" s="261"/>
      <c r="LO132" s="261"/>
      <c r="LP132" s="261"/>
      <c r="LQ132" s="261"/>
      <c r="LR132" s="261"/>
      <c r="LS132" s="261"/>
      <c r="LT132" s="261"/>
      <c r="LU132" s="261"/>
      <c r="LV132" s="261"/>
      <c r="LW132" s="261"/>
      <c r="LX132" s="261"/>
      <c r="LY132" s="261"/>
      <c r="LZ132" s="261"/>
      <c r="MA132" s="261"/>
      <c r="MB132" s="261"/>
      <c r="MC132" s="261"/>
      <c r="MD132" s="261"/>
      <c r="ME132" s="261"/>
      <c r="MF132" s="261"/>
      <c r="MG132" s="261"/>
      <c r="MH132" s="261"/>
      <c r="MI132" s="261"/>
      <c r="MJ132" s="261"/>
      <c r="MK132" s="261"/>
      <c r="ML132" s="261"/>
      <c r="MM132" s="261"/>
      <c r="MN132" s="261"/>
      <c r="MO132" s="261"/>
      <c r="MP132" s="261"/>
      <c r="MQ132" s="261"/>
      <c r="MR132" s="261"/>
      <c r="MS132" s="261"/>
      <c r="MT132" s="261"/>
      <c r="MU132" s="261"/>
      <c r="MV132" s="261"/>
      <c r="MW132" s="261"/>
      <c r="MX132" s="261"/>
      <c r="MY132" s="261"/>
      <c r="MZ132" s="261"/>
      <c r="NA132" s="261"/>
      <c r="NB132" s="261"/>
      <c r="NC132" s="261"/>
      <c r="ND132" s="261"/>
      <c r="NE132" s="261"/>
      <c r="NF132" s="261"/>
      <c r="NG132" s="261"/>
      <c r="NH132" s="261"/>
      <c r="NI132" s="261"/>
      <c r="NJ132" s="261"/>
      <c r="NK132" s="13"/>
      <c r="NL132" s="261"/>
      <c r="NM132" s="261"/>
      <c r="NN132" s="13"/>
    </row>
    <row r="133" spans="67:378" ht="10.75" customHeight="1" x14ac:dyDescent="0.2">
      <c r="BO133" s="12"/>
      <c r="DF133" s="13"/>
      <c r="DJ133" s="12"/>
      <c r="DQ133" s="13"/>
      <c r="EH133" s="12"/>
      <c r="EO133" s="13"/>
      <c r="EP133" s="214"/>
      <c r="EQ133" s="208"/>
      <c r="GM133" s="13"/>
      <c r="GP133" s="13"/>
      <c r="GQ133" s="12"/>
      <c r="GT133" s="13"/>
      <c r="HV133" s="13"/>
      <c r="JK133" s="12"/>
      <c r="JL133" s="261"/>
      <c r="JM133" s="261"/>
      <c r="JN133" s="12"/>
      <c r="JO133" s="261"/>
      <c r="JP133" s="261"/>
      <c r="JQ133" s="261"/>
      <c r="JR133" s="261"/>
      <c r="JS133" s="261"/>
      <c r="JT133" s="261"/>
      <c r="JU133" s="261"/>
      <c r="JV133" s="261"/>
      <c r="JW133" s="261"/>
      <c r="JX133" s="261"/>
      <c r="JY133" s="261"/>
      <c r="JZ133" s="261"/>
      <c r="KA133" s="261"/>
      <c r="KB133" s="261"/>
      <c r="KC133" s="261"/>
      <c r="KD133" s="261"/>
      <c r="KE133" s="261"/>
      <c r="KF133" s="261"/>
      <c r="KG133" s="261"/>
      <c r="KH133" s="261"/>
      <c r="KI133" s="261"/>
      <c r="KJ133" s="261"/>
      <c r="KK133" s="261"/>
      <c r="KL133" s="261"/>
      <c r="KM133" s="261"/>
      <c r="KN133" s="261"/>
      <c r="KO133" s="261"/>
      <c r="KP133" s="261"/>
      <c r="KQ133" s="261"/>
      <c r="KR133" s="261"/>
      <c r="KS133" s="261"/>
      <c r="KT133" s="12"/>
      <c r="KU133" s="13"/>
      <c r="KV133" s="261"/>
      <c r="KW133" s="261"/>
      <c r="KX133" s="261"/>
      <c r="KY133" s="261"/>
      <c r="KZ133" s="261"/>
      <c r="LA133" s="261"/>
      <c r="LB133" s="261"/>
      <c r="LC133" s="261"/>
      <c r="LD133" s="261"/>
      <c r="LE133" s="261"/>
      <c r="LF133" s="261"/>
      <c r="LG133" s="261"/>
      <c r="LH133" s="261"/>
      <c r="LI133" s="261"/>
      <c r="LJ133" s="261"/>
      <c r="LK133" s="261"/>
      <c r="LL133" s="261"/>
      <c r="LM133" s="261"/>
      <c r="LN133" s="261"/>
      <c r="LO133" s="261"/>
      <c r="LP133" s="261"/>
      <c r="LQ133" s="261"/>
      <c r="LR133" s="261"/>
      <c r="LS133" s="261"/>
      <c r="LT133" s="261"/>
      <c r="LU133" s="261"/>
      <c r="LV133" s="261"/>
      <c r="LW133" s="261"/>
      <c r="LX133" s="261"/>
      <c r="LY133" s="261"/>
      <c r="LZ133" s="261"/>
      <c r="MA133" s="261"/>
      <c r="MB133" s="261"/>
      <c r="MC133" s="261"/>
      <c r="MD133" s="261"/>
      <c r="ME133" s="261"/>
      <c r="MF133" s="261"/>
      <c r="MG133" s="261"/>
      <c r="MH133" s="261"/>
      <c r="MI133" s="261"/>
      <c r="MJ133" s="261"/>
      <c r="MK133" s="261"/>
      <c r="ML133" s="261"/>
      <c r="MM133" s="261"/>
      <c r="MN133" s="261"/>
      <c r="MO133" s="261"/>
      <c r="MP133" s="261"/>
      <c r="MQ133" s="261"/>
      <c r="MR133" s="261"/>
      <c r="MS133" s="261"/>
      <c r="MT133" s="261"/>
      <c r="MU133" s="261"/>
      <c r="MV133" s="261"/>
      <c r="MW133" s="261"/>
      <c r="MX133" s="261"/>
      <c r="MY133" s="261"/>
      <c r="MZ133" s="261"/>
      <c r="NA133" s="261"/>
      <c r="NB133" s="261"/>
      <c r="NC133" s="261"/>
      <c r="ND133" s="261"/>
      <c r="NE133" s="261"/>
      <c r="NF133" s="261"/>
      <c r="NG133" s="261"/>
      <c r="NH133" s="261"/>
      <c r="NI133" s="261"/>
      <c r="NJ133" s="261"/>
      <c r="NK133" s="13"/>
      <c r="NL133" s="261"/>
      <c r="NM133" s="261"/>
      <c r="NN133" s="13"/>
    </row>
    <row r="134" spans="67:378" ht="10.75" customHeight="1" x14ac:dyDescent="0.2">
      <c r="BO134" s="12"/>
      <c r="DF134" s="13"/>
      <c r="DJ134" s="12"/>
      <c r="DQ134" s="13"/>
      <c r="EH134" s="12"/>
      <c r="EO134" s="13"/>
      <c r="EP134" s="214"/>
      <c r="EQ134" s="208"/>
      <c r="GM134" s="13"/>
      <c r="GP134" s="13"/>
      <c r="GQ134" s="12"/>
      <c r="GT134" s="13"/>
      <c r="HV134" s="13"/>
      <c r="JK134" s="12"/>
      <c r="JL134" s="261"/>
      <c r="JM134" s="261"/>
      <c r="JN134" s="12"/>
      <c r="JO134" s="261"/>
      <c r="JP134" s="261"/>
      <c r="JQ134" s="261"/>
      <c r="JR134" s="261"/>
      <c r="JS134" s="261"/>
      <c r="JT134" s="261"/>
      <c r="JU134" s="261"/>
      <c r="JV134" s="261"/>
      <c r="JW134" s="261"/>
      <c r="JX134" s="261"/>
      <c r="JY134" s="261"/>
      <c r="JZ134" s="261"/>
      <c r="KA134" s="261"/>
      <c r="KB134" s="261"/>
      <c r="KC134" s="261"/>
      <c r="KD134" s="261"/>
      <c r="KE134" s="261"/>
      <c r="KF134" s="261"/>
      <c r="KG134" s="261"/>
      <c r="KH134" s="261"/>
      <c r="KI134" s="261"/>
      <c r="KJ134" s="261"/>
      <c r="KK134" s="261"/>
      <c r="KL134" s="261"/>
      <c r="KM134" s="261"/>
      <c r="KN134" s="261"/>
      <c r="KO134" s="261"/>
      <c r="KP134" s="261"/>
      <c r="KQ134" s="261"/>
      <c r="KR134" s="261"/>
      <c r="KS134" s="261"/>
      <c r="KT134" s="12"/>
      <c r="KU134" s="13"/>
      <c r="KV134" s="261"/>
      <c r="KW134" s="261"/>
      <c r="KX134" s="261"/>
      <c r="KY134" s="261"/>
      <c r="KZ134" s="261"/>
      <c r="LA134" s="261"/>
      <c r="LB134" s="261"/>
      <c r="LC134" s="261"/>
      <c r="LD134" s="261"/>
      <c r="LE134" s="261"/>
      <c r="LF134" s="261"/>
      <c r="LG134" s="261"/>
      <c r="LH134" s="261"/>
      <c r="LI134" s="261"/>
      <c r="LJ134" s="261"/>
      <c r="LK134" s="261"/>
      <c r="LL134" s="261"/>
      <c r="LM134" s="261"/>
      <c r="LN134" s="261"/>
      <c r="LO134" s="261"/>
      <c r="LP134" s="261"/>
      <c r="LQ134" s="261"/>
      <c r="LR134" s="261"/>
      <c r="LS134" s="261"/>
      <c r="LT134" s="261"/>
      <c r="LU134" s="261"/>
      <c r="LV134" s="261"/>
      <c r="LW134" s="261"/>
      <c r="LX134" s="261"/>
      <c r="LY134" s="261"/>
      <c r="LZ134" s="261"/>
      <c r="MA134" s="261"/>
      <c r="MB134" s="261"/>
      <c r="MC134" s="261"/>
      <c r="MD134" s="261"/>
      <c r="ME134" s="261"/>
      <c r="MF134" s="261"/>
      <c r="MG134" s="261"/>
      <c r="MH134" s="261"/>
      <c r="MI134" s="261"/>
      <c r="MJ134" s="261"/>
      <c r="MK134" s="261"/>
      <c r="ML134" s="261"/>
      <c r="MM134" s="261"/>
      <c r="MN134" s="261"/>
      <c r="MO134" s="261"/>
      <c r="MP134" s="261"/>
      <c r="MQ134" s="261"/>
      <c r="MR134" s="261"/>
      <c r="MS134" s="261"/>
      <c r="MT134" s="261"/>
      <c r="MU134" s="261"/>
      <c r="MV134" s="261"/>
      <c r="MW134" s="261"/>
      <c r="MX134" s="261"/>
      <c r="MY134" s="261"/>
      <c r="MZ134" s="261"/>
      <c r="NA134" s="261"/>
      <c r="NB134" s="261"/>
      <c r="NC134" s="261"/>
      <c r="ND134" s="261"/>
      <c r="NE134" s="261"/>
      <c r="NF134" s="261"/>
      <c r="NG134" s="261"/>
      <c r="NH134" s="261"/>
      <c r="NI134" s="261"/>
      <c r="NJ134" s="261"/>
      <c r="NK134" s="13"/>
      <c r="NL134" s="261"/>
      <c r="NM134" s="261"/>
      <c r="NN134" s="13"/>
    </row>
    <row r="135" spans="67:378" ht="10.75" customHeight="1" x14ac:dyDescent="0.2">
      <c r="BO135" s="12"/>
      <c r="DF135" s="13"/>
      <c r="DJ135" s="12"/>
      <c r="DQ135" s="13"/>
      <c r="EH135" s="14"/>
      <c r="EI135" s="15"/>
      <c r="EJ135" s="15"/>
      <c r="EK135" s="15"/>
      <c r="EL135" s="15"/>
      <c r="EM135" s="15"/>
      <c r="EN135" s="15"/>
      <c r="EO135" s="16"/>
      <c r="EP135" s="237"/>
      <c r="EQ135" s="209"/>
      <c r="GM135" s="13"/>
      <c r="GP135" s="13"/>
      <c r="GQ135" s="12"/>
      <c r="GT135" s="13"/>
      <c r="HV135" s="13"/>
      <c r="JK135" s="12"/>
      <c r="JL135" s="261"/>
      <c r="JM135" s="261"/>
      <c r="JN135" s="12"/>
      <c r="JO135" s="261"/>
      <c r="JP135" s="261"/>
      <c r="JQ135" s="261"/>
      <c r="JR135" s="261"/>
      <c r="JS135" s="261"/>
      <c r="JT135" s="261"/>
      <c r="JU135" s="261"/>
      <c r="JV135" s="261"/>
      <c r="JW135" s="261"/>
      <c r="JX135" s="261"/>
      <c r="JY135" s="261"/>
      <c r="JZ135" s="261"/>
      <c r="KA135" s="261"/>
      <c r="KB135" s="261"/>
      <c r="KC135" s="261"/>
      <c r="KD135" s="261"/>
      <c r="KE135" s="261"/>
      <c r="KF135" s="261"/>
      <c r="KG135" s="261"/>
      <c r="KH135" s="261"/>
      <c r="KI135" s="261"/>
      <c r="KJ135" s="261"/>
      <c r="KK135" s="261"/>
      <c r="KL135" s="261"/>
      <c r="KM135" s="261"/>
      <c r="KN135" s="261"/>
      <c r="KO135" s="261"/>
      <c r="KP135" s="261"/>
      <c r="KQ135" s="261"/>
      <c r="KR135" s="261"/>
      <c r="KS135" s="261"/>
      <c r="KT135" s="12"/>
      <c r="KU135" s="13"/>
      <c r="KV135" s="261"/>
      <c r="KW135" s="261"/>
      <c r="KX135" s="261"/>
      <c r="KY135" s="261"/>
      <c r="KZ135" s="261"/>
      <c r="LA135" s="261"/>
      <c r="LB135" s="261"/>
      <c r="LC135" s="261"/>
      <c r="LD135" s="261"/>
      <c r="LE135" s="261"/>
      <c r="LF135" s="261"/>
      <c r="LG135" s="261"/>
      <c r="LH135" s="261"/>
      <c r="LI135" s="261"/>
      <c r="LJ135" s="261"/>
      <c r="LK135" s="261"/>
      <c r="LL135" s="261"/>
      <c r="LM135" s="261"/>
      <c r="LN135" s="261"/>
      <c r="LO135" s="261"/>
      <c r="LP135" s="261"/>
      <c r="LQ135" s="261"/>
      <c r="LR135" s="261"/>
      <c r="LS135" s="261"/>
      <c r="LT135" s="261"/>
      <c r="LU135" s="261"/>
      <c r="LV135" s="261"/>
      <c r="LW135" s="261"/>
      <c r="LX135" s="261"/>
      <c r="LY135" s="261"/>
      <c r="LZ135" s="261"/>
      <c r="MA135" s="261"/>
      <c r="MB135" s="261"/>
      <c r="MC135" s="261"/>
      <c r="MD135" s="261"/>
      <c r="ME135" s="261"/>
      <c r="MF135" s="261"/>
      <c r="MG135" s="261"/>
      <c r="MH135" s="261"/>
      <c r="MI135" s="261"/>
      <c r="MJ135" s="261"/>
      <c r="MK135" s="261"/>
      <c r="ML135" s="261"/>
      <c r="MM135" s="261"/>
      <c r="MN135" s="261"/>
      <c r="MO135" s="261"/>
      <c r="MP135" s="261"/>
      <c r="MQ135" s="261"/>
      <c r="MR135" s="261"/>
      <c r="MS135" s="261"/>
      <c r="MT135" s="261"/>
      <c r="MU135" s="261"/>
      <c r="MV135" s="261"/>
      <c r="MW135" s="261"/>
      <c r="MX135" s="261"/>
      <c r="MY135" s="261"/>
      <c r="MZ135" s="261"/>
      <c r="NA135" s="261"/>
      <c r="NB135" s="261"/>
      <c r="NC135" s="261"/>
      <c r="ND135" s="261"/>
      <c r="NE135" s="261"/>
      <c r="NF135" s="261"/>
      <c r="NG135" s="261"/>
      <c r="NH135" s="261"/>
      <c r="NI135" s="261"/>
      <c r="NJ135" s="261"/>
      <c r="NK135" s="13"/>
      <c r="NL135" s="261"/>
      <c r="NM135" s="261"/>
      <c r="NN135" s="13"/>
    </row>
    <row r="136" spans="67:378" ht="10.75" customHeight="1" x14ac:dyDescent="0.2">
      <c r="BO136" s="12"/>
      <c r="DF136" s="13"/>
      <c r="DJ136" s="12"/>
      <c r="DQ136" s="13"/>
      <c r="GM136" s="13"/>
      <c r="GP136" s="13"/>
      <c r="GQ136" s="12"/>
      <c r="GT136" s="13"/>
      <c r="HV136" s="13"/>
      <c r="JK136" s="12"/>
      <c r="JL136" s="261"/>
      <c r="JM136" s="261"/>
      <c r="JN136" s="12"/>
      <c r="JO136" s="261"/>
      <c r="JP136" s="261"/>
      <c r="JQ136" s="261"/>
      <c r="JR136" s="261"/>
      <c r="JS136" s="261"/>
      <c r="JT136" s="261"/>
      <c r="JU136" s="261"/>
      <c r="JV136" s="261"/>
      <c r="JW136" s="261"/>
      <c r="JX136" s="261"/>
      <c r="JY136" s="261"/>
      <c r="JZ136" s="261"/>
      <c r="KA136" s="261"/>
      <c r="KB136" s="261"/>
      <c r="KC136" s="261"/>
      <c r="KD136" s="261"/>
      <c r="KE136" s="261"/>
      <c r="KF136" s="261"/>
      <c r="KG136" s="261"/>
      <c r="KH136" s="261"/>
      <c r="KI136" s="261"/>
      <c r="KJ136" s="261"/>
      <c r="KK136" s="261"/>
      <c r="KL136" s="261"/>
      <c r="KM136" s="261"/>
      <c r="KN136" s="261"/>
      <c r="KO136" s="261"/>
      <c r="KP136" s="261"/>
      <c r="KQ136" s="261"/>
      <c r="KR136" s="261"/>
      <c r="KS136" s="261"/>
      <c r="KT136" s="14"/>
      <c r="KU136" s="16"/>
      <c r="KV136" s="261"/>
      <c r="KW136" s="261"/>
      <c r="KX136" s="261"/>
      <c r="KY136" s="261"/>
      <c r="KZ136" s="261"/>
      <c r="LA136" s="261"/>
      <c r="LB136" s="261"/>
      <c r="LC136" s="261"/>
      <c r="LD136" s="261"/>
      <c r="LE136" s="261"/>
      <c r="LF136" s="261"/>
      <c r="LG136" s="261"/>
      <c r="LH136" s="261"/>
      <c r="LI136" s="261"/>
      <c r="LJ136" s="261"/>
      <c r="LK136" s="261"/>
      <c r="LL136" s="261"/>
      <c r="LM136" s="261"/>
      <c r="LN136" s="261"/>
      <c r="LO136" s="261"/>
      <c r="LP136" s="261"/>
      <c r="LQ136" s="261"/>
      <c r="LR136" s="261"/>
      <c r="LS136" s="261"/>
      <c r="LT136" s="261"/>
      <c r="LU136" s="261"/>
      <c r="LV136" s="261"/>
      <c r="LW136" s="261"/>
      <c r="LX136" s="261"/>
      <c r="LY136" s="261"/>
      <c r="LZ136" s="261"/>
      <c r="MA136" s="261"/>
      <c r="MB136" s="261"/>
      <c r="MC136" s="261"/>
      <c r="MD136" s="261"/>
      <c r="ME136" s="261"/>
      <c r="MF136" s="261"/>
      <c r="MG136" s="261"/>
      <c r="MH136" s="261"/>
      <c r="MI136" s="261"/>
      <c r="MJ136" s="261"/>
      <c r="MK136" s="261"/>
      <c r="ML136" s="261"/>
      <c r="MM136" s="261"/>
      <c r="MN136" s="261"/>
      <c r="MO136" s="261"/>
      <c r="MP136" s="261"/>
      <c r="MQ136" s="261"/>
      <c r="MR136" s="261"/>
      <c r="MS136" s="261"/>
      <c r="MT136" s="261"/>
      <c r="MU136" s="261"/>
      <c r="MV136" s="261"/>
      <c r="MW136" s="261"/>
      <c r="MX136" s="261"/>
      <c r="MY136" s="261"/>
      <c r="MZ136" s="261"/>
      <c r="NA136" s="261"/>
      <c r="NB136" s="261"/>
      <c r="NC136" s="261"/>
      <c r="ND136" s="261"/>
      <c r="NE136" s="261"/>
      <c r="NF136" s="261"/>
      <c r="NG136" s="261"/>
      <c r="NH136" s="261"/>
      <c r="NI136" s="261"/>
      <c r="NJ136" s="261"/>
      <c r="NK136" s="13"/>
      <c r="NL136" s="261"/>
      <c r="NM136" s="261"/>
      <c r="NN136" s="13"/>
    </row>
    <row r="137" spans="67:378" ht="10.75" customHeight="1" x14ac:dyDescent="0.2">
      <c r="BO137" s="12"/>
      <c r="DF137" s="13"/>
      <c r="DJ137" s="12"/>
      <c r="DQ137" s="13"/>
      <c r="GM137" s="13"/>
      <c r="GP137" s="13"/>
      <c r="GQ137" s="12"/>
      <c r="GT137" s="13"/>
      <c r="HV137" s="13"/>
      <c r="JK137" s="12"/>
      <c r="JL137" s="261"/>
      <c r="JM137" s="261"/>
      <c r="JN137" s="12"/>
      <c r="JO137" s="261"/>
      <c r="JP137" s="261"/>
      <c r="JQ137" s="261"/>
      <c r="JR137" s="261"/>
      <c r="JS137" s="261"/>
      <c r="JT137" s="261"/>
      <c r="JU137" s="261"/>
      <c r="JV137" s="9"/>
      <c r="JW137" s="10"/>
      <c r="JX137" s="10"/>
      <c r="JY137" s="10"/>
      <c r="JZ137" s="10"/>
      <c r="KA137" s="10"/>
      <c r="KB137" s="10"/>
      <c r="KC137" s="10"/>
      <c r="KD137" s="10"/>
      <c r="KE137" s="10"/>
      <c r="KF137" s="10"/>
      <c r="KG137" s="10"/>
      <c r="KH137" s="10"/>
      <c r="KI137" s="10"/>
      <c r="KJ137" s="10"/>
      <c r="KK137" s="10"/>
      <c r="KL137" s="10"/>
      <c r="KM137" s="10"/>
      <c r="KN137" s="10"/>
      <c r="KO137" s="10"/>
      <c r="KP137" s="10"/>
      <c r="KQ137" s="10"/>
      <c r="KR137" s="10"/>
      <c r="KS137" s="10"/>
      <c r="KT137" s="261"/>
      <c r="KU137" s="261"/>
      <c r="KV137" s="261"/>
      <c r="KW137" s="261"/>
      <c r="KX137" s="261"/>
      <c r="KY137" s="261"/>
      <c r="KZ137" s="261"/>
      <c r="LA137" s="261"/>
      <c r="LB137" s="261"/>
      <c r="LC137" s="261"/>
      <c r="LD137" s="261"/>
      <c r="LE137" s="261"/>
      <c r="LF137" s="261"/>
      <c r="LG137" s="261"/>
      <c r="LH137" s="261"/>
      <c r="LI137" s="261"/>
      <c r="LJ137" s="261"/>
      <c r="LK137" s="261"/>
      <c r="LL137" s="261"/>
      <c r="LM137" s="261"/>
      <c r="LN137" s="261"/>
      <c r="LO137" s="261"/>
      <c r="LP137" s="261"/>
      <c r="LQ137" s="261"/>
      <c r="LR137" s="261"/>
      <c r="LS137" s="261"/>
      <c r="LT137" s="261"/>
      <c r="LU137" s="261"/>
      <c r="LV137" s="261"/>
      <c r="LW137" s="261"/>
      <c r="LX137" s="261"/>
      <c r="LY137" s="261"/>
      <c r="LZ137" s="261"/>
      <c r="MA137" s="261"/>
      <c r="MB137" s="261"/>
      <c r="MC137" s="261"/>
      <c r="MD137" s="261"/>
      <c r="ME137" s="261"/>
      <c r="MF137" s="261"/>
      <c r="MG137" s="261"/>
      <c r="MH137" s="261"/>
      <c r="MI137" s="261"/>
      <c r="MJ137" s="261"/>
      <c r="MK137" s="261"/>
      <c r="ML137" s="261"/>
      <c r="MM137" s="261"/>
      <c r="MN137" s="261"/>
      <c r="MO137" s="261"/>
      <c r="MP137" s="261"/>
      <c r="MQ137" s="261"/>
      <c r="MR137" s="261"/>
      <c r="MS137" s="261"/>
      <c r="MT137" s="261"/>
      <c r="MU137" s="261"/>
      <c r="MV137" s="261"/>
      <c r="MW137" s="261"/>
      <c r="MX137" s="261"/>
      <c r="MY137" s="261"/>
      <c r="MZ137" s="261"/>
      <c r="NA137" s="261"/>
      <c r="NB137" s="261"/>
      <c r="NC137" s="261"/>
      <c r="ND137" s="261"/>
      <c r="NE137" s="261"/>
      <c r="NF137" s="261"/>
      <c r="NG137" s="261"/>
      <c r="NH137" s="261"/>
      <c r="NI137" s="261"/>
      <c r="NJ137" s="261"/>
      <c r="NK137" s="13"/>
      <c r="NL137" s="261"/>
      <c r="NM137" s="261"/>
      <c r="NN137" s="13"/>
    </row>
    <row r="138" spans="67:378" ht="10.75" customHeight="1" x14ac:dyDescent="0.2">
      <c r="BO138" s="12"/>
      <c r="DF138" s="13"/>
      <c r="DJ138" s="12"/>
      <c r="DQ138" s="13"/>
      <c r="GM138" s="13"/>
      <c r="GP138" s="13"/>
      <c r="GQ138" s="12"/>
      <c r="GT138" s="13"/>
      <c r="HV138" s="13"/>
      <c r="JK138" s="12"/>
      <c r="JL138" s="261"/>
      <c r="JM138" s="261"/>
      <c r="JN138" s="12"/>
      <c r="JO138" s="261"/>
      <c r="JP138" s="261"/>
      <c r="JQ138" s="261"/>
      <c r="JR138" s="261"/>
      <c r="JS138" s="261"/>
      <c r="JT138" s="261"/>
      <c r="JU138" s="261"/>
      <c r="JV138" s="12"/>
      <c r="JW138" s="261"/>
      <c r="JX138" s="261"/>
      <c r="JY138" s="261"/>
      <c r="JZ138" s="261"/>
      <c r="KA138" s="261"/>
      <c r="KB138" s="261"/>
      <c r="KC138" s="261"/>
      <c r="KD138" s="261"/>
      <c r="KE138" s="261"/>
      <c r="KF138" s="261"/>
      <c r="KG138" s="261"/>
      <c r="KH138" s="261"/>
      <c r="KI138" s="261"/>
      <c r="KJ138" s="261"/>
      <c r="KK138" s="261"/>
      <c r="KL138" s="261"/>
      <c r="KM138" s="261"/>
      <c r="KN138" s="261"/>
      <c r="KO138" s="261"/>
      <c r="KP138" s="261"/>
      <c r="KQ138" s="261"/>
      <c r="KR138" s="261"/>
      <c r="KS138" s="261"/>
      <c r="KT138" s="261"/>
      <c r="KU138" s="261"/>
      <c r="KV138" s="261"/>
      <c r="KW138" s="261"/>
      <c r="KX138" s="261"/>
      <c r="KY138" s="261"/>
      <c r="KZ138" s="261"/>
      <c r="LA138" s="261"/>
      <c r="LB138" s="261"/>
      <c r="LC138" s="261"/>
      <c r="LD138" s="261"/>
      <c r="LE138" s="261"/>
      <c r="LF138" s="261"/>
      <c r="LG138" s="261"/>
      <c r="LH138" s="261"/>
      <c r="LI138" s="261"/>
      <c r="LJ138" s="261"/>
      <c r="LK138" s="261"/>
      <c r="LL138" s="261"/>
      <c r="LM138" s="261"/>
      <c r="LN138" s="261"/>
      <c r="LO138" s="261"/>
      <c r="LP138" s="261"/>
      <c r="LQ138" s="261"/>
      <c r="LR138" s="261"/>
      <c r="LS138" s="261"/>
      <c r="LT138" s="261"/>
      <c r="LU138" s="261"/>
      <c r="LV138" s="261"/>
      <c r="LW138" s="261"/>
      <c r="LX138" s="261"/>
      <c r="LY138" s="261"/>
      <c r="LZ138" s="261"/>
      <c r="MA138" s="261"/>
      <c r="MB138" s="261"/>
      <c r="MC138" s="261"/>
      <c r="MD138" s="261"/>
      <c r="ME138" s="261"/>
      <c r="MF138" s="261"/>
      <c r="MG138" s="261"/>
      <c r="MH138" s="261"/>
      <c r="MI138" s="261"/>
      <c r="MJ138" s="261"/>
      <c r="MK138" s="261"/>
      <c r="ML138" s="261"/>
      <c r="MM138" s="261"/>
      <c r="MN138" s="261"/>
      <c r="MO138" s="261"/>
      <c r="MP138" s="261"/>
      <c r="MQ138" s="261"/>
      <c r="MR138" s="261"/>
      <c r="MS138" s="261"/>
      <c r="MT138" s="261"/>
      <c r="MU138" s="261"/>
      <c r="MV138" s="261"/>
      <c r="MW138" s="261"/>
      <c r="MX138" s="261"/>
      <c r="MY138" s="261"/>
      <c r="MZ138" s="261"/>
      <c r="NA138" s="261"/>
      <c r="NB138" s="261"/>
      <c r="NC138" s="261"/>
      <c r="ND138" s="261"/>
      <c r="NE138" s="261"/>
      <c r="NF138" s="261"/>
      <c r="NG138" s="261"/>
      <c r="NH138" s="261"/>
      <c r="NI138" s="261"/>
      <c r="NJ138" s="261"/>
      <c r="NK138" s="13"/>
      <c r="NL138" s="261"/>
      <c r="NM138" s="261"/>
      <c r="NN138" s="13"/>
    </row>
    <row r="139" spans="67:378" ht="10.75" customHeight="1" x14ac:dyDescent="0.2">
      <c r="BO139" s="12"/>
      <c r="DF139" s="13"/>
      <c r="DJ139" s="12"/>
      <c r="DQ139" s="13"/>
      <c r="GM139" s="13"/>
      <c r="GP139" s="13"/>
      <c r="GQ139" s="12"/>
      <c r="GT139" s="13"/>
      <c r="HV139" s="13"/>
      <c r="JK139" s="12"/>
      <c r="JL139" s="261"/>
      <c r="JM139" s="261"/>
      <c r="JN139" s="12"/>
      <c r="JO139" s="261"/>
      <c r="JP139" s="261"/>
      <c r="JQ139" s="261"/>
      <c r="JR139" s="261"/>
      <c r="JS139" s="261"/>
      <c r="JT139" s="261"/>
      <c r="JU139" s="261"/>
      <c r="JV139" s="12"/>
      <c r="JW139" s="261"/>
      <c r="JX139" s="261"/>
      <c r="JY139" s="261"/>
      <c r="JZ139" s="261"/>
      <c r="KA139" s="261"/>
      <c r="KB139" s="261"/>
      <c r="KC139" s="261"/>
      <c r="KD139" s="261"/>
      <c r="KE139" s="261"/>
      <c r="KF139" s="261"/>
      <c r="KG139" s="261"/>
      <c r="KH139" s="261"/>
      <c r="KI139" s="261"/>
      <c r="KJ139" s="261"/>
      <c r="KK139" s="261"/>
      <c r="KL139" s="261"/>
      <c r="KM139" s="261"/>
      <c r="KN139" s="261"/>
      <c r="KO139" s="261"/>
      <c r="KP139" s="261"/>
      <c r="KQ139" s="261"/>
      <c r="KR139" s="261"/>
      <c r="KS139" s="261"/>
      <c r="KT139" s="261"/>
      <c r="KU139" s="261"/>
      <c r="KV139" s="261"/>
      <c r="KW139" s="261"/>
      <c r="KX139" s="261"/>
      <c r="KY139" s="261"/>
      <c r="KZ139" s="261"/>
      <c r="LA139" s="261"/>
      <c r="LB139" s="261"/>
      <c r="LC139" s="261"/>
      <c r="LD139" s="261"/>
      <c r="LE139" s="261"/>
      <c r="LF139" s="261"/>
      <c r="LG139" s="261"/>
      <c r="LH139" s="261"/>
      <c r="LI139" s="261"/>
      <c r="LJ139" s="261"/>
      <c r="LK139" s="261"/>
      <c r="LL139" s="261"/>
      <c r="LM139" s="261"/>
      <c r="LN139" s="261"/>
      <c r="LO139" s="261"/>
      <c r="LP139" s="261"/>
      <c r="LQ139" s="261"/>
      <c r="LR139" s="261"/>
      <c r="LS139" s="261"/>
      <c r="LT139" s="261"/>
      <c r="LU139" s="261"/>
      <c r="LV139" s="261"/>
      <c r="LW139" s="261"/>
      <c r="LX139" s="261"/>
      <c r="LY139" s="261"/>
      <c r="LZ139" s="261"/>
      <c r="MA139" s="261"/>
      <c r="MB139" s="261"/>
      <c r="MC139" s="261"/>
      <c r="MD139" s="261"/>
      <c r="ME139" s="261"/>
      <c r="MF139" s="261"/>
      <c r="MG139" s="261"/>
      <c r="MH139" s="261"/>
      <c r="MI139" s="261"/>
      <c r="MJ139" s="261"/>
      <c r="MK139" s="261"/>
      <c r="ML139" s="261"/>
      <c r="MM139" s="261"/>
      <c r="MN139" s="261"/>
      <c r="MO139" s="261"/>
      <c r="MP139" s="261"/>
      <c r="MQ139" s="261"/>
      <c r="MR139" s="261"/>
      <c r="MS139" s="261"/>
      <c r="MT139" s="261"/>
      <c r="MU139" s="261"/>
      <c r="MV139" s="261"/>
      <c r="MW139" s="261"/>
      <c r="MX139" s="261"/>
      <c r="MY139" s="261"/>
      <c r="MZ139" s="261"/>
      <c r="NA139" s="261"/>
      <c r="NB139" s="261"/>
      <c r="NC139" s="261"/>
      <c r="ND139" s="261"/>
      <c r="NE139" s="261"/>
      <c r="NF139" s="261"/>
      <c r="NG139" s="261"/>
      <c r="NH139" s="261"/>
      <c r="NI139" s="261"/>
      <c r="NJ139" s="261"/>
      <c r="NK139" s="13"/>
      <c r="NL139" s="261"/>
      <c r="NM139" s="261"/>
      <c r="NN139" s="13"/>
    </row>
    <row r="140" spans="67:378" ht="10.75" customHeight="1" x14ac:dyDescent="0.2">
      <c r="BO140" s="12"/>
      <c r="DF140" s="13"/>
      <c r="DJ140" s="12"/>
      <c r="DQ140" s="13"/>
      <c r="GM140" s="13"/>
      <c r="GP140" s="13"/>
      <c r="GQ140" s="12"/>
      <c r="GT140" s="13"/>
      <c r="HV140" s="13"/>
      <c r="JK140" s="12"/>
      <c r="JL140" s="261"/>
      <c r="JM140" s="261"/>
      <c r="JN140" s="12"/>
      <c r="JO140" s="261"/>
      <c r="JP140" s="261"/>
      <c r="JQ140" s="261"/>
      <c r="JR140" s="261"/>
      <c r="JS140" s="261"/>
      <c r="JT140" s="261"/>
      <c r="JU140" s="261"/>
      <c r="JV140" s="12"/>
      <c r="JW140" s="261"/>
      <c r="JX140" s="261"/>
      <c r="JY140" s="261"/>
      <c r="JZ140" s="261"/>
      <c r="KA140" s="261"/>
      <c r="KB140" s="261"/>
      <c r="KC140" s="261"/>
      <c r="KD140" s="261"/>
      <c r="KE140" s="261"/>
      <c r="KF140" s="261"/>
      <c r="KG140" s="261"/>
      <c r="KH140" s="261"/>
      <c r="KI140" s="261"/>
      <c r="KJ140" s="261"/>
      <c r="KK140" s="261"/>
      <c r="KL140" s="261"/>
      <c r="KM140" s="261"/>
      <c r="KN140" s="261"/>
      <c r="KO140" s="261"/>
      <c r="KP140" s="261"/>
      <c r="KQ140" s="261"/>
      <c r="KR140" s="261"/>
      <c r="KS140" s="261"/>
      <c r="KT140" s="261"/>
      <c r="KU140" s="261"/>
      <c r="KV140" s="261"/>
      <c r="KW140" s="261"/>
      <c r="KX140" s="261"/>
      <c r="KY140" s="261"/>
      <c r="KZ140" s="261"/>
      <c r="LA140" s="261"/>
      <c r="LB140" s="261"/>
      <c r="LC140" s="261"/>
      <c r="LD140" s="261"/>
      <c r="LE140" s="261"/>
      <c r="LF140" s="261"/>
      <c r="LG140" s="261"/>
      <c r="LH140" s="261"/>
      <c r="LI140" s="261"/>
      <c r="LJ140" s="261"/>
      <c r="LK140" s="261"/>
      <c r="LL140" s="261"/>
      <c r="LM140" s="261"/>
      <c r="LN140" s="261"/>
      <c r="LO140" s="261"/>
      <c r="LP140" s="261"/>
      <c r="LQ140" s="261"/>
      <c r="LR140" s="261"/>
      <c r="LS140" s="261"/>
      <c r="LT140" s="261"/>
      <c r="LU140" s="261"/>
      <c r="LV140" s="261"/>
      <c r="LW140" s="261"/>
      <c r="LX140" s="261"/>
      <c r="LY140" s="261"/>
      <c r="LZ140" s="261"/>
      <c r="MA140" s="261"/>
      <c r="MB140" s="261"/>
      <c r="MC140" s="261"/>
      <c r="MD140" s="261"/>
      <c r="ME140" s="261"/>
      <c r="MF140" s="261"/>
      <c r="MG140" s="261"/>
      <c r="MH140" s="261"/>
      <c r="MI140" s="261"/>
      <c r="MJ140" s="261"/>
      <c r="MK140" s="261"/>
      <c r="ML140" s="261"/>
      <c r="MM140" s="261"/>
      <c r="MN140" s="261"/>
      <c r="MO140" s="261"/>
      <c r="MP140" s="261"/>
      <c r="MQ140" s="261"/>
      <c r="MR140" s="261"/>
      <c r="MS140" s="261"/>
      <c r="MT140" s="261"/>
      <c r="MU140" s="261"/>
      <c r="MV140" s="261"/>
      <c r="MW140" s="261"/>
      <c r="MX140" s="261"/>
      <c r="MY140" s="261"/>
      <c r="MZ140" s="261"/>
      <c r="NA140" s="261"/>
      <c r="NB140" s="261"/>
      <c r="NC140" s="261"/>
      <c r="ND140" s="261"/>
      <c r="NE140" s="261"/>
      <c r="NF140" s="261"/>
      <c r="NG140" s="261"/>
      <c r="NH140" s="261"/>
      <c r="NI140" s="261"/>
      <c r="NJ140" s="261"/>
      <c r="NK140" s="13"/>
      <c r="NL140" s="261"/>
      <c r="NM140" s="261"/>
      <c r="NN140" s="13"/>
    </row>
    <row r="141" spans="67:378" ht="10.75" customHeight="1" x14ac:dyDescent="0.2">
      <c r="BO141" s="12"/>
      <c r="DF141" s="13"/>
      <c r="DJ141" s="12"/>
      <c r="DQ141" s="13"/>
      <c r="GM141" s="13"/>
      <c r="GP141" s="13"/>
      <c r="GQ141" s="12"/>
      <c r="GT141" s="13"/>
      <c r="HV141" s="13"/>
      <c r="JK141" s="12"/>
      <c r="JL141" s="261"/>
      <c r="JM141" s="261"/>
      <c r="JN141" s="12"/>
      <c r="JO141" s="261"/>
      <c r="JP141" s="261"/>
      <c r="JQ141" s="261"/>
      <c r="JR141" s="261"/>
      <c r="JS141" s="261"/>
      <c r="JT141" s="261"/>
      <c r="JU141" s="261"/>
      <c r="JV141" s="12"/>
      <c r="JW141" s="261"/>
      <c r="JX141" s="261"/>
      <c r="JY141" s="261"/>
      <c r="JZ141" s="261"/>
      <c r="KA141" s="261"/>
      <c r="KB141" s="261"/>
      <c r="KC141" s="261"/>
      <c r="KD141" s="261"/>
      <c r="KE141" s="261"/>
      <c r="KF141" s="261"/>
      <c r="KG141" s="261"/>
      <c r="KH141" s="261"/>
      <c r="KI141" s="261"/>
      <c r="KJ141" s="261"/>
      <c r="KK141" s="261"/>
      <c r="KL141" s="261"/>
      <c r="KM141" s="261"/>
      <c r="KN141" s="261"/>
      <c r="KO141" s="261"/>
      <c r="KP141" s="261"/>
      <c r="KQ141" s="261"/>
      <c r="KR141" s="261"/>
      <c r="KS141" s="261"/>
      <c r="KT141" s="261"/>
      <c r="KU141" s="261"/>
      <c r="KV141" s="261"/>
      <c r="KW141" s="261"/>
      <c r="KX141" s="261"/>
      <c r="KY141" s="261"/>
      <c r="KZ141" s="261"/>
      <c r="LA141" s="261"/>
      <c r="LB141" s="261"/>
      <c r="LC141" s="261"/>
      <c r="LD141" s="261"/>
      <c r="LE141" s="261"/>
      <c r="LF141" s="261"/>
      <c r="LG141" s="261"/>
      <c r="LH141" s="261"/>
      <c r="LI141" s="261"/>
      <c r="LJ141" s="261"/>
      <c r="LK141" s="261"/>
      <c r="LL141" s="261"/>
      <c r="LM141" s="261"/>
      <c r="LN141" s="261"/>
      <c r="LO141" s="261"/>
      <c r="LP141" s="261"/>
      <c r="LQ141" s="261"/>
      <c r="LR141" s="261"/>
      <c r="LS141" s="261"/>
      <c r="LT141" s="261"/>
      <c r="LU141" s="261"/>
      <c r="LV141" s="261"/>
      <c r="LW141" s="261"/>
      <c r="LX141" s="261"/>
      <c r="LY141" s="261"/>
      <c r="LZ141" s="261"/>
      <c r="MA141" s="261"/>
      <c r="MB141" s="261"/>
      <c r="MC141" s="261"/>
      <c r="MD141" s="261"/>
      <c r="ME141" s="261"/>
      <c r="MF141" s="261"/>
      <c r="MG141" s="261"/>
      <c r="MH141" s="261"/>
      <c r="MI141" s="261"/>
      <c r="MJ141" s="261"/>
      <c r="MK141" s="261"/>
      <c r="ML141" s="261"/>
      <c r="MM141" s="261"/>
      <c r="MN141" s="261"/>
      <c r="MO141" s="261"/>
      <c r="MP141" s="261"/>
      <c r="MQ141" s="261"/>
      <c r="MR141" s="261"/>
      <c r="MS141" s="261"/>
      <c r="MT141" s="261"/>
      <c r="MU141" s="261"/>
      <c r="MV141" s="261"/>
      <c r="MW141" s="261"/>
      <c r="MX141" s="261"/>
      <c r="MY141" s="261"/>
      <c r="MZ141" s="261"/>
      <c r="NA141" s="261"/>
      <c r="NB141" s="261"/>
      <c r="NC141" s="261"/>
      <c r="ND141" s="261"/>
      <c r="NE141" s="261"/>
      <c r="NF141" s="261"/>
      <c r="NG141" s="261"/>
      <c r="NH141" s="261"/>
      <c r="NI141" s="261"/>
      <c r="NJ141" s="261"/>
      <c r="NK141" s="13"/>
      <c r="NL141" s="261"/>
      <c r="NM141" s="261"/>
      <c r="NN141" s="13"/>
    </row>
    <row r="142" spans="67:378" ht="10.75" customHeight="1" x14ac:dyDescent="0.2">
      <c r="BO142" s="12"/>
      <c r="DF142" s="13"/>
      <c r="DJ142" s="12"/>
      <c r="DQ142" s="13"/>
      <c r="GM142" s="13"/>
      <c r="GP142" s="13"/>
      <c r="GQ142" s="12"/>
      <c r="GT142" s="13"/>
      <c r="HV142" s="13"/>
      <c r="JK142" s="12"/>
      <c r="JL142" s="261"/>
      <c r="JM142" s="261"/>
      <c r="JN142" s="12"/>
      <c r="JO142" s="261"/>
      <c r="JP142" s="261"/>
      <c r="JQ142" s="261"/>
      <c r="JR142" s="261"/>
      <c r="JS142" s="261"/>
      <c r="JT142" s="261"/>
      <c r="JU142" s="261"/>
      <c r="JV142" s="12"/>
      <c r="JW142" s="261"/>
      <c r="JX142" s="261"/>
      <c r="JY142" s="261"/>
      <c r="JZ142" s="261"/>
      <c r="KA142" s="261"/>
      <c r="KB142" s="261"/>
      <c r="KC142" s="261"/>
      <c r="KD142" s="261"/>
      <c r="KE142" s="261"/>
      <c r="KF142" s="261"/>
      <c r="KG142" s="261"/>
      <c r="KH142" s="261"/>
      <c r="KI142" s="261"/>
      <c r="KJ142" s="261"/>
      <c r="KK142" s="261"/>
      <c r="KL142" s="261"/>
      <c r="KM142" s="261"/>
      <c r="KN142" s="261"/>
      <c r="KO142" s="261"/>
      <c r="KP142" s="261"/>
      <c r="KQ142" s="261"/>
      <c r="KR142" s="261"/>
      <c r="KS142" s="261"/>
      <c r="KT142" s="261"/>
      <c r="KU142" s="261"/>
      <c r="KV142" s="261"/>
      <c r="KW142" s="261"/>
      <c r="KX142" s="261"/>
      <c r="KY142" s="261"/>
      <c r="KZ142" s="261"/>
      <c r="LA142" s="261"/>
      <c r="LB142" s="261"/>
      <c r="LC142" s="261"/>
      <c r="LD142" s="261"/>
      <c r="LE142" s="261"/>
      <c r="LF142" s="261"/>
      <c r="LG142" s="261"/>
      <c r="LH142" s="261"/>
      <c r="LI142" s="261"/>
      <c r="LJ142" s="261"/>
      <c r="LK142" s="261"/>
      <c r="LL142" s="261"/>
      <c r="LM142" s="261"/>
      <c r="LN142" s="261"/>
      <c r="LO142" s="261"/>
      <c r="LP142" s="261"/>
      <c r="LQ142" s="261"/>
      <c r="LR142" s="261"/>
      <c r="LS142" s="261"/>
      <c r="LT142" s="261"/>
      <c r="LU142" s="261"/>
      <c r="LV142" s="261"/>
      <c r="LW142" s="261"/>
      <c r="LX142" s="261"/>
      <c r="LY142" s="261"/>
      <c r="LZ142" s="261"/>
      <c r="MA142" s="261"/>
      <c r="MB142" s="261"/>
      <c r="MC142" s="261"/>
      <c r="MD142" s="261"/>
      <c r="ME142" s="261"/>
      <c r="MF142" s="261"/>
      <c r="MG142" s="261"/>
      <c r="MH142" s="261"/>
      <c r="MI142" s="261"/>
      <c r="MJ142" s="261"/>
      <c r="MK142" s="261"/>
      <c r="ML142" s="261"/>
      <c r="MM142" s="261"/>
      <c r="MN142" s="261"/>
      <c r="MO142" s="261"/>
      <c r="MP142" s="261"/>
      <c r="MQ142" s="261"/>
      <c r="MR142" s="261"/>
      <c r="MS142" s="261"/>
      <c r="MT142" s="261"/>
      <c r="MU142" s="261"/>
      <c r="MV142" s="261"/>
      <c r="MW142" s="261"/>
      <c r="MX142" s="261"/>
      <c r="MY142" s="261"/>
      <c r="MZ142" s="261"/>
      <c r="NA142" s="261"/>
      <c r="NB142" s="261"/>
      <c r="NC142" s="261"/>
      <c r="ND142" s="261"/>
      <c r="NE142" s="261"/>
      <c r="NF142" s="261"/>
      <c r="NG142" s="261"/>
      <c r="NH142" s="261"/>
      <c r="NI142" s="261"/>
      <c r="NJ142" s="261"/>
      <c r="NK142" s="13"/>
      <c r="NL142" s="261"/>
      <c r="NM142" s="261"/>
      <c r="NN142" s="13"/>
    </row>
    <row r="143" spans="67:378" ht="10.75" customHeight="1" x14ac:dyDescent="0.2">
      <c r="BO143" s="12"/>
      <c r="DF143" s="13"/>
      <c r="DJ143" s="12"/>
      <c r="DQ143" s="13"/>
      <c r="GM143" s="13"/>
      <c r="GP143" s="13"/>
      <c r="GQ143" s="12"/>
      <c r="GT143" s="13"/>
      <c r="HV143" s="13"/>
      <c r="JK143" s="12"/>
      <c r="JL143" s="261"/>
      <c r="JM143" s="261"/>
      <c r="JN143" s="12"/>
      <c r="JO143" s="261"/>
      <c r="JP143" s="261"/>
      <c r="JQ143" s="261"/>
      <c r="JR143" s="261"/>
      <c r="JS143" s="261"/>
      <c r="JT143" s="261"/>
      <c r="JU143" s="261"/>
      <c r="JV143" s="12"/>
      <c r="JW143" s="261"/>
      <c r="JX143" s="261"/>
      <c r="JY143" s="261"/>
      <c r="JZ143" s="261"/>
      <c r="KA143" s="261"/>
      <c r="KB143" s="261"/>
      <c r="KC143" s="261"/>
      <c r="KD143" s="261"/>
      <c r="KE143" s="261"/>
      <c r="KF143" s="261"/>
      <c r="KG143" s="261"/>
      <c r="KH143" s="261"/>
      <c r="KI143" s="261"/>
      <c r="KJ143" s="261"/>
      <c r="KK143" s="261"/>
      <c r="KL143" s="261"/>
      <c r="KM143" s="261"/>
      <c r="KN143" s="261"/>
      <c r="KO143" s="261"/>
      <c r="KP143" s="261"/>
      <c r="KQ143" s="261"/>
      <c r="KR143" s="261"/>
      <c r="KS143" s="261"/>
      <c r="KT143" s="261"/>
      <c r="KU143" s="261"/>
      <c r="KV143" s="261"/>
      <c r="KW143" s="261"/>
      <c r="KX143" s="261"/>
      <c r="KY143" s="261"/>
      <c r="KZ143" s="261"/>
      <c r="LA143" s="261"/>
      <c r="LB143" s="261"/>
      <c r="LC143" s="261"/>
      <c r="LD143" s="261"/>
      <c r="LE143" s="261"/>
      <c r="LF143" s="261"/>
      <c r="LG143" s="261"/>
      <c r="LH143" s="261"/>
      <c r="LI143" s="261"/>
      <c r="LJ143" s="261"/>
      <c r="LK143" s="261"/>
      <c r="LL143" s="261"/>
      <c r="LM143" s="261"/>
      <c r="LN143" s="261"/>
      <c r="LO143" s="261"/>
      <c r="LP143" s="261"/>
      <c r="LQ143" s="261"/>
      <c r="LR143" s="261"/>
      <c r="LS143" s="261"/>
      <c r="LT143" s="261"/>
      <c r="LU143" s="261"/>
      <c r="LV143" s="261"/>
      <c r="LW143" s="261"/>
      <c r="LX143" s="261"/>
      <c r="LY143" s="261"/>
      <c r="LZ143" s="261"/>
      <c r="MA143" s="261"/>
      <c r="MB143" s="261"/>
      <c r="MC143" s="261"/>
      <c r="MD143" s="261"/>
      <c r="ME143" s="261"/>
      <c r="MF143" s="261"/>
      <c r="MG143" s="261"/>
      <c r="MH143" s="261"/>
      <c r="MI143" s="261"/>
      <c r="MJ143" s="261"/>
      <c r="MK143" s="261"/>
      <c r="ML143" s="261"/>
      <c r="MM143" s="261"/>
      <c r="MN143" s="261"/>
      <c r="MO143" s="261"/>
      <c r="MP143" s="261"/>
      <c r="MQ143" s="261"/>
      <c r="MR143" s="261"/>
      <c r="MS143" s="261"/>
      <c r="MT143" s="261"/>
      <c r="MU143" s="261"/>
      <c r="MV143" s="261"/>
      <c r="MW143" s="261"/>
      <c r="MX143" s="261"/>
      <c r="MY143" s="261"/>
      <c r="MZ143" s="261"/>
      <c r="NA143" s="261"/>
      <c r="NB143" s="261"/>
      <c r="NC143" s="261"/>
      <c r="ND143" s="261"/>
      <c r="NE143" s="261"/>
      <c r="NF143" s="261"/>
      <c r="NG143" s="261"/>
      <c r="NH143" s="261"/>
      <c r="NI143" s="261"/>
      <c r="NJ143" s="261"/>
      <c r="NK143" s="13"/>
      <c r="NL143" s="261"/>
      <c r="NM143" s="261"/>
      <c r="NN143" s="13"/>
    </row>
    <row r="144" spans="67:378" ht="10.75" customHeight="1" x14ac:dyDescent="0.2">
      <c r="BO144" s="12"/>
      <c r="DF144" s="13"/>
      <c r="DJ144" s="12"/>
      <c r="DQ144" s="13"/>
      <c r="GM144" s="13"/>
      <c r="GP144" s="13"/>
      <c r="GQ144" s="12"/>
      <c r="GT144" s="13"/>
      <c r="HV144" s="13"/>
      <c r="JK144" s="12"/>
      <c r="JL144" s="261"/>
      <c r="JM144" s="261"/>
      <c r="JN144" s="12"/>
      <c r="JO144" s="261"/>
      <c r="JP144" s="261"/>
      <c r="JQ144" s="261"/>
      <c r="JR144" s="261"/>
      <c r="JS144" s="261"/>
      <c r="JT144" s="261"/>
      <c r="JU144" s="261"/>
      <c r="JV144" s="12"/>
      <c r="JW144" s="261"/>
      <c r="JX144" s="261"/>
      <c r="JY144" s="261"/>
      <c r="JZ144" s="261"/>
      <c r="KA144" s="261"/>
      <c r="KB144" s="261"/>
      <c r="KC144" s="261"/>
      <c r="KD144" s="261"/>
      <c r="KE144" s="261"/>
      <c r="KF144" s="261"/>
      <c r="KG144" s="261"/>
      <c r="KH144" s="261"/>
      <c r="KI144" s="261"/>
      <c r="KJ144" s="261"/>
      <c r="KK144" s="261"/>
      <c r="KL144" s="261"/>
      <c r="KM144" s="261"/>
      <c r="KN144" s="261"/>
      <c r="KO144" s="261"/>
      <c r="KP144" s="261"/>
      <c r="KQ144" s="261"/>
      <c r="KR144" s="261"/>
      <c r="KS144" s="261"/>
      <c r="KT144" s="261"/>
      <c r="KU144" s="261"/>
      <c r="KV144" s="261"/>
      <c r="KW144" s="261"/>
      <c r="KX144" s="261"/>
      <c r="KY144" s="261"/>
      <c r="KZ144" s="261"/>
      <c r="LA144" s="261"/>
      <c r="LB144" s="261"/>
      <c r="LC144" s="261"/>
      <c r="LD144" s="261"/>
      <c r="LE144" s="261"/>
      <c r="LF144" s="261"/>
      <c r="LG144" s="261"/>
      <c r="LH144" s="261"/>
      <c r="LI144" s="261"/>
      <c r="LJ144" s="261"/>
      <c r="LK144" s="261"/>
      <c r="LL144" s="261"/>
      <c r="LM144" s="261"/>
      <c r="LN144" s="261"/>
      <c r="LO144" s="261"/>
      <c r="LP144" s="261"/>
      <c r="LQ144" s="261"/>
      <c r="LR144" s="261"/>
      <c r="LS144" s="261"/>
      <c r="LT144" s="261"/>
      <c r="LU144" s="261"/>
      <c r="LV144" s="261"/>
      <c r="LW144" s="261"/>
      <c r="LX144" s="261"/>
      <c r="LY144" s="261"/>
      <c r="LZ144" s="261"/>
      <c r="MA144" s="261"/>
      <c r="MB144" s="261"/>
      <c r="MC144" s="261"/>
      <c r="MD144" s="261"/>
      <c r="ME144" s="261"/>
      <c r="MF144" s="261"/>
      <c r="MG144" s="261"/>
      <c r="MH144" s="261"/>
      <c r="MI144" s="261"/>
      <c r="MJ144" s="261"/>
      <c r="MK144" s="261"/>
      <c r="ML144" s="261"/>
      <c r="MM144" s="261"/>
      <c r="MN144" s="261"/>
      <c r="MO144" s="261"/>
      <c r="MP144" s="261"/>
      <c r="MQ144" s="261"/>
      <c r="MR144" s="261"/>
      <c r="MS144" s="261"/>
      <c r="MT144" s="261"/>
      <c r="MU144" s="261"/>
      <c r="MV144" s="261"/>
      <c r="MW144" s="261"/>
      <c r="MX144" s="261"/>
      <c r="MY144" s="261"/>
      <c r="MZ144" s="261"/>
      <c r="NA144" s="261"/>
      <c r="NB144" s="261"/>
      <c r="NC144" s="261"/>
      <c r="ND144" s="261"/>
      <c r="NE144" s="261"/>
      <c r="NF144" s="261"/>
      <c r="NG144" s="261"/>
      <c r="NH144" s="261"/>
      <c r="NI144" s="261"/>
      <c r="NJ144" s="261"/>
      <c r="NK144" s="13"/>
      <c r="NL144" s="261"/>
      <c r="NM144" s="261"/>
      <c r="NN144" s="13"/>
    </row>
    <row r="145" spans="67:378" ht="10.75" customHeight="1" x14ac:dyDescent="0.2">
      <c r="BO145" s="12"/>
      <c r="DF145" s="13"/>
      <c r="DJ145" s="12"/>
      <c r="DQ145" s="13"/>
      <c r="GM145" s="13"/>
      <c r="GP145" s="13"/>
      <c r="GQ145" s="12"/>
      <c r="GT145" s="13"/>
      <c r="HV145" s="13"/>
      <c r="JK145" s="12"/>
      <c r="JL145" s="261"/>
      <c r="JM145" s="261"/>
      <c r="JN145" s="12"/>
      <c r="JO145" s="261"/>
      <c r="JP145" s="261"/>
      <c r="JQ145" s="261"/>
      <c r="JR145" s="261"/>
      <c r="JS145" s="261"/>
      <c r="JT145" s="261"/>
      <c r="JU145" s="261"/>
      <c r="JV145" s="12"/>
      <c r="JW145" s="261"/>
      <c r="JX145" s="261"/>
      <c r="JY145" s="261"/>
      <c r="JZ145" s="261"/>
      <c r="KA145" s="261"/>
      <c r="KB145" s="261"/>
      <c r="KC145" s="261"/>
      <c r="KD145" s="261"/>
      <c r="KE145" s="261"/>
      <c r="KF145" s="261"/>
      <c r="KG145" s="261"/>
      <c r="KH145" s="261"/>
      <c r="KI145" s="261"/>
      <c r="KJ145" s="261"/>
      <c r="KK145" s="261"/>
      <c r="KL145" s="261"/>
      <c r="KM145" s="261"/>
      <c r="KN145" s="261"/>
      <c r="KO145" s="261"/>
      <c r="KP145" s="261"/>
      <c r="KQ145" s="261"/>
      <c r="KR145" s="261"/>
      <c r="KS145" s="261"/>
      <c r="KT145" s="261"/>
      <c r="KU145" s="261"/>
      <c r="KV145" s="261"/>
      <c r="KW145" s="261"/>
      <c r="KX145" s="261"/>
      <c r="KY145" s="261"/>
      <c r="KZ145" s="261"/>
      <c r="LA145" s="261"/>
      <c r="LB145" s="261"/>
      <c r="LC145" s="261"/>
      <c r="LD145" s="261"/>
      <c r="LE145" s="261"/>
      <c r="LF145" s="261"/>
      <c r="LG145" s="261"/>
      <c r="LH145" s="261"/>
      <c r="LI145" s="261"/>
      <c r="LJ145" s="261"/>
      <c r="LK145" s="261"/>
      <c r="LL145" s="261"/>
      <c r="LM145" s="261"/>
      <c r="LN145" s="261"/>
      <c r="LO145" s="261"/>
      <c r="LP145" s="261"/>
      <c r="LQ145" s="261"/>
      <c r="LR145" s="261"/>
      <c r="LS145" s="261"/>
      <c r="LT145" s="261"/>
      <c r="LU145" s="261"/>
      <c r="LV145" s="261"/>
      <c r="LW145" s="261"/>
      <c r="LX145" s="261"/>
      <c r="LY145" s="261"/>
      <c r="LZ145" s="261"/>
      <c r="MA145" s="261"/>
      <c r="MB145" s="261"/>
      <c r="MC145" s="261"/>
      <c r="MD145" s="261"/>
      <c r="ME145" s="261"/>
      <c r="MF145" s="261"/>
      <c r="MG145" s="261"/>
      <c r="MH145" s="261"/>
      <c r="MI145" s="261"/>
      <c r="MJ145" s="261"/>
      <c r="MK145" s="261"/>
      <c r="ML145" s="261"/>
      <c r="MM145" s="261"/>
      <c r="MN145" s="261"/>
      <c r="MO145" s="261"/>
      <c r="MP145" s="261"/>
      <c r="MQ145" s="261"/>
      <c r="MR145" s="261"/>
      <c r="MS145" s="261"/>
      <c r="MT145" s="261"/>
      <c r="MU145" s="261"/>
      <c r="MV145" s="261"/>
      <c r="MW145" s="261"/>
      <c r="MX145" s="261"/>
      <c r="MY145" s="261"/>
      <c r="MZ145" s="261"/>
      <c r="NA145" s="261"/>
      <c r="NB145" s="261"/>
      <c r="NC145" s="261"/>
      <c r="ND145" s="261"/>
      <c r="NE145" s="261"/>
      <c r="NF145" s="261"/>
      <c r="NG145" s="261"/>
      <c r="NH145" s="261"/>
      <c r="NI145" s="261"/>
      <c r="NJ145" s="261"/>
      <c r="NK145" s="13"/>
      <c r="NL145" s="261"/>
      <c r="NM145" s="261"/>
      <c r="NN145" s="13"/>
    </row>
    <row r="146" spans="67:378" ht="10.75" customHeight="1" x14ac:dyDescent="0.2">
      <c r="BO146" s="12"/>
      <c r="DF146" s="13"/>
      <c r="DJ146" s="12"/>
      <c r="DQ146" s="13"/>
      <c r="GM146" s="13"/>
      <c r="GP146" s="13"/>
      <c r="GQ146" s="12"/>
      <c r="GT146" s="13"/>
      <c r="HV146" s="13"/>
      <c r="JK146" s="12"/>
      <c r="JL146" s="261"/>
      <c r="JM146" s="261"/>
      <c r="JN146" s="12"/>
      <c r="JO146" s="261"/>
      <c r="JP146" s="261"/>
      <c r="JQ146" s="261"/>
      <c r="JR146" s="261"/>
      <c r="JS146" s="261"/>
      <c r="JT146" s="261"/>
      <c r="JU146" s="261"/>
      <c r="JV146" s="12"/>
      <c r="JW146" s="261"/>
      <c r="JX146" s="261"/>
      <c r="JY146" s="261"/>
      <c r="JZ146" s="261"/>
      <c r="KA146" s="261"/>
      <c r="KB146" s="261"/>
      <c r="KC146" s="261"/>
      <c r="KD146" s="261"/>
      <c r="KE146" s="261"/>
      <c r="KF146" s="261"/>
      <c r="KG146" s="261"/>
      <c r="KH146" s="261"/>
      <c r="KI146" s="261"/>
      <c r="KJ146" s="261"/>
      <c r="KK146" s="261"/>
      <c r="KL146" s="261"/>
      <c r="KM146" s="261"/>
      <c r="KN146" s="261"/>
      <c r="KO146" s="261"/>
      <c r="KP146" s="261"/>
      <c r="KQ146" s="261"/>
      <c r="KR146" s="261"/>
      <c r="KS146" s="261"/>
      <c r="KT146" s="261"/>
      <c r="KU146" s="261"/>
      <c r="KV146" s="261"/>
      <c r="KW146" s="261"/>
      <c r="KX146" s="261"/>
      <c r="KY146" s="261"/>
      <c r="KZ146" s="261"/>
      <c r="LA146" s="261"/>
      <c r="LB146" s="261"/>
      <c r="LC146" s="261"/>
      <c r="LD146" s="261"/>
      <c r="LE146" s="261"/>
      <c r="LF146" s="261"/>
      <c r="LG146" s="261"/>
      <c r="LH146" s="261"/>
      <c r="LI146" s="261"/>
      <c r="LJ146" s="261"/>
      <c r="LK146" s="261"/>
      <c r="LL146" s="261"/>
      <c r="LM146" s="261"/>
      <c r="LN146" s="261"/>
      <c r="LO146" s="261"/>
      <c r="LP146" s="261"/>
      <c r="LQ146" s="261"/>
      <c r="LR146" s="261"/>
      <c r="LS146" s="261"/>
      <c r="LT146" s="261"/>
      <c r="LU146" s="261"/>
      <c r="LV146" s="261"/>
      <c r="LW146" s="261"/>
      <c r="LX146" s="261"/>
      <c r="LY146" s="261"/>
      <c r="LZ146" s="261"/>
      <c r="MA146" s="261"/>
      <c r="MB146" s="261"/>
      <c r="MC146" s="261"/>
      <c r="MD146" s="261"/>
      <c r="ME146" s="261"/>
      <c r="MF146" s="261"/>
      <c r="MG146" s="261"/>
      <c r="MH146" s="261"/>
      <c r="MI146" s="261"/>
      <c r="MJ146" s="261"/>
      <c r="MK146" s="261"/>
      <c r="ML146" s="261"/>
      <c r="MM146" s="261"/>
      <c r="MN146" s="261"/>
      <c r="MO146" s="261"/>
      <c r="MP146" s="261"/>
      <c r="MQ146" s="261"/>
      <c r="MR146" s="261"/>
      <c r="MS146" s="261"/>
      <c r="MT146" s="261"/>
      <c r="MU146" s="261"/>
      <c r="MV146" s="261"/>
      <c r="MW146" s="261"/>
      <c r="MX146" s="261"/>
      <c r="MY146" s="261"/>
      <c r="MZ146" s="261"/>
      <c r="NA146" s="261"/>
      <c r="NB146" s="261"/>
      <c r="NC146" s="261"/>
      <c r="ND146" s="261"/>
      <c r="NE146" s="261"/>
      <c r="NF146" s="261"/>
      <c r="NG146" s="261"/>
      <c r="NH146" s="261"/>
      <c r="NI146" s="261"/>
      <c r="NJ146" s="261"/>
      <c r="NK146" s="13"/>
      <c r="NL146" s="261"/>
      <c r="NM146" s="261"/>
      <c r="NN146" s="13"/>
    </row>
    <row r="147" spans="67:378" ht="10.75" customHeight="1" x14ac:dyDescent="0.2">
      <c r="BO147" s="12"/>
      <c r="DF147" s="13"/>
      <c r="DJ147" s="12"/>
      <c r="DQ147" s="13"/>
      <c r="GM147" s="13"/>
      <c r="GP147" s="13"/>
      <c r="GQ147" s="12"/>
      <c r="GT147" s="13"/>
      <c r="HV147" s="13"/>
      <c r="JK147" s="12"/>
      <c r="JL147" s="261"/>
      <c r="JM147" s="261"/>
      <c r="JN147" s="12"/>
      <c r="JO147" s="261"/>
      <c r="JP147" s="261"/>
      <c r="JQ147" s="261"/>
      <c r="JR147" s="261"/>
      <c r="JS147" s="261"/>
      <c r="JT147" s="261"/>
      <c r="JU147" s="261"/>
      <c r="JV147" s="12"/>
      <c r="JW147" s="261"/>
      <c r="JX147" s="261"/>
      <c r="JY147" s="261"/>
      <c r="JZ147" s="261"/>
      <c r="KA147" s="261"/>
      <c r="KB147" s="261"/>
      <c r="KC147" s="261"/>
      <c r="KD147" s="261"/>
      <c r="KE147" s="261"/>
      <c r="KF147" s="261"/>
      <c r="KG147" s="261"/>
      <c r="KH147" s="261"/>
      <c r="KI147" s="261"/>
      <c r="KJ147" s="261"/>
      <c r="KK147" s="261"/>
      <c r="KL147" s="261"/>
      <c r="KM147" s="261"/>
      <c r="KN147" s="261"/>
      <c r="KO147" s="261"/>
      <c r="KP147" s="261"/>
      <c r="KQ147" s="261"/>
      <c r="KR147" s="261"/>
      <c r="KS147" s="261"/>
      <c r="KT147" s="261"/>
      <c r="KU147" s="261"/>
      <c r="KV147" s="261"/>
      <c r="KW147" s="261"/>
      <c r="KX147" s="261"/>
      <c r="KY147" s="261"/>
      <c r="KZ147" s="261"/>
      <c r="LA147" s="261"/>
      <c r="LB147" s="261"/>
      <c r="LC147" s="261"/>
      <c r="LD147" s="261"/>
      <c r="LE147" s="261"/>
      <c r="LF147" s="261"/>
      <c r="LG147" s="261"/>
      <c r="LH147" s="261"/>
      <c r="LI147" s="261"/>
      <c r="LJ147" s="261"/>
      <c r="LK147" s="261"/>
      <c r="LL147" s="261"/>
      <c r="LM147" s="261"/>
      <c r="LN147" s="261"/>
      <c r="LO147" s="261"/>
      <c r="LP147" s="261"/>
      <c r="LQ147" s="261"/>
      <c r="LR147" s="261"/>
      <c r="LS147" s="261"/>
      <c r="LT147" s="261"/>
      <c r="LU147" s="261"/>
      <c r="LV147" s="261"/>
      <c r="LW147" s="261"/>
      <c r="LX147" s="261"/>
      <c r="LY147" s="261"/>
      <c r="LZ147" s="261"/>
      <c r="MA147" s="261"/>
      <c r="MB147" s="261"/>
      <c r="MC147" s="261"/>
      <c r="MD147" s="261"/>
      <c r="ME147" s="261"/>
      <c r="MF147" s="261"/>
      <c r="MG147" s="261"/>
      <c r="MH147" s="261"/>
      <c r="MI147" s="261"/>
      <c r="MJ147" s="261"/>
      <c r="MK147" s="261"/>
      <c r="ML147" s="261"/>
      <c r="MM147" s="261"/>
      <c r="MN147" s="261"/>
      <c r="MO147" s="261"/>
      <c r="MP147" s="261"/>
      <c r="MQ147" s="261"/>
      <c r="MR147" s="261"/>
      <c r="MS147" s="261"/>
      <c r="MT147" s="261"/>
      <c r="MU147" s="261"/>
      <c r="MV147" s="261"/>
      <c r="MW147" s="261"/>
      <c r="MX147" s="261"/>
      <c r="MY147" s="261"/>
      <c r="MZ147" s="261"/>
      <c r="NA147" s="261"/>
      <c r="NB147" s="261"/>
      <c r="NC147" s="261"/>
      <c r="ND147" s="261"/>
      <c r="NE147" s="261"/>
      <c r="NF147" s="261"/>
      <c r="NG147" s="261"/>
      <c r="NH147" s="261"/>
      <c r="NI147" s="261"/>
      <c r="NJ147" s="261"/>
      <c r="NK147" s="13"/>
      <c r="NL147" s="261"/>
      <c r="NM147" s="261"/>
      <c r="NN147" s="13"/>
    </row>
    <row r="148" spans="67:378" ht="10.75" customHeight="1" x14ac:dyDescent="0.2">
      <c r="BO148" s="12"/>
      <c r="DF148" s="13"/>
      <c r="DJ148" s="12"/>
      <c r="DQ148" s="13"/>
      <c r="GM148" s="13"/>
      <c r="GP148" s="13"/>
      <c r="GQ148" s="12"/>
      <c r="GT148" s="13"/>
      <c r="HV148" s="13"/>
      <c r="JK148" s="12"/>
      <c r="JL148" s="261"/>
      <c r="JM148" s="261"/>
      <c r="JN148" s="12"/>
      <c r="JO148" s="261"/>
      <c r="JP148" s="261"/>
      <c r="JQ148" s="261"/>
      <c r="JR148" s="261"/>
      <c r="JS148" s="261"/>
      <c r="JT148" s="261"/>
      <c r="JU148" s="261"/>
      <c r="JV148" s="12"/>
      <c r="JW148" s="261"/>
      <c r="JX148" s="261"/>
      <c r="JY148" s="261"/>
      <c r="JZ148" s="261"/>
      <c r="KA148" s="261"/>
      <c r="KB148" s="261"/>
      <c r="KC148" s="261"/>
      <c r="KD148" s="261"/>
      <c r="KE148" s="261"/>
      <c r="KF148" s="261"/>
      <c r="KG148" s="261"/>
      <c r="KH148" s="261"/>
      <c r="KI148" s="261"/>
      <c r="KJ148" s="261"/>
      <c r="KK148" s="261"/>
      <c r="KL148" s="261"/>
      <c r="KM148" s="261"/>
      <c r="KN148" s="261"/>
      <c r="KO148" s="261"/>
      <c r="KP148" s="261"/>
      <c r="KQ148" s="261"/>
      <c r="KR148" s="261"/>
      <c r="KS148" s="261"/>
      <c r="KT148" s="261"/>
      <c r="KU148" s="261"/>
      <c r="KV148" s="261"/>
      <c r="KW148" s="261"/>
      <c r="KX148" s="261"/>
      <c r="KY148" s="261"/>
      <c r="KZ148" s="261"/>
      <c r="LA148" s="261"/>
      <c r="LB148" s="261"/>
      <c r="LC148" s="261"/>
      <c r="LD148" s="261"/>
      <c r="LE148" s="261"/>
      <c r="LF148" s="261"/>
      <c r="LG148" s="261"/>
      <c r="LH148" s="261"/>
      <c r="LI148" s="261"/>
      <c r="LJ148" s="261"/>
      <c r="LK148" s="261"/>
      <c r="LL148" s="261"/>
      <c r="LM148" s="261"/>
      <c r="LN148" s="261"/>
      <c r="LO148" s="261"/>
      <c r="LP148" s="261"/>
      <c r="LQ148" s="261"/>
      <c r="LR148" s="261"/>
      <c r="LS148" s="261"/>
      <c r="LT148" s="261"/>
      <c r="LU148" s="261"/>
      <c r="LV148" s="261"/>
      <c r="LW148" s="261"/>
      <c r="LX148" s="261"/>
      <c r="LY148" s="261"/>
      <c r="LZ148" s="261"/>
      <c r="MA148" s="261"/>
      <c r="MB148" s="261"/>
      <c r="MC148" s="261"/>
      <c r="MD148" s="261"/>
      <c r="ME148" s="261"/>
      <c r="MF148" s="261"/>
      <c r="MG148" s="261"/>
      <c r="MH148" s="261"/>
      <c r="MI148" s="261"/>
      <c r="MJ148" s="261"/>
      <c r="MK148" s="261"/>
      <c r="ML148" s="261"/>
      <c r="MM148" s="261"/>
      <c r="MN148" s="261"/>
      <c r="MO148" s="261"/>
      <c r="MP148" s="261"/>
      <c r="MQ148" s="261"/>
      <c r="MR148" s="261"/>
      <c r="MS148" s="261"/>
      <c r="MT148" s="261"/>
      <c r="MU148" s="261"/>
      <c r="MV148" s="261"/>
      <c r="MW148" s="261"/>
      <c r="MX148" s="261"/>
      <c r="MY148" s="261"/>
      <c r="MZ148" s="261"/>
      <c r="NA148" s="261"/>
      <c r="NB148" s="261"/>
      <c r="NC148" s="261"/>
      <c r="ND148" s="261"/>
      <c r="NE148" s="261"/>
      <c r="NF148" s="261"/>
      <c r="NG148" s="261"/>
      <c r="NH148" s="261"/>
      <c r="NI148" s="261"/>
      <c r="NJ148" s="261"/>
      <c r="NK148" s="13"/>
      <c r="NL148" s="261"/>
      <c r="NM148" s="261"/>
      <c r="NN148" s="13"/>
    </row>
    <row r="149" spans="67:378" ht="10.75" customHeight="1" x14ac:dyDescent="0.2">
      <c r="BO149" s="12"/>
      <c r="DF149" s="13"/>
      <c r="DJ149" s="12"/>
      <c r="DQ149" s="13"/>
      <c r="GM149" s="13"/>
      <c r="GP149" s="13"/>
      <c r="GQ149" s="12"/>
      <c r="GT149" s="13"/>
      <c r="HV149" s="13"/>
      <c r="JK149" s="12"/>
      <c r="JL149" s="261"/>
      <c r="JM149" s="261"/>
      <c r="JN149" s="12"/>
      <c r="JO149" s="261"/>
      <c r="JP149" s="261"/>
      <c r="JQ149" s="261"/>
      <c r="JR149" s="261"/>
      <c r="JS149" s="261"/>
      <c r="JT149" s="261"/>
      <c r="JU149" s="261"/>
      <c r="JV149" s="12"/>
      <c r="JW149" s="261"/>
      <c r="JX149" s="261"/>
      <c r="JY149" s="261"/>
      <c r="JZ149" s="261"/>
      <c r="KA149" s="261"/>
      <c r="KB149" s="261"/>
      <c r="KC149" s="261"/>
      <c r="KD149" s="261"/>
      <c r="KE149" s="261"/>
      <c r="KF149" s="261"/>
      <c r="KG149" s="261"/>
      <c r="KH149" s="261"/>
      <c r="KI149" s="261"/>
      <c r="KJ149" s="261"/>
      <c r="KK149" s="261"/>
      <c r="KL149" s="261"/>
      <c r="KM149" s="261"/>
      <c r="KN149" s="261"/>
      <c r="KO149" s="261"/>
      <c r="KP149" s="261"/>
      <c r="KQ149" s="261"/>
      <c r="KR149" s="261"/>
      <c r="KS149" s="261"/>
      <c r="KT149" s="261"/>
      <c r="KU149" s="261"/>
      <c r="KV149" s="261"/>
      <c r="KW149" s="261"/>
      <c r="KX149" s="261"/>
      <c r="KY149" s="261"/>
      <c r="KZ149" s="261"/>
      <c r="LA149" s="261"/>
      <c r="LB149" s="261"/>
      <c r="LC149" s="261"/>
      <c r="LD149" s="261"/>
      <c r="LE149" s="261"/>
      <c r="LF149" s="261"/>
      <c r="LG149" s="261"/>
      <c r="LH149" s="261"/>
      <c r="LI149" s="261"/>
      <c r="LJ149" s="261"/>
      <c r="LK149" s="261"/>
      <c r="LL149" s="261"/>
      <c r="LM149" s="261"/>
      <c r="LN149" s="261"/>
      <c r="LO149" s="261"/>
      <c r="LP149" s="261"/>
      <c r="LQ149" s="261"/>
      <c r="LR149" s="261"/>
      <c r="LS149" s="261"/>
      <c r="LT149" s="261"/>
      <c r="LU149" s="261"/>
      <c r="LV149" s="261"/>
      <c r="LW149" s="261"/>
      <c r="LX149" s="261"/>
      <c r="LY149" s="261"/>
      <c r="LZ149" s="261"/>
      <c r="MA149" s="261"/>
      <c r="MB149" s="261"/>
      <c r="MC149" s="261"/>
      <c r="MD149" s="261"/>
      <c r="ME149" s="261"/>
      <c r="MF149" s="261"/>
      <c r="MG149" s="261"/>
      <c r="MH149" s="261"/>
      <c r="MI149" s="261"/>
      <c r="MJ149" s="261"/>
      <c r="MK149" s="261"/>
      <c r="ML149" s="261"/>
      <c r="MM149" s="261"/>
      <c r="MN149" s="261"/>
      <c r="MO149" s="261"/>
      <c r="MP149" s="261"/>
      <c r="MQ149" s="261"/>
      <c r="MR149" s="261"/>
      <c r="MS149" s="261"/>
      <c r="MT149" s="261"/>
      <c r="MU149" s="261"/>
      <c r="MV149" s="261"/>
      <c r="MW149" s="261"/>
      <c r="MX149" s="261"/>
      <c r="MY149" s="261"/>
      <c r="MZ149" s="261"/>
      <c r="NA149" s="261"/>
      <c r="NB149" s="261"/>
      <c r="NC149" s="261"/>
      <c r="ND149" s="261"/>
      <c r="NE149" s="261"/>
      <c r="NF149" s="261"/>
      <c r="NG149" s="261"/>
      <c r="NH149" s="261"/>
      <c r="NI149" s="261"/>
      <c r="NJ149" s="261"/>
      <c r="NK149" s="13"/>
      <c r="NL149" s="261"/>
      <c r="NM149" s="261"/>
      <c r="NN149" s="13"/>
    </row>
    <row r="150" spans="67:378" ht="10.75" customHeight="1" x14ac:dyDescent="0.2">
      <c r="BO150" s="12"/>
      <c r="DF150" s="13"/>
      <c r="DJ150" s="12"/>
      <c r="DQ150" s="13"/>
      <c r="GM150" s="13"/>
      <c r="GP150" s="13"/>
      <c r="GQ150" s="12"/>
      <c r="GT150" s="13"/>
      <c r="HV150" s="13"/>
      <c r="JK150" s="12"/>
      <c r="JL150" s="261"/>
      <c r="JM150" s="261"/>
      <c r="JN150" s="12"/>
      <c r="JO150" s="261"/>
      <c r="JP150" s="261"/>
      <c r="JQ150" s="261"/>
      <c r="JR150" s="261"/>
      <c r="JS150" s="261"/>
      <c r="JT150" s="261"/>
      <c r="JU150" s="261"/>
      <c r="JV150" s="12"/>
      <c r="JW150" s="261"/>
      <c r="JX150" s="261"/>
      <c r="JY150" s="261"/>
      <c r="JZ150" s="261"/>
      <c r="KA150" s="261"/>
      <c r="KB150" s="261"/>
      <c r="KC150" s="261"/>
      <c r="KD150" s="261"/>
      <c r="KE150" s="261"/>
      <c r="KF150" s="261"/>
      <c r="KG150" s="261"/>
      <c r="KH150" s="261"/>
      <c r="KI150" s="261"/>
      <c r="KJ150" s="261"/>
      <c r="KK150" s="261"/>
      <c r="KL150" s="261"/>
      <c r="KM150" s="261"/>
      <c r="KN150" s="261"/>
      <c r="KO150" s="261"/>
      <c r="KP150" s="261"/>
      <c r="KQ150" s="261"/>
      <c r="KR150" s="261"/>
      <c r="KS150" s="261"/>
      <c r="KT150" s="261"/>
      <c r="KU150" s="261"/>
      <c r="KV150" s="261"/>
      <c r="KW150" s="261"/>
      <c r="KX150" s="261"/>
      <c r="KY150" s="261"/>
      <c r="KZ150" s="261"/>
      <c r="LA150" s="261"/>
      <c r="LB150" s="261"/>
      <c r="LC150" s="261"/>
      <c r="LD150" s="261"/>
      <c r="LE150" s="261"/>
      <c r="LF150" s="261"/>
      <c r="LG150" s="261"/>
      <c r="LH150" s="261"/>
      <c r="LI150" s="261"/>
      <c r="LJ150" s="261"/>
      <c r="LK150" s="261"/>
      <c r="LL150" s="261"/>
      <c r="LM150" s="261"/>
      <c r="LN150" s="261"/>
      <c r="LO150" s="261"/>
      <c r="LP150" s="261"/>
      <c r="LQ150" s="261"/>
      <c r="LR150" s="261"/>
      <c r="LS150" s="261"/>
      <c r="LT150" s="261"/>
      <c r="LU150" s="261"/>
      <c r="LV150" s="261"/>
      <c r="LW150" s="261"/>
      <c r="LX150" s="261"/>
      <c r="LY150" s="261"/>
      <c r="LZ150" s="261"/>
      <c r="MA150" s="261"/>
      <c r="MB150" s="261"/>
      <c r="MC150" s="261"/>
      <c r="MD150" s="261"/>
      <c r="ME150" s="261"/>
      <c r="MF150" s="261"/>
      <c r="MG150" s="261"/>
      <c r="MH150" s="261"/>
      <c r="MI150" s="261"/>
      <c r="MJ150" s="261"/>
      <c r="MK150" s="261"/>
      <c r="ML150" s="261"/>
      <c r="MM150" s="261"/>
      <c r="MN150" s="261"/>
      <c r="MO150" s="261"/>
      <c r="MP150" s="261"/>
      <c r="MQ150" s="261"/>
      <c r="MR150" s="261"/>
      <c r="MS150" s="261"/>
      <c r="MT150" s="261"/>
      <c r="MU150" s="261"/>
      <c r="MV150" s="261"/>
      <c r="MW150" s="261"/>
      <c r="MX150" s="261"/>
      <c r="MY150" s="261"/>
      <c r="MZ150" s="261"/>
      <c r="NA150" s="261"/>
      <c r="NB150" s="261"/>
      <c r="NC150" s="261"/>
      <c r="ND150" s="261"/>
      <c r="NE150" s="261"/>
      <c r="NF150" s="261"/>
      <c r="NG150" s="261"/>
      <c r="NH150" s="261"/>
      <c r="NI150" s="261"/>
      <c r="NJ150" s="261"/>
      <c r="NK150" s="13"/>
      <c r="NL150" s="261"/>
      <c r="NM150" s="261"/>
      <c r="NN150" s="13"/>
    </row>
    <row r="151" spans="67:378" ht="10.75" customHeight="1" x14ac:dyDescent="0.2">
      <c r="BO151" s="12"/>
      <c r="DF151" s="13"/>
      <c r="DJ151" s="14"/>
      <c r="DK151" s="15"/>
      <c r="DL151" s="15"/>
      <c r="DM151" s="15"/>
      <c r="DN151" s="15"/>
      <c r="DO151" s="15"/>
      <c r="DP151" s="15"/>
      <c r="DQ151" s="16"/>
      <c r="DR151" s="15"/>
      <c r="DS151" s="15"/>
      <c r="DT151" s="15"/>
      <c r="DU151" s="15"/>
      <c r="DV151" s="15"/>
      <c r="DW151" s="15"/>
      <c r="DX151" s="15"/>
      <c r="DY151" s="15"/>
      <c r="DZ151" s="15"/>
      <c r="EA151" s="15"/>
      <c r="EB151" s="15"/>
      <c r="EC151" s="15"/>
      <c r="ED151" s="15"/>
      <c r="EE151" s="15"/>
      <c r="EF151" s="15"/>
      <c r="EG151" s="15"/>
      <c r="EH151" s="15"/>
      <c r="EI151" s="15"/>
      <c r="EJ151" s="15"/>
      <c r="EK151" s="15"/>
      <c r="EL151" s="15"/>
      <c r="EM151" s="15"/>
      <c r="EN151" s="15"/>
      <c r="EO151" s="15"/>
      <c r="EP151" s="15"/>
      <c r="EQ151" s="15"/>
      <c r="ER151" s="15"/>
      <c r="ES151" s="15"/>
      <c r="ET151" s="15"/>
      <c r="EU151" s="15"/>
      <c r="EV151" s="15"/>
      <c r="EW151" s="15"/>
      <c r="EX151" s="15"/>
      <c r="EY151" s="15"/>
      <c r="EZ151" s="15"/>
      <c r="FA151" s="15"/>
      <c r="FB151" s="15"/>
      <c r="FC151" s="15"/>
      <c r="FD151" s="15"/>
      <c r="FE151" s="15"/>
      <c r="FF151" s="15"/>
      <c r="FG151" s="15"/>
      <c r="FH151" s="15"/>
      <c r="FI151" s="15"/>
      <c r="FJ151" s="15"/>
      <c r="FK151" s="15"/>
      <c r="FL151" s="15"/>
      <c r="FM151" s="15"/>
      <c r="FN151" s="15"/>
      <c r="FO151" s="15"/>
      <c r="FP151" s="15"/>
      <c r="FQ151" s="15"/>
      <c r="FR151" s="15"/>
      <c r="FS151" s="15"/>
      <c r="FT151" s="15"/>
      <c r="FU151" s="15"/>
      <c r="FV151" s="15"/>
      <c r="FW151" s="15"/>
      <c r="FX151" s="15"/>
      <c r="FY151" s="15"/>
      <c r="FZ151" s="15"/>
      <c r="GA151" s="15"/>
      <c r="GB151" s="15"/>
      <c r="GC151" s="15"/>
      <c r="GD151" s="15"/>
      <c r="GE151" s="15"/>
      <c r="GF151" s="15"/>
      <c r="GG151" s="15"/>
      <c r="GH151" s="15"/>
      <c r="GI151" s="15"/>
      <c r="GJ151" s="15"/>
      <c r="GK151" s="15"/>
      <c r="GL151" s="15"/>
      <c r="GM151" s="16"/>
      <c r="GP151" s="13"/>
      <c r="GQ151" s="12"/>
      <c r="GT151" s="13"/>
      <c r="HV151" s="13"/>
      <c r="JK151" s="12"/>
      <c r="JL151" s="261"/>
      <c r="JM151" s="261"/>
      <c r="JN151" s="12"/>
      <c r="JO151" s="261"/>
      <c r="JP151" s="261"/>
      <c r="JQ151" s="261"/>
      <c r="JR151" s="261"/>
      <c r="JS151" s="261"/>
      <c r="JT151" s="261"/>
      <c r="JU151" s="261"/>
      <c r="JV151" s="12"/>
      <c r="JW151" s="261"/>
      <c r="JX151" s="261"/>
      <c r="JY151" s="261"/>
      <c r="JZ151" s="261"/>
      <c r="KA151" s="261"/>
      <c r="KB151" s="261"/>
      <c r="KC151" s="261"/>
      <c r="KD151" s="261"/>
      <c r="KE151" s="261"/>
      <c r="KF151" s="261"/>
      <c r="KG151" s="261"/>
      <c r="KH151" s="261"/>
      <c r="KI151" s="261"/>
      <c r="KJ151" s="261"/>
      <c r="KK151" s="261"/>
      <c r="KL151" s="261"/>
      <c r="KM151" s="261"/>
      <c r="KN151" s="261"/>
      <c r="KO151" s="261"/>
      <c r="KP151" s="261"/>
      <c r="KQ151" s="261"/>
      <c r="KR151" s="261"/>
      <c r="KS151" s="261"/>
      <c r="KT151" s="261"/>
      <c r="KU151" s="261"/>
      <c r="KV151" s="261"/>
      <c r="KW151" s="261"/>
      <c r="KX151" s="261"/>
      <c r="KY151" s="261"/>
      <c r="KZ151" s="261"/>
      <c r="LA151" s="261"/>
      <c r="LB151" s="261"/>
      <c r="LC151" s="261"/>
      <c r="LD151" s="261"/>
      <c r="LE151" s="261"/>
      <c r="LF151" s="261"/>
      <c r="LG151" s="261"/>
      <c r="LH151" s="261"/>
      <c r="LI151" s="261"/>
      <c r="LJ151" s="261"/>
      <c r="LK151" s="261"/>
      <c r="LL151" s="261"/>
      <c r="LM151" s="261"/>
      <c r="LN151" s="261"/>
      <c r="LO151" s="261"/>
      <c r="LP151" s="261"/>
      <c r="LQ151" s="261"/>
      <c r="LR151" s="261"/>
      <c r="LS151" s="261"/>
      <c r="LT151" s="261"/>
      <c r="LU151" s="261"/>
      <c r="LV151" s="261"/>
      <c r="LW151" s="261"/>
      <c r="LX151" s="261"/>
      <c r="LY151" s="261"/>
      <c r="LZ151" s="261"/>
      <c r="MA151" s="261"/>
      <c r="MB151" s="261"/>
      <c r="MC151" s="261"/>
      <c r="MD151" s="261"/>
      <c r="ME151" s="261"/>
      <c r="MF151" s="261"/>
      <c r="MG151" s="261"/>
      <c r="MH151" s="261"/>
      <c r="MI151" s="261"/>
      <c r="MJ151" s="261"/>
      <c r="MK151" s="261"/>
      <c r="ML151" s="261"/>
      <c r="MM151" s="261"/>
      <c r="MN151" s="261"/>
      <c r="MO151" s="261"/>
      <c r="MP151" s="261"/>
      <c r="MQ151" s="261"/>
      <c r="MR151" s="261"/>
      <c r="MS151" s="261"/>
      <c r="MT151" s="261"/>
      <c r="MU151" s="261"/>
      <c r="MV151" s="261"/>
      <c r="MW151" s="261"/>
      <c r="MX151" s="261"/>
      <c r="MY151" s="261"/>
      <c r="MZ151" s="261"/>
      <c r="NA151" s="261"/>
      <c r="NB151" s="261"/>
      <c r="NC151" s="261"/>
      <c r="ND151" s="261"/>
      <c r="NE151" s="261"/>
      <c r="NF151" s="261"/>
      <c r="NG151" s="261"/>
      <c r="NH151" s="261"/>
      <c r="NI151" s="261"/>
      <c r="NJ151" s="261"/>
      <c r="NK151" s="13"/>
      <c r="NL151" s="261"/>
      <c r="NM151" s="261"/>
      <c r="NN151" s="13"/>
    </row>
    <row r="152" spans="67:378" ht="10.75" customHeight="1" x14ac:dyDescent="0.2">
      <c r="BO152" s="12"/>
      <c r="BS152" s="96"/>
      <c r="BT152" s="97"/>
      <c r="BU152" s="97"/>
      <c r="BV152" s="97"/>
      <c r="DF152" s="13"/>
      <c r="EC152" s="97"/>
      <c r="ED152" s="97"/>
      <c r="EE152" s="97"/>
      <c r="EF152" s="97"/>
      <c r="GM152" s="97"/>
      <c r="GN152" s="97"/>
      <c r="GO152" s="97"/>
      <c r="GP152" s="98"/>
      <c r="GQ152" s="12"/>
      <c r="GT152" s="13"/>
      <c r="HV152" s="13"/>
      <c r="JK152" s="12"/>
      <c r="JL152" s="261"/>
      <c r="JM152" s="261"/>
      <c r="JN152" s="12"/>
      <c r="JO152" s="261"/>
      <c r="JP152" s="261"/>
      <c r="JQ152" s="261"/>
      <c r="JR152" s="261"/>
      <c r="JS152" s="261"/>
      <c r="JT152" s="261"/>
      <c r="JU152" s="261"/>
      <c r="JV152" s="12"/>
      <c r="JW152" s="261"/>
      <c r="JX152" s="261"/>
      <c r="JY152" s="261"/>
      <c r="JZ152" s="261"/>
      <c r="KA152" s="261"/>
      <c r="KB152" s="261"/>
      <c r="KC152" s="261"/>
      <c r="KD152" s="261"/>
      <c r="KE152" s="261"/>
      <c r="KF152" s="261"/>
      <c r="KG152" s="261"/>
      <c r="KH152" s="261"/>
      <c r="KI152" s="261"/>
      <c r="KJ152" s="261"/>
      <c r="KK152" s="261"/>
      <c r="KL152" s="261"/>
      <c r="KM152" s="261"/>
      <c r="KN152" s="261"/>
      <c r="KO152" s="261"/>
      <c r="KP152" s="261"/>
      <c r="KQ152" s="261"/>
      <c r="KR152" s="261"/>
      <c r="KS152" s="261"/>
      <c r="KT152" s="261"/>
      <c r="KU152" s="261"/>
      <c r="KV152" s="261"/>
      <c r="KW152" s="261"/>
      <c r="KX152" s="261"/>
      <c r="KY152" s="261"/>
      <c r="KZ152" s="261"/>
      <c r="LA152" s="261"/>
      <c r="LB152" s="261"/>
      <c r="LC152" s="261"/>
      <c r="LD152" s="261"/>
      <c r="LE152" s="261"/>
      <c r="LF152" s="261"/>
      <c r="LG152" s="261"/>
      <c r="LH152" s="261"/>
      <c r="LI152" s="261"/>
      <c r="LJ152" s="261"/>
      <c r="LK152" s="261"/>
      <c r="LL152" s="261"/>
      <c r="LM152" s="261"/>
      <c r="LN152" s="261"/>
      <c r="LO152" s="261"/>
      <c r="LP152" s="261"/>
      <c r="LQ152" s="261"/>
      <c r="LR152" s="261"/>
      <c r="LS152" s="261"/>
      <c r="LT152" s="261"/>
      <c r="LU152" s="261"/>
      <c r="LV152" s="261"/>
      <c r="LW152" s="261"/>
      <c r="LX152" s="261"/>
      <c r="LY152" s="261"/>
      <c r="LZ152" s="261"/>
      <c r="MA152" s="261"/>
      <c r="MB152" s="261"/>
      <c r="MC152" s="261"/>
      <c r="MD152" s="261"/>
      <c r="ME152" s="261"/>
      <c r="MF152" s="261"/>
      <c r="MG152" s="261"/>
      <c r="MH152" s="261"/>
      <c r="MI152" s="261"/>
      <c r="MJ152" s="261"/>
      <c r="MK152" s="261"/>
      <c r="ML152" s="261"/>
      <c r="MM152" s="261"/>
      <c r="MN152" s="261"/>
      <c r="MO152" s="261"/>
      <c r="MP152" s="261"/>
      <c r="MQ152" s="261"/>
      <c r="MR152" s="261"/>
      <c r="MS152" s="261"/>
      <c r="MT152" s="261"/>
      <c r="MU152" s="261"/>
      <c r="MV152" s="261"/>
      <c r="MW152" s="261"/>
      <c r="MX152" s="261"/>
      <c r="MY152" s="261"/>
      <c r="MZ152" s="261"/>
      <c r="NA152" s="261"/>
      <c r="NB152" s="261"/>
      <c r="NC152" s="261"/>
      <c r="ND152" s="261"/>
      <c r="NE152" s="261"/>
      <c r="NF152" s="261"/>
      <c r="NG152" s="261"/>
      <c r="NH152" s="261"/>
      <c r="NI152" s="261"/>
      <c r="NJ152" s="261"/>
      <c r="NK152" s="13"/>
      <c r="NL152" s="261"/>
      <c r="NM152" s="261"/>
      <c r="NN152" s="13"/>
    </row>
    <row r="153" spans="67:378" ht="10.75" customHeight="1" x14ac:dyDescent="0.2">
      <c r="BO153" s="12"/>
      <c r="BS153" s="96"/>
      <c r="BT153" s="97"/>
      <c r="BU153" s="97"/>
      <c r="BV153" s="97"/>
      <c r="DF153" s="13"/>
      <c r="EC153" s="97"/>
      <c r="ED153" s="97"/>
      <c r="EE153" s="97"/>
      <c r="EF153" s="97"/>
      <c r="GM153" s="97"/>
      <c r="GN153" s="97"/>
      <c r="GO153" s="97"/>
      <c r="GP153" s="98"/>
      <c r="GQ153" s="12"/>
      <c r="GT153" s="13"/>
      <c r="HV153" s="13"/>
      <c r="JK153" s="12"/>
      <c r="JL153" s="261"/>
      <c r="JM153" s="261"/>
      <c r="JN153" s="12"/>
      <c r="JO153" s="261"/>
      <c r="JP153" s="261"/>
      <c r="JQ153" s="261"/>
      <c r="JR153" s="261"/>
      <c r="JS153" s="261"/>
      <c r="JT153" s="261"/>
      <c r="JU153" s="261"/>
      <c r="JV153" s="12"/>
      <c r="JW153" s="261"/>
      <c r="JX153" s="261"/>
      <c r="JY153" s="261"/>
      <c r="JZ153" s="261"/>
      <c r="KA153" s="261"/>
      <c r="KB153" s="261"/>
      <c r="KC153" s="261"/>
      <c r="KD153" s="261"/>
      <c r="KE153" s="261"/>
      <c r="KF153" s="261"/>
      <c r="KG153" s="261"/>
      <c r="KH153" s="261"/>
      <c r="KI153" s="261"/>
      <c r="KJ153" s="261"/>
      <c r="KK153" s="261"/>
      <c r="KL153" s="261"/>
      <c r="KM153" s="261"/>
      <c r="KN153" s="261"/>
      <c r="KO153" s="261"/>
      <c r="KP153" s="261"/>
      <c r="KQ153" s="261"/>
      <c r="KR153" s="261"/>
      <c r="KS153" s="261"/>
      <c r="KT153" s="261"/>
      <c r="KU153" s="261"/>
      <c r="KV153" s="261"/>
      <c r="KW153" s="261"/>
      <c r="KX153" s="261"/>
      <c r="KY153" s="261"/>
      <c r="KZ153" s="261"/>
      <c r="LA153" s="261"/>
      <c r="LB153" s="261"/>
      <c r="LC153" s="261"/>
      <c r="LD153" s="261"/>
      <c r="LE153" s="261"/>
      <c r="LF153" s="261"/>
      <c r="LG153" s="261"/>
      <c r="LH153" s="261"/>
      <c r="LI153" s="261"/>
      <c r="LJ153" s="261"/>
      <c r="LK153" s="261"/>
      <c r="LL153" s="261"/>
      <c r="LM153" s="261"/>
      <c r="LN153" s="261"/>
      <c r="LO153" s="261"/>
      <c r="LP153" s="261"/>
      <c r="LQ153" s="261"/>
      <c r="LR153" s="261"/>
      <c r="LS153" s="261"/>
      <c r="LT153" s="261"/>
      <c r="LU153" s="261"/>
      <c r="LV153" s="261"/>
      <c r="LW153" s="261"/>
      <c r="LX153" s="261"/>
      <c r="LY153" s="261"/>
      <c r="LZ153" s="261"/>
      <c r="MA153" s="261"/>
      <c r="MB153" s="261"/>
      <c r="MC153" s="261"/>
      <c r="MD153" s="261"/>
      <c r="ME153" s="261"/>
      <c r="MF153" s="261"/>
      <c r="MG153" s="261"/>
      <c r="MH153" s="261"/>
      <c r="MI153" s="261"/>
      <c r="MJ153" s="261"/>
      <c r="MK153" s="261"/>
      <c r="ML153" s="261"/>
      <c r="MM153" s="261"/>
      <c r="MN153" s="261"/>
      <c r="MO153" s="261"/>
      <c r="MP153" s="261"/>
      <c r="MQ153" s="261"/>
      <c r="MR153" s="261"/>
      <c r="MS153" s="261"/>
      <c r="MT153" s="261"/>
      <c r="MU153" s="261"/>
      <c r="MV153" s="261"/>
      <c r="MW153" s="261"/>
      <c r="MX153" s="261"/>
      <c r="MY153" s="261"/>
      <c r="MZ153" s="261"/>
      <c r="NA153" s="261"/>
      <c r="NB153" s="261"/>
      <c r="NC153" s="261"/>
      <c r="ND153" s="261"/>
      <c r="NE153" s="261"/>
      <c r="NF153" s="261"/>
      <c r="NG153" s="261"/>
      <c r="NH153" s="261"/>
      <c r="NI153" s="261"/>
      <c r="NJ153" s="261"/>
      <c r="NK153" s="13"/>
      <c r="NL153" s="261"/>
      <c r="NM153" s="261"/>
      <c r="NN153" s="13"/>
    </row>
    <row r="154" spans="67:378" ht="10.75" customHeight="1" x14ac:dyDescent="0.2">
      <c r="BO154" s="12"/>
      <c r="BS154" s="59"/>
      <c r="BT154" s="60"/>
      <c r="BU154" s="60"/>
      <c r="BV154" s="60"/>
      <c r="DF154" s="13"/>
      <c r="DG154" s="15"/>
      <c r="DH154" s="15"/>
      <c r="DI154" s="15"/>
      <c r="DJ154" s="15"/>
      <c r="DK154" s="15"/>
      <c r="DL154" s="15"/>
      <c r="DM154" s="15"/>
      <c r="DN154" s="15"/>
      <c r="DO154" s="15"/>
      <c r="DP154" s="15"/>
      <c r="DQ154" s="15"/>
      <c r="DR154" s="15"/>
      <c r="DS154" s="15"/>
      <c r="DT154" s="15"/>
      <c r="DU154" s="15"/>
      <c r="DV154" s="15"/>
      <c r="DW154" s="15"/>
      <c r="DX154" s="15"/>
      <c r="DY154" s="15"/>
      <c r="DZ154" s="15"/>
      <c r="EA154" s="15"/>
      <c r="EB154" s="15"/>
      <c r="EC154" s="60"/>
      <c r="ED154" s="60"/>
      <c r="EE154" s="60"/>
      <c r="EF154" s="60"/>
      <c r="EG154" s="15"/>
      <c r="EH154" s="15"/>
      <c r="EI154" s="15"/>
      <c r="EJ154" s="15"/>
      <c r="EK154" s="15"/>
      <c r="EL154" s="15"/>
      <c r="EM154" s="15"/>
      <c r="EN154" s="15"/>
      <c r="EO154" s="15"/>
      <c r="EP154" s="15"/>
      <c r="EQ154" s="15"/>
      <c r="ER154" s="15"/>
      <c r="ES154" s="15"/>
      <c r="ET154" s="15"/>
      <c r="EU154" s="15"/>
      <c r="EV154" s="15"/>
      <c r="EW154" s="15"/>
      <c r="EX154" s="15"/>
      <c r="EY154" s="15"/>
      <c r="EZ154" s="15"/>
      <c r="FA154" s="15"/>
      <c r="FB154" s="15"/>
      <c r="FC154" s="15"/>
      <c r="FD154" s="15"/>
      <c r="FE154" s="15"/>
      <c r="FF154" s="15"/>
      <c r="FG154" s="15"/>
      <c r="FH154" s="15"/>
      <c r="FI154" s="15"/>
      <c r="FJ154" s="15"/>
      <c r="FK154" s="15"/>
      <c r="FL154" s="15"/>
      <c r="FM154" s="15"/>
      <c r="FN154" s="15"/>
      <c r="FO154" s="15"/>
      <c r="FP154" s="15"/>
      <c r="FQ154" s="15"/>
      <c r="FR154" s="15"/>
      <c r="FS154" s="15"/>
      <c r="FT154" s="15"/>
      <c r="FU154" s="15"/>
      <c r="FV154" s="15"/>
      <c r="FW154" s="15"/>
      <c r="FX154" s="15"/>
      <c r="FY154" s="15"/>
      <c r="FZ154" s="15"/>
      <c r="GA154" s="15"/>
      <c r="GB154" s="15"/>
      <c r="GC154" s="15"/>
      <c r="GD154" s="15"/>
      <c r="GE154" s="15"/>
      <c r="GF154" s="15"/>
      <c r="GG154" s="15"/>
      <c r="GH154" s="15"/>
      <c r="GI154" s="15"/>
      <c r="GJ154" s="15"/>
      <c r="GK154" s="15"/>
      <c r="GL154" s="15"/>
      <c r="GM154" s="60"/>
      <c r="GN154" s="60"/>
      <c r="GO154" s="60"/>
      <c r="GP154" s="61"/>
      <c r="GQ154" s="12"/>
      <c r="GT154" s="13"/>
      <c r="HV154" s="13"/>
      <c r="JK154" s="12"/>
      <c r="JL154" s="261"/>
      <c r="JM154" s="261"/>
      <c r="JN154" s="12"/>
      <c r="JO154" s="261"/>
      <c r="JP154" s="261"/>
      <c r="JQ154" s="261"/>
      <c r="JR154" s="261"/>
      <c r="JS154" s="261"/>
      <c r="JT154" s="261"/>
      <c r="JU154" s="261"/>
      <c r="JV154" s="14"/>
      <c r="JW154" s="15"/>
      <c r="JX154" s="15"/>
      <c r="JY154" s="15"/>
      <c r="JZ154" s="15"/>
      <c r="KA154" s="15"/>
      <c r="KB154" s="15"/>
      <c r="KC154" s="15"/>
      <c r="KD154" s="15"/>
      <c r="KE154" s="15"/>
      <c r="KF154" s="15"/>
      <c r="KG154" s="15"/>
      <c r="KH154" s="15"/>
      <c r="KI154" s="15"/>
      <c r="KJ154" s="15"/>
      <c r="KK154" s="15"/>
      <c r="KL154" s="15"/>
      <c r="KM154" s="15"/>
      <c r="KN154" s="15"/>
      <c r="KO154" s="15"/>
      <c r="KP154" s="15"/>
      <c r="KQ154" s="15"/>
      <c r="KR154" s="15"/>
      <c r="KS154" s="15"/>
      <c r="KT154" s="261"/>
      <c r="KU154" s="261"/>
      <c r="KV154" s="261"/>
      <c r="KW154" s="261"/>
      <c r="KX154" s="261"/>
      <c r="KY154" s="261"/>
      <c r="KZ154" s="261"/>
      <c r="LA154" s="261"/>
      <c r="LB154" s="261"/>
      <c r="LC154" s="261"/>
      <c r="LD154" s="261"/>
      <c r="LE154" s="261"/>
      <c r="LF154" s="261"/>
      <c r="LG154" s="261"/>
      <c r="LH154" s="261"/>
      <c r="LI154" s="261"/>
      <c r="LJ154" s="261"/>
      <c r="LK154" s="261"/>
      <c r="LL154" s="261"/>
      <c r="LM154" s="261"/>
      <c r="LN154" s="261"/>
      <c r="LO154" s="261"/>
      <c r="LP154" s="261"/>
      <c r="LQ154" s="261"/>
      <c r="LR154" s="261"/>
      <c r="LS154" s="261"/>
      <c r="LT154" s="261"/>
      <c r="LU154" s="261"/>
      <c r="LV154" s="261"/>
      <c r="LW154" s="261"/>
      <c r="LX154" s="261"/>
      <c r="LY154" s="261"/>
      <c r="LZ154" s="261"/>
      <c r="MA154" s="261"/>
      <c r="MB154" s="261"/>
      <c r="MC154" s="261"/>
      <c r="MD154" s="261"/>
      <c r="ME154" s="261"/>
      <c r="MF154" s="261"/>
      <c r="MG154" s="261"/>
      <c r="MH154" s="261"/>
      <c r="MI154" s="261"/>
      <c r="MJ154" s="261"/>
      <c r="MK154" s="261"/>
      <c r="ML154" s="261"/>
      <c r="MM154" s="261"/>
      <c r="MN154" s="261"/>
      <c r="MO154" s="261"/>
      <c r="MP154" s="261"/>
      <c r="MQ154" s="261"/>
      <c r="MR154" s="261"/>
      <c r="MS154" s="261"/>
      <c r="MT154" s="261"/>
      <c r="MU154" s="261"/>
      <c r="MV154" s="261"/>
      <c r="MW154" s="261"/>
      <c r="MX154" s="261"/>
      <c r="MY154" s="261"/>
      <c r="MZ154" s="261"/>
      <c r="NA154" s="261"/>
      <c r="NB154" s="261"/>
      <c r="NC154" s="261"/>
      <c r="ND154" s="261"/>
      <c r="NE154" s="261"/>
      <c r="NF154" s="261"/>
      <c r="NG154" s="261"/>
      <c r="NH154" s="261"/>
      <c r="NI154" s="261"/>
      <c r="NJ154" s="261"/>
      <c r="NK154" s="13"/>
      <c r="NL154" s="261"/>
      <c r="NM154" s="261"/>
      <c r="NN154" s="13"/>
    </row>
    <row r="155" spans="67:378" ht="10.75" customHeight="1" x14ac:dyDescent="0.2">
      <c r="BO155" s="12"/>
      <c r="DG155" s="9"/>
      <c r="DH155" s="10"/>
      <c r="DI155" s="10"/>
      <c r="DJ155" s="10"/>
      <c r="DK155" s="10"/>
      <c r="DL155" s="10"/>
      <c r="DM155" s="10"/>
      <c r="DN155" s="10"/>
      <c r="DO155" s="10"/>
      <c r="DP155" s="10"/>
      <c r="DQ155" s="10"/>
      <c r="DR155" s="10"/>
      <c r="DS155" s="10"/>
      <c r="DT155" s="10"/>
      <c r="DU155" s="10"/>
      <c r="DV155" s="10"/>
      <c r="DW155" s="10"/>
      <c r="DX155" s="10"/>
      <c r="DY155" s="10"/>
      <c r="DZ155" s="10"/>
      <c r="EA155" s="10"/>
      <c r="EB155" s="10"/>
      <c r="EC155" s="10"/>
      <c r="ED155" s="10"/>
      <c r="EE155" s="10"/>
      <c r="EF155" s="10"/>
      <c r="EG155" s="10"/>
      <c r="EH155" s="10"/>
      <c r="EI155" s="10"/>
      <c r="EJ155" s="10"/>
      <c r="EK155" s="10"/>
      <c r="EL155" s="10"/>
      <c r="EM155" s="10"/>
      <c r="EN155" s="10"/>
      <c r="EO155" s="10"/>
      <c r="EP155" s="10"/>
      <c r="EQ155" s="10"/>
      <c r="ER155" s="10"/>
      <c r="ES155" s="10"/>
      <c r="ET155" s="10"/>
      <c r="EU155" s="10"/>
      <c r="EV155" s="10"/>
      <c r="EW155" s="10"/>
      <c r="EX155" s="10"/>
      <c r="EY155" s="10"/>
      <c r="EZ155" s="10"/>
      <c r="FA155" s="10"/>
      <c r="FB155" s="10"/>
      <c r="FC155" s="10"/>
      <c r="FD155" s="10"/>
      <c r="FE155" s="10"/>
      <c r="FF155" s="10"/>
      <c r="FG155" s="10"/>
      <c r="FH155" s="10"/>
      <c r="FI155" s="10"/>
      <c r="FJ155" s="10"/>
      <c r="FK155" s="10"/>
      <c r="FL155" s="10"/>
      <c r="FM155" s="10"/>
      <c r="FN155" s="10"/>
      <c r="FO155" s="10"/>
      <c r="FP155" s="10"/>
      <c r="FQ155" s="10"/>
      <c r="FR155" s="10"/>
      <c r="FS155" s="10"/>
      <c r="FT155" s="10"/>
      <c r="FU155" s="10"/>
      <c r="FV155" s="10"/>
      <c r="FW155" s="10"/>
      <c r="FX155" s="10"/>
      <c r="FY155" s="10"/>
      <c r="FZ155" s="10"/>
      <c r="GA155" s="10"/>
      <c r="GB155" s="10"/>
      <c r="GC155" s="10"/>
      <c r="GD155" s="10"/>
      <c r="GE155" s="10"/>
      <c r="GF155" s="10"/>
      <c r="GG155" s="10"/>
      <c r="GH155" s="10"/>
      <c r="GI155" s="10"/>
      <c r="GJ155" s="10"/>
      <c r="GK155" s="10"/>
      <c r="GL155" s="10"/>
      <c r="GM155" s="10"/>
      <c r="GN155" s="10"/>
      <c r="GO155" s="10"/>
      <c r="GP155" s="10"/>
      <c r="GT155" s="13"/>
      <c r="HV155" s="13"/>
      <c r="JK155" s="12"/>
      <c r="JL155" s="261"/>
      <c r="JM155" s="261"/>
      <c r="JN155" s="12"/>
      <c r="JO155" s="261"/>
      <c r="JP155" s="261"/>
      <c r="JQ155" s="261"/>
      <c r="JR155" s="261"/>
      <c r="JS155" s="261"/>
      <c r="JT155" s="261"/>
      <c r="JU155" s="261"/>
      <c r="JV155" s="261"/>
      <c r="JW155" s="261"/>
      <c r="JX155" s="261"/>
      <c r="JY155" s="261"/>
      <c r="JZ155" s="261"/>
      <c r="KA155" s="261"/>
      <c r="KB155" s="261"/>
      <c r="KC155" s="261"/>
      <c r="KD155" s="261"/>
      <c r="KE155" s="261"/>
      <c r="KF155" s="261"/>
      <c r="KG155" s="261"/>
      <c r="KH155" s="261"/>
      <c r="KI155" s="261"/>
      <c r="KJ155" s="261"/>
      <c r="KK155" s="261"/>
      <c r="KL155" s="261"/>
      <c r="KM155" s="261"/>
      <c r="KN155" s="261"/>
      <c r="KO155" s="261"/>
      <c r="KP155" s="261"/>
      <c r="KQ155" s="261"/>
      <c r="KR155" s="261"/>
      <c r="KS155" s="261"/>
      <c r="KT155" s="9"/>
      <c r="KU155" s="11"/>
      <c r="KV155" s="261"/>
      <c r="KW155" s="261"/>
      <c r="KX155" s="261"/>
      <c r="KY155" s="261"/>
      <c r="KZ155" s="261"/>
      <c r="LA155" s="261"/>
      <c r="LB155" s="261"/>
      <c r="LC155" s="261"/>
      <c r="LD155" s="261"/>
      <c r="LE155" s="261"/>
      <c r="LF155" s="261"/>
      <c r="LG155" s="261"/>
      <c r="LH155" s="261"/>
      <c r="LI155" s="261"/>
      <c r="LJ155" s="261"/>
      <c r="LK155" s="261"/>
      <c r="LL155" s="261"/>
      <c r="LM155" s="261"/>
      <c r="LN155" s="261"/>
      <c r="LO155" s="261"/>
      <c r="LP155" s="261"/>
      <c r="LQ155" s="261"/>
      <c r="LR155" s="261"/>
      <c r="LS155" s="261"/>
      <c r="LT155" s="261"/>
      <c r="LU155" s="261"/>
      <c r="LV155" s="261"/>
      <c r="LW155" s="261"/>
      <c r="LX155" s="261"/>
      <c r="LY155" s="261"/>
      <c r="LZ155" s="261"/>
      <c r="MA155" s="261"/>
      <c r="MB155" s="261"/>
      <c r="MC155" s="261"/>
      <c r="MD155" s="261"/>
      <c r="ME155" s="261"/>
      <c r="MF155" s="261"/>
      <c r="MG155" s="261"/>
      <c r="MH155" s="261"/>
      <c r="MI155" s="261"/>
      <c r="MJ155" s="261"/>
      <c r="MK155" s="261"/>
      <c r="ML155" s="261"/>
      <c r="MM155" s="261"/>
      <c r="MN155" s="261"/>
      <c r="MO155" s="261"/>
      <c r="MP155" s="261"/>
      <c r="MQ155" s="261"/>
      <c r="MR155" s="261"/>
      <c r="MS155" s="261"/>
      <c r="MT155" s="261"/>
      <c r="MU155" s="261"/>
      <c r="MV155" s="261"/>
      <c r="MW155" s="261"/>
      <c r="MX155" s="261"/>
      <c r="MY155" s="261"/>
      <c r="MZ155" s="261"/>
      <c r="NA155" s="261"/>
      <c r="NB155" s="261"/>
      <c r="NC155" s="261"/>
      <c r="ND155" s="261"/>
      <c r="NE155" s="261"/>
      <c r="NF155" s="261"/>
      <c r="NG155" s="261"/>
      <c r="NH155" s="261"/>
      <c r="NI155" s="261"/>
      <c r="NJ155" s="261"/>
      <c r="NK155" s="13"/>
      <c r="NL155" s="261"/>
      <c r="NM155" s="261"/>
      <c r="NN155" s="13"/>
    </row>
    <row r="156" spans="67:378" ht="10.75" customHeight="1" x14ac:dyDescent="0.2">
      <c r="BO156" s="12"/>
      <c r="DG156" s="12"/>
      <c r="GT156" s="13"/>
      <c r="HV156" s="13"/>
      <c r="JK156" s="12"/>
      <c r="JL156" s="261"/>
      <c r="JM156" s="261"/>
      <c r="JN156" s="12"/>
      <c r="JO156" s="261"/>
      <c r="JP156" s="261"/>
      <c r="JQ156" s="261"/>
      <c r="JR156" s="261"/>
      <c r="JS156" s="261"/>
      <c r="JT156" s="261"/>
      <c r="JU156" s="261"/>
      <c r="JV156" s="261"/>
      <c r="JW156" s="261"/>
      <c r="JX156" s="261"/>
      <c r="JY156" s="261"/>
      <c r="JZ156" s="261"/>
      <c r="KA156" s="261"/>
      <c r="KB156" s="261"/>
      <c r="KC156" s="261"/>
      <c r="KD156" s="261"/>
      <c r="KE156" s="261"/>
      <c r="KF156" s="261"/>
      <c r="KG156" s="261"/>
      <c r="KH156" s="261"/>
      <c r="KI156" s="261"/>
      <c r="KJ156" s="261"/>
      <c r="KK156" s="261"/>
      <c r="KL156" s="261"/>
      <c r="KM156" s="261"/>
      <c r="KN156" s="261"/>
      <c r="KO156" s="261"/>
      <c r="KP156" s="261"/>
      <c r="KQ156" s="261"/>
      <c r="KR156" s="261"/>
      <c r="KS156" s="261"/>
      <c r="KT156" s="12"/>
      <c r="KU156" s="13"/>
      <c r="KV156" s="261"/>
      <c r="KW156" s="261"/>
      <c r="KX156" s="261"/>
      <c r="KY156" s="261"/>
      <c r="KZ156" s="261"/>
      <c r="LA156" s="261"/>
      <c r="LB156" s="261"/>
      <c r="LC156" s="261"/>
      <c r="LD156" s="261"/>
      <c r="LE156" s="261"/>
      <c r="LF156" s="261"/>
      <c r="LG156" s="261"/>
      <c r="LH156" s="261"/>
      <c r="LI156" s="261"/>
      <c r="LJ156" s="261"/>
      <c r="LK156" s="261"/>
      <c r="LL156" s="261"/>
      <c r="LM156" s="261"/>
      <c r="LN156" s="261"/>
      <c r="LO156" s="261"/>
      <c r="LP156" s="261"/>
      <c r="LQ156" s="261"/>
      <c r="LR156" s="261"/>
      <c r="LS156" s="261"/>
      <c r="LT156" s="261"/>
      <c r="LU156" s="261"/>
      <c r="LV156" s="261"/>
      <c r="LW156" s="261"/>
      <c r="LX156" s="261"/>
      <c r="LY156" s="261"/>
      <c r="LZ156" s="261"/>
      <c r="MA156" s="261"/>
      <c r="MB156" s="261"/>
      <c r="MC156" s="261"/>
      <c r="MD156" s="261"/>
      <c r="ME156" s="261"/>
      <c r="MF156" s="261"/>
      <c r="MG156" s="261"/>
      <c r="MH156" s="261"/>
      <c r="MI156" s="261"/>
      <c r="MJ156" s="261"/>
      <c r="MK156" s="261"/>
      <c r="ML156" s="261"/>
      <c r="MM156" s="261"/>
      <c r="MN156" s="261"/>
      <c r="MO156" s="261"/>
      <c r="MP156" s="261"/>
      <c r="MQ156" s="261"/>
      <c r="MR156" s="261"/>
      <c r="MS156" s="261"/>
      <c r="MT156" s="261"/>
      <c r="MU156" s="261"/>
      <c r="MV156" s="261"/>
      <c r="MW156" s="261"/>
      <c r="MX156" s="261"/>
      <c r="MY156" s="261"/>
      <c r="MZ156" s="261"/>
      <c r="NA156" s="261"/>
      <c r="NB156" s="261"/>
      <c r="NC156" s="261"/>
      <c r="ND156" s="261"/>
      <c r="NE156" s="261"/>
      <c r="NF156" s="261"/>
      <c r="NG156" s="261"/>
      <c r="NH156" s="261"/>
      <c r="NI156" s="261"/>
      <c r="NJ156" s="261"/>
      <c r="NK156" s="13"/>
      <c r="NL156" s="261"/>
      <c r="NM156" s="261"/>
      <c r="NN156" s="13"/>
    </row>
    <row r="157" spans="67:378" ht="10.75" customHeight="1" x14ac:dyDescent="0.2">
      <c r="BO157" s="12"/>
      <c r="DG157" s="12"/>
      <c r="GT157" s="13"/>
      <c r="HV157" s="13"/>
      <c r="JK157" s="12"/>
      <c r="JL157" s="261"/>
      <c r="JM157" s="261"/>
      <c r="JN157" s="12"/>
      <c r="JO157" s="261"/>
      <c r="JP157" s="261"/>
      <c r="JQ157" s="261"/>
      <c r="JR157" s="261"/>
      <c r="JS157" s="261"/>
      <c r="JT157" s="261"/>
      <c r="JU157" s="261"/>
      <c r="JV157" s="261"/>
      <c r="JW157" s="261"/>
      <c r="JX157" s="261"/>
      <c r="JY157" s="261"/>
      <c r="JZ157" s="261"/>
      <c r="KA157" s="261"/>
      <c r="KB157" s="261"/>
      <c r="KC157" s="261"/>
      <c r="KD157" s="261"/>
      <c r="KE157" s="261"/>
      <c r="KF157" s="261"/>
      <c r="KG157" s="261"/>
      <c r="KH157" s="261"/>
      <c r="KI157" s="261"/>
      <c r="KJ157" s="261"/>
      <c r="KK157" s="261"/>
      <c r="KL157" s="261"/>
      <c r="KM157" s="261"/>
      <c r="KN157" s="261"/>
      <c r="KO157" s="261"/>
      <c r="KP157" s="261"/>
      <c r="KQ157" s="261"/>
      <c r="KR157" s="261"/>
      <c r="KS157" s="261"/>
      <c r="KT157" s="12"/>
      <c r="KU157" s="13"/>
      <c r="KV157" s="261"/>
      <c r="KW157" s="261"/>
      <c r="KX157" s="261"/>
      <c r="KY157" s="261"/>
      <c r="KZ157" s="261"/>
      <c r="LA157" s="261"/>
      <c r="LB157" s="261"/>
      <c r="LC157" s="261"/>
      <c r="LD157" s="261"/>
      <c r="LE157" s="261"/>
      <c r="LF157" s="261"/>
      <c r="LG157" s="261"/>
      <c r="LH157" s="261"/>
      <c r="LI157" s="261"/>
      <c r="LJ157" s="261"/>
      <c r="LK157" s="261"/>
      <c r="LL157" s="261"/>
      <c r="LM157" s="261"/>
      <c r="LN157" s="261"/>
      <c r="LO157" s="261"/>
      <c r="LP157" s="261"/>
      <c r="LQ157" s="261"/>
      <c r="LR157" s="261"/>
      <c r="LS157" s="261"/>
      <c r="LT157" s="261"/>
      <c r="LU157" s="261"/>
      <c r="LV157" s="261"/>
      <c r="LW157" s="261"/>
      <c r="LX157" s="261"/>
      <c r="LY157" s="261"/>
      <c r="LZ157" s="261"/>
      <c r="MA157" s="261"/>
      <c r="MB157" s="261"/>
      <c r="MC157" s="261"/>
      <c r="MD157" s="261"/>
      <c r="ME157" s="261"/>
      <c r="MF157" s="261"/>
      <c r="MG157" s="261"/>
      <c r="MH157" s="261"/>
      <c r="MI157" s="261"/>
      <c r="MJ157" s="261"/>
      <c r="MK157" s="261"/>
      <c r="ML157" s="261"/>
      <c r="MM157" s="261"/>
      <c r="MN157" s="261"/>
      <c r="MO157" s="261"/>
      <c r="MP157" s="261"/>
      <c r="MQ157" s="261"/>
      <c r="MR157" s="261"/>
      <c r="MS157" s="261"/>
      <c r="MT157" s="261"/>
      <c r="MU157" s="261"/>
      <c r="MV157" s="261"/>
      <c r="MW157" s="261"/>
      <c r="MX157" s="261"/>
      <c r="MY157" s="261"/>
      <c r="MZ157" s="261"/>
      <c r="NA157" s="261"/>
      <c r="NB157" s="261"/>
      <c r="NC157" s="261"/>
      <c r="ND157" s="261"/>
      <c r="NE157" s="261"/>
      <c r="NF157" s="261"/>
      <c r="NG157" s="261"/>
      <c r="NH157" s="261"/>
      <c r="NI157" s="261"/>
      <c r="NJ157" s="261"/>
      <c r="NK157" s="13"/>
      <c r="NL157" s="261"/>
      <c r="NM157" s="261"/>
      <c r="NN157" s="13"/>
    </row>
    <row r="158" spans="67:378" ht="10.75" customHeight="1" x14ac:dyDescent="0.2">
      <c r="BO158" s="14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L158" s="15"/>
      <c r="CM158" s="15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CY158" s="15"/>
      <c r="CZ158" s="15"/>
      <c r="DA158" s="15"/>
      <c r="DB158" s="15"/>
      <c r="DC158" s="15"/>
      <c r="DD158" s="15"/>
      <c r="DE158" s="15"/>
      <c r="DF158" s="15"/>
      <c r="DG158" s="14"/>
      <c r="DH158" s="15"/>
      <c r="DI158" s="15"/>
      <c r="DJ158" s="15"/>
      <c r="DK158" s="15"/>
      <c r="DL158" s="15"/>
      <c r="DM158" s="15"/>
      <c r="DN158" s="15"/>
      <c r="DO158" s="15"/>
      <c r="DP158" s="15"/>
      <c r="DQ158" s="15"/>
      <c r="DR158" s="15"/>
      <c r="DS158" s="15"/>
      <c r="DT158" s="15"/>
      <c r="DU158" s="15"/>
      <c r="DV158" s="15"/>
      <c r="DW158" s="15"/>
      <c r="DX158" s="15"/>
      <c r="DY158" s="15"/>
      <c r="DZ158" s="15"/>
      <c r="EA158" s="15"/>
      <c r="EB158" s="15"/>
      <c r="EC158" s="15"/>
      <c r="ED158" s="15"/>
      <c r="EE158" s="15"/>
      <c r="EF158" s="15"/>
      <c r="EG158" s="15"/>
      <c r="EH158" s="15"/>
      <c r="EI158" s="15"/>
      <c r="EJ158" s="15"/>
      <c r="EK158" s="15"/>
      <c r="EL158" s="15"/>
      <c r="EM158" s="15"/>
      <c r="EN158" s="15"/>
      <c r="EO158" s="15"/>
      <c r="EP158" s="15"/>
      <c r="EQ158" s="15"/>
      <c r="ER158" s="15"/>
      <c r="ES158" s="15"/>
      <c r="ET158" s="15"/>
      <c r="EU158" s="15"/>
      <c r="EV158" s="15"/>
      <c r="EW158" s="15"/>
      <c r="EX158" s="15"/>
      <c r="EY158" s="15"/>
      <c r="EZ158" s="15"/>
      <c r="FA158" s="15"/>
      <c r="FB158" s="15"/>
      <c r="FC158" s="15"/>
      <c r="FD158" s="15"/>
      <c r="FE158" s="15"/>
      <c r="FF158" s="15"/>
      <c r="FG158" s="15"/>
      <c r="FH158" s="15"/>
      <c r="FI158" s="15"/>
      <c r="FJ158" s="15"/>
      <c r="FK158" s="15"/>
      <c r="FL158" s="15"/>
      <c r="FM158" s="15"/>
      <c r="FN158" s="15"/>
      <c r="FO158" s="15"/>
      <c r="FP158" s="15"/>
      <c r="FQ158" s="15"/>
      <c r="FR158" s="15"/>
      <c r="FS158" s="15"/>
      <c r="FT158" s="15"/>
      <c r="FU158" s="15"/>
      <c r="FV158" s="15"/>
      <c r="FW158" s="15"/>
      <c r="FX158" s="15"/>
      <c r="FY158" s="15"/>
      <c r="FZ158" s="15"/>
      <c r="GA158" s="15"/>
      <c r="GB158" s="15"/>
      <c r="GC158" s="15"/>
      <c r="GD158" s="15"/>
      <c r="GE158" s="15"/>
      <c r="GF158" s="15"/>
      <c r="GG158" s="15"/>
      <c r="GH158" s="15"/>
      <c r="GI158" s="15"/>
      <c r="GJ158" s="15"/>
      <c r="GK158" s="15"/>
      <c r="GL158" s="15"/>
      <c r="GM158" s="15"/>
      <c r="GN158" s="15"/>
      <c r="GO158" s="15"/>
      <c r="GP158" s="15"/>
      <c r="GQ158" s="15"/>
      <c r="GR158" s="15"/>
      <c r="GS158" s="15"/>
      <c r="GT158" s="16"/>
      <c r="HV158" s="13"/>
      <c r="JK158" s="12"/>
      <c r="JL158" s="261"/>
      <c r="JM158" s="261"/>
      <c r="JN158" s="12"/>
      <c r="JO158" s="261"/>
      <c r="JP158" s="261"/>
      <c r="JQ158" s="261"/>
      <c r="JR158" s="261"/>
      <c r="JS158" s="261"/>
      <c r="JT158" s="261"/>
      <c r="JU158" s="261"/>
      <c r="JV158" s="261"/>
      <c r="JW158" s="261"/>
      <c r="JX158" s="261"/>
      <c r="JY158" s="261"/>
      <c r="JZ158" s="261"/>
      <c r="KA158" s="261"/>
      <c r="KB158" s="261"/>
      <c r="KC158" s="261"/>
      <c r="KD158" s="261"/>
      <c r="KE158" s="261"/>
      <c r="KF158" s="261"/>
      <c r="KG158" s="261"/>
      <c r="KH158" s="261"/>
      <c r="KI158" s="261"/>
      <c r="KJ158" s="261"/>
      <c r="KK158" s="261"/>
      <c r="KL158" s="261"/>
      <c r="KM158" s="261"/>
      <c r="KN158" s="261"/>
      <c r="KO158" s="261"/>
      <c r="KP158" s="261"/>
      <c r="KQ158" s="261"/>
      <c r="KR158" s="261"/>
      <c r="KS158" s="261"/>
      <c r="KT158" s="12"/>
      <c r="KU158" s="13"/>
      <c r="KV158" s="261"/>
      <c r="KW158" s="261"/>
      <c r="KX158" s="261"/>
      <c r="KY158" s="261"/>
      <c r="KZ158" s="261"/>
      <c r="LA158" s="261"/>
      <c r="LB158" s="261"/>
      <c r="LC158" s="261"/>
      <c r="LD158" s="261"/>
      <c r="LE158" s="261"/>
      <c r="LF158" s="261"/>
      <c r="LG158" s="261"/>
      <c r="LH158" s="261"/>
      <c r="LI158" s="261"/>
      <c r="LJ158" s="261"/>
      <c r="LK158" s="261"/>
      <c r="LL158" s="261"/>
      <c r="LM158" s="261"/>
      <c r="LN158" s="261"/>
      <c r="LO158" s="261"/>
      <c r="LP158" s="261"/>
      <c r="LQ158" s="261"/>
      <c r="LR158" s="261"/>
      <c r="LS158" s="261"/>
      <c r="LT158" s="261"/>
      <c r="LU158" s="261"/>
      <c r="LV158" s="261"/>
      <c r="LW158" s="261"/>
      <c r="LX158" s="261"/>
      <c r="LY158" s="261"/>
      <c r="LZ158" s="261"/>
      <c r="MA158" s="261"/>
      <c r="MB158" s="261"/>
      <c r="MC158" s="261"/>
      <c r="MD158" s="261"/>
      <c r="ME158" s="261"/>
      <c r="MF158" s="261"/>
      <c r="MG158" s="261"/>
      <c r="MH158" s="261"/>
      <c r="MI158" s="261"/>
      <c r="MJ158" s="261"/>
      <c r="MK158" s="261"/>
      <c r="ML158" s="261"/>
      <c r="MM158" s="261"/>
      <c r="MN158" s="261"/>
      <c r="MO158" s="261"/>
      <c r="MP158" s="261"/>
      <c r="MQ158" s="261"/>
      <c r="MR158" s="261"/>
      <c r="MS158" s="261"/>
      <c r="MT158" s="261"/>
      <c r="MU158" s="261"/>
      <c r="MV158" s="261"/>
      <c r="MW158" s="261"/>
      <c r="MX158" s="261"/>
      <c r="MY158" s="261"/>
      <c r="MZ158" s="261"/>
      <c r="NA158" s="261"/>
      <c r="NB158" s="261"/>
      <c r="NC158" s="261"/>
      <c r="ND158" s="261"/>
      <c r="NE158" s="261"/>
      <c r="NF158" s="261"/>
      <c r="NG158" s="261"/>
      <c r="NH158" s="261"/>
      <c r="NI158" s="261"/>
      <c r="NJ158" s="261"/>
      <c r="NK158" s="13"/>
      <c r="NL158" s="261"/>
      <c r="NM158" s="261"/>
      <c r="NN158" s="13"/>
    </row>
    <row r="159" spans="67:378" ht="10.75" customHeight="1" x14ac:dyDescent="0.2">
      <c r="DG159" s="12"/>
      <c r="HV159" s="13"/>
      <c r="JK159" s="12"/>
      <c r="JL159" s="261"/>
      <c r="JM159" s="261"/>
      <c r="JN159" s="12"/>
      <c r="JO159" s="261"/>
      <c r="JP159" s="261"/>
      <c r="JQ159" s="261"/>
      <c r="JR159" s="261"/>
      <c r="JS159" s="261"/>
      <c r="JT159" s="261"/>
      <c r="JU159" s="261"/>
      <c r="JV159" s="261"/>
      <c r="JW159" s="261"/>
      <c r="JX159" s="261"/>
      <c r="JY159" s="261"/>
      <c r="JZ159" s="261"/>
      <c r="KA159" s="261"/>
      <c r="KB159" s="261"/>
      <c r="KC159" s="261"/>
      <c r="KD159" s="261"/>
      <c r="KE159" s="261"/>
      <c r="KF159" s="261"/>
      <c r="KG159" s="261"/>
      <c r="KH159" s="261"/>
      <c r="KI159" s="261"/>
      <c r="KJ159" s="261"/>
      <c r="KK159" s="261"/>
      <c r="KL159" s="261"/>
      <c r="KM159" s="261"/>
      <c r="KN159" s="261"/>
      <c r="KO159" s="261"/>
      <c r="KP159" s="261"/>
      <c r="KQ159" s="261"/>
      <c r="KR159" s="261"/>
      <c r="KS159" s="261"/>
      <c r="KT159" s="12"/>
      <c r="KU159" s="13"/>
      <c r="KV159" s="261"/>
      <c r="KW159" s="261"/>
      <c r="KX159" s="261"/>
      <c r="KY159" s="261"/>
      <c r="KZ159" s="261"/>
      <c r="LA159" s="261"/>
      <c r="LB159" s="261"/>
      <c r="LC159" s="261"/>
      <c r="LD159" s="261"/>
      <c r="LE159" s="261"/>
      <c r="LF159" s="261"/>
      <c r="LG159" s="261"/>
      <c r="LH159" s="261"/>
      <c r="LI159" s="261"/>
      <c r="LJ159" s="261"/>
      <c r="LK159" s="261"/>
      <c r="LL159" s="261"/>
      <c r="LM159" s="261"/>
      <c r="LN159" s="261"/>
      <c r="LO159" s="261"/>
      <c r="LP159" s="261"/>
      <c r="LQ159" s="261"/>
      <c r="LR159" s="261"/>
      <c r="LS159" s="261"/>
      <c r="LT159" s="261"/>
      <c r="LU159" s="261"/>
      <c r="LV159" s="261"/>
      <c r="LW159" s="261"/>
      <c r="LX159" s="261"/>
      <c r="LY159" s="261"/>
      <c r="LZ159" s="261"/>
      <c r="MA159" s="261"/>
      <c r="MB159" s="261"/>
      <c r="MC159" s="261"/>
      <c r="MD159" s="261"/>
      <c r="ME159" s="261"/>
      <c r="MF159" s="261"/>
      <c r="MG159" s="261"/>
      <c r="MH159" s="261"/>
      <c r="MI159" s="261"/>
      <c r="MJ159" s="261"/>
      <c r="MK159" s="261"/>
      <c r="ML159" s="261"/>
      <c r="MM159" s="261"/>
      <c r="MN159" s="261"/>
      <c r="MO159" s="261"/>
      <c r="MP159" s="261"/>
      <c r="MQ159" s="261"/>
      <c r="MR159" s="261"/>
      <c r="MS159" s="261"/>
      <c r="MT159" s="261"/>
      <c r="MU159" s="261"/>
      <c r="MV159" s="261"/>
      <c r="MW159" s="261"/>
      <c r="MX159" s="261"/>
      <c r="MY159" s="261"/>
      <c r="MZ159" s="261"/>
      <c r="NA159" s="261"/>
      <c r="NB159" s="261"/>
      <c r="NC159" s="261"/>
      <c r="ND159" s="261"/>
      <c r="NE159" s="261"/>
      <c r="NF159" s="261"/>
      <c r="NG159" s="261"/>
      <c r="NH159" s="261"/>
      <c r="NI159" s="261"/>
      <c r="NJ159" s="261"/>
      <c r="NK159" s="13"/>
      <c r="NL159" s="261"/>
      <c r="NM159" s="261"/>
      <c r="NN159" s="13"/>
    </row>
    <row r="160" spans="67:378" ht="10.75" customHeight="1" x14ac:dyDescent="0.2">
      <c r="DG160" s="12"/>
      <c r="HV160" s="13"/>
      <c r="JK160" s="12"/>
      <c r="JL160" s="261"/>
      <c r="JM160" s="261"/>
      <c r="JN160" s="12"/>
      <c r="JO160" s="261"/>
      <c r="JP160" s="261"/>
      <c r="JQ160" s="261"/>
      <c r="JR160" s="261"/>
      <c r="JS160" s="261"/>
      <c r="JT160" s="261"/>
      <c r="JU160" s="261"/>
      <c r="JV160" s="261"/>
      <c r="JW160" s="261"/>
      <c r="JX160" s="261"/>
      <c r="JY160" s="261"/>
      <c r="JZ160" s="261"/>
      <c r="KA160" s="261"/>
      <c r="KB160" s="261"/>
      <c r="KC160" s="261"/>
      <c r="KD160" s="261"/>
      <c r="KE160" s="261"/>
      <c r="KF160" s="261"/>
      <c r="KG160" s="261"/>
      <c r="KH160" s="261"/>
      <c r="KI160" s="261"/>
      <c r="KJ160" s="261"/>
      <c r="KK160" s="261"/>
      <c r="KL160" s="261"/>
      <c r="KM160" s="261"/>
      <c r="KN160" s="261"/>
      <c r="KO160" s="261"/>
      <c r="KP160" s="261"/>
      <c r="KQ160" s="261"/>
      <c r="KR160" s="261"/>
      <c r="KS160" s="261"/>
      <c r="KT160" s="12"/>
      <c r="KU160" s="13"/>
      <c r="KV160" s="261"/>
      <c r="KW160" s="261"/>
      <c r="KX160" s="261"/>
      <c r="KY160" s="261"/>
      <c r="KZ160" s="261"/>
      <c r="LA160" s="261"/>
      <c r="LB160" s="261"/>
      <c r="LC160" s="261"/>
      <c r="LD160" s="261"/>
      <c r="LE160" s="261"/>
      <c r="LF160" s="261"/>
      <c r="LG160" s="261"/>
      <c r="LH160" s="261"/>
      <c r="LI160" s="261"/>
      <c r="LJ160" s="261"/>
      <c r="LK160" s="261"/>
      <c r="LL160" s="261"/>
      <c r="LM160" s="261"/>
      <c r="LN160" s="261"/>
      <c r="LO160" s="261"/>
      <c r="LP160" s="261"/>
      <c r="LQ160" s="261"/>
      <c r="LR160" s="261"/>
      <c r="LS160" s="261"/>
      <c r="LT160" s="261"/>
      <c r="LU160" s="261"/>
      <c r="LV160" s="261"/>
      <c r="LW160" s="261"/>
      <c r="LX160" s="261"/>
      <c r="LY160" s="261"/>
      <c r="LZ160" s="261"/>
      <c r="MA160" s="261"/>
      <c r="MB160" s="261"/>
      <c r="MC160" s="261"/>
      <c r="MD160" s="261"/>
      <c r="ME160" s="261"/>
      <c r="MF160" s="261"/>
      <c r="MG160" s="261"/>
      <c r="MH160" s="261"/>
      <c r="MI160" s="261"/>
      <c r="MJ160" s="261"/>
      <c r="MK160" s="261"/>
      <c r="ML160" s="261"/>
      <c r="MM160" s="261"/>
      <c r="MN160" s="261"/>
      <c r="MO160" s="261"/>
      <c r="MP160" s="261"/>
      <c r="MQ160" s="261"/>
      <c r="MR160" s="261"/>
      <c r="MS160" s="261"/>
      <c r="MT160" s="261"/>
      <c r="MU160" s="261"/>
      <c r="MV160" s="261"/>
      <c r="MW160" s="261"/>
      <c r="MX160" s="261"/>
      <c r="MY160" s="261"/>
      <c r="MZ160" s="261"/>
      <c r="NA160" s="261"/>
      <c r="NB160" s="261"/>
      <c r="NC160" s="261"/>
      <c r="ND160" s="261"/>
      <c r="NE160" s="261"/>
      <c r="NF160" s="261"/>
      <c r="NG160" s="261"/>
      <c r="NH160" s="261"/>
      <c r="NI160" s="261"/>
      <c r="NJ160" s="261"/>
      <c r="NK160" s="13"/>
      <c r="NL160" s="261"/>
      <c r="NM160" s="261"/>
      <c r="NN160" s="13"/>
    </row>
    <row r="161" spans="111:378" ht="10.75" customHeight="1" x14ac:dyDescent="0.2">
      <c r="DG161" s="12"/>
      <c r="HV161" s="13"/>
      <c r="JK161" s="12"/>
      <c r="JL161" s="261"/>
      <c r="JM161" s="261"/>
      <c r="JN161" s="12"/>
      <c r="JO161" s="261"/>
      <c r="JP161" s="261"/>
      <c r="JQ161" s="261"/>
      <c r="JR161" s="261"/>
      <c r="JS161" s="261"/>
      <c r="JT161" s="261"/>
      <c r="JU161" s="261"/>
      <c r="JV161" s="261"/>
      <c r="JW161" s="261"/>
      <c r="JX161" s="261"/>
      <c r="JY161" s="261"/>
      <c r="JZ161" s="261"/>
      <c r="KA161" s="261"/>
      <c r="KB161" s="261"/>
      <c r="KC161" s="261"/>
      <c r="KD161" s="261"/>
      <c r="KE161" s="261"/>
      <c r="KF161" s="261"/>
      <c r="KG161" s="261"/>
      <c r="KH161" s="261"/>
      <c r="KI161" s="261"/>
      <c r="KJ161" s="261"/>
      <c r="KK161" s="261"/>
      <c r="KL161" s="261"/>
      <c r="KM161" s="261"/>
      <c r="KN161" s="261"/>
      <c r="KO161" s="261"/>
      <c r="KP161" s="261"/>
      <c r="KQ161" s="261"/>
      <c r="KR161" s="261"/>
      <c r="KS161" s="261"/>
      <c r="KT161" s="12"/>
      <c r="KU161" s="13"/>
      <c r="KV161" s="261"/>
      <c r="KW161" s="261"/>
      <c r="KX161" s="261"/>
      <c r="KY161" s="261"/>
      <c r="KZ161" s="261"/>
      <c r="LA161" s="261"/>
      <c r="LB161" s="261"/>
      <c r="LC161" s="261"/>
      <c r="LD161" s="261"/>
      <c r="LE161" s="261"/>
      <c r="LF161" s="261"/>
      <c r="LG161" s="261"/>
      <c r="LH161" s="261"/>
      <c r="LI161" s="261"/>
      <c r="LJ161" s="261"/>
      <c r="LK161" s="261"/>
      <c r="LL161" s="261"/>
      <c r="LM161" s="261"/>
      <c r="LN161" s="261"/>
      <c r="LO161" s="261"/>
      <c r="LP161" s="261"/>
      <c r="LQ161" s="261"/>
      <c r="LR161" s="261"/>
      <c r="LS161" s="261"/>
      <c r="LT161" s="261"/>
      <c r="LU161" s="261"/>
      <c r="LV161" s="261"/>
      <c r="LW161" s="261"/>
      <c r="LX161" s="261"/>
      <c r="LY161" s="261"/>
      <c r="LZ161" s="261"/>
      <c r="MA161" s="261"/>
      <c r="MB161" s="261"/>
      <c r="MC161" s="261"/>
      <c r="MD161" s="261"/>
      <c r="ME161" s="261"/>
      <c r="MF161" s="261"/>
      <c r="MG161" s="261"/>
      <c r="MH161" s="261"/>
      <c r="MI161" s="261"/>
      <c r="MJ161" s="261"/>
      <c r="MK161" s="261"/>
      <c r="ML161" s="261"/>
      <c r="MM161" s="261"/>
      <c r="MN161" s="261"/>
      <c r="MO161" s="261"/>
      <c r="MP161" s="261"/>
      <c r="MQ161" s="261"/>
      <c r="MR161" s="261"/>
      <c r="MS161" s="261"/>
      <c r="MT161" s="261"/>
      <c r="MU161" s="261"/>
      <c r="MV161" s="261"/>
      <c r="MW161" s="261"/>
      <c r="MX161" s="261"/>
      <c r="MY161" s="261"/>
      <c r="MZ161" s="261"/>
      <c r="NA161" s="261"/>
      <c r="NB161" s="261"/>
      <c r="NC161" s="261"/>
      <c r="ND161" s="261"/>
      <c r="NE161" s="261"/>
      <c r="NF161" s="261"/>
      <c r="NG161" s="261"/>
      <c r="NH161" s="261"/>
      <c r="NI161" s="261"/>
      <c r="NJ161" s="261"/>
      <c r="NK161" s="13"/>
      <c r="NL161" s="261"/>
      <c r="NM161" s="261"/>
      <c r="NN161" s="13"/>
    </row>
    <row r="162" spans="111:378" ht="10.75" customHeight="1" x14ac:dyDescent="0.2">
      <c r="DG162" s="12"/>
      <c r="HV162" s="13"/>
      <c r="JK162" s="12"/>
      <c r="JL162" s="261"/>
      <c r="JM162" s="261"/>
      <c r="JN162" s="14"/>
      <c r="JO162" s="15"/>
      <c r="JP162" s="15"/>
      <c r="JQ162" s="15"/>
      <c r="JR162" s="15"/>
      <c r="JS162" s="15"/>
      <c r="JT162" s="15"/>
      <c r="JU162" s="15"/>
      <c r="JV162" s="15"/>
      <c r="JW162" s="15"/>
      <c r="JX162" s="15"/>
      <c r="JY162" s="15"/>
      <c r="JZ162" s="15"/>
      <c r="KA162" s="15"/>
      <c r="KB162" s="15"/>
      <c r="KC162" s="15"/>
      <c r="KD162" s="15"/>
      <c r="KE162" s="15"/>
      <c r="KF162" s="15"/>
      <c r="KG162" s="15"/>
      <c r="KH162" s="15"/>
      <c r="KI162" s="15"/>
      <c r="KJ162" s="15"/>
      <c r="KK162" s="15"/>
      <c r="KL162" s="15"/>
      <c r="KM162" s="15"/>
      <c r="KN162" s="15"/>
      <c r="KO162" s="15"/>
      <c r="KP162" s="15"/>
      <c r="KQ162" s="15"/>
      <c r="KR162" s="15"/>
      <c r="KS162" s="15"/>
      <c r="KT162" s="14"/>
      <c r="KU162" s="16"/>
      <c r="KV162" s="15"/>
      <c r="KW162" s="15"/>
      <c r="KX162" s="15"/>
      <c r="KY162" s="15"/>
      <c r="KZ162" s="15"/>
      <c r="LA162" s="15"/>
      <c r="LB162" s="15"/>
      <c r="LC162" s="15"/>
      <c r="LD162" s="15"/>
      <c r="LE162" s="15"/>
      <c r="LF162" s="15"/>
      <c r="LG162" s="15"/>
      <c r="LH162" s="15"/>
      <c r="LI162" s="15"/>
      <c r="LJ162" s="15"/>
      <c r="LK162" s="15"/>
      <c r="LL162" s="15"/>
      <c r="LM162" s="15"/>
      <c r="LN162" s="15"/>
      <c r="LO162" s="15"/>
      <c r="LP162" s="15"/>
      <c r="LQ162" s="15"/>
      <c r="LR162" s="15"/>
      <c r="LS162" s="15"/>
      <c r="LT162" s="15"/>
      <c r="LU162" s="15"/>
      <c r="LV162" s="15"/>
      <c r="LW162" s="15"/>
      <c r="LX162" s="15"/>
      <c r="LY162" s="15"/>
      <c r="LZ162" s="15"/>
      <c r="MA162" s="15"/>
      <c r="MB162" s="15"/>
      <c r="MC162" s="15"/>
      <c r="MD162" s="15"/>
      <c r="ME162" s="15"/>
      <c r="MF162" s="15"/>
      <c r="MG162" s="15"/>
      <c r="MH162" s="15"/>
      <c r="MI162" s="15"/>
      <c r="MJ162" s="15"/>
      <c r="MK162" s="15"/>
      <c r="ML162" s="15"/>
      <c r="MM162" s="15"/>
      <c r="MN162" s="15"/>
      <c r="MO162" s="15"/>
      <c r="MP162" s="15"/>
      <c r="MQ162" s="15"/>
      <c r="MR162" s="15"/>
      <c r="MS162" s="15"/>
      <c r="MT162" s="15"/>
      <c r="MU162" s="15"/>
      <c r="MV162" s="15"/>
      <c r="MW162" s="15"/>
      <c r="MX162" s="15"/>
      <c r="MY162" s="15"/>
      <c r="MZ162" s="15"/>
      <c r="NA162" s="15"/>
      <c r="NB162" s="15"/>
      <c r="NC162" s="15"/>
      <c r="ND162" s="15"/>
      <c r="NE162" s="15"/>
      <c r="NF162" s="15"/>
      <c r="NG162" s="15"/>
      <c r="NH162" s="15"/>
      <c r="NI162" s="15"/>
      <c r="NJ162" s="15"/>
      <c r="NK162" s="16"/>
      <c r="NL162" s="261"/>
      <c r="NM162" s="261"/>
      <c r="NN162" s="13"/>
    </row>
    <row r="163" spans="111:378" ht="10.75" customHeight="1" x14ac:dyDescent="0.2">
      <c r="DG163" s="12"/>
      <c r="HV163" s="13"/>
      <c r="JK163" s="12"/>
      <c r="JL163" s="261"/>
      <c r="JM163" s="261"/>
      <c r="JN163" s="261"/>
      <c r="JO163" s="261"/>
      <c r="JP163" s="261"/>
      <c r="JQ163" s="261"/>
      <c r="JR163" s="261"/>
      <c r="JS163" s="261"/>
      <c r="JT163" s="261"/>
      <c r="JU163" s="261"/>
      <c r="JV163" s="261"/>
      <c r="JW163" s="261"/>
      <c r="JX163" s="261"/>
      <c r="JY163" s="261"/>
      <c r="JZ163" s="261"/>
      <c r="KA163" s="261"/>
      <c r="KB163" s="261"/>
      <c r="KC163" s="261"/>
      <c r="KD163" s="261"/>
      <c r="KE163" s="261"/>
      <c r="KF163" s="261"/>
      <c r="KG163" s="261"/>
      <c r="KH163" s="261"/>
      <c r="KI163" s="261"/>
      <c r="KJ163" s="261"/>
      <c r="KK163" s="261"/>
      <c r="KL163" s="261"/>
      <c r="KM163" s="261"/>
      <c r="KN163" s="261"/>
      <c r="KO163" s="261"/>
      <c r="KP163" s="261"/>
      <c r="KQ163" s="261"/>
      <c r="KR163" s="261"/>
      <c r="KS163" s="261"/>
      <c r="KT163" s="261"/>
      <c r="KU163" s="261"/>
      <c r="KV163" s="261"/>
      <c r="KW163" s="261"/>
      <c r="KX163" s="261"/>
      <c r="KY163" s="261"/>
      <c r="KZ163" s="261"/>
      <c r="LA163" s="261"/>
      <c r="LB163" s="261"/>
      <c r="LC163" s="261"/>
      <c r="LD163" s="261"/>
      <c r="LE163" s="261"/>
      <c r="LF163" s="261"/>
      <c r="LG163" s="261"/>
      <c r="LH163" s="261"/>
      <c r="LI163" s="261"/>
      <c r="LJ163" s="261"/>
      <c r="LK163" s="261"/>
      <c r="LL163" s="261"/>
      <c r="LM163" s="261"/>
      <c r="LN163" s="261"/>
      <c r="LO163" s="261"/>
      <c r="LP163" s="261"/>
      <c r="LQ163" s="261"/>
      <c r="LR163" s="261"/>
      <c r="LS163" s="261"/>
      <c r="LT163" s="261"/>
      <c r="LU163" s="261"/>
      <c r="LV163" s="261"/>
      <c r="LW163" s="261"/>
      <c r="LX163" s="261"/>
      <c r="LY163" s="261"/>
      <c r="LZ163" s="261"/>
      <c r="MA163" s="261"/>
      <c r="MB163" s="261"/>
      <c r="MC163" s="261"/>
      <c r="MD163" s="261"/>
      <c r="ME163" s="261"/>
      <c r="MF163" s="261"/>
      <c r="MG163" s="261"/>
      <c r="MH163" s="261"/>
      <c r="MI163" s="261"/>
      <c r="MJ163" s="261"/>
      <c r="MK163" s="261"/>
      <c r="ML163" s="261"/>
      <c r="MM163" s="261"/>
      <c r="MN163" s="261"/>
      <c r="MO163" s="261"/>
      <c r="MP163" s="261"/>
      <c r="MQ163" s="261"/>
      <c r="MR163" s="261"/>
      <c r="MS163" s="261"/>
      <c r="MT163" s="261"/>
      <c r="MU163" s="261"/>
      <c r="MV163" s="261"/>
      <c r="MW163" s="261"/>
      <c r="MX163" s="261"/>
      <c r="MY163" s="261"/>
      <c r="MZ163" s="261"/>
      <c r="NA163" s="261"/>
      <c r="NB163" s="261"/>
      <c r="NC163" s="261"/>
      <c r="ND163" s="261"/>
      <c r="NE163" s="261"/>
      <c r="NF163" s="261"/>
      <c r="NG163" s="261"/>
      <c r="NH163" s="261"/>
      <c r="NI163" s="261"/>
      <c r="NJ163" s="261"/>
      <c r="NK163" s="261"/>
      <c r="NL163" s="261"/>
      <c r="NM163" s="261"/>
      <c r="NN163" s="13"/>
    </row>
    <row r="164" spans="111:378" ht="10.75" customHeight="1" x14ac:dyDescent="0.2">
      <c r="DG164" s="12"/>
      <c r="HV164" s="13"/>
      <c r="JK164" s="12"/>
      <c r="JL164" s="261"/>
      <c r="JM164" s="261"/>
      <c r="JN164" s="261"/>
      <c r="JO164" s="261"/>
      <c r="JP164" s="261"/>
      <c r="JQ164" s="261"/>
      <c r="JR164" s="261"/>
      <c r="JS164" s="261"/>
      <c r="JT164" s="261"/>
      <c r="JU164" s="261"/>
      <c r="JV164" s="261"/>
      <c r="JW164" s="261"/>
      <c r="JX164" s="261"/>
      <c r="JY164" s="261"/>
      <c r="JZ164" s="261"/>
      <c r="KA164" s="261"/>
      <c r="KB164" s="261"/>
      <c r="KC164" s="261"/>
      <c r="KD164" s="261"/>
      <c r="KE164" s="261"/>
      <c r="KF164" s="261"/>
      <c r="KG164" s="261"/>
      <c r="KH164" s="261"/>
      <c r="KI164" s="261"/>
      <c r="KJ164" s="261"/>
      <c r="KK164" s="261"/>
      <c r="KL164" s="261"/>
      <c r="KM164" s="261"/>
      <c r="KN164" s="261"/>
      <c r="KO164" s="261"/>
      <c r="KP164" s="261"/>
      <c r="KQ164" s="261"/>
      <c r="KR164" s="261"/>
      <c r="KS164" s="261"/>
      <c r="KT164" s="261"/>
      <c r="KU164" s="261"/>
      <c r="KV164" s="261"/>
      <c r="KW164" s="261"/>
      <c r="KX164" s="261"/>
      <c r="KY164" s="261"/>
      <c r="KZ164" s="261"/>
      <c r="LA164" s="261"/>
      <c r="LB164" s="261"/>
      <c r="LC164" s="261"/>
      <c r="LD164" s="261"/>
      <c r="LE164" s="261"/>
      <c r="LF164" s="261"/>
      <c r="LG164" s="261"/>
      <c r="LH164" s="261"/>
      <c r="LI164" s="261"/>
      <c r="LJ164" s="261"/>
      <c r="LK164" s="261"/>
      <c r="LL164" s="261"/>
      <c r="LM164" s="261"/>
      <c r="LN164" s="261"/>
      <c r="LO164" s="261"/>
      <c r="LP164" s="261"/>
      <c r="LQ164" s="261"/>
      <c r="LR164" s="261"/>
      <c r="LS164" s="261"/>
      <c r="LT164" s="261"/>
      <c r="LU164" s="261"/>
      <c r="LV164" s="261"/>
      <c r="LW164" s="261"/>
      <c r="LX164" s="261"/>
      <c r="LY164" s="261"/>
      <c r="LZ164" s="261"/>
      <c r="MA164" s="261"/>
      <c r="MB164" s="261"/>
      <c r="MC164" s="261"/>
      <c r="MD164" s="261"/>
      <c r="ME164" s="261"/>
      <c r="MF164" s="261"/>
      <c r="MG164" s="261"/>
      <c r="MH164" s="261"/>
      <c r="MI164" s="261"/>
      <c r="MJ164" s="261"/>
      <c r="MK164" s="261"/>
      <c r="ML164" s="261"/>
      <c r="MM164" s="261"/>
      <c r="MN164" s="261"/>
      <c r="MO164" s="261"/>
      <c r="MP164" s="261"/>
      <c r="MQ164" s="261"/>
      <c r="MR164" s="261"/>
      <c r="MS164" s="261"/>
      <c r="MT164" s="261"/>
      <c r="MU164" s="261"/>
      <c r="MV164" s="261"/>
      <c r="MW164" s="261"/>
      <c r="MX164" s="261"/>
      <c r="MY164" s="261"/>
      <c r="MZ164" s="261"/>
      <c r="NA164" s="261"/>
      <c r="NB164" s="261"/>
      <c r="NC164" s="261"/>
      <c r="ND164" s="261"/>
      <c r="NE164" s="261"/>
      <c r="NF164" s="261"/>
      <c r="NG164" s="261"/>
      <c r="NH164" s="261"/>
      <c r="NI164" s="261"/>
      <c r="NJ164" s="261"/>
      <c r="NK164" s="261"/>
      <c r="NL164" s="261"/>
      <c r="NM164" s="261"/>
      <c r="NN164" s="13"/>
    </row>
    <row r="165" spans="111:378" ht="10.75" customHeight="1" x14ac:dyDescent="0.2">
      <c r="DG165" s="12"/>
      <c r="HV165" s="13"/>
      <c r="JK165" s="14"/>
      <c r="JL165" s="15"/>
      <c r="JM165" s="15"/>
      <c r="JN165" s="15"/>
      <c r="JO165" s="15"/>
      <c r="JP165" s="15"/>
      <c r="JQ165" s="15"/>
      <c r="JR165" s="15"/>
      <c r="JS165" s="15"/>
      <c r="JT165" s="15"/>
      <c r="JU165" s="15"/>
      <c r="JV165" s="15"/>
      <c r="JW165" s="15"/>
      <c r="JX165" s="15"/>
      <c r="JY165" s="15"/>
      <c r="JZ165" s="15"/>
      <c r="KA165" s="15"/>
      <c r="KB165" s="15"/>
      <c r="KC165" s="15"/>
      <c r="KD165" s="15"/>
      <c r="KE165" s="15"/>
      <c r="KF165" s="15"/>
      <c r="KG165" s="15"/>
      <c r="KH165" s="15"/>
      <c r="KI165" s="15"/>
      <c r="KJ165" s="15"/>
      <c r="KK165" s="15"/>
      <c r="KL165" s="15"/>
      <c r="KM165" s="15"/>
      <c r="KN165" s="15"/>
      <c r="KO165" s="15"/>
      <c r="KP165" s="15"/>
      <c r="KQ165" s="15"/>
      <c r="KR165" s="15"/>
      <c r="KS165" s="15"/>
      <c r="KT165" s="15"/>
      <c r="KU165" s="15"/>
      <c r="KV165" s="15"/>
      <c r="KW165" s="15"/>
      <c r="KX165" s="15"/>
      <c r="KY165" s="15"/>
      <c r="KZ165" s="15"/>
      <c r="LA165" s="15"/>
      <c r="LB165" s="15"/>
      <c r="LC165" s="15"/>
      <c r="LD165" s="15"/>
      <c r="LE165" s="15"/>
      <c r="LF165" s="15"/>
      <c r="LG165" s="15"/>
      <c r="LH165" s="15"/>
      <c r="LI165" s="15"/>
      <c r="LJ165" s="15"/>
      <c r="LK165" s="15"/>
      <c r="LL165" s="15"/>
      <c r="LM165" s="15"/>
      <c r="LN165" s="15"/>
      <c r="LO165" s="15"/>
      <c r="LP165" s="15"/>
      <c r="LQ165" s="15"/>
      <c r="LR165" s="15"/>
      <c r="LS165" s="15"/>
      <c r="LT165" s="15"/>
      <c r="LU165" s="15"/>
      <c r="LV165" s="15"/>
      <c r="LW165" s="15"/>
      <c r="LX165" s="15"/>
      <c r="LY165" s="15"/>
      <c r="LZ165" s="15"/>
      <c r="MA165" s="15"/>
      <c r="MB165" s="15"/>
      <c r="MC165" s="15"/>
      <c r="MD165" s="15"/>
      <c r="ME165" s="15"/>
      <c r="MF165" s="15"/>
      <c r="MG165" s="15"/>
      <c r="MH165" s="15"/>
      <c r="MI165" s="15"/>
      <c r="MJ165" s="15"/>
      <c r="MK165" s="15"/>
      <c r="ML165" s="15"/>
      <c r="MM165" s="15"/>
      <c r="MN165" s="15"/>
      <c r="MO165" s="15"/>
      <c r="MP165" s="15"/>
      <c r="MQ165" s="15"/>
      <c r="MR165" s="15"/>
      <c r="MS165" s="15"/>
      <c r="MT165" s="15"/>
      <c r="MU165" s="15"/>
      <c r="MV165" s="15"/>
      <c r="MW165" s="15"/>
      <c r="MX165" s="15"/>
      <c r="MY165" s="15"/>
      <c r="MZ165" s="15"/>
      <c r="NA165" s="15"/>
      <c r="NB165" s="15"/>
      <c r="NC165" s="15"/>
      <c r="ND165" s="15"/>
      <c r="NE165" s="15"/>
      <c r="NF165" s="15"/>
      <c r="NG165" s="15"/>
      <c r="NH165" s="15"/>
      <c r="NI165" s="15"/>
      <c r="NJ165" s="15"/>
      <c r="NK165" s="15"/>
      <c r="NL165" s="15"/>
      <c r="NM165" s="15"/>
      <c r="NN165" s="16"/>
    </row>
    <row r="166" spans="111:378" ht="10.75" customHeight="1" x14ac:dyDescent="0.2">
      <c r="DG166" s="12"/>
      <c r="HV166" s="13"/>
    </row>
    <row r="167" spans="111:378" ht="10.75" customHeight="1" x14ac:dyDescent="0.2">
      <c r="DG167" s="12"/>
      <c r="HV167" s="13"/>
    </row>
    <row r="168" spans="111:378" ht="10.75" customHeight="1" x14ac:dyDescent="0.2">
      <c r="DG168" s="12"/>
      <c r="HV168" s="13"/>
    </row>
    <row r="169" spans="111:378" ht="10.75" customHeight="1" x14ac:dyDescent="0.2">
      <c r="DG169" s="12"/>
      <c r="HV169" s="13"/>
    </row>
    <row r="170" spans="111:378" ht="10.75" customHeight="1" x14ac:dyDescent="0.2">
      <c r="DG170" s="12"/>
      <c r="HV170" s="13"/>
    </row>
    <row r="171" spans="111:378" ht="10.75" customHeight="1" x14ac:dyDescent="0.2">
      <c r="DG171" s="12"/>
      <c r="HV171" s="13"/>
    </row>
    <row r="172" spans="111:378" ht="10.75" customHeight="1" x14ac:dyDescent="0.2">
      <c r="DG172" s="12"/>
      <c r="HV172" s="13"/>
    </row>
    <row r="173" spans="111:378" ht="10.75" customHeight="1" x14ac:dyDescent="0.2">
      <c r="DG173" s="12"/>
      <c r="HV173" s="13"/>
    </row>
    <row r="174" spans="111:378" ht="10.75" customHeight="1" x14ac:dyDescent="0.2">
      <c r="DG174" s="12"/>
      <c r="HV174" s="13"/>
    </row>
    <row r="175" spans="111:378" ht="10.75" customHeight="1" x14ac:dyDescent="0.2">
      <c r="DG175" s="12"/>
      <c r="HV175" s="13"/>
    </row>
    <row r="176" spans="111:378" ht="10.75" customHeight="1" x14ac:dyDescent="0.2">
      <c r="DG176" s="12"/>
      <c r="HV176" s="13"/>
    </row>
    <row r="177" spans="111:230" ht="10.75" customHeight="1" x14ac:dyDescent="0.2">
      <c r="DG177" s="12"/>
      <c r="HV177" s="13"/>
    </row>
    <row r="178" spans="111:230" ht="10.75" customHeight="1" x14ac:dyDescent="0.2">
      <c r="DG178" s="12"/>
      <c r="HV178" s="13"/>
    </row>
    <row r="179" spans="111:230" ht="10.75" customHeight="1" x14ac:dyDescent="0.2">
      <c r="DG179" s="12"/>
      <c r="HV179" s="13"/>
    </row>
    <row r="180" spans="111:230" ht="10.75" customHeight="1" x14ac:dyDescent="0.2">
      <c r="DG180" s="12"/>
      <c r="HV180" s="13"/>
    </row>
    <row r="181" spans="111:230" ht="10.75" customHeight="1" x14ac:dyDescent="0.2">
      <c r="DG181" s="12"/>
      <c r="HV181" s="13"/>
    </row>
    <row r="182" spans="111:230" ht="10.75" customHeight="1" x14ac:dyDescent="0.2">
      <c r="DG182" s="12"/>
      <c r="HV182" s="13"/>
    </row>
    <row r="183" spans="111:230" ht="10.75" customHeight="1" x14ac:dyDescent="0.2">
      <c r="DG183" s="12"/>
      <c r="HV183" s="13"/>
    </row>
    <row r="184" spans="111:230" ht="10.75" customHeight="1" x14ac:dyDescent="0.2">
      <c r="DG184" s="12"/>
      <c r="HV184" s="13"/>
    </row>
    <row r="185" spans="111:230" ht="10.75" customHeight="1" x14ac:dyDescent="0.2">
      <c r="DG185" s="12"/>
      <c r="HV185" s="13"/>
    </row>
    <row r="186" spans="111:230" ht="10.75" customHeight="1" x14ac:dyDescent="0.2">
      <c r="DG186" s="14"/>
      <c r="DH186" s="15"/>
      <c r="DI186" s="15"/>
      <c r="DJ186" s="15"/>
      <c r="DK186" s="15"/>
      <c r="DL186" s="15"/>
      <c r="DM186" s="15"/>
      <c r="DN186" s="15"/>
      <c r="DO186" s="15"/>
      <c r="DP186" s="15"/>
      <c r="DQ186" s="15"/>
      <c r="DR186" s="15"/>
      <c r="DS186" s="15"/>
      <c r="DT186" s="15"/>
      <c r="DU186" s="15"/>
      <c r="DV186" s="15"/>
      <c r="DW186" s="15"/>
      <c r="DX186" s="15"/>
      <c r="DY186" s="15"/>
      <c r="DZ186" s="15"/>
      <c r="EA186" s="15"/>
      <c r="EB186" s="15"/>
      <c r="EC186" s="15"/>
      <c r="ED186" s="15"/>
      <c r="EE186" s="15"/>
      <c r="EF186" s="15"/>
      <c r="EG186" s="15"/>
      <c r="EH186" s="15"/>
      <c r="EI186" s="15"/>
      <c r="EJ186" s="15"/>
      <c r="EK186" s="15"/>
      <c r="EL186" s="15"/>
      <c r="EM186" s="15"/>
      <c r="EN186" s="15"/>
      <c r="EO186" s="15"/>
      <c r="EP186" s="15"/>
      <c r="EQ186" s="15"/>
      <c r="ER186" s="15"/>
      <c r="ES186" s="15"/>
      <c r="ET186" s="15"/>
      <c r="EU186" s="15"/>
      <c r="EV186" s="15"/>
      <c r="EW186" s="15"/>
      <c r="EX186" s="15"/>
      <c r="EY186" s="15"/>
      <c r="EZ186" s="15"/>
      <c r="FA186" s="15"/>
      <c r="FB186" s="15"/>
      <c r="FC186" s="15"/>
      <c r="FD186" s="15"/>
      <c r="FE186" s="15"/>
      <c r="FF186" s="15"/>
      <c r="FG186" s="15"/>
      <c r="FH186" s="15"/>
      <c r="FI186" s="15"/>
      <c r="FJ186" s="15"/>
      <c r="FK186" s="15"/>
      <c r="FL186" s="15"/>
      <c r="FM186" s="15"/>
      <c r="FN186" s="15"/>
      <c r="FO186" s="15"/>
      <c r="FP186" s="15"/>
      <c r="FQ186" s="15"/>
      <c r="FR186" s="15"/>
      <c r="FS186" s="15"/>
      <c r="FT186" s="15"/>
      <c r="FU186" s="15"/>
      <c r="FV186" s="15"/>
      <c r="FW186" s="15"/>
      <c r="FX186" s="15"/>
      <c r="FY186" s="15"/>
      <c r="FZ186" s="15"/>
      <c r="GA186" s="15"/>
      <c r="GB186" s="15"/>
      <c r="GC186" s="15"/>
      <c r="GD186" s="15"/>
      <c r="GE186" s="15"/>
      <c r="GF186" s="15"/>
      <c r="GG186" s="15"/>
      <c r="GH186" s="15"/>
      <c r="GI186" s="15"/>
      <c r="GJ186" s="15"/>
      <c r="GK186" s="15"/>
      <c r="GL186" s="15"/>
      <c r="GM186" s="15"/>
      <c r="GN186" s="15"/>
      <c r="GO186" s="15"/>
      <c r="GP186" s="15"/>
      <c r="GQ186" s="15"/>
      <c r="GR186" s="15"/>
      <c r="GS186" s="15"/>
      <c r="GT186" s="15"/>
      <c r="GU186" s="15"/>
      <c r="GV186" s="15"/>
      <c r="GW186" s="15"/>
      <c r="GX186" s="15"/>
      <c r="GY186" s="15"/>
      <c r="GZ186" s="15"/>
      <c r="HA186" s="15"/>
      <c r="HB186" s="15"/>
      <c r="HC186" s="15"/>
      <c r="HD186" s="15"/>
      <c r="HE186" s="15"/>
      <c r="HF186" s="15"/>
      <c r="HG186" s="15"/>
      <c r="HH186" s="15"/>
      <c r="HI186" s="15"/>
      <c r="HJ186" s="15"/>
      <c r="HK186" s="15"/>
      <c r="HL186" s="15"/>
      <c r="HM186" s="15"/>
      <c r="HN186" s="15"/>
      <c r="HO186" s="15"/>
      <c r="HP186" s="15"/>
      <c r="HQ186" s="15"/>
      <c r="HR186" s="15"/>
      <c r="HS186" s="15"/>
      <c r="HT186" s="15"/>
      <c r="HU186" s="15"/>
      <c r="HV186" s="16"/>
    </row>
    <row r="205" spans="256:527" ht="10.75" customHeight="1" x14ac:dyDescent="0.2">
      <c r="IV205" s="263"/>
      <c r="IW205" s="263"/>
      <c r="IX205" s="261"/>
      <c r="IY205" s="261"/>
      <c r="IZ205" s="263"/>
      <c r="JA205" s="261"/>
      <c r="JB205" s="261"/>
      <c r="JC205" s="261"/>
      <c r="JD205" s="261"/>
      <c r="JE205" s="261"/>
      <c r="JF205" s="261"/>
      <c r="JG205" s="261"/>
      <c r="JH205" s="261"/>
      <c r="JI205" s="261"/>
      <c r="JJ205" s="261"/>
      <c r="JK205" s="261"/>
      <c r="JL205" s="261"/>
      <c r="JM205" s="261"/>
      <c r="JN205" s="261"/>
      <c r="JO205" s="261"/>
      <c r="JP205" s="261"/>
      <c r="JQ205" s="261"/>
      <c r="JR205" s="261"/>
      <c r="JS205" s="261"/>
      <c r="JT205" s="261"/>
      <c r="JU205" s="261"/>
      <c r="JV205" s="261"/>
      <c r="JW205" s="261"/>
      <c r="JX205" s="261"/>
      <c r="JY205" s="261"/>
      <c r="JZ205" s="261"/>
      <c r="KA205" s="261"/>
      <c r="KB205" s="261"/>
      <c r="KC205" s="261"/>
      <c r="KD205" s="261"/>
      <c r="KE205" s="261"/>
      <c r="KF205" s="261"/>
      <c r="KG205" s="261"/>
      <c r="KH205" s="261"/>
      <c r="KI205" s="261"/>
      <c r="KJ205" s="261"/>
      <c r="KK205" s="261"/>
      <c r="KL205" s="261"/>
      <c r="KM205" s="261"/>
      <c r="KN205" s="261"/>
      <c r="KO205" s="261"/>
      <c r="KP205" s="261"/>
      <c r="KQ205" s="261"/>
      <c r="KR205" s="261"/>
      <c r="KS205" s="261"/>
      <c r="KT205" s="261"/>
      <c r="KU205" s="261"/>
      <c r="KV205" s="261"/>
      <c r="KW205" s="261"/>
      <c r="KX205" s="261"/>
      <c r="KY205" s="261"/>
      <c r="KZ205" s="261"/>
      <c r="LA205" s="261"/>
      <c r="LB205" s="261"/>
      <c r="LC205" s="261"/>
      <c r="LD205" s="261"/>
      <c r="LE205" s="261"/>
      <c r="LF205" s="261"/>
      <c r="LG205" s="261"/>
      <c r="LH205" s="261"/>
      <c r="LI205" s="261"/>
      <c r="OO205" s="263"/>
      <c r="OP205" s="263"/>
      <c r="OQ205" s="261"/>
      <c r="OR205" s="261"/>
      <c r="OS205" s="263"/>
      <c r="OT205" s="261"/>
      <c r="OU205" s="261"/>
      <c r="OV205" s="261"/>
      <c r="OW205" s="261"/>
      <c r="OX205" s="261"/>
      <c r="OY205" s="261"/>
      <c r="OZ205" s="261"/>
      <c r="PA205" s="261"/>
      <c r="PB205" s="261"/>
      <c r="PC205" s="261"/>
      <c r="PD205" s="261"/>
      <c r="PE205" s="261"/>
      <c r="PF205" s="261"/>
      <c r="PG205" s="261"/>
      <c r="PH205" s="261"/>
      <c r="PI205" s="261"/>
      <c r="PJ205" s="261"/>
      <c r="PK205" s="261"/>
      <c r="PL205" s="261"/>
      <c r="PM205" s="261"/>
      <c r="PN205" s="261"/>
      <c r="PO205" s="261"/>
      <c r="PP205" s="261"/>
      <c r="PQ205" s="261"/>
      <c r="PR205" s="261"/>
      <c r="PS205" s="261"/>
      <c r="PT205" s="261"/>
      <c r="PU205" s="261"/>
      <c r="PV205" s="261"/>
      <c r="PW205" s="261"/>
      <c r="PX205" s="261"/>
      <c r="PY205" s="261"/>
      <c r="PZ205" s="261"/>
      <c r="QA205" s="261"/>
      <c r="QB205" s="261"/>
      <c r="QC205" s="261"/>
      <c r="QD205" s="261"/>
      <c r="QE205" s="261"/>
      <c r="QF205" s="261"/>
      <c r="QG205" s="261"/>
      <c r="QH205" s="261"/>
      <c r="QI205" s="261"/>
      <c r="QJ205" s="261"/>
      <c r="QK205" s="261"/>
      <c r="QL205" s="261"/>
      <c r="QM205" s="261"/>
      <c r="QN205" s="261"/>
      <c r="QO205" s="261"/>
      <c r="QP205" s="261"/>
      <c r="QQ205" s="261"/>
      <c r="QR205" s="261"/>
      <c r="QS205" s="261"/>
      <c r="QT205" s="261"/>
      <c r="QU205" s="261"/>
      <c r="QV205" s="261"/>
      <c r="QW205" s="261"/>
      <c r="QX205" s="261"/>
      <c r="QY205" s="261"/>
      <c r="QZ205" s="261"/>
      <c r="RA205" s="261"/>
      <c r="RB205" s="261"/>
    </row>
    <row r="206" spans="256:527" ht="10.75" customHeight="1" x14ac:dyDescent="0.2">
      <c r="IV206" s="263"/>
      <c r="IW206" s="263"/>
      <c r="IX206" s="261"/>
      <c r="IY206" s="56"/>
      <c r="IZ206" s="57"/>
      <c r="JA206" s="57"/>
      <c r="JB206" s="57"/>
      <c r="JC206" s="10"/>
      <c r="JD206" s="10"/>
      <c r="JE206" s="10"/>
      <c r="JF206" s="10"/>
      <c r="JG206" s="10"/>
      <c r="JH206" s="10"/>
      <c r="JI206" s="10"/>
      <c r="JJ206" s="10"/>
      <c r="JK206" s="10"/>
      <c r="JL206" s="10"/>
      <c r="JM206" s="10"/>
      <c r="JN206" s="10"/>
      <c r="JO206" s="10"/>
      <c r="JP206" s="10"/>
      <c r="JQ206" s="10"/>
      <c r="JR206" s="10"/>
      <c r="JS206" s="10"/>
      <c r="JT206" s="10"/>
      <c r="JU206" s="10"/>
      <c r="JV206" s="10"/>
      <c r="JW206" s="10"/>
      <c r="JX206" s="10"/>
      <c r="JY206" s="10"/>
      <c r="JZ206" s="10"/>
      <c r="KA206" s="10"/>
      <c r="KB206" s="10"/>
      <c r="KC206" s="10"/>
      <c r="KD206" s="10"/>
      <c r="KE206" s="10"/>
      <c r="KF206" s="10"/>
      <c r="KG206" s="10"/>
      <c r="KH206" s="10"/>
      <c r="KI206" s="10"/>
      <c r="KJ206" s="10"/>
      <c r="KK206" s="10"/>
      <c r="KL206" s="10"/>
      <c r="KM206" s="10"/>
      <c r="KN206" s="10"/>
      <c r="KO206" s="10"/>
      <c r="KP206" s="10"/>
      <c r="KQ206" s="10"/>
      <c r="KR206" s="10"/>
      <c r="KS206" s="10"/>
      <c r="KT206" s="10"/>
      <c r="KU206" s="10"/>
      <c r="KV206" s="10"/>
      <c r="KW206" s="10"/>
      <c r="KX206" s="10"/>
      <c r="KY206" s="10"/>
      <c r="KZ206" s="10"/>
      <c r="LA206" s="10"/>
      <c r="LB206" s="10"/>
      <c r="LC206" s="10"/>
      <c r="LD206" s="57"/>
      <c r="LE206" s="57"/>
      <c r="LF206" s="57"/>
      <c r="LG206" s="58"/>
      <c r="LH206" s="10"/>
      <c r="LI206" s="10"/>
      <c r="LJ206" s="10"/>
      <c r="LK206" s="10"/>
      <c r="LL206" s="10"/>
      <c r="LM206" s="10"/>
      <c r="LN206" s="10"/>
      <c r="LO206" s="10"/>
      <c r="LP206" s="10"/>
      <c r="LQ206" s="10"/>
      <c r="LR206" s="10"/>
      <c r="LS206" s="10"/>
      <c r="LT206" s="10"/>
      <c r="LU206" s="10"/>
      <c r="LV206" s="10"/>
      <c r="LW206" s="10"/>
      <c r="LX206" s="10"/>
      <c r="LY206" s="10"/>
      <c r="LZ206" s="10"/>
      <c r="MA206" s="10"/>
      <c r="MB206" s="10"/>
      <c r="MC206" s="10"/>
      <c r="MD206" s="10"/>
      <c r="ME206" s="10"/>
      <c r="MF206" s="10"/>
      <c r="MG206" s="10"/>
      <c r="MH206" s="10"/>
      <c r="MI206" s="10"/>
      <c r="MJ206" s="10"/>
      <c r="MK206" s="10"/>
      <c r="ML206" s="10"/>
      <c r="MM206" s="10"/>
      <c r="MN206" s="10"/>
      <c r="MO206" s="10"/>
      <c r="MP206" s="10"/>
      <c r="MQ206" s="10"/>
      <c r="MR206" s="10"/>
      <c r="MS206" s="10"/>
      <c r="MT206" s="10"/>
      <c r="MU206" s="10"/>
      <c r="MV206" s="10"/>
      <c r="MW206" s="10"/>
      <c r="MX206" s="10"/>
      <c r="MY206" s="10"/>
      <c r="MZ206" s="10"/>
      <c r="NA206" s="10"/>
      <c r="NB206" s="10"/>
      <c r="NC206" s="10"/>
      <c r="ND206" s="10"/>
      <c r="NE206" s="10"/>
      <c r="NF206" s="10"/>
      <c r="NG206" s="10"/>
      <c r="NH206" s="10"/>
      <c r="NI206" s="10"/>
      <c r="NJ206" s="10"/>
      <c r="NK206" s="57"/>
      <c r="NL206" s="57"/>
      <c r="NM206" s="57"/>
      <c r="NN206" s="58"/>
      <c r="OO206" s="263"/>
      <c r="OP206" s="263"/>
      <c r="OQ206" s="261"/>
      <c r="OR206" s="56"/>
      <c r="OS206" s="57"/>
      <c r="OT206" s="57"/>
      <c r="OU206" s="57"/>
      <c r="OV206" s="10"/>
      <c r="OW206" s="10"/>
      <c r="OX206" s="10"/>
      <c r="OY206" s="10"/>
      <c r="OZ206" s="10"/>
      <c r="PA206" s="10"/>
      <c r="PB206" s="10"/>
      <c r="PC206" s="10"/>
      <c r="PD206" s="10"/>
      <c r="PE206" s="10"/>
      <c r="PF206" s="10"/>
      <c r="PG206" s="10"/>
      <c r="PH206" s="10"/>
      <c r="PI206" s="10"/>
      <c r="PJ206" s="10"/>
      <c r="PK206" s="10"/>
      <c r="PL206" s="10"/>
      <c r="PM206" s="10"/>
      <c r="PN206" s="10"/>
      <c r="PO206" s="10"/>
      <c r="PP206" s="10"/>
      <c r="PQ206" s="10"/>
      <c r="PR206" s="10"/>
      <c r="PS206" s="10"/>
      <c r="PT206" s="10"/>
      <c r="PU206" s="10"/>
      <c r="PV206" s="10"/>
      <c r="PW206" s="10"/>
      <c r="PX206" s="10"/>
      <c r="PY206" s="10"/>
      <c r="PZ206" s="10"/>
      <c r="QA206" s="10"/>
      <c r="QB206" s="10"/>
      <c r="QC206" s="10"/>
      <c r="QD206" s="10"/>
      <c r="QE206" s="10"/>
      <c r="QF206" s="10"/>
      <c r="QG206" s="10"/>
      <c r="QH206" s="10"/>
      <c r="QI206" s="10"/>
      <c r="QJ206" s="10"/>
      <c r="QK206" s="10"/>
      <c r="QL206" s="10"/>
      <c r="QM206" s="10"/>
      <c r="QN206" s="10"/>
      <c r="QO206" s="10"/>
      <c r="QP206" s="10"/>
      <c r="QQ206" s="10"/>
      <c r="QR206" s="10"/>
      <c r="QS206" s="10"/>
      <c r="QT206" s="10"/>
      <c r="QU206" s="10"/>
      <c r="QV206" s="10"/>
      <c r="QW206" s="57"/>
      <c r="QX206" s="57"/>
      <c r="QY206" s="57"/>
      <c r="QZ206" s="58"/>
      <c r="RA206" s="10"/>
      <c r="RB206" s="10"/>
      <c r="RC206" s="10"/>
      <c r="RD206" s="10"/>
      <c r="RE206" s="10"/>
      <c r="RF206" s="10"/>
      <c r="RG206" s="10"/>
      <c r="RH206" s="10"/>
      <c r="RI206" s="10"/>
      <c r="RJ206" s="10"/>
      <c r="RK206" s="10"/>
      <c r="RL206" s="10"/>
      <c r="RM206" s="10"/>
      <c r="RN206" s="10"/>
      <c r="RO206" s="10"/>
      <c r="RP206" s="10"/>
      <c r="RQ206" s="10"/>
      <c r="RR206" s="10"/>
      <c r="RS206" s="10"/>
      <c r="RT206" s="10"/>
      <c r="RU206" s="10"/>
      <c r="RV206" s="10"/>
      <c r="RW206" s="10"/>
      <c r="RX206" s="10"/>
      <c r="RY206" s="10"/>
      <c r="RZ206" s="10"/>
      <c r="SA206" s="10"/>
      <c r="SB206" s="10"/>
      <c r="SC206" s="10"/>
      <c r="SD206" s="10"/>
      <c r="SE206" s="10"/>
      <c r="SF206" s="10"/>
      <c r="SG206" s="10"/>
      <c r="SH206" s="10"/>
      <c r="SI206" s="10"/>
      <c r="SJ206" s="10"/>
      <c r="SK206" s="10"/>
      <c r="SL206" s="10"/>
      <c r="SM206" s="10"/>
      <c r="SN206" s="10"/>
      <c r="SO206" s="10"/>
      <c r="SP206" s="10"/>
      <c r="SQ206" s="10"/>
      <c r="SR206" s="10"/>
      <c r="SS206" s="10"/>
      <c r="ST206" s="10"/>
      <c r="SU206" s="10"/>
      <c r="SV206" s="10"/>
      <c r="SW206" s="10"/>
      <c r="SX206" s="10"/>
      <c r="SY206" s="10"/>
      <c r="SZ206" s="10"/>
      <c r="TA206" s="10"/>
      <c r="TB206" s="10"/>
      <c r="TC206" s="10"/>
      <c r="TD206" s="57"/>
      <c r="TE206" s="57"/>
      <c r="TF206" s="57"/>
      <c r="TG206" s="58"/>
    </row>
    <row r="207" spans="256:527" ht="10.75" customHeight="1" x14ac:dyDescent="0.2">
      <c r="IV207" s="263"/>
      <c r="IW207" s="263"/>
      <c r="IX207" s="261"/>
      <c r="IY207" s="96"/>
      <c r="IZ207" s="262"/>
      <c r="JA207" s="262"/>
      <c r="JB207" s="262"/>
      <c r="JC207" s="261"/>
      <c r="JD207" s="261"/>
      <c r="JE207" s="261"/>
      <c r="JF207" s="261"/>
      <c r="JG207" s="261"/>
      <c r="JH207" s="261"/>
      <c r="JI207" s="261"/>
      <c r="JJ207" s="261"/>
      <c r="JK207" s="261"/>
      <c r="JL207" s="261"/>
      <c r="JM207" s="261"/>
      <c r="JN207" s="261"/>
      <c r="JO207" s="261"/>
      <c r="JP207" s="261"/>
      <c r="JQ207" s="261"/>
      <c r="JR207" s="261"/>
      <c r="JS207" s="261"/>
      <c r="JT207" s="261"/>
      <c r="JU207" s="261"/>
      <c r="JV207" s="261"/>
      <c r="JW207" s="261"/>
      <c r="JX207" s="261"/>
      <c r="JY207" s="261"/>
      <c r="JZ207" s="261"/>
      <c r="KA207" s="261"/>
      <c r="KB207" s="261"/>
      <c r="KC207" s="261"/>
      <c r="KD207" s="261"/>
      <c r="KE207" s="261"/>
      <c r="KF207" s="261"/>
      <c r="KG207" s="261"/>
      <c r="KH207" s="261"/>
      <c r="KI207" s="261"/>
      <c r="KJ207" s="261"/>
      <c r="KK207" s="261"/>
      <c r="KL207" s="261"/>
      <c r="KM207" s="261"/>
      <c r="KN207" s="261"/>
      <c r="KO207" s="261"/>
      <c r="KP207" s="261"/>
      <c r="KQ207" s="261"/>
      <c r="KR207" s="261"/>
      <c r="KS207" s="261"/>
      <c r="KT207" s="261"/>
      <c r="KU207" s="261"/>
      <c r="KV207" s="261"/>
      <c r="KW207" s="261"/>
      <c r="KX207" s="261"/>
      <c r="KY207" s="261"/>
      <c r="KZ207" s="261"/>
      <c r="LA207" s="261"/>
      <c r="LB207" s="261"/>
      <c r="LC207" s="261"/>
      <c r="LD207" s="262"/>
      <c r="LE207" s="262"/>
      <c r="LF207" s="262"/>
      <c r="LG207" s="98"/>
      <c r="LH207" s="261"/>
      <c r="LI207" s="261"/>
      <c r="LJ207" s="261"/>
      <c r="LK207" s="261"/>
      <c r="LL207" s="261"/>
      <c r="LM207" s="261"/>
      <c r="LN207" s="261"/>
      <c r="LO207" s="261"/>
      <c r="LP207" s="261"/>
      <c r="LQ207" s="261"/>
      <c r="LR207" s="261"/>
      <c r="LS207" s="261"/>
      <c r="LT207" s="261"/>
      <c r="LU207" s="261"/>
      <c r="LV207" s="261"/>
      <c r="LW207" s="261"/>
      <c r="LX207" s="261"/>
      <c r="LY207" s="261"/>
      <c r="LZ207" s="261"/>
      <c r="MA207" s="261"/>
      <c r="MB207" s="261"/>
      <c r="MC207" s="261"/>
      <c r="MD207" s="261"/>
      <c r="ME207" s="261"/>
      <c r="MF207" s="261"/>
      <c r="MG207" s="261"/>
      <c r="MH207" s="261"/>
      <c r="MI207" s="261"/>
      <c r="MJ207" s="261"/>
      <c r="MK207" s="261"/>
      <c r="ML207" s="261"/>
      <c r="MM207" s="261"/>
      <c r="MN207" s="261"/>
      <c r="MO207" s="261"/>
      <c r="MP207" s="261"/>
      <c r="MQ207" s="261"/>
      <c r="MR207" s="261"/>
      <c r="MS207" s="261"/>
      <c r="MT207" s="261"/>
      <c r="MU207" s="261"/>
      <c r="MV207" s="261"/>
      <c r="MW207" s="261"/>
      <c r="MX207" s="261"/>
      <c r="MY207" s="261"/>
      <c r="MZ207" s="261"/>
      <c r="NA207" s="261"/>
      <c r="NB207" s="261"/>
      <c r="NC207" s="261"/>
      <c r="ND207" s="261"/>
      <c r="NE207" s="261"/>
      <c r="NF207" s="261"/>
      <c r="NG207" s="261"/>
      <c r="NH207" s="261"/>
      <c r="NI207" s="261"/>
      <c r="NJ207" s="261"/>
      <c r="NK207" s="262"/>
      <c r="NL207" s="262"/>
      <c r="NM207" s="262"/>
      <c r="NN207" s="98"/>
      <c r="OO207" s="263"/>
      <c r="OP207" s="263"/>
      <c r="OQ207" s="261"/>
      <c r="OR207" s="96"/>
      <c r="OS207" s="262"/>
      <c r="OT207" s="262"/>
      <c r="OU207" s="262"/>
      <c r="OV207" s="261"/>
      <c r="OW207" s="261"/>
      <c r="OX207" s="261"/>
      <c r="OY207" s="261"/>
      <c r="OZ207" s="261"/>
      <c r="PA207" s="261"/>
      <c r="PB207" s="261"/>
      <c r="PC207" s="261"/>
      <c r="PD207" s="261"/>
      <c r="PE207" s="261"/>
      <c r="PF207" s="261"/>
      <c r="PG207" s="261"/>
      <c r="PH207" s="261"/>
      <c r="PI207" s="261"/>
      <c r="PJ207" s="261"/>
      <c r="PK207" s="261"/>
      <c r="PL207" s="261"/>
      <c r="PM207" s="261"/>
      <c r="PN207" s="261"/>
      <c r="PO207" s="261"/>
      <c r="PP207" s="261"/>
      <c r="PQ207" s="261"/>
      <c r="PR207" s="261"/>
      <c r="PS207" s="261"/>
      <c r="PT207" s="261"/>
      <c r="PU207" s="261"/>
      <c r="PV207" s="261"/>
      <c r="PW207" s="261"/>
      <c r="PX207" s="261"/>
      <c r="PY207" s="261"/>
      <c r="PZ207" s="261"/>
      <c r="QA207" s="261"/>
      <c r="QB207" s="261"/>
      <c r="QC207" s="261"/>
      <c r="QD207" s="261"/>
      <c r="QE207" s="261"/>
      <c r="QF207" s="261"/>
      <c r="QG207" s="261"/>
      <c r="QH207" s="261"/>
      <c r="QI207" s="261"/>
      <c r="QJ207" s="261"/>
      <c r="QK207" s="261"/>
      <c r="QL207" s="261"/>
      <c r="QM207" s="261"/>
      <c r="QN207" s="261"/>
      <c r="QO207" s="261"/>
      <c r="QP207" s="261"/>
      <c r="QQ207" s="261"/>
      <c r="QR207" s="261"/>
      <c r="QS207" s="261"/>
      <c r="QT207" s="261"/>
      <c r="QU207" s="261"/>
      <c r="QV207" s="261"/>
      <c r="QW207" s="262"/>
      <c r="QX207" s="262"/>
      <c r="QY207" s="262"/>
      <c r="QZ207" s="98"/>
      <c r="RA207" s="261"/>
      <c r="RB207" s="261"/>
      <c r="RC207" s="261"/>
      <c r="RD207" s="261"/>
      <c r="RE207" s="261"/>
      <c r="RF207" s="261"/>
      <c r="RG207" s="261"/>
      <c r="RH207" s="261"/>
      <c r="RI207" s="261"/>
      <c r="RJ207" s="261"/>
      <c r="RK207" s="261"/>
      <c r="RL207" s="261"/>
      <c r="RM207" s="261"/>
      <c r="RN207" s="261"/>
      <c r="RO207" s="261"/>
      <c r="RP207" s="261"/>
      <c r="RQ207" s="261"/>
      <c r="RR207" s="261"/>
      <c r="RS207" s="261"/>
      <c r="RT207" s="261"/>
      <c r="RU207" s="261"/>
      <c r="RV207" s="261"/>
      <c r="RW207" s="261"/>
      <c r="RX207" s="261"/>
      <c r="RY207" s="261"/>
      <c r="RZ207" s="261"/>
      <c r="SA207" s="261"/>
      <c r="SB207" s="261"/>
      <c r="SC207" s="261"/>
      <c r="SD207" s="261"/>
      <c r="SE207" s="261"/>
      <c r="SF207" s="261"/>
      <c r="SG207" s="261"/>
      <c r="SH207" s="261"/>
      <c r="SI207" s="261"/>
      <c r="SJ207" s="261"/>
      <c r="SK207" s="261"/>
      <c r="SL207" s="261"/>
      <c r="SM207" s="261"/>
      <c r="SN207" s="261"/>
      <c r="SO207" s="261"/>
      <c r="SP207" s="261"/>
      <c r="SQ207" s="261"/>
      <c r="SR207" s="261"/>
      <c r="SS207" s="261"/>
      <c r="ST207" s="261"/>
      <c r="SU207" s="261"/>
      <c r="SV207" s="261"/>
      <c r="SW207" s="261"/>
      <c r="SX207" s="261"/>
      <c r="SY207" s="261"/>
      <c r="SZ207" s="261"/>
      <c r="TA207" s="261"/>
      <c r="TB207" s="261"/>
      <c r="TC207" s="261"/>
      <c r="TD207" s="262"/>
      <c r="TE207" s="262"/>
      <c r="TF207" s="262"/>
      <c r="TG207" s="98"/>
    </row>
    <row r="208" spans="256:527" ht="10.75" customHeight="1" x14ac:dyDescent="0.2">
      <c r="IV208" s="263"/>
      <c r="IW208" s="263"/>
      <c r="IX208" s="261"/>
      <c r="IY208" s="96"/>
      <c r="IZ208" s="262"/>
      <c r="JA208" s="262"/>
      <c r="JB208" s="262"/>
      <c r="JC208" s="261"/>
      <c r="JD208" s="261"/>
      <c r="JE208" s="261"/>
      <c r="JF208" s="261"/>
      <c r="JG208" s="261"/>
      <c r="JH208" s="261"/>
      <c r="JI208" s="261"/>
      <c r="JJ208" s="261"/>
      <c r="JK208" s="261"/>
      <c r="JL208" s="261"/>
      <c r="JM208" s="261"/>
      <c r="JN208" s="261"/>
      <c r="JO208" s="261"/>
      <c r="JP208" s="261"/>
      <c r="JQ208" s="261"/>
      <c r="JR208" s="261"/>
      <c r="JS208" s="261"/>
      <c r="JT208" s="261"/>
      <c r="JU208" s="261"/>
      <c r="JV208" s="261"/>
      <c r="JW208" s="261"/>
      <c r="JX208" s="261"/>
      <c r="JY208" s="261"/>
      <c r="JZ208" s="261"/>
      <c r="KA208" s="261"/>
      <c r="KB208" s="261"/>
      <c r="KC208" s="261"/>
      <c r="KD208" s="261"/>
      <c r="KE208" s="261"/>
      <c r="KF208" s="261"/>
      <c r="KG208" s="261"/>
      <c r="KH208" s="261"/>
      <c r="KI208" s="261"/>
      <c r="KJ208" s="261"/>
      <c r="KK208" s="261"/>
      <c r="KL208" s="261"/>
      <c r="KM208" s="261"/>
      <c r="KN208" s="261"/>
      <c r="KO208" s="261"/>
      <c r="KP208" s="261"/>
      <c r="KQ208" s="261"/>
      <c r="KR208" s="261"/>
      <c r="KS208" s="261"/>
      <c r="KT208" s="261"/>
      <c r="KU208" s="261"/>
      <c r="KV208" s="261"/>
      <c r="KW208" s="261"/>
      <c r="KX208" s="261"/>
      <c r="KY208" s="261"/>
      <c r="KZ208" s="261"/>
      <c r="LA208" s="261"/>
      <c r="LB208" s="261"/>
      <c r="LC208" s="261"/>
      <c r="LD208" s="262"/>
      <c r="LE208" s="262"/>
      <c r="LF208" s="262"/>
      <c r="LG208" s="98"/>
      <c r="LH208" s="261"/>
      <c r="LI208" s="261"/>
      <c r="LJ208" s="261"/>
      <c r="LK208" s="261"/>
      <c r="LL208" s="261"/>
      <c r="LM208" s="261"/>
      <c r="LN208" s="261"/>
      <c r="LO208" s="261"/>
      <c r="LP208" s="261"/>
      <c r="LQ208" s="261"/>
      <c r="LR208" s="261"/>
      <c r="LS208" s="261"/>
      <c r="LT208" s="261"/>
      <c r="LU208" s="261"/>
      <c r="LV208" s="261"/>
      <c r="LW208" s="261"/>
      <c r="LX208" s="261"/>
      <c r="LY208" s="261"/>
      <c r="LZ208" s="261"/>
      <c r="MA208" s="261"/>
      <c r="MB208" s="261"/>
      <c r="MC208" s="261"/>
      <c r="MD208" s="261"/>
      <c r="ME208" s="261"/>
      <c r="MF208" s="261"/>
      <c r="MG208" s="261"/>
      <c r="MH208" s="261"/>
      <c r="MI208" s="261"/>
      <c r="MJ208" s="261"/>
      <c r="MK208" s="261"/>
      <c r="ML208" s="261"/>
      <c r="MM208" s="261"/>
      <c r="MN208" s="261"/>
      <c r="MO208" s="261"/>
      <c r="MP208" s="261"/>
      <c r="MQ208" s="261"/>
      <c r="MR208" s="261"/>
      <c r="MS208" s="261"/>
      <c r="MT208" s="261"/>
      <c r="MU208" s="261"/>
      <c r="MV208" s="261"/>
      <c r="MW208" s="261"/>
      <c r="MX208" s="261"/>
      <c r="MY208" s="261"/>
      <c r="MZ208" s="261"/>
      <c r="NA208" s="261"/>
      <c r="NB208" s="261"/>
      <c r="NC208" s="261"/>
      <c r="ND208" s="261"/>
      <c r="NE208" s="261"/>
      <c r="NF208" s="261"/>
      <c r="NG208" s="261"/>
      <c r="NH208" s="261"/>
      <c r="NI208" s="261"/>
      <c r="NJ208" s="261"/>
      <c r="NK208" s="262"/>
      <c r="NL208" s="262"/>
      <c r="NM208" s="262"/>
      <c r="NN208" s="98"/>
      <c r="OO208" s="263"/>
      <c r="OP208" s="263"/>
      <c r="OQ208" s="261"/>
      <c r="OR208" s="96"/>
      <c r="OS208" s="262"/>
      <c r="OT208" s="262"/>
      <c r="OU208" s="262"/>
      <c r="OV208" s="261"/>
      <c r="OW208" s="261"/>
      <c r="OX208" s="261"/>
      <c r="OY208" s="261"/>
      <c r="OZ208" s="261"/>
      <c r="PA208" s="261"/>
      <c r="PB208" s="261"/>
      <c r="PC208" s="261"/>
      <c r="PD208" s="261"/>
      <c r="PE208" s="261"/>
      <c r="PF208" s="261"/>
      <c r="PG208" s="261"/>
      <c r="PH208" s="261"/>
      <c r="PI208" s="261"/>
      <c r="PJ208" s="261"/>
      <c r="PK208" s="261"/>
      <c r="PL208" s="261"/>
      <c r="PM208" s="261"/>
      <c r="PN208" s="261"/>
      <c r="PO208" s="261"/>
      <c r="PP208" s="261"/>
      <c r="PQ208" s="261"/>
      <c r="PR208" s="261"/>
      <c r="PS208" s="261"/>
      <c r="PT208" s="261"/>
      <c r="PU208" s="261"/>
      <c r="PV208" s="261"/>
      <c r="PW208" s="261"/>
      <c r="PX208" s="261"/>
      <c r="PY208" s="261"/>
      <c r="PZ208" s="261"/>
      <c r="QA208" s="261"/>
      <c r="QB208" s="261"/>
      <c r="QC208" s="261"/>
      <c r="QD208" s="261"/>
      <c r="QE208" s="261"/>
      <c r="QF208" s="261"/>
      <c r="QG208" s="261"/>
      <c r="QH208" s="261"/>
      <c r="QI208" s="261"/>
      <c r="QJ208" s="261"/>
      <c r="QK208" s="261"/>
      <c r="QL208" s="261"/>
      <c r="QM208" s="261"/>
      <c r="QN208" s="261"/>
      <c r="QO208" s="261"/>
      <c r="QP208" s="261"/>
      <c r="QQ208" s="261"/>
      <c r="QR208" s="261"/>
      <c r="QS208" s="261"/>
      <c r="QT208" s="261"/>
      <c r="QU208" s="261"/>
      <c r="QV208" s="261"/>
      <c r="QW208" s="262"/>
      <c r="QX208" s="262"/>
      <c r="QY208" s="262"/>
      <c r="QZ208" s="98"/>
      <c r="RA208" s="261"/>
      <c r="RB208" s="261"/>
      <c r="RC208" s="261"/>
      <c r="RD208" s="261"/>
      <c r="RE208" s="261"/>
      <c r="RF208" s="261"/>
      <c r="RG208" s="261"/>
      <c r="RH208" s="261"/>
      <c r="RI208" s="261"/>
      <c r="RJ208" s="261"/>
      <c r="RK208" s="261"/>
      <c r="RL208" s="261"/>
      <c r="RM208" s="261"/>
      <c r="RN208" s="261"/>
      <c r="RO208" s="261"/>
      <c r="RP208" s="261"/>
      <c r="RQ208" s="261"/>
      <c r="RR208" s="261"/>
      <c r="RS208" s="261"/>
      <c r="RT208" s="261"/>
      <c r="RU208" s="261"/>
      <c r="RV208" s="261"/>
      <c r="RW208" s="261"/>
      <c r="RX208" s="261"/>
      <c r="RY208" s="261"/>
      <c r="RZ208" s="261"/>
      <c r="SA208" s="261"/>
      <c r="SB208" s="261"/>
      <c r="SC208" s="261"/>
      <c r="SD208" s="261"/>
      <c r="SE208" s="261"/>
      <c r="SF208" s="261"/>
      <c r="SG208" s="261"/>
      <c r="SH208" s="261"/>
      <c r="SI208" s="261"/>
      <c r="SJ208" s="261"/>
      <c r="SK208" s="261"/>
      <c r="SL208" s="261"/>
      <c r="SM208" s="261"/>
      <c r="SN208" s="261"/>
      <c r="SO208" s="261"/>
      <c r="SP208" s="261"/>
      <c r="SQ208" s="261"/>
      <c r="SR208" s="261"/>
      <c r="SS208" s="261"/>
      <c r="ST208" s="261"/>
      <c r="SU208" s="261"/>
      <c r="SV208" s="261"/>
      <c r="SW208" s="261"/>
      <c r="SX208" s="261"/>
      <c r="SY208" s="261"/>
      <c r="SZ208" s="261"/>
      <c r="TA208" s="261"/>
      <c r="TB208" s="261"/>
      <c r="TC208" s="261"/>
      <c r="TD208" s="262"/>
      <c r="TE208" s="262"/>
      <c r="TF208" s="262"/>
      <c r="TG208" s="98"/>
    </row>
    <row r="209" spans="65:527" ht="10.75" customHeight="1" x14ac:dyDescent="0.2">
      <c r="IV209" s="263"/>
      <c r="IW209" s="263"/>
      <c r="IX209" s="261"/>
      <c r="IY209" s="12"/>
      <c r="IZ209" s="263"/>
      <c r="JA209" s="261"/>
      <c r="JB209" s="9"/>
      <c r="JC209" s="10"/>
      <c r="JD209" s="10"/>
      <c r="JE209" s="10"/>
      <c r="JF209" s="10"/>
      <c r="JG209" s="10"/>
      <c r="JH209" s="10"/>
      <c r="JI209" s="10"/>
      <c r="JJ209" s="10"/>
      <c r="JK209" s="10"/>
      <c r="JL209" s="10"/>
      <c r="JM209" s="10"/>
      <c r="JN209" s="10"/>
      <c r="JO209" s="10"/>
      <c r="JP209" s="10"/>
      <c r="JQ209" s="10"/>
      <c r="JR209" s="10"/>
      <c r="JS209" s="10"/>
      <c r="JT209" s="10"/>
      <c r="JU209" s="10"/>
      <c r="JV209" s="10"/>
      <c r="JW209" s="10"/>
      <c r="JX209" s="10"/>
      <c r="JY209" s="10"/>
      <c r="JZ209" s="10"/>
      <c r="KA209" s="10"/>
      <c r="KB209" s="10"/>
      <c r="KC209" s="10"/>
      <c r="KD209" s="10"/>
      <c r="KE209" s="10"/>
      <c r="KF209" s="10"/>
      <c r="KG209" s="10"/>
      <c r="KH209" s="10"/>
      <c r="KI209" s="10"/>
      <c r="KJ209" s="10"/>
      <c r="KK209" s="10"/>
      <c r="KL209" s="10"/>
      <c r="KM209" s="10"/>
      <c r="KN209" s="10"/>
      <c r="KO209" s="10"/>
      <c r="KP209" s="10"/>
      <c r="KQ209" s="10"/>
      <c r="KR209" s="9"/>
      <c r="KS209" s="10"/>
      <c r="KT209" s="10"/>
      <c r="KU209" s="10"/>
      <c r="KV209" s="10"/>
      <c r="KW209" s="10"/>
      <c r="KX209" s="10"/>
      <c r="KY209" s="10"/>
      <c r="KZ209" s="10"/>
      <c r="LA209" s="10"/>
      <c r="LB209" s="10"/>
      <c r="LC209" s="10"/>
      <c r="LD209" s="10"/>
      <c r="LE209" s="11"/>
      <c r="LF209" s="9"/>
      <c r="LG209" s="11"/>
      <c r="LH209" s="9"/>
      <c r="LI209" s="10"/>
      <c r="LJ209" s="10"/>
      <c r="LK209" s="10"/>
      <c r="LL209" s="10"/>
      <c r="LM209" s="10"/>
      <c r="LN209" s="10"/>
      <c r="LO209" s="10"/>
      <c r="LP209" s="10"/>
      <c r="LQ209" s="10"/>
      <c r="LR209" s="10"/>
      <c r="LS209" s="10"/>
      <c r="LT209" s="10"/>
      <c r="LU209" s="10"/>
      <c r="LV209" s="10"/>
      <c r="LW209" s="10"/>
      <c r="LX209" s="10"/>
      <c r="LY209" s="11"/>
      <c r="LZ209" s="10"/>
      <c r="MA209" s="11"/>
      <c r="MB209" s="10"/>
      <c r="MC209" s="10"/>
      <c r="MD209" s="10"/>
      <c r="ME209" s="10"/>
      <c r="MF209" s="10"/>
      <c r="MG209" s="10"/>
      <c r="MH209" s="10"/>
      <c r="MI209" s="10"/>
      <c r="MJ209" s="10"/>
      <c r="MK209" s="10"/>
      <c r="ML209" s="10"/>
      <c r="MM209" s="10"/>
      <c r="MN209" s="10"/>
      <c r="MO209" s="10"/>
      <c r="MP209" s="10"/>
      <c r="MQ209" s="10"/>
      <c r="MR209" s="10"/>
      <c r="MS209" s="10"/>
      <c r="MT209" s="10"/>
      <c r="MU209" s="10"/>
      <c r="MV209" s="10"/>
      <c r="MW209" s="10"/>
      <c r="MX209" s="10"/>
      <c r="MY209" s="11"/>
      <c r="MZ209" s="9"/>
      <c r="NA209" s="10"/>
      <c r="NB209" s="10"/>
      <c r="NC209" s="10"/>
      <c r="ND209" s="10"/>
      <c r="NE209" s="10"/>
      <c r="NF209" s="10"/>
      <c r="NG209" s="10"/>
      <c r="NH209" s="10"/>
      <c r="NI209" s="10"/>
      <c r="NJ209" s="10"/>
      <c r="NK209" s="11"/>
      <c r="NL209" s="261"/>
      <c r="NM209" s="261"/>
      <c r="NN209" s="13"/>
      <c r="OO209" s="263"/>
      <c r="OP209" s="263"/>
      <c r="OQ209" s="261"/>
      <c r="OR209" s="12"/>
      <c r="OS209" s="263"/>
      <c r="OT209" s="261"/>
      <c r="OU209" s="9"/>
      <c r="OV209" s="10"/>
      <c r="OW209" s="10"/>
      <c r="OX209" s="10"/>
      <c r="OY209" s="10"/>
      <c r="OZ209" s="10"/>
      <c r="PA209" s="10"/>
      <c r="PB209" s="10"/>
      <c r="PC209" s="10"/>
      <c r="PD209" s="10"/>
      <c r="PE209" s="10"/>
      <c r="PF209" s="10"/>
      <c r="PG209" s="10"/>
      <c r="PH209" s="10"/>
      <c r="PI209" s="10"/>
      <c r="PJ209" s="10"/>
      <c r="PK209" s="10"/>
      <c r="PL209" s="10"/>
      <c r="PM209" s="10"/>
      <c r="PN209" s="10"/>
      <c r="PO209" s="10"/>
      <c r="PP209" s="10"/>
      <c r="PQ209" s="10"/>
      <c r="PR209" s="10"/>
      <c r="PS209" s="10"/>
      <c r="PT209" s="10"/>
      <c r="PU209" s="10"/>
      <c r="PV209" s="10"/>
      <c r="PW209" s="10"/>
      <c r="PX209" s="10"/>
      <c r="PY209" s="10"/>
      <c r="PZ209" s="11"/>
      <c r="QA209" s="10"/>
      <c r="QB209" s="11"/>
      <c r="QC209" s="10"/>
      <c r="QD209" s="10"/>
      <c r="QE209" s="10"/>
      <c r="QF209" s="10"/>
      <c r="QG209" s="10"/>
      <c r="QH209" s="10"/>
      <c r="QI209" s="10"/>
      <c r="QJ209" s="10"/>
      <c r="QK209" s="10"/>
      <c r="QL209" s="10"/>
      <c r="QM209" s="10"/>
      <c r="QN209" s="10"/>
      <c r="QO209" s="10"/>
      <c r="QP209" s="10"/>
      <c r="QQ209" s="10"/>
      <c r="QR209" s="10"/>
      <c r="QS209" s="10"/>
      <c r="QT209" s="10"/>
      <c r="QU209" s="10"/>
      <c r="QV209" s="10"/>
      <c r="QW209" s="10"/>
      <c r="QX209" s="11"/>
      <c r="QY209" s="9"/>
      <c r="QZ209" s="11"/>
      <c r="RA209" s="10"/>
      <c r="RB209" s="10"/>
      <c r="RC209" s="10"/>
      <c r="RD209" s="10"/>
      <c r="RE209" s="10"/>
      <c r="RF209" s="10"/>
      <c r="RG209" s="10"/>
      <c r="RH209" s="10"/>
      <c r="RI209" s="10"/>
      <c r="RJ209" s="10"/>
      <c r="RK209" s="10"/>
      <c r="RL209" s="10"/>
      <c r="RM209" s="10"/>
      <c r="RN209" s="10"/>
      <c r="RO209" s="10"/>
      <c r="RP209" s="10"/>
      <c r="RQ209" s="10"/>
      <c r="RR209" s="10"/>
      <c r="RS209" s="10"/>
      <c r="RT209" s="10"/>
      <c r="RU209" s="10"/>
      <c r="RV209" s="10"/>
      <c r="RW209" s="10"/>
      <c r="RX209" s="10"/>
      <c r="RY209" s="10"/>
      <c r="RZ209" s="10"/>
      <c r="SA209" s="10"/>
      <c r="SB209" s="10"/>
      <c r="SC209" s="10"/>
      <c r="SD209" s="10"/>
      <c r="SE209" s="10"/>
      <c r="SF209" s="10"/>
      <c r="SG209" s="10"/>
      <c r="SH209" s="10"/>
      <c r="SI209" s="10"/>
      <c r="SJ209" s="10"/>
      <c r="SK209" s="10"/>
      <c r="SL209" s="10"/>
      <c r="SM209" s="10"/>
      <c r="SN209" s="10"/>
      <c r="SO209" s="10"/>
      <c r="SP209" s="10"/>
      <c r="SQ209" s="10"/>
      <c r="SR209" s="10"/>
      <c r="SS209" s="10"/>
      <c r="ST209" s="10"/>
      <c r="SU209" s="10"/>
      <c r="SV209" s="10"/>
      <c r="SW209" s="10"/>
      <c r="SX209" s="10"/>
      <c r="SY209" s="10"/>
      <c r="SZ209" s="10"/>
      <c r="TA209" s="10"/>
      <c r="TB209" s="10"/>
      <c r="TC209" s="10"/>
      <c r="TD209" s="11"/>
      <c r="TE209" s="261"/>
      <c r="TF209" s="261"/>
      <c r="TG209" s="13"/>
    </row>
    <row r="210" spans="65:527" ht="10.75" customHeight="1" x14ac:dyDescent="0.2">
      <c r="IV210" s="263"/>
      <c r="IW210" s="263"/>
      <c r="IX210" s="261"/>
      <c r="IY210" s="12"/>
      <c r="IZ210" s="263"/>
      <c r="JA210" s="261"/>
      <c r="JB210" s="12"/>
      <c r="JC210" s="261"/>
      <c r="JD210" s="261"/>
      <c r="JE210" s="261"/>
      <c r="JF210" s="261"/>
      <c r="JG210" s="261"/>
      <c r="JH210" s="261"/>
      <c r="JI210" s="261"/>
      <c r="JJ210" s="261"/>
      <c r="JK210" s="261"/>
      <c r="JL210" s="261"/>
      <c r="JM210" s="261"/>
      <c r="JN210" s="261"/>
      <c r="JO210" s="261"/>
      <c r="JP210" s="261"/>
      <c r="JQ210" s="261"/>
      <c r="JR210" s="261"/>
      <c r="JS210" s="261"/>
      <c r="JT210" s="261"/>
      <c r="JU210" s="261"/>
      <c r="JV210" s="261"/>
      <c r="JW210" s="261"/>
      <c r="JX210" s="261"/>
      <c r="JY210" s="261"/>
      <c r="JZ210" s="261"/>
      <c r="KA210" s="261"/>
      <c r="KB210" s="261"/>
      <c r="KC210" s="261"/>
      <c r="KD210" s="261"/>
      <c r="KE210" s="261"/>
      <c r="KF210" s="261"/>
      <c r="KG210" s="261"/>
      <c r="KH210" s="261"/>
      <c r="KI210" s="261"/>
      <c r="KJ210" s="261"/>
      <c r="KK210" s="261"/>
      <c r="KL210" s="261"/>
      <c r="KM210" s="261"/>
      <c r="KN210" s="261"/>
      <c r="KO210" s="261"/>
      <c r="KP210" s="261"/>
      <c r="KQ210" s="261"/>
      <c r="KR210" s="12"/>
      <c r="KS210" s="261"/>
      <c r="KT210" s="261"/>
      <c r="KU210" s="261"/>
      <c r="KV210" s="261"/>
      <c r="KW210" s="261"/>
      <c r="KX210" s="261"/>
      <c r="KY210" s="261"/>
      <c r="KZ210" s="261"/>
      <c r="LA210" s="261"/>
      <c r="LB210" s="261"/>
      <c r="LC210" s="261"/>
      <c r="LD210" s="261"/>
      <c r="LE210" s="13"/>
      <c r="LF210" s="12"/>
      <c r="LG210" s="13"/>
      <c r="LH210" s="12"/>
      <c r="LI210" s="261"/>
      <c r="LJ210" s="261"/>
      <c r="LK210" s="261"/>
      <c r="LL210" s="261"/>
      <c r="LM210" s="261"/>
      <c r="LN210" s="261"/>
      <c r="LO210" s="261"/>
      <c r="LP210" s="261"/>
      <c r="LQ210" s="261"/>
      <c r="LR210" s="261"/>
      <c r="LS210" s="261"/>
      <c r="LT210" s="261"/>
      <c r="LU210" s="261"/>
      <c r="LV210" s="261"/>
      <c r="LW210" s="261"/>
      <c r="LX210" s="261"/>
      <c r="LY210" s="13"/>
      <c r="LZ210" s="261"/>
      <c r="MA210" s="13"/>
      <c r="MB210" s="261"/>
      <c r="MC210" s="261"/>
      <c r="MD210" s="261"/>
      <c r="ME210" s="261"/>
      <c r="MF210" s="261"/>
      <c r="MG210" s="261"/>
      <c r="MH210" s="261"/>
      <c r="MI210" s="261"/>
      <c r="MJ210" s="261"/>
      <c r="MK210" s="261"/>
      <c r="ML210" s="261"/>
      <c r="MM210" s="261"/>
      <c r="MN210" s="261"/>
      <c r="MO210" s="261"/>
      <c r="MP210" s="261"/>
      <c r="MQ210" s="261"/>
      <c r="MR210" s="261"/>
      <c r="MS210" s="261"/>
      <c r="MT210" s="261"/>
      <c r="MU210" s="261"/>
      <c r="MV210" s="261"/>
      <c r="MW210" s="261"/>
      <c r="MX210" s="261"/>
      <c r="MY210" s="13"/>
      <c r="MZ210" s="12"/>
      <c r="NA210" s="261"/>
      <c r="NB210" s="261"/>
      <c r="NC210" s="261"/>
      <c r="ND210" s="261"/>
      <c r="NE210" s="261"/>
      <c r="NF210" s="261"/>
      <c r="NG210" s="261"/>
      <c r="NH210" s="261"/>
      <c r="NI210" s="261"/>
      <c r="NJ210" s="261"/>
      <c r="NK210" s="13"/>
      <c r="NL210" s="261"/>
      <c r="NM210" s="261"/>
      <c r="NN210" s="13"/>
      <c r="OO210" s="263"/>
      <c r="OP210" s="263"/>
      <c r="OQ210" s="261"/>
      <c r="OR210" s="12"/>
      <c r="OS210" s="263"/>
      <c r="OT210" s="261"/>
      <c r="OU210" s="12"/>
      <c r="OV210" s="261"/>
      <c r="OW210" s="261"/>
      <c r="OX210" s="261"/>
      <c r="OY210" s="261"/>
      <c r="OZ210" s="261"/>
      <c r="PA210" s="261"/>
      <c r="PB210" s="261"/>
      <c r="PC210" s="261"/>
      <c r="PD210" s="261"/>
      <c r="PE210" s="261"/>
      <c r="PF210" s="261"/>
      <c r="PG210" s="261"/>
      <c r="PH210" s="261"/>
      <c r="PI210" s="261"/>
      <c r="PJ210" s="261"/>
      <c r="PK210" s="261"/>
      <c r="PL210" s="261"/>
      <c r="PM210" s="261"/>
      <c r="PN210" s="261"/>
      <c r="PO210" s="261"/>
      <c r="PP210" s="261"/>
      <c r="PQ210" s="261"/>
      <c r="PR210" s="261"/>
      <c r="PS210" s="261"/>
      <c r="PT210" s="261"/>
      <c r="PU210" s="261"/>
      <c r="PV210" s="261"/>
      <c r="PW210" s="261"/>
      <c r="PX210" s="261"/>
      <c r="PY210" s="261"/>
      <c r="PZ210" s="13"/>
      <c r="QA210" s="261"/>
      <c r="QB210" s="13"/>
      <c r="QC210" s="261"/>
      <c r="QD210" s="261"/>
      <c r="QE210" s="261"/>
      <c r="QF210" s="261"/>
      <c r="QG210" s="261"/>
      <c r="QH210" s="261"/>
      <c r="QI210" s="261"/>
      <c r="QJ210" s="261"/>
      <c r="QK210" s="261"/>
      <c r="QL210" s="261"/>
      <c r="QM210" s="261"/>
      <c r="QN210" s="261"/>
      <c r="QO210" s="261"/>
      <c r="QP210" s="261"/>
      <c r="QQ210" s="261"/>
      <c r="QR210" s="261"/>
      <c r="QS210" s="261"/>
      <c r="QT210" s="261"/>
      <c r="QU210" s="261"/>
      <c r="QV210" s="261"/>
      <c r="QW210" s="261"/>
      <c r="QX210" s="13"/>
      <c r="QY210" s="12"/>
      <c r="QZ210" s="13"/>
      <c r="RA210" s="261"/>
      <c r="RB210" s="261"/>
      <c r="RC210" s="261"/>
      <c r="RD210" s="261"/>
      <c r="RE210" s="261"/>
      <c r="RF210" s="261"/>
      <c r="RG210" s="261"/>
      <c r="RH210" s="261"/>
      <c r="RI210" s="261"/>
      <c r="RJ210" s="261"/>
      <c r="RK210" s="261"/>
      <c r="RL210" s="261"/>
      <c r="RM210" s="261"/>
      <c r="RN210" s="261"/>
      <c r="RO210" s="261"/>
      <c r="RP210" s="261"/>
      <c r="RQ210" s="261"/>
      <c r="RR210" s="261"/>
      <c r="RS210" s="261"/>
      <c r="RT210" s="261"/>
      <c r="RU210" s="261"/>
      <c r="RV210" s="261"/>
      <c r="RW210" s="261"/>
      <c r="RX210" s="261"/>
      <c r="RY210" s="261"/>
      <c r="RZ210" s="261"/>
      <c r="SA210" s="261"/>
      <c r="SB210" s="261"/>
      <c r="SC210" s="261"/>
      <c r="SD210" s="261"/>
      <c r="SE210" s="261"/>
      <c r="SF210" s="261"/>
      <c r="SG210" s="261"/>
      <c r="SH210" s="261"/>
      <c r="SI210" s="261"/>
      <c r="SJ210" s="261"/>
      <c r="SK210" s="261"/>
      <c r="SL210" s="261"/>
      <c r="SM210" s="261"/>
      <c r="SN210" s="261"/>
      <c r="SO210" s="261"/>
      <c r="SP210" s="261"/>
      <c r="SQ210" s="261"/>
      <c r="SR210" s="261"/>
      <c r="SS210" s="261"/>
      <c r="ST210" s="261"/>
      <c r="SU210" s="261"/>
      <c r="SV210" s="261"/>
      <c r="SW210" s="261"/>
      <c r="SX210" s="261"/>
      <c r="SY210" s="261"/>
      <c r="SZ210" s="261"/>
      <c r="TA210" s="261"/>
      <c r="TB210" s="261"/>
      <c r="TC210" s="261"/>
      <c r="TD210" s="13"/>
      <c r="TE210" s="261"/>
      <c r="TF210" s="261"/>
      <c r="TG210" s="13"/>
    </row>
    <row r="211" spans="65:527" ht="10.75" customHeight="1" x14ac:dyDescent="0.2">
      <c r="IV211" s="263"/>
      <c r="IW211" s="263"/>
      <c r="IX211" s="261"/>
      <c r="IY211" s="12"/>
      <c r="IZ211" s="263"/>
      <c r="JA211" s="261"/>
      <c r="JB211" s="12"/>
      <c r="JC211" s="261"/>
      <c r="JD211" s="261"/>
      <c r="JE211" s="261"/>
      <c r="JF211" s="261"/>
      <c r="JG211" s="261"/>
      <c r="JH211" s="261"/>
      <c r="JI211" s="261"/>
      <c r="JJ211" s="261"/>
      <c r="JK211" s="261"/>
      <c r="JL211" s="261"/>
      <c r="JM211" s="261"/>
      <c r="JN211" s="261"/>
      <c r="JO211" s="261"/>
      <c r="JP211" s="261"/>
      <c r="JQ211" s="261"/>
      <c r="JR211" s="261"/>
      <c r="JS211" s="261"/>
      <c r="JT211" s="261"/>
      <c r="JU211" s="261"/>
      <c r="JV211" s="261"/>
      <c r="JW211" s="261"/>
      <c r="JX211" s="261"/>
      <c r="JY211" s="261"/>
      <c r="JZ211" s="261"/>
      <c r="KA211" s="261"/>
      <c r="KB211" s="261"/>
      <c r="KC211" s="261"/>
      <c r="KD211" s="261"/>
      <c r="KE211" s="261"/>
      <c r="KF211" s="261"/>
      <c r="KG211" s="261"/>
      <c r="KH211" s="261"/>
      <c r="KI211" s="261"/>
      <c r="KJ211" s="261"/>
      <c r="KK211" s="261"/>
      <c r="KL211" s="261"/>
      <c r="KM211" s="261"/>
      <c r="KN211" s="261"/>
      <c r="KO211" s="261"/>
      <c r="KP211" s="261"/>
      <c r="KQ211" s="261"/>
      <c r="KR211" s="12"/>
      <c r="KS211" s="261"/>
      <c r="KT211" s="261"/>
      <c r="KU211" s="261"/>
      <c r="KV211" s="261"/>
      <c r="KW211" s="261"/>
      <c r="KX211" s="261"/>
      <c r="KY211" s="261"/>
      <c r="KZ211" s="261"/>
      <c r="LA211" s="261"/>
      <c r="LB211" s="261"/>
      <c r="LC211" s="261"/>
      <c r="LD211" s="261"/>
      <c r="LE211" s="13"/>
      <c r="LF211" s="12"/>
      <c r="LG211" s="13"/>
      <c r="LH211" s="12"/>
      <c r="LI211" s="261"/>
      <c r="LJ211" s="261"/>
      <c r="LK211" s="261"/>
      <c r="LL211" s="261"/>
      <c r="LM211" s="261"/>
      <c r="LN211" s="261"/>
      <c r="LO211" s="261"/>
      <c r="LP211" s="261"/>
      <c r="LQ211" s="261"/>
      <c r="LR211" s="261"/>
      <c r="LS211" s="261"/>
      <c r="LT211" s="261"/>
      <c r="LU211" s="261"/>
      <c r="LV211" s="261"/>
      <c r="LW211" s="261"/>
      <c r="LX211" s="261"/>
      <c r="LY211" s="13"/>
      <c r="LZ211" s="261"/>
      <c r="MA211" s="13"/>
      <c r="MB211" s="261"/>
      <c r="MC211" s="261"/>
      <c r="MD211" s="261"/>
      <c r="ME211" s="261"/>
      <c r="MF211" s="261"/>
      <c r="MG211" s="261"/>
      <c r="MH211" s="261"/>
      <c r="MI211" s="261"/>
      <c r="MJ211" s="261"/>
      <c r="MK211" s="261"/>
      <c r="ML211" s="261"/>
      <c r="MM211" s="261"/>
      <c r="MN211" s="261"/>
      <c r="MO211" s="261"/>
      <c r="MP211" s="261"/>
      <c r="MQ211" s="261"/>
      <c r="MR211" s="261"/>
      <c r="MS211" s="261"/>
      <c r="MT211" s="261"/>
      <c r="MU211" s="261"/>
      <c r="MV211" s="261"/>
      <c r="MW211" s="261"/>
      <c r="MX211" s="261"/>
      <c r="MY211" s="13"/>
      <c r="MZ211" s="12"/>
      <c r="NA211" s="261"/>
      <c r="NB211" s="261"/>
      <c r="NC211" s="261"/>
      <c r="ND211" s="261"/>
      <c r="NE211" s="261"/>
      <c r="NF211" s="261"/>
      <c r="NG211" s="261"/>
      <c r="NH211" s="261"/>
      <c r="NI211" s="261"/>
      <c r="NJ211" s="261"/>
      <c r="NK211" s="13"/>
      <c r="NL211" s="261"/>
      <c r="NM211" s="261"/>
      <c r="NN211" s="13"/>
      <c r="OO211" s="263"/>
      <c r="OP211" s="263"/>
      <c r="OQ211" s="261"/>
      <c r="OR211" s="12"/>
      <c r="OS211" s="263"/>
      <c r="OT211" s="261"/>
      <c r="OU211" s="12"/>
      <c r="OV211" s="261"/>
      <c r="OW211" s="261"/>
      <c r="OX211" s="261"/>
      <c r="OY211" s="261"/>
      <c r="OZ211" s="261"/>
      <c r="PA211" s="261"/>
      <c r="PB211" s="261"/>
      <c r="PC211" s="261"/>
      <c r="PD211" s="261"/>
      <c r="PE211" s="261"/>
      <c r="PF211" s="261"/>
      <c r="PG211" s="261"/>
      <c r="PH211" s="261"/>
      <c r="PI211" s="261"/>
      <c r="PJ211" s="261"/>
      <c r="PK211" s="261"/>
      <c r="PL211" s="261"/>
      <c r="PM211" s="261"/>
      <c r="PN211" s="261"/>
      <c r="PO211" s="261"/>
      <c r="PP211" s="261"/>
      <c r="PQ211" s="261"/>
      <c r="PR211" s="261"/>
      <c r="PS211" s="261"/>
      <c r="PT211" s="261"/>
      <c r="PU211" s="261"/>
      <c r="PV211" s="261"/>
      <c r="PW211" s="261"/>
      <c r="PX211" s="261"/>
      <c r="PY211" s="261"/>
      <c r="PZ211" s="13"/>
      <c r="QA211" s="261"/>
      <c r="QB211" s="13"/>
      <c r="QC211" s="261"/>
      <c r="QD211" s="261"/>
      <c r="QE211" s="261"/>
      <c r="QF211" s="261"/>
      <c r="QG211" s="261"/>
      <c r="QH211" s="261"/>
      <c r="QI211" s="261"/>
      <c r="QJ211" s="261"/>
      <c r="QK211" s="261"/>
      <c r="QL211" s="261"/>
      <c r="QM211" s="261"/>
      <c r="QN211" s="261"/>
      <c r="QO211" s="261"/>
      <c r="QP211" s="261"/>
      <c r="QQ211" s="261"/>
      <c r="QR211" s="261"/>
      <c r="QS211" s="261"/>
      <c r="QT211" s="261"/>
      <c r="QU211" s="261"/>
      <c r="QV211" s="261"/>
      <c r="QW211" s="261"/>
      <c r="QX211" s="13"/>
      <c r="QY211" s="12"/>
      <c r="QZ211" s="13"/>
      <c r="RA211" s="261"/>
      <c r="RB211" s="261"/>
      <c r="RC211" s="261"/>
      <c r="RD211" s="261"/>
      <c r="RE211" s="261"/>
      <c r="RF211" s="261"/>
      <c r="RG211" s="261"/>
      <c r="RH211" s="261"/>
      <c r="RI211" s="261"/>
      <c r="RJ211" s="261"/>
      <c r="RK211" s="261"/>
      <c r="RL211" s="261"/>
      <c r="RM211" s="261"/>
      <c r="RN211" s="261"/>
      <c r="RO211" s="261"/>
      <c r="RP211" s="261"/>
      <c r="RQ211" s="261"/>
      <c r="RR211" s="261"/>
      <c r="RS211" s="261"/>
      <c r="RT211" s="261"/>
      <c r="RU211" s="261"/>
      <c r="RV211" s="261"/>
      <c r="RW211" s="261"/>
      <c r="RX211" s="261"/>
      <c r="RY211" s="261"/>
      <c r="RZ211" s="261"/>
      <c r="SA211" s="261"/>
      <c r="SB211" s="261"/>
      <c r="SC211" s="261"/>
      <c r="SD211" s="261"/>
      <c r="SE211" s="261"/>
      <c r="SF211" s="261"/>
      <c r="SG211" s="261"/>
      <c r="SH211" s="261"/>
      <c r="SI211" s="261"/>
      <c r="SJ211" s="261"/>
      <c r="SK211" s="261"/>
      <c r="SL211" s="261"/>
      <c r="SM211" s="261"/>
      <c r="SN211" s="261"/>
      <c r="SO211" s="261"/>
      <c r="SP211" s="261"/>
      <c r="SQ211" s="261"/>
      <c r="SR211" s="261"/>
      <c r="SS211" s="261"/>
      <c r="ST211" s="261"/>
      <c r="SU211" s="261"/>
      <c r="SV211" s="261"/>
      <c r="SW211" s="261"/>
      <c r="SX211" s="261"/>
      <c r="SY211" s="261"/>
      <c r="SZ211" s="261"/>
      <c r="TA211" s="261"/>
      <c r="TB211" s="261"/>
      <c r="TC211" s="261"/>
      <c r="TD211" s="13"/>
      <c r="TE211" s="261"/>
      <c r="TF211" s="261"/>
      <c r="TG211" s="13"/>
    </row>
    <row r="212" spans="65:527" ht="10.75" customHeight="1" x14ac:dyDescent="0.2">
      <c r="BM212" s="9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C212" s="10"/>
      <c r="DD212" s="10"/>
      <c r="DE212" s="10"/>
      <c r="DF212" s="10"/>
      <c r="DG212" s="10"/>
      <c r="DH212" s="10"/>
      <c r="DI212" s="10"/>
      <c r="DJ212" s="10"/>
      <c r="DK212" s="10"/>
      <c r="DL212" s="10"/>
      <c r="DM212" s="10"/>
      <c r="DN212" s="10"/>
      <c r="DO212" s="10"/>
      <c r="DP212" s="10"/>
      <c r="DQ212" s="10"/>
      <c r="DR212" s="10"/>
      <c r="DS212" s="10"/>
      <c r="DT212" s="10"/>
      <c r="DU212" s="10"/>
      <c r="DV212" s="10"/>
      <c r="DW212" s="10"/>
      <c r="DX212" s="10"/>
      <c r="DY212" s="10"/>
      <c r="DZ212" s="10"/>
      <c r="EA212" s="10"/>
      <c r="EB212" s="10"/>
      <c r="EC212" s="10"/>
      <c r="ED212" s="10"/>
      <c r="EE212" s="10"/>
      <c r="EF212" s="10"/>
      <c r="EG212" s="10"/>
      <c r="EH212" s="10"/>
      <c r="EI212" s="10"/>
      <c r="EJ212" s="10"/>
      <c r="EK212" s="10"/>
      <c r="EL212" s="10"/>
      <c r="EM212" s="10"/>
      <c r="EN212" s="10"/>
      <c r="EO212" s="10"/>
      <c r="EP212" s="10"/>
      <c r="EQ212" s="10"/>
      <c r="ER212" s="10"/>
      <c r="ES212" s="10"/>
      <c r="ET212" s="10"/>
      <c r="EU212" s="10"/>
      <c r="EV212" s="10"/>
      <c r="EW212" s="10"/>
      <c r="EX212" s="10"/>
      <c r="EY212" s="10"/>
      <c r="EZ212" s="10"/>
      <c r="FA212" s="10"/>
      <c r="FB212" s="10"/>
      <c r="FC212" s="10"/>
      <c r="FD212" s="11"/>
      <c r="IV212" s="263"/>
      <c r="IW212" s="263"/>
      <c r="IX212" s="261"/>
      <c r="IY212" s="12"/>
      <c r="IZ212" s="263"/>
      <c r="JA212" s="261"/>
      <c r="JB212" s="12"/>
      <c r="JC212" s="261"/>
      <c r="JD212" s="261"/>
      <c r="JE212" s="261"/>
      <c r="JF212" s="261"/>
      <c r="JG212" s="261"/>
      <c r="JH212" s="261"/>
      <c r="JI212" s="261"/>
      <c r="JJ212" s="261"/>
      <c r="JK212" s="261"/>
      <c r="JL212" s="261"/>
      <c r="JM212" s="261"/>
      <c r="JN212" s="261"/>
      <c r="JO212" s="261"/>
      <c r="JP212" s="261"/>
      <c r="JQ212" s="261"/>
      <c r="JR212" s="261"/>
      <c r="JS212" s="261"/>
      <c r="JT212" s="261"/>
      <c r="JU212" s="261"/>
      <c r="JV212" s="261"/>
      <c r="JW212" s="261"/>
      <c r="JX212" s="261"/>
      <c r="JY212" s="261"/>
      <c r="JZ212" s="261"/>
      <c r="KA212" s="261"/>
      <c r="KB212" s="261"/>
      <c r="KC212" s="261"/>
      <c r="KD212" s="261"/>
      <c r="KE212" s="261"/>
      <c r="KF212" s="261"/>
      <c r="KG212" s="261"/>
      <c r="KH212" s="261"/>
      <c r="KI212" s="261"/>
      <c r="KJ212" s="261"/>
      <c r="KK212" s="261"/>
      <c r="KL212" s="261"/>
      <c r="KM212" s="261"/>
      <c r="KN212" s="261"/>
      <c r="KO212" s="261"/>
      <c r="KP212" s="261"/>
      <c r="KQ212" s="261"/>
      <c r="KR212" s="12"/>
      <c r="KS212" s="261"/>
      <c r="KT212" s="261"/>
      <c r="KU212" s="261"/>
      <c r="KV212" s="261"/>
      <c r="KW212" s="261"/>
      <c r="KX212" s="261"/>
      <c r="KY212" s="261"/>
      <c r="KZ212" s="261"/>
      <c r="LA212" s="261"/>
      <c r="LB212" s="261"/>
      <c r="LC212" s="261"/>
      <c r="LD212" s="261"/>
      <c r="LE212" s="13"/>
      <c r="LF212" s="12"/>
      <c r="LG212" s="13"/>
      <c r="LH212" s="12"/>
      <c r="LI212" s="261"/>
      <c r="LJ212" s="261"/>
      <c r="LK212" s="261"/>
      <c r="LL212" s="261"/>
      <c r="LM212" s="261"/>
      <c r="LN212" s="261"/>
      <c r="LO212" s="261"/>
      <c r="LP212" s="261"/>
      <c r="LQ212" s="261"/>
      <c r="LR212" s="261"/>
      <c r="LS212" s="261"/>
      <c r="LT212" s="261"/>
      <c r="LU212" s="261"/>
      <c r="LV212" s="261"/>
      <c r="LW212" s="261"/>
      <c r="LX212" s="261"/>
      <c r="LY212" s="13"/>
      <c r="LZ212" s="261"/>
      <c r="MA212" s="13"/>
      <c r="MB212" s="261"/>
      <c r="MC212" s="261"/>
      <c r="MD212" s="261"/>
      <c r="ME212" s="261"/>
      <c r="MF212" s="261"/>
      <c r="MG212" s="261"/>
      <c r="MH212" s="261"/>
      <c r="MI212" s="261"/>
      <c r="MJ212" s="261"/>
      <c r="MK212" s="261"/>
      <c r="ML212" s="261"/>
      <c r="MM212" s="261"/>
      <c r="MN212" s="261"/>
      <c r="MO212" s="261"/>
      <c r="MP212" s="261"/>
      <c r="MQ212" s="261"/>
      <c r="MR212" s="261"/>
      <c r="MS212" s="261"/>
      <c r="MT212" s="261"/>
      <c r="MU212" s="261"/>
      <c r="MV212" s="261"/>
      <c r="MW212" s="261"/>
      <c r="MX212" s="261"/>
      <c r="MY212" s="13"/>
      <c r="MZ212" s="12"/>
      <c r="NA212" s="261"/>
      <c r="NB212" s="261"/>
      <c r="NC212" s="261"/>
      <c r="ND212" s="261"/>
      <c r="NE212" s="261"/>
      <c r="NF212" s="261"/>
      <c r="NG212" s="261"/>
      <c r="NH212" s="261"/>
      <c r="NI212" s="261"/>
      <c r="NJ212" s="261"/>
      <c r="NK212" s="13"/>
      <c r="NL212" s="261"/>
      <c r="NM212" s="261"/>
      <c r="NN212" s="13"/>
      <c r="OO212" s="263"/>
      <c r="OP212" s="263"/>
      <c r="OQ212" s="261"/>
      <c r="OR212" s="12"/>
      <c r="OS212" s="263"/>
      <c r="OT212" s="261"/>
      <c r="OU212" s="12"/>
      <c r="OV212" s="261"/>
      <c r="OW212" s="261"/>
      <c r="OX212" s="261"/>
      <c r="OY212" s="261"/>
      <c r="OZ212" s="261"/>
      <c r="PA212" s="261"/>
      <c r="PB212" s="261"/>
      <c r="PC212" s="261"/>
      <c r="PD212" s="261"/>
      <c r="PE212" s="261"/>
      <c r="PF212" s="261"/>
      <c r="PG212" s="261"/>
      <c r="PH212" s="261"/>
      <c r="PI212" s="261"/>
      <c r="PJ212" s="261"/>
      <c r="PK212" s="261"/>
      <c r="PL212" s="261"/>
      <c r="PM212" s="261"/>
      <c r="PN212" s="261"/>
      <c r="PO212" s="261"/>
      <c r="PP212" s="261"/>
      <c r="PQ212" s="261"/>
      <c r="PR212" s="261"/>
      <c r="PS212" s="261"/>
      <c r="PT212" s="261"/>
      <c r="PU212" s="261"/>
      <c r="PV212" s="261"/>
      <c r="PW212" s="261"/>
      <c r="PX212" s="261"/>
      <c r="PY212" s="261"/>
      <c r="PZ212" s="13"/>
      <c r="QA212" s="261"/>
      <c r="QB212" s="13"/>
      <c r="QC212" s="261"/>
      <c r="QD212" s="261"/>
      <c r="QE212" s="261"/>
      <c r="QF212" s="261"/>
      <c r="QG212" s="261"/>
      <c r="QH212" s="261"/>
      <c r="QI212" s="261"/>
      <c r="QJ212" s="261"/>
      <c r="QK212" s="261"/>
      <c r="QL212" s="261"/>
      <c r="QM212" s="261"/>
      <c r="QN212" s="261"/>
      <c r="QO212" s="261"/>
      <c r="QP212" s="261"/>
      <c r="QQ212" s="261"/>
      <c r="QR212" s="261"/>
      <c r="QS212" s="261"/>
      <c r="QT212" s="261"/>
      <c r="QU212" s="261"/>
      <c r="QV212" s="261"/>
      <c r="QW212" s="261"/>
      <c r="QX212" s="13"/>
      <c r="QY212" s="12"/>
      <c r="QZ212" s="13"/>
      <c r="RA212" s="261"/>
      <c r="RB212" s="261"/>
      <c r="RC212" s="261"/>
      <c r="RD212" s="261"/>
      <c r="RE212" s="261"/>
      <c r="RF212" s="261"/>
      <c r="RG212" s="261"/>
      <c r="RH212" s="261"/>
      <c r="RI212" s="261"/>
      <c r="RJ212" s="261"/>
      <c r="RK212" s="261"/>
      <c r="RL212" s="261"/>
      <c r="RM212" s="261"/>
      <c r="RN212" s="261"/>
      <c r="RO212" s="261"/>
      <c r="RP212" s="261"/>
      <c r="RQ212" s="261"/>
      <c r="RR212" s="261"/>
      <c r="RS212" s="261"/>
      <c r="RT212" s="261"/>
      <c r="RU212" s="261"/>
      <c r="RV212" s="261"/>
      <c r="RW212" s="261"/>
      <c r="RX212" s="261"/>
      <c r="RY212" s="261"/>
      <c r="RZ212" s="261"/>
      <c r="SA212" s="261"/>
      <c r="SB212" s="261"/>
      <c r="SC212" s="261"/>
      <c r="SD212" s="261"/>
      <c r="SE212" s="261"/>
      <c r="SF212" s="261"/>
      <c r="SG212" s="261"/>
      <c r="SH212" s="261"/>
      <c r="SI212" s="261"/>
      <c r="SJ212" s="261"/>
      <c r="SK212" s="261"/>
      <c r="SL212" s="261"/>
      <c r="SM212" s="261"/>
      <c r="SN212" s="261"/>
      <c r="SO212" s="261"/>
      <c r="SP212" s="261"/>
      <c r="SQ212" s="261"/>
      <c r="SR212" s="261"/>
      <c r="SS212" s="261"/>
      <c r="ST212" s="261"/>
      <c r="SU212" s="261"/>
      <c r="SV212" s="261"/>
      <c r="SW212" s="261"/>
      <c r="SX212" s="261"/>
      <c r="SY212" s="261"/>
      <c r="SZ212" s="261"/>
      <c r="TA212" s="261"/>
      <c r="TB212" s="261"/>
      <c r="TC212" s="261"/>
      <c r="TD212" s="13"/>
      <c r="TE212" s="261"/>
      <c r="TF212" s="261"/>
      <c r="TG212" s="13"/>
    </row>
    <row r="213" spans="65:527" ht="10.75" customHeight="1" x14ac:dyDescent="0.2">
      <c r="BM213" s="14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R213" s="15"/>
      <c r="CS213" s="15"/>
      <c r="CT213" s="15"/>
      <c r="CU213" s="15"/>
      <c r="CV213" s="15"/>
      <c r="CW213" s="15"/>
      <c r="CX213" s="15"/>
      <c r="CY213" s="15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5"/>
      <c r="DP213" s="15"/>
      <c r="DQ213" s="15"/>
      <c r="DR213" s="15"/>
      <c r="DS213" s="15"/>
      <c r="DT213" s="15"/>
      <c r="DU213" s="15"/>
      <c r="DV213" s="15"/>
      <c r="DW213" s="15"/>
      <c r="DX213" s="15"/>
      <c r="DY213" s="15"/>
      <c r="DZ213" s="15"/>
      <c r="EA213" s="15"/>
      <c r="EB213" s="15"/>
      <c r="EC213" s="15"/>
      <c r="ED213" s="15"/>
      <c r="EE213" s="15"/>
      <c r="EF213" s="15"/>
      <c r="EG213" s="15"/>
      <c r="EH213" s="15"/>
      <c r="EI213" s="15"/>
      <c r="EJ213" s="15"/>
      <c r="EK213" s="15"/>
      <c r="EL213" s="15"/>
      <c r="EM213" s="15"/>
      <c r="EN213" s="15"/>
      <c r="EO213" s="15"/>
      <c r="EP213" s="15"/>
      <c r="EQ213" s="15"/>
      <c r="ER213" s="15"/>
      <c r="ES213" s="15"/>
      <c r="ET213" s="15"/>
      <c r="EU213" s="15"/>
      <c r="EV213" s="15"/>
      <c r="EW213" s="15"/>
      <c r="EX213" s="15"/>
      <c r="EY213" s="15"/>
      <c r="EZ213" s="15"/>
      <c r="FA213" s="15"/>
      <c r="FB213" s="15"/>
      <c r="FC213" s="15"/>
      <c r="FD213" s="16"/>
      <c r="IV213" s="263"/>
      <c r="IW213" s="263"/>
      <c r="IX213" s="261"/>
      <c r="IY213" s="12"/>
      <c r="IZ213" s="263"/>
      <c r="JA213" s="261"/>
      <c r="JB213" s="12"/>
      <c r="JC213" s="261"/>
      <c r="JD213" s="261"/>
      <c r="JE213" s="261"/>
      <c r="JF213" s="261"/>
      <c r="JG213" s="261"/>
      <c r="JH213" s="261"/>
      <c r="JI213" s="261"/>
      <c r="JJ213" s="261"/>
      <c r="JK213" s="261"/>
      <c r="JL213" s="261"/>
      <c r="JM213" s="261"/>
      <c r="JN213" s="261"/>
      <c r="JO213" s="261"/>
      <c r="JP213" s="261"/>
      <c r="JQ213" s="261"/>
      <c r="JR213" s="261"/>
      <c r="JS213" s="261"/>
      <c r="JT213" s="261"/>
      <c r="JU213" s="261"/>
      <c r="JV213" s="261"/>
      <c r="JW213" s="261"/>
      <c r="JX213" s="261"/>
      <c r="JY213" s="261"/>
      <c r="JZ213" s="261"/>
      <c r="KA213" s="261"/>
      <c r="KB213" s="261"/>
      <c r="KC213" s="261"/>
      <c r="KD213" s="261"/>
      <c r="KE213" s="261"/>
      <c r="KF213" s="261"/>
      <c r="KG213" s="261"/>
      <c r="KH213" s="261"/>
      <c r="KI213" s="261"/>
      <c r="KJ213" s="261"/>
      <c r="KK213" s="261"/>
      <c r="KL213" s="261"/>
      <c r="KM213" s="261"/>
      <c r="KN213" s="261"/>
      <c r="KO213" s="261"/>
      <c r="KP213" s="261"/>
      <c r="KQ213" s="261"/>
      <c r="KR213" s="12"/>
      <c r="KS213" s="261"/>
      <c r="KT213" s="261"/>
      <c r="KU213" s="261"/>
      <c r="KV213" s="261"/>
      <c r="KW213" s="261"/>
      <c r="KX213" s="261"/>
      <c r="KY213" s="261"/>
      <c r="KZ213" s="261"/>
      <c r="LA213" s="261"/>
      <c r="LB213" s="261"/>
      <c r="LC213" s="261"/>
      <c r="LD213" s="261"/>
      <c r="LE213" s="13"/>
      <c r="LF213" s="12"/>
      <c r="LG213" s="13"/>
      <c r="LH213" s="12"/>
      <c r="LI213" s="261"/>
      <c r="LJ213" s="261"/>
      <c r="LK213" s="261"/>
      <c r="LL213" s="261"/>
      <c r="LM213" s="261"/>
      <c r="LN213" s="261"/>
      <c r="LO213" s="261"/>
      <c r="LP213" s="261"/>
      <c r="LQ213" s="261"/>
      <c r="LR213" s="261"/>
      <c r="LS213" s="261"/>
      <c r="LT213" s="261"/>
      <c r="LU213" s="261"/>
      <c r="LV213" s="261"/>
      <c r="LW213" s="261"/>
      <c r="LX213" s="261"/>
      <c r="LY213" s="13"/>
      <c r="LZ213" s="261"/>
      <c r="MA213" s="13"/>
      <c r="MB213" s="261"/>
      <c r="MC213" s="261"/>
      <c r="MD213" s="261"/>
      <c r="ME213" s="261"/>
      <c r="MF213" s="261"/>
      <c r="MG213" s="261"/>
      <c r="MH213" s="261"/>
      <c r="MI213" s="261"/>
      <c r="MJ213" s="261"/>
      <c r="MK213" s="261"/>
      <c r="ML213" s="261"/>
      <c r="MM213" s="261"/>
      <c r="MN213" s="261"/>
      <c r="MO213" s="261"/>
      <c r="MP213" s="261"/>
      <c r="MQ213" s="261"/>
      <c r="MR213" s="261"/>
      <c r="MS213" s="261"/>
      <c r="MT213" s="261"/>
      <c r="MU213" s="261"/>
      <c r="MV213" s="261"/>
      <c r="MW213" s="261"/>
      <c r="MX213" s="261"/>
      <c r="MY213" s="13"/>
      <c r="MZ213" s="12"/>
      <c r="NA213" s="261"/>
      <c r="NB213" s="261"/>
      <c r="NC213" s="261"/>
      <c r="ND213" s="261"/>
      <c r="NE213" s="261"/>
      <c r="NF213" s="261"/>
      <c r="NG213" s="261"/>
      <c r="NH213" s="261"/>
      <c r="NI213" s="261"/>
      <c r="NJ213" s="261"/>
      <c r="NK213" s="13"/>
      <c r="NL213" s="261"/>
      <c r="NM213" s="261"/>
      <c r="NN213" s="13"/>
      <c r="OO213" s="263"/>
      <c r="OP213" s="263"/>
      <c r="OQ213" s="261"/>
      <c r="OR213" s="12"/>
      <c r="OS213" s="263"/>
      <c r="OT213" s="261"/>
      <c r="OU213" s="12"/>
      <c r="OV213" s="261"/>
      <c r="OW213" s="261"/>
      <c r="OX213" s="261"/>
      <c r="OY213" s="261"/>
      <c r="OZ213" s="261"/>
      <c r="PA213" s="261"/>
      <c r="PB213" s="261"/>
      <c r="PC213" s="261"/>
      <c r="PD213" s="261"/>
      <c r="PE213" s="261"/>
      <c r="PF213" s="261"/>
      <c r="PG213" s="261"/>
      <c r="PH213" s="261"/>
      <c r="PI213" s="261"/>
      <c r="PJ213" s="261"/>
      <c r="PK213" s="261"/>
      <c r="PL213" s="261"/>
      <c r="PM213" s="261"/>
      <c r="PN213" s="261"/>
      <c r="PO213" s="261"/>
      <c r="PP213" s="261"/>
      <c r="PQ213" s="261"/>
      <c r="PR213" s="261"/>
      <c r="PS213" s="261"/>
      <c r="PT213" s="261"/>
      <c r="PU213" s="261"/>
      <c r="PV213" s="261"/>
      <c r="PW213" s="261"/>
      <c r="PX213" s="261"/>
      <c r="PY213" s="261"/>
      <c r="PZ213" s="13"/>
      <c r="QA213" s="261"/>
      <c r="QB213" s="13"/>
      <c r="QC213" s="261"/>
      <c r="QD213" s="261"/>
      <c r="QE213" s="261"/>
      <c r="QF213" s="261"/>
      <c r="QG213" s="261"/>
      <c r="QH213" s="261"/>
      <c r="QI213" s="261"/>
      <c r="QJ213" s="261"/>
      <c r="QK213" s="261"/>
      <c r="QL213" s="261"/>
      <c r="QM213" s="261"/>
      <c r="QN213" s="261"/>
      <c r="QO213" s="261"/>
      <c r="QP213" s="261"/>
      <c r="QQ213" s="261"/>
      <c r="QR213" s="261"/>
      <c r="QS213" s="261"/>
      <c r="QT213" s="261"/>
      <c r="QU213" s="261"/>
      <c r="QV213" s="261"/>
      <c r="QW213" s="261"/>
      <c r="QX213" s="13"/>
      <c r="QY213" s="12"/>
      <c r="QZ213" s="13"/>
      <c r="RA213" s="261"/>
      <c r="RB213" s="261"/>
      <c r="RC213" s="261"/>
      <c r="RD213" s="261"/>
      <c r="RE213" s="261"/>
      <c r="RF213" s="261"/>
      <c r="RG213" s="261"/>
      <c r="RH213" s="261"/>
      <c r="RI213" s="261"/>
      <c r="RJ213" s="261"/>
      <c r="RK213" s="261"/>
      <c r="RL213" s="261"/>
      <c r="RM213" s="261"/>
      <c r="RN213" s="261"/>
      <c r="RO213" s="261"/>
      <c r="RP213" s="261"/>
      <c r="RQ213" s="261"/>
      <c r="RR213" s="261"/>
      <c r="RS213" s="261"/>
      <c r="RT213" s="261"/>
      <c r="RU213" s="261"/>
      <c r="RV213" s="261"/>
      <c r="RW213" s="261"/>
      <c r="RX213" s="261"/>
      <c r="RY213" s="261"/>
      <c r="RZ213" s="261"/>
      <c r="SA213" s="261"/>
      <c r="SB213" s="261"/>
      <c r="SC213" s="261"/>
      <c r="SD213" s="261"/>
      <c r="SE213" s="261"/>
      <c r="SF213" s="261"/>
      <c r="SG213" s="261"/>
      <c r="SH213" s="261"/>
      <c r="SI213" s="261"/>
      <c r="SJ213" s="261"/>
      <c r="SK213" s="261"/>
      <c r="SL213" s="261"/>
      <c r="SM213" s="261"/>
      <c r="SN213" s="261"/>
      <c r="SO213" s="261"/>
      <c r="SP213" s="261"/>
      <c r="SQ213" s="261"/>
      <c r="SR213" s="261"/>
      <c r="SS213" s="261"/>
      <c r="ST213" s="261"/>
      <c r="SU213" s="261"/>
      <c r="SV213" s="261"/>
      <c r="SW213" s="261"/>
      <c r="SX213" s="261"/>
      <c r="SY213" s="261"/>
      <c r="SZ213" s="261"/>
      <c r="TA213" s="261"/>
      <c r="TB213" s="261"/>
      <c r="TC213" s="261"/>
      <c r="TD213" s="13"/>
      <c r="TE213" s="261"/>
      <c r="TF213" s="261"/>
      <c r="TG213" s="13"/>
    </row>
    <row r="214" spans="65:527" ht="10.75" customHeight="1" x14ac:dyDescent="0.2">
      <c r="BS214" s="12"/>
      <c r="BT214" s="13"/>
      <c r="BU214" s="9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1"/>
      <c r="EW214" s="12"/>
      <c r="EX214" s="13"/>
      <c r="IV214" s="263"/>
      <c r="IW214" s="263"/>
      <c r="IX214" s="261"/>
      <c r="IY214" s="12"/>
      <c r="IZ214" s="263"/>
      <c r="JA214" s="261"/>
      <c r="JB214" s="12"/>
      <c r="JC214" s="261"/>
      <c r="JD214" s="261"/>
      <c r="JE214" s="261"/>
      <c r="JF214" s="261"/>
      <c r="JG214" s="261"/>
      <c r="JH214" s="261"/>
      <c r="JI214" s="261"/>
      <c r="JJ214" s="261"/>
      <c r="JK214" s="261"/>
      <c r="JL214" s="261"/>
      <c r="JM214" s="261"/>
      <c r="JN214" s="261"/>
      <c r="JO214" s="261"/>
      <c r="JP214" s="261"/>
      <c r="JQ214" s="261"/>
      <c r="JR214" s="261"/>
      <c r="JS214" s="261"/>
      <c r="JT214" s="261"/>
      <c r="JU214" s="261"/>
      <c r="JV214" s="261"/>
      <c r="JW214" s="261"/>
      <c r="JX214" s="261"/>
      <c r="JY214" s="261"/>
      <c r="JZ214" s="261"/>
      <c r="KA214" s="261"/>
      <c r="KB214" s="261"/>
      <c r="KC214" s="261"/>
      <c r="KD214" s="261"/>
      <c r="KE214" s="261"/>
      <c r="KF214" s="261"/>
      <c r="KG214" s="261"/>
      <c r="KH214" s="261"/>
      <c r="KI214" s="261"/>
      <c r="KJ214" s="261"/>
      <c r="KK214" s="261"/>
      <c r="KL214" s="261"/>
      <c r="KM214" s="261"/>
      <c r="KN214" s="261"/>
      <c r="KO214" s="261"/>
      <c r="KP214" s="261"/>
      <c r="KQ214" s="261"/>
      <c r="KR214" s="12"/>
      <c r="KS214" s="261"/>
      <c r="KT214" s="261"/>
      <c r="KU214" s="261"/>
      <c r="KV214" s="261"/>
      <c r="KW214" s="261"/>
      <c r="KX214" s="261"/>
      <c r="KY214" s="261"/>
      <c r="KZ214" s="261"/>
      <c r="LA214" s="261"/>
      <c r="LB214" s="261"/>
      <c r="LC214" s="261"/>
      <c r="LD214" s="261"/>
      <c r="LE214" s="13"/>
      <c r="LF214" s="12"/>
      <c r="LG214" s="13"/>
      <c r="LH214" s="12"/>
      <c r="LI214" s="261"/>
      <c r="LJ214" s="261"/>
      <c r="LK214" s="261"/>
      <c r="LL214" s="261"/>
      <c r="LM214" s="261"/>
      <c r="LN214" s="261"/>
      <c r="LO214" s="261"/>
      <c r="LP214" s="261"/>
      <c r="LQ214" s="261"/>
      <c r="LR214" s="261"/>
      <c r="LS214" s="261"/>
      <c r="LT214" s="261"/>
      <c r="LU214" s="261"/>
      <c r="LV214" s="261"/>
      <c r="LW214" s="261"/>
      <c r="LX214" s="261"/>
      <c r="LY214" s="13"/>
      <c r="LZ214" s="261"/>
      <c r="MA214" s="13"/>
      <c r="MB214" s="261"/>
      <c r="MC214" s="261"/>
      <c r="MD214" s="261"/>
      <c r="ME214" s="261"/>
      <c r="MF214" s="261"/>
      <c r="MG214" s="261"/>
      <c r="MH214" s="261"/>
      <c r="MI214" s="261"/>
      <c r="MJ214" s="261"/>
      <c r="MK214" s="261"/>
      <c r="ML214" s="261"/>
      <c r="MM214" s="261"/>
      <c r="MN214" s="261"/>
      <c r="MO214" s="261"/>
      <c r="MP214" s="261"/>
      <c r="MQ214" s="261"/>
      <c r="MR214" s="261"/>
      <c r="MS214" s="261"/>
      <c r="MT214" s="261"/>
      <c r="MU214" s="261"/>
      <c r="MV214" s="261"/>
      <c r="MW214" s="261"/>
      <c r="MX214" s="261"/>
      <c r="MY214" s="13"/>
      <c r="MZ214" s="12"/>
      <c r="NA214" s="261"/>
      <c r="NB214" s="261"/>
      <c r="NC214" s="261"/>
      <c r="ND214" s="261"/>
      <c r="NE214" s="261"/>
      <c r="NF214" s="261"/>
      <c r="NG214" s="261"/>
      <c r="NH214" s="261"/>
      <c r="NI214" s="261"/>
      <c r="NJ214" s="261"/>
      <c r="NK214" s="13"/>
      <c r="NL214" s="261"/>
      <c r="NM214" s="261"/>
      <c r="NN214" s="13"/>
      <c r="OO214" s="263"/>
      <c r="OP214" s="263"/>
      <c r="OQ214" s="261"/>
      <c r="OR214" s="12"/>
      <c r="OS214" s="263"/>
      <c r="OT214" s="261"/>
      <c r="OU214" s="12"/>
      <c r="OV214" s="261"/>
      <c r="OW214" s="261"/>
      <c r="OX214" s="261"/>
      <c r="OY214" s="261"/>
      <c r="OZ214" s="261"/>
      <c r="PA214" s="261"/>
      <c r="PB214" s="261"/>
      <c r="PC214" s="261"/>
      <c r="PD214" s="261"/>
      <c r="PE214" s="261"/>
      <c r="PF214" s="261"/>
      <c r="PG214" s="261"/>
      <c r="PH214" s="261"/>
      <c r="PI214" s="261"/>
      <c r="PJ214" s="261"/>
      <c r="PK214" s="261"/>
      <c r="PL214" s="261"/>
      <c r="PM214" s="261"/>
      <c r="PN214" s="261"/>
      <c r="PO214" s="261"/>
      <c r="PP214" s="261"/>
      <c r="PQ214" s="261"/>
      <c r="PR214" s="261"/>
      <c r="PS214" s="261"/>
      <c r="PT214" s="261"/>
      <c r="PU214" s="261"/>
      <c r="PV214" s="261"/>
      <c r="PW214" s="261"/>
      <c r="PX214" s="261"/>
      <c r="PY214" s="261"/>
      <c r="PZ214" s="13"/>
      <c r="QA214" s="261"/>
      <c r="QB214" s="13"/>
      <c r="QC214" s="261"/>
      <c r="QD214" s="261"/>
      <c r="QE214" s="261"/>
      <c r="QF214" s="261"/>
      <c r="QG214" s="261"/>
      <c r="QH214" s="261"/>
      <c r="QI214" s="261"/>
      <c r="QJ214" s="261"/>
      <c r="QK214" s="261"/>
      <c r="QL214" s="261"/>
      <c r="QM214" s="261"/>
      <c r="QN214" s="261"/>
      <c r="QO214" s="261"/>
      <c r="QP214" s="261"/>
      <c r="QQ214" s="261"/>
      <c r="QR214" s="261"/>
      <c r="QS214" s="261"/>
      <c r="QT214" s="261"/>
      <c r="QU214" s="261"/>
      <c r="QV214" s="261"/>
      <c r="QW214" s="261"/>
      <c r="QX214" s="13"/>
      <c r="QY214" s="12"/>
      <c r="QZ214" s="13"/>
      <c r="RA214" s="261"/>
      <c r="RB214" s="261"/>
      <c r="RC214" s="261"/>
      <c r="RD214" s="261"/>
      <c r="RE214" s="261"/>
      <c r="RF214" s="261"/>
      <c r="RG214" s="261"/>
      <c r="RH214" s="261"/>
      <c r="RI214" s="261"/>
      <c r="RJ214" s="261"/>
      <c r="RK214" s="261"/>
      <c r="RL214" s="261"/>
      <c r="RM214" s="261"/>
      <c r="RN214" s="261"/>
      <c r="RO214" s="261"/>
      <c r="RP214" s="261"/>
      <c r="RQ214" s="261"/>
      <c r="RR214" s="261"/>
      <c r="RS214" s="261"/>
      <c r="RT214" s="261"/>
      <c r="RU214" s="261"/>
      <c r="RV214" s="261"/>
      <c r="RW214" s="261"/>
      <c r="RX214" s="261"/>
      <c r="RY214" s="261"/>
      <c r="RZ214" s="261"/>
      <c r="SA214" s="261"/>
      <c r="SB214" s="261"/>
      <c r="SC214" s="261"/>
      <c r="SD214" s="261"/>
      <c r="SE214" s="261"/>
      <c r="SF214" s="261"/>
      <c r="SG214" s="261"/>
      <c r="SH214" s="261"/>
      <c r="SI214" s="261"/>
      <c r="SJ214" s="261"/>
      <c r="SK214" s="261"/>
      <c r="SL214" s="261"/>
      <c r="SM214" s="261"/>
      <c r="SN214" s="261"/>
      <c r="SO214" s="261"/>
      <c r="SP214" s="261"/>
      <c r="SQ214" s="261"/>
      <c r="SR214" s="261"/>
      <c r="SS214" s="261"/>
      <c r="ST214" s="261"/>
      <c r="SU214" s="261"/>
      <c r="SV214" s="261"/>
      <c r="SW214" s="261"/>
      <c r="SX214" s="261"/>
      <c r="SY214" s="261"/>
      <c r="SZ214" s="261"/>
      <c r="TA214" s="261"/>
      <c r="TB214" s="261"/>
      <c r="TC214" s="261"/>
      <c r="TD214" s="13"/>
      <c r="TE214" s="261"/>
      <c r="TF214" s="261"/>
      <c r="TG214" s="13"/>
    </row>
    <row r="215" spans="65:527" ht="10.75" customHeight="1" x14ac:dyDescent="0.2">
      <c r="BS215" s="12"/>
      <c r="BT215" s="13"/>
      <c r="BU215" s="12"/>
      <c r="BV215" s="9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1"/>
      <c r="CH215" s="13"/>
      <c r="EW215" s="12"/>
      <c r="EX215" s="13"/>
      <c r="IV215" s="263"/>
      <c r="IW215" s="263"/>
      <c r="IX215" s="261"/>
      <c r="IY215" s="12"/>
      <c r="IZ215" s="263"/>
      <c r="JA215" s="261"/>
      <c r="JB215" s="12"/>
      <c r="JC215" s="261"/>
      <c r="JD215" s="261"/>
      <c r="JE215" s="261"/>
      <c r="JF215" s="261"/>
      <c r="JG215" s="261"/>
      <c r="JH215" s="261"/>
      <c r="JI215" s="261"/>
      <c r="JJ215" s="261"/>
      <c r="JK215" s="261"/>
      <c r="JL215" s="261"/>
      <c r="JM215" s="261"/>
      <c r="JN215" s="261"/>
      <c r="JO215" s="261"/>
      <c r="JP215" s="261"/>
      <c r="JQ215" s="261"/>
      <c r="JR215" s="261"/>
      <c r="JS215" s="261"/>
      <c r="JT215" s="261"/>
      <c r="JU215" s="261"/>
      <c r="JV215" s="261"/>
      <c r="JW215" s="261"/>
      <c r="JX215" s="261"/>
      <c r="JY215" s="261"/>
      <c r="JZ215" s="261"/>
      <c r="KA215" s="261"/>
      <c r="KB215" s="261"/>
      <c r="KC215" s="261"/>
      <c r="KD215" s="261"/>
      <c r="KE215" s="261"/>
      <c r="KF215" s="261"/>
      <c r="KG215" s="261"/>
      <c r="KH215" s="261"/>
      <c r="KI215" s="261"/>
      <c r="KJ215" s="261"/>
      <c r="KK215" s="261"/>
      <c r="KL215" s="261"/>
      <c r="KM215" s="261"/>
      <c r="KN215" s="261"/>
      <c r="KO215" s="261"/>
      <c r="KP215" s="261"/>
      <c r="KQ215" s="261"/>
      <c r="KR215" s="12"/>
      <c r="KS215" s="261"/>
      <c r="KT215" s="261"/>
      <c r="KU215" s="261"/>
      <c r="KV215" s="261"/>
      <c r="KW215" s="261"/>
      <c r="KX215" s="261"/>
      <c r="KY215" s="261"/>
      <c r="KZ215" s="261"/>
      <c r="LA215" s="261"/>
      <c r="LB215" s="261"/>
      <c r="LC215" s="261"/>
      <c r="LD215" s="261"/>
      <c r="LE215" s="13"/>
      <c r="LF215" s="12"/>
      <c r="LG215" s="13"/>
      <c r="LH215" s="12"/>
      <c r="LI215" s="261"/>
      <c r="LJ215" s="261"/>
      <c r="LK215" s="261"/>
      <c r="LL215" s="261"/>
      <c r="LM215" s="261"/>
      <c r="LN215" s="261"/>
      <c r="LO215" s="261"/>
      <c r="LP215" s="261"/>
      <c r="LQ215" s="261"/>
      <c r="LR215" s="261"/>
      <c r="LS215" s="261"/>
      <c r="LT215" s="261"/>
      <c r="LU215" s="261"/>
      <c r="LV215" s="261"/>
      <c r="LW215" s="261"/>
      <c r="LX215" s="261"/>
      <c r="LY215" s="13"/>
      <c r="LZ215" s="261"/>
      <c r="MA215" s="13"/>
      <c r="MB215" s="261"/>
      <c r="MC215" s="261"/>
      <c r="MD215" s="261"/>
      <c r="ME215" s="261"/>
      <c r="MF215" s="261"/>
      <c r="MG215" s="261"/>
      <c r="MH215" s="261"/>
      <c r="MI215" s="261"/>
      <c r="MJ215" s="261"/>
      <c r="MK215" s="261"/>
      <c r="ML215" s="261"/>
      <c r="MM215" s="261"/>
      <c r="MN215" s="261"/>
      <c r="MO215" s="261"/>
      <c r="MP215" s="261"/>
      <c r="MQ215" s="261"/>
      <c r="MR215" s="261"/>
      <c r="MS215" s="261"/>
      <c r="MT215" s="261"/>
      <c r="MU215" s="261"/>
      <c r="MV215" s="261"/>
      <c r="MW215" s="261"/>
      <c r="MX215" s="261"/>
      <c r="MY215" s="13"/>
      <c r="MZ215" s="12"/>
      <c r="NA215" s="261"/>
      <c r="NB215" s="261"/>
      <c r="NC215" s="261"/>
      <c r="ND215" s="261"/>
      <c r="NE215" s="261"/>
      <c r="NF215" s="261"/>
      <c r="NG215" s="261"/>
      <c r="NH215" s="261"/>
      <c r="NI215" s="261"/>
      <c r="NJ215" s="261"/>
      <c r="NK215" s="13"/>
      <c r="NL215" s="261"/>
      <c r="NM215" s="261"/>
      <c r="NN215" s="13"/>
      <c r="OO215" s="263"/>
      <c r="OP215" s="263"/>
      <c r="OQ215" s="261"/>
      <c r="OR215" s="12"/>
      <c r="OS215" s="263"/>
      <c r="OT215" s="261"/>
      <c r="OU215" s="12"/>
      <c r="OV215" s="261"/>
      <c r="OW215" s="261"/>
      <c r="OX215" s="261"/>
      <c r="OY215" s="261"/>
      <c r="OZ215" s="261"/>
      <c r="PA215" s="261"/>
      <c r="PB215" s="261"/>
      <c r="PC215" s="261"/>
      <c r="PD215" s="261"/>
      <c r="PE215" s="261"/>
      <c r="PF215" s="261"/>
      <c r="PG215" s="261"/>
      <c r="PH215" s="261"/>
      <c r="PI215" s="261"/>
      <c r="PJ215" s="261"/>
      <c r="PK215" s="261"/>
      <c r="PL215" s="261"/>
      <c r="PM215" s="261"/>
      <c r="PN215" s="261"/>
      <c r="PO215" s="261"/>
      <c r="PP215" s="261"/>
      <c r="PQ215" s="261"/>
      <c r="PR215" s="261"/>
      <c r="PS215" s="261"/>
      <c r="PT215" s="261"/>
      <c r="PU215" s="261"/>
      <c r="PV215" s="261"/>
      <c r="PW215" s="261"/>
      <c r="PX215" s="261"/>
      <c r="PY215" s="261"/>
      <c r="PZ215" s="13"/>
      <c r="QA215" s="261"/>
      <c r="QB215" s="13"/>
      <c r="QC215" s="261"/>
      <c r="QD215" s="261"/>
      <c r="QE215" s="261"/>
      <c r="QF215" s="261"/>
      <c r="QG215" s="261"/>
      <c r="QH215" s="261"/>
      <c r="QI215" s="261"/>
      <c r="QJ215" s="261"/>
      <c r="QK215" s="261"/>
      <c r="QL215" s="261"/>
      <c r="QM215" s="261"/>
      <c r="QN215" s="261"/>
      <c r="QO215" s="261"/>
      <c r="QP215" s="261"/>
      <c r="QQ215" s="261"/>
      <c r="QR215" s="261"/>
      <c r="QS215" s="261"/>
      <c r="QT215" s="261"/>
      <c r="QU215" s="261"/>
      <c r="QV215" s="261"/>
      <c r="QW215" s="261"/>
      <c r="QX215" s="13"/>
      <c r="QY215" s="12"/>
      <c r="QZ215" s="13"/>
      <c r="RA215" s="261"/>
      <c r="RB215" s="261"/>
      <c r="RC215" s="261"/>
      <c r="RD215" s="261"/>
      <c r="RE215" s="261"/>
      <c r="RF215" s="261"/>
      <c r="RG215" s="261"/>
      <c r="RH215" s="261"/>
      <c r="RI215" s="261"/>
      <c r="RJ215" s="261"/>
      <c r="RK215" s="261"/>
      <c r="RL215" s="261"/>
      <c r="RM215" s="261"/>
      <c r="RN215" s="261"/>
      <c r="RO215" s="261"/>
      <c r="RP215" s="261"/>
      <c r="RQ215" s="261"/>
      <c r="RR215" s="261"/>
      <c r="RS215" s="261"/>
      <c r="RT215" s="261"/>
      <c r="RU215" s="261"/>
      <c r="RV215" s="261"/>
      <c r="RW215" s="261"/>
      <c r="RX215" s="261"/>
      <c r="RY215" s="261"/>
      <c r="RZ215" s="261"/>
      <c r="SA215" s="261"/>
      <c r="SB215" s="261"/>
      <c r="SC215" s="261"/>
      <c r="SD215" s="261"/>
      <c r="SE215" s="261"/>
      <c r="SF215" s="261"/>
      <c r="SG215" s="261"/>
      <c r="SH215" s="261"/>
      <c r="SI215" s="261"/>
      <c r="SJ215" s="261"/>
      <c r="SK215" s="261"/>
      <c r="SL215" s="261"/>
      <c r="SM215" s="261"/>
      <c r="SN215" s="261"/>
      <c r="SO215" s="261"/>
      <c r="SP215" s="261"/>
      <c r="SQ215" s="261"/>
      <c r="SR215" s="261"/>
      <c r="SS215" s="261"/>
      <c r="ST215" s="261"/>
      <c r="SU215" s="261"/>
      <c r="SV215" s="261"/>
      <c r="SW215" s="261"/>
      <c r="SX215" s="261"/>
      <c r="SY215" s="261"/>
      <c r="SZ215" s="261"/>
      <c r="TA215" s="261"/>
      <c r="TB215" s="261"/>
      <c r="TC215" s="261"/>
      <c r="TD215" s="13"/>
      <c r="TE215" s="261"/>
      <c r="TF215" s="261"/>
      <c r="TG215" s="13"/>
    </row>
    <row r="216" spans="65:527" ht="10.75" customHeight="1" x14ac:dyDescent="0.2">
      <c r="BS216" s="12"/>
      <c r="BT216" s="13"/>
      <c r="BU216" s="12"/>
      <c r="BV216" s="12"/>
      <c r="CG216" s="13"/>
      <c r="CH216" s="13"/>
      <c r="EW216" s="12"/>
      <c r="EX216" s="13"/>
      <c r="IV216" s="263"/>
      <c r="IW216" s="263"/>
      <c r="IX216" s="261"/>
      <c r="IY216" s="12"/>
      <c r="IZ216" s="263"/>
      <c r="JA216" s="261"/>
      <c r="JB216" s="12"/>
      <c r="JC216" s="261"/>
      <c r="JD216" s="261"/>
      <c r="JE216" s="261"/>
      <c r="JF216" s="261"/>
      <c r="JG216" s="261"/>
      <c r="JH216" s="261"/>
      <c r="JI216" s="261"/>
      <c r="JJ216" s="261"/>
      <c r="JK216" s="261"/>
      <c r="JL216" s="261"/>
      <c r="JM216" s="261"/>
      <c r="JN216" s="261"/>
      <c r="JO216" s="261"/>
      <c r="JP216" s="261"/>
      <c r="JQ216" s="261"/>
      <c r="JR216" s="261"/>
      <c r="JS216" s="261"/>
      <c r="JT216" s="261"/>
      <c r="JU216" s="261"/>
      <c r="JV216" s="261"/>
      <c r="JW216" s="261"/>
      <c r="JX216" s="261"/>
      <c r="JY216" s="261"/>
      <c r="JZ216" s="261"/>
      <c r="KA216" s="261"/>
      <c r="KB216" s="261"/>
      <c r="KC216" s="261"/>
      <c r="KD216" s="261"/>
      <c r="KE216" s="261"/>
      <c r="KF216" s="261"/>
      <c r="KG216" s="261"/>
      <c r="KH216" s="261"/>
      <c r="KI216" s="261"/>
      <c r="KJ216" s="261"/>
      <c r="KK216" s="261"/>
      <c r="KL216" s="261"/>
      <c r="KM216" s="261"/>
      <c r="KN216" s="261"/>
      <c r="KO216" s="261"/>
      <c r="KP216" s="261"/>
      <c r="KQ216" s="261"/>
      <c r="KR216" s="12"/>
      <c r="KS216" s="261"/>
      <c r="KT216" s="261"/>
      <c r="KU216" s="261"/>
      <c r="KV216" s="261"/>
      <c r="KW216" s="261"/>
      <c r="KX216" s="261"/>
      <c r="KY216" s="261"/>
      <c r="KZ216" s="261"/>
      <c r="LA216" s="261"/>
      <c r="LB216" s="261"/>
      <c r="LC216" s="261"/>
      <c r="LD216" s="261"/>
      <c r="LE216" s="13"/>
      <c r="LF216" s="12"/>
      <c r="LG216" s="13"/>
      <c r="LH216" s="12"/>
      <c r="LI216" s="261"/>
      <c r="LJ216" s="261"/>
      <c r="LK216" s="261"/>
      <c r="LL216" s="261"/>
      <c r="LM216" s="261"/>
      <c r="LN216" s="261"/>
      <c r="LO216" s="261"/>
      <c r="LP216" s="261"/>
      <c r="LQ216" s="261"/>
      <c r="LR216" s="261"/>
      <c r="LS216" s="261"/>
      <c r="LT216" s="261"/>
      <c r="LU216" s="261"/>
      <c r="LV216" s="261"/>
      <c r="LW216" s="261"/>
      <c r="LX216" s="261"/>
      <c r="LY216" s="13"/>
      <c r="LZ216" s="261"/>
      <c r="MA216" s="13"/>
      <c r="MB216" s="261"/>
      <c r="MC216" s="261"/>
      <c r="MD216" s="261"/>
      <c r="ME216" s="261"/>
      <c r="MF216" s="261"/>
      <c r="MG216" s="261"/>
      <c r="MH216" s="261"/>
      <c r="MI216" s="261"/>
      <c r="MJ216" s="261"/>
      <c r="MK216" s="261"/>
      <c r="ML216" s="261"/>
      <c r="MM216" s="261"/>
      <c r="MN216" s="261"/>
      <c r="MO216" s="261"/>
      <c r="MP216" s="261"/>
      <c r="MQ216" s="261"/>
      <c r="MR216" s="261"/>
      <c r="MS216" s="261"/>
      <c r="MT216" s="261"/>
      <c r="MU216" s="261"/>
      <c r="MV216" s="261"/>
      <c r="MW216" s="261"/>
      <c r="MX216" s="261"/>
      <c r="MY216" s="13"/>
      <c r="MZ216" s="14"/>
      <c r="NA216" s="15"/>
      <c r="NB216" s="15"/>
      <c r="NC216" s="15"/>
      <c r="ND216" s="15"/>
      <c r="NE216" s="15"/>
      <c r="NF216" s="15"/>
      <c r="NG216" s="15"/>
      <c r="NH216" s="15"/>
      <c r="NI216" s="15"/>
      <c r="NJ216" s="15"/>
      <c r="NK216" s="16"/>
      <c r="NL216" s="261"/>
      <c r="NM216" s="261"/>
      <c r="NN216" s="13"/>
      <c r="OO216" s="263"/>
      <c r="OP216" s="263"/>
      <c r="OQ216" s="261"/>
      <c r="OR216" s="12"/>
      <c r="OS216" s="263"/>
      <c r="OT216" s="261"/>
      <c r="OU216" s="12"/>
      <c r="OV216" s="261"/>
      <c r="OW216" s="261"/>
      <c r="OX216" s="261"/>
      <c r="OY216" s="261"/>
      <c r="OZ216" s="261"/>
      <c r="PA216" s="261"/>
      <c r="PB216" s="261"/>
      <c r="PC216" s="261"/>
      <c r="PD216" s="261"/>
      <c r="PE216" s="261"/>
      <c r="PF216" s="261"/>
      <c r="PG216" s="261"/>
      <c r="PH216" s="261"/>
      <c r="PI216" s="261"/>
      <c r="PJ216" s="261"/>
      <c r="PK216" s="261"/>
      <c r="PL216" s="261"/>
      <c r="PM216" s="261"/>
      <c r="PN216" s="261"/>
      <c r="PO216" s="261"/>
      <c r="PP216" s="261"/>
      <c r="PQ216" s="261"/>
      <c r="PR216" s="261"/>
      <c r="PS216" s="261"/>
      <c r="PT216" s="261"/>
      <c r="PU216" s="261"/>
      <c r="PV216" s="261"/>
      <c r="PW216" s="261"/>
      <c r="PX216" s="261"/>
      <c r="PY216" s="261"/>
      <c r="PZ216" s="13"/>
      <c r="QA216" s="261"/>
      <c r="QB216" s="13"/>
      <c r="QC216" s="261"/>
      <c r="QD216" s="261"/>
      <c r="QE216" s="261"/>
      <c r="QF216" s="261"/>
      <c r="QG216" s="261"/>
      <c r="QH216" s="261"/>
      <c r="QI216" s="261"/>
      <c r="QJ216" s="261"/>
      <c r="QK216" s="261"/>
      <c r="QL216" s="261"/>
      <c r="QM216" s="261"/>
      <c r="QN216" s="261"/>
      <c r="QO216" s="261"/>
      <c r="QP216" s="261"/>
      <c r="QQ216" s="261"/>
      <c r="QR216" s="261"/>
      <c r="QS216" s="261"/>
      <c r="QT216" s="261"/>
      <c r="QU216" s="261"/>
      <c r="QV216" s="261"/>
      <c r="QW216" s="261"/>
      <c r="QX216" s="13"/>
      <c r="QY216" s="12"/>
      <c r="QZ216" s="13"/>
      <c r="RA216" s="261"/>
      <c r="RB216" s="261"/>
      <c r="RC216" s="261"/>
      <c r="RD216" s="261"/>
      <c r="RE216" s="261"/>
      <c r="RF216" s="261"/>
      <c r="RG216" s="261"/>
      <c r="RH216" s="261"/>
      <c r="RI216" s="261"/>
      <c r="RJ216" s="261"/>
      <c r="RK216" s="261"/>
      <c r="RL216" s="261"/>
      <c r="RM216" s="261"/>
      <c r="RN216" s="261"/>
      <c r="RO216" s="261"/>
      <c r="RP216" s="261"/>
      <c r="RQ216" s="261"/>
      <c r="RR216" s="261"/>
      <c r="RS216" s="261"/>
      <c r="RT216" s="261"/>
      <c r="RU216" s="261"/>
      <c r="RV216" s="261"/>
      <c r="RW216" s="261"/>
      <c r="RX216" s="261"/>
      <c r="RY216" s="261"/>
      <c r="RZ216" s="261"/>
      <c r="SA216" s="261"/>
      <c r="SB216" s="261"/>
      <c r="SC216" s="261"/>
      <c r="SD216" s="261"/>
      <c r="SE216" s="261"/>
      <c r="SF216" s="261"/>
      <c r="SG216" s="261"/>
      <c r="SH216" s="261"/>
      <c r="SI216" s="261"/>
      <c r="SJ216" s="261"/>
      <c r="SK216" s="261"/>
      <c r="SL216" s="261"/>
      <c r="SM216" s="261"/>
      <c r="SN216" s="261"/>
      <c r="SO216" s="261"/>
      <c r="SP216" s="261"/>
      <c r="SQ216" s="261"/>
      <c r="SR216" s="261"/>
      <c r="SS216" s="261"/>
      <c r="ST216" s="261"/>
      <c r="SU216" s="261"/>
      <c r="SV216" s="261"/>
      <c r="SW216" s="261"/>
      <c r="SX216" s="261"/>
      <c r="SY216" s="261"/>
      <c r="SZ216" s="261"/>
      <c r="TA216" s="261"/>
      <c r="TB216" s="261"/>
      <c r="TC216" s="261"/>
      <c r="TD216" s="13"/>
      <c r="TE216" s="261"/>
      <c r="TF216" s="261"/>
      <c r="TG216" s="13"/>
    </row>
    <row r="217" spans="65:527" ht="10.75" customHeight="1" x14ac:dyDescent="0.2">
      <c r="BS217" s="12"/>
      <c r="BT217" s="13"/>
      <c r="BU217" s="12"/>
      <c r="BV217" s="12"/>
      <c r="CG217" s="13"/>
      <c r="CH217" s="13"/>
      <c r="EW217" s="12"/>
      <c r="EX217" s="13"/>
      <c r="IV217" s="263"/>
      <c r="IW217" s="263"/>
      <c r="IX217" s="261"/>
      <c r="IY217" s="12"/>
      <c r="IZ217" s="263"/>
      <c r="JA217" s="261"/>
      <c r="JB217" s="12"/>
      <c r="JC217" s="261"/>
      <c r="JD217" s="261"/>
      <c r="JE217" s="261"/>
      <c r="JF217" s="261"/>
      <c r="JG217" s="261"/>
      <c r="JH217" s="261"/>
      <c r="JI217" s="261"/>
      <c r="JJ217" s="261"/>
      <c r="JK217" s="261"/>
      <c r="JL217" s="261"/>
      <c r="JM217" s="261"/>
      <c r="JN217" s="261"/>
      <c r="JO217" s="261"/>
      <c r="JP217" s="261"/>
      <c r="JQ217" s="261"/>
      <c r="JR217" s="261"/>
      <c r="JS217" s="261"/>
      <c r="JT217" s="261"/>
      <c r="JU217" s="261"/>
      <c r="JV217" s="261"/>
      <c r="JW217" s="261"/>
      <c r="JX217" s="261"/>
      <c r="JY217" s="261"/>
      <c r="JZ217" s="261"/>
      <c r="KA217" s="261"/>
      <c r="KB217" s="261"/>
      <c r="KC217" s="261"/>
      <c r="KD217" s="261"/>
      <c r="KE217" s="261"/>
      <c r="KF217" s="261"/>
      <c r="KG217" s="261"/>
      <c r="KH217" s="261"/>
      <c r="KI217" s="261"/>
      <c r="KJ217" s="261"/>
      <c r="KK217" s="261"/>
      <c r="KL217" s="261"/>
      <c r="KM217" s="261"/>
      <c r="KN217" s="261"/>
      <c r="KO217" s="261"/>
      <c r="KP217" s="261"/>
      <c r="KQ217" s="261"/>
      <c r="KR217" s="12"/>
      <c r="KS217" s="261"/>
      <c r="KT217" s="261"/>
      <c r="KU217" s="261"/>
      <c r="KV217" s="261"/>
      <c r="KW217" s="261"/>
      <c r="KX217" s="261"/>
      <c r="KY217" s="261"/>
      <c r="KZ217" s="261"/>
      <c r="LA217" s="261"/>
      <c r="LB217" s="261"/>
      <c r="LC217" s="261"/>
      <c r="LD217" s="261"/>
      <c r="LE217" s="13"/>
      <c r="LF217" s="12"/>
      <c r="LG217" s="13"/>
      <c r="LH217" s="12"/>
      <c r="LI217" s="261"/>
      <c r="LJ217" s="261"/>
      <c r="LK217" s="261"/>
      <c r="LL217" s="261"/>
      <c r="LM217" s="261"/>
      <c r="LN217" s="261"/>
      <c r="LO217" s="261"/>
      <c r="LP217" s="261"/>
      <c r="LQ217" s="261"/>
      <c r="LR217" s="261"/>
      <c r="LS217" s="261"/>
      <c r="LT217" s="261"/>
      <c r="LU217" s="261"/>
      <c r="LV217" s="261"/>
      <c r="LW217" s="261"/>
      <c r="LX217" s="261"/>
      <c r="LY217" s="13"/>
      <c r="LZ217" s="261"/>
      <c r="MA217" s="13"/>
      <c r="MB217" s="261"/>
      <c r="MC217" s="261"/>
      <c r="MD217" s="261"/>
      <c r="ME217" s="261"/>
      <c r="MF217" s="261"/>
      <c r="MG217" s="261"/>
      <c r="MH217" s="261"/>
      <c r="MI217" s="261"/>
      <c r="MJ217" s="261"/>
      <c r="MK217" s="261"/>
      <c r="ML217" s="261"/>
      <c r="MM217" s="261"/>
      <c r="MN217" s="261"/>
      <c r="MO217" s="261"/>
      <c r="MP217" s="261"/>
      <c r="MQ217" s="261"/>
      <c r="MR217" s="261"/>
      <c r="MS217" s="261"/>
      <c r="MT217" s="261"/>
      <c r="MU217" s="261"/>
      <c r="MV217" s="261"/>
      <c r="MW217" s="261"/>
      <c r="MX217" s="261"/>
      <c r="MY217" s="13"/>
      <c r="MZ217" s="9"/>
      <c r="NA217" s="10"/>
      <c r="NB217" s="10"/>
      <c r="NC217" s="10"/>
      <c r="ND217" s="10"/>
      <c r="NE217" s="10"/>
      <c r="NF217" s="10"/>
      <c r="NG217" s="10"/>
      <c r="NH217" s="10"/>
      <c r="NI217" s="10"/>
      <c r="NJ217" s="10"/>
      <c r="NK217" s="11"/>
      <c r="NL217" s="261"/>
      <c r="NM217" s="261"/>
      <c r="NN217" s="13"/>
      <c r="OO217" s="263"/>
      <c r="OP217" s="263"/>
      <c r="OQ217" s="261"/>
      <c r="OR217" s="12"/>
      <c r="OS217" s="263"/>
      <c r="OT217" s="261"/>
      <c r="OU217" s="12"/>
      <c r="OV217" s="261"/>
      <c r="OW217" s="261"/>
      <c r="OX217" s="261"/>
      <c r="OY217" s="261"/>
      <c r="OZ217" s="261"/>
      <c r="PA217" s="261"/>
      <c r="PB217" s="261"/>
      <c r="PC217" s="261"/>
      <c r="PD217" s="261"/>
      <c r="PE217" s="261"/>
      <c r="PF217" s="261"/>
      <c r="PG217" s="261"/>
      <c r="PH217" s="261"/>
      <c r="PI217" s="261"/>
      <c r="PJ217" s="261"/>
      <c r="PK217" s="261"/>
      <c r="PL217" s="261"/>
      <c r="PM217" s="261"/>
      <c r="PN217" s="261"/>
      <c r="PO217" s="261"/>
      <c r="PP217" s="261"/>
      <c r="PQ217" s="261"/>
      <c r="PR217" s="261"/>
      <c r="PS217" s="261"/>
      <c r="PT217" s="261"/>
      <c r="PU217" s="261"/>
      <c r="PV217" s="261"/>
      <c r="PW217" s="261"/>
      <c r="PX217" s="261"/>
      <c r="PY217" s="261"/>
      <c r="PZ217" s="13"/>
      <c r="QA217" s="261"/>
      <c r="QB217" s="13"/>
      <c r="QC217" s="261"/>
      <c r="QD217" s="261"/>
      <c r="QE217" s="261"/>
      <c r="QF217" s="261"/>
      <c r="QG217" s="261"/>
      <c r="QH217" s="261"/>
      <c r="QI217" s="261"/>
      <c r="QJ217" s="261"/>
      <c r="QK217" s="261"/>
      <c r="QL217" s="261"/>
      <c r="QM217" s="261"/>
      <c r="QN217" s="261"/>
      <c r="QO217" s="261"/>
      <c r="QP217" s="261"/>
      <c r="QQ217" s="261"/>
      <c r="QR217" s="261"/>
      <c r="QS217" s="261"/>
      <c r="QT217" s="261"/>
      <c r="QU217" s="261"/>
      <c r="QV217" s="261"/>
      <c r="QW217" s="261"/>
      <c r="QX217" s="13"/>
      <c r="QY217" s="12"/>
      <c r="QZ217" s="13"/>
      <c r="RA217" s="261"/>
      <c r="RB217" s="261"/>
      <c r="RC217" s="261"/>
      <c r="RD217" s="261"/>
      <c r="RE217" s="261"/>
      <c r="RF217" s="261"/>
      <c r="RG217" s="261"/>
      <c r="RH217" s="261"/>
      <c r="RI217" s="261"/>
      <c r="RJ217" s="261"/>
      <c r="RK217" s="261"/>
      <c r="RL217" s="261"/>
      <c r="RM217" s="261"/>
      <c r="RN217" s="261"/>
      <c r="RO217" s="261"/>
      <c r="RP217" s="261"/>
      <c r="RQ217" s="261"/>
      <c r="RR217" s="261"/>
      <c r="RS217" s="261"/>
      <c r="RT217" s="261"/>
      <c r="RU217" s="261"/>
      <c r="RV217" s="261"/>
      <c r="RW217" s="261"/>
      <c r="RX217" s="261"/>
      <c r="RY217" s="261"/>
      <c r="RZ217" s="261"/>
      <c r="SA217" s="261"/>
      <c r="SB217" s="261"/>
      <c r="SC217" s="261"/>
      <c r="SD217" s="261"/>
      <c r="SE217" s="261"/>
      <c r="SF217" s="261"/>
      <c r="SG217" s="261"/>
      <c r="SH217" s="261"/>
      <c r="SI217" s="261"/>
      <c r="SJ217" s="261"/>
      <c r="SK217" s="261"/>
      <c r="SL217" s="261"/>
      <c r="SM217" s="261"/>
      <c r="SN217" s="261"/>
      <c r="SO217" s="261"/>
      <c r="SP217" s="261"/>
      <c r="SQ217" s="261"/>
      <c r="SR217" s="261"/>
      <c r="SS217" s="261"/>
      <c r="ST217" s="261"/>
      <c r="SU217" s="261"/>
      <c r="SV217" s="261"/>
      <c r="SW217" s="261"/>
      <c r="SX217" s="261"/>
      <c r="SY217" s="261"/>
      <c r="SZ217" s="261"/>
      <c r="TA217" s="261"/>
      <c r="TB217" s="261"/>
      <c r="TC217" s="261"/>
      <c r="TD217" s="13"/>
      <c r="TE217" s="261"/>
      <c r="TF217" s="261"/>
      <c r="TG217" s="13"/>
    </row>
    <row r="218" spans="65:527" ht="10.75" customHeight="1" x14ac:dyDescent="0.2">
      <c r="BS218" s="12"/>
      <c r="BT218" s="13"/>
      <c r="BU218" s="12"/>
      <c r="BV218" s="12"/>
      <c r="CG218" s="13"/>
      <c r="CH218" s="13"/>
      <c r="EW218" s="12"/>
      <c r="EX218" s="13"/>
      <c r="IV218" s="263"/>
      <c r="IW218" s="263"/>
      <c r="IX218" s="261"/>
      <c r="IY218" s="12"/>
      <c r="IZ218" s="263"/>
      <c r="JA218" s="261"/>
      <c r="JB218" s="12"/>
      <c r="JC218" s="261"/>
      <c r="JD218" s="261"/>
      <c r="JE218" s="261"/>
      <c r="JF218" s="261"/>
      <c r="JG218" s="261"/>
      <c r="JH218" s="261"/>
      <c r="JI218" s="261"/>
      <c r="JJ218" s="261"/>
      <c r="JK218" s="261"/>
      <c r="JL218" s="261"/>
      <c r="JM218" s="261"/>
      <c r="JN218" s="261"/>
      <c r="JO218" s="261"/>
      <c r="JP218" s="261"/>
      <c r="JQ218" s="261"/>
      <c r="JR218" s="261"/>
      <c r="JS218" s="261"/>
      <c r="JT218" s="261"/>
      <c r="JU218" s="261"/>
      <c r="JV218" s="261"/>
      <c r="JW218" s="261"/>
      <c r="JX218" s="261"/>
      <c r="JY218" s="261"/>
      <c r="JZ218" s="261"/>
      <c r="KA218" s="261"/>
      <c r="KB218" s="261"/>
      <c r="KC218" s="261"/>
      <c r="KD218" s="261"/>
      <c r="KE218" s="261"/>
      <c r="KF218" s="261"/>
      <c r="KG218" s="261"/>
      <c r="KH218" s="261"/>
      <c r="KI218" s="261"/>
      <c r="KJ218" s="261"/>
      <c r="KK218" s="261"/>
      <c r="KL218" s="261"/>
      <c r="KM218" s="261"/>
      <c r="KN218" s="261"/>
      <c r="KO218" s="261"/>
      <c r="KP218" s="261"/>
      <c r="KQ218" s="261"/>
      <c r="KR218" s="12"/>
      <c r="KS218" s="261"/>
      <c r="KT218" s="261"/>
      <c r="KU218" s="261"/>
      <c r="KV218" s="261"/>
      <c r="KW218" s="261"/>
      <c r="KX218" s="261"/>
      <c r="KY218" s="261"/>
      <c r="KZ218" s="261"/>
      <c r="LA218" s="261"/>
      <c r="LB218" s="261"/>
      <c r="LC218" s="261"/>
      <c r="LD218" s="261"/>
      <c r="LE218" s="13"/>
      <c r="LF218" s="12"/>
      <c r="LG218" s="13"/>
      <c r="LH218" s="12"/>
      <c r="LI218" s="261"/>
      <c r="LJ218" s="261"/>
      <c r="LK218" s="261"/>
      <c r="LL218" s="261"/>
      <c r="LM218" s="261"/>
      <c r="LN218" s="261"/>
      <c r="LO218" s="261"/>
      <c r="LP218" s="261"/>
      <c r="LQ218" s="261"/>
      <c r="LR218" s="261"/>
      <c r="LS218" s="261"/>
      <c r="LT218" s="261"/>
      <c r="LU218" s="261"/>
      <c r="LV218" s="261"/>
      <c r="LW218" s="261"/>
      <c r="LX218" s="261"/>
      <c r="LY218" s="13"/>
      <c r="LZ218" s="261"/>
      <c r="MA218" s="13"/>
      <c r="MB218" s="261"/>
      <c r="MC218" s="261"/>
      <c r="MD218" s="261"/>
      <c r="ME218" s="261"/>
      <c r="MF218" s="261"/>
      <c r="MG218" s="261"/>
      <c r="MH218" s="261"/>
      <c r="MI218" s="261"/>
      <c r="MJ218" s="261"/>
      <c r="MK218" s="261"/>
      <c r="ML218" s="261"/>
      <c r="MM218" s="261"/>
      <c r="MN218" s="261"/>
      <c r="MO218" s="261"/>
      <c r="MP218" s="261"/>
      <c r="MQ218" s="261"/>
      <c r="MR218" s="261"/>
      <c r="MS218" s="261"/>
      <c r="MT218" s="261"/>
      <c r="MU218" s="261"/>
      <c r="MV218" s="261"/>
      <c r="MW218" s="261"/>
      <c r="MX218" s="261"/>
      <c r="MY218" s="13"/>
      <c r="MZ218" s="12"/>
      <c r="NA218" s="261"/>
      <c r="NB218" s="261"/>
      <c r="NC218" s="261"/>
      <c r="ND218" s="261"/>
      <c r="NE218" s="261"/>
      <c r="NF218" s="261"/>
      <c r="NG218" s="261"/>
      <c r="NH218" s="261"/>
      <c r="NI218" s="261"/>
      <c r="NJ218" s="261"/>
      <c r="NK218" s="13"/>
      <c r="NL218" s="261"/>
      <c r="NM218" s="261"/>
      <c r="NN218" s="13"/>
      <c r="OO218" s="263"/>
      <c r="OP218" s="263"/>
      <c r="OQ218" s="261"/>
      <c r="OR218" s="12"/>
      <c r="OS218" s="263"/>
      <c r="OT218" s="261"/>
      <c r="OU218" s="12"/>
      <c r="OV218" s="261"/>
      <c r="OW218" s="261"/>
      <c r="OX218" s="261"/>
      <c r="OY218" s="261"/>
      <c r="OZ218" s="261"/>
      <c r="PA218" s="261"/>
      <c r="PB218" s="261"/>
      <c r="PC218" s="261"/>
      <c r="PD218" s="261"/>
      <c r="PE218" s="261"/>
      <c r="PF218" s="261"/>
      <c r="PG218" s="261"/>
      <c r="PH218" s="261"/>
      <c r="PI218" s="261"/>
      <c r="PJ218" s="261"/>
      <c r="PK218" s="261"/>
      <c r="PL218" s="261"/>
      <c r="PM218" s="261"/>
      <c r="PN218" s="261"/>
      <c r="PO218" s="261"/>
      <c r="PP218" s="261"/>
      <c r="PQ218" s="261"/>
      <c r="PR218" s="261"/>
      <c r="PS218" s="261"/>
      <c r="PT218" s="261"/>
      <c r="PU218" s="261"/>
      <c r="PV218" s="261"/>
      <c r="PW218" s="261"/>
      <c r="PX218" s="261"/>
      <c r="PY218" s="261"/>
      <c r="PZ218" s="13"/>
      <c r="QA218" s="261"/>
      <c r="QB218" s="13"/>
      <c r="QC218" s="261"/>
      <c r="QD218" s="261"/>
      <c r="QE218" s="261"/>
      <c r="QF218" s="261"/>
      <c r="QG218" s="261"/>
      <c r="QH218" s="261"/>
      <c r="QI218" s="261"/>
      <c r="QJ218" s="261"/>
      <c r="QK218" s="261"/>
      <c r="QL218" s="261"/>
      <c r="QM218" s="261"/>
      <c r="QN218" s="261"/>
      <c r="QO218" s="261"/>
      <c r="QP218" s="261"/>
      <c r="QQ218" s="261"/>
      <c r="QR218" s="261"/>
      <c r="QS218" s="261"/>
      <c r="QT218" s="261"/>
      <c r="QU218" s="261"/>
      <c r="QV218" s="261"/>
      <c r="QW218" s="261"/>
      <c r="QX218" s="13"/>
      <c r="QY218" s="12"/>
      <c r="QZ218" s="13"/>
      <c r="RA218" s="261"/>
      <c r="RB218" s="261"/>
      <c r="RC218" s="261"/>
      <c r="RD218" s="261"/>
      <c r="RE218" s="261"/>
      <c r="RF218" s="261"/>
      <c r="RG218" s="261"/>
      <c r="RH218" s="261"/>
      <c r="RI218" s="261"/>
      <c r="RJ218" s="261"/>
      <c r="RK218" s="261"/>
      <c r="RL218" s="261"/>
      <c r="RM218" s="261"/>
      <c r="RN218" s="261"/>
      <c r="RO218" s="261"/>
      <c r="RP218" s="261"/>
      <c r="RQ218" s="261"/>
      <c r="RR218" s="261"/>
      <c r="RS218" s="261"/>
      <c r="RT218" s="261"/>
      <c r="RU218" s="261"/>
      <c r="RV218" s="261"/>
      <c r="RW218" s="261"/>
      <c r="RX218" s="261"/>
      <c r="RY218" s="261"/>
      <c r="RZ218" s="261"/>
      <c r="SA218" s="261"/>
      <c r="SB218" s="261"/>
      <c r="SC218" s="261"/>
      <c r="SD218" s="261"/>
      <c r="SE218" s="261"/>
      <c r="SF218" s="261"/>
      <c r="SG218" s="261"/>
      <c r="SH218" s="261"/>
      <c r="SI218" s="261"/>
      <c r="SJ218" s="261"/>
      <c r="SK218" s="261"/>
      <c r="SL218" s="261"/>
      <c r="SM218" s="261"/>
      <c r="SN218" s="261"/>
      <c r="SO218" s="261"/>
      <c r="SP218" s="261"/>
      <c r="SQ218" s="261"/>
      <c r="SR218" s="261"/>
      <c r="SS218" s="261"/>
      <c r="ST218" s="261"/>
      <c r="SU218" s="261"/>
      <c r="SV218" s="261"/>
      <c r="SW218" s="261"/>
      <c r="SX218" s="261"/>
      <c r="SY218" s="261"/>
      <c r="SZ218" s="261"/>
      <c r="TA218" s="261"/>
      <c r="TB218" s="261"/>
      <c r="TC218" s="261"/>
      <c r="TD218" s="13"/>
      <c r="TE218" s="261"/>
      <c r="TF218" s="261"/>
      <c r="TG218" s="13"/>
    </row>
    <row r="219" spans="65:527" ht="10.75" customHeight="1" x14ac:dyDescent="0.2">
      <c r="BS219" s="12"/>
      <c r="BT219" s="13"/>
      <c r="BU219" s="12"/>
      <c r="BV219" s="12"/>
      <c r="CG219" s="13"/>
      <c r="CH219" s="13"/>
      <c r="EW219" s="12"/>
      <c r="EX219" s="13"/>
      <c r="IV219" s="263"/>
      <c r="IW219" s="263"/>
      <c r="IX219" s="261"/>
      <c r="IY219" s="12"/>
      <c r="IZ219" s="263"/>
      <c r="JA219" s="261"/>
      <c r="JB219" s="12"/>
      <c r="JC219" s="261"/>
      <c r="JD219" s="261"/>
      <c r="JE219" s="261"/>
      <c r="JF219" s="261"/>
      <c r="JG219" s="261"/>
      <c r="JH219" s="261"/>
      <c r="JI219" s="261"/>
      <c r="JJ219" s="261"/>
      <c r="JK219" s="261"/>
      <c r="JL219" s="261"/>
      <c r="JM219" s="261"/>
      <c r="JN219" s="261"/>
      <c r="JO219" s="261"/>
      <c r="JP219" s="261"/>
      <c r="JQ219" s="261"/>
      <c r="JR219" s="261"/>
      <c r="JS219" s="261"/>
      <c r="JT219" s="261"/>
      <c r="JU219" s="261"/>
      <c r="JV219" s="261"/>
      <c r="JW219" s="261"/>
      <c r="JX219" s="261"/>
      <c r="JY219" s="261"/>
      <c r="JZ219" s="261"/>
      <c r="KA219" s="261"/>
      <c r="KB219" s="261"/>
      <c r="KC219" s="261"/>
      <c r="KD219" s="261"/>
      <c r="KE219" s="261"/>
      <c r="KF219" s="261"/>
      <c r="KG219" s="261"/>
      <c r="KH219" s="261"/>
      <c r="KI219" s="261"/>
      <c r="KJ219" s="261"/>
      <c r="KK219" s="261"/>
      <c r="KL219" s="261"/>
      <c r="KM219" s="261"/>
      <c r="KN219" s="261"/>
      <c r="KO219" s="261"/>
      <c r="KP219" s="261"/>
      <c r="KQ219" s="261"/>
      <c r="KR219" s="12"/>
      <c r="KS219" s="261"/>
      <c r="KT219" s="261"/>
      <c r="KU219" s="261"/>
      <c r="KV219" s="261"/>
      <c r="KW219" s="261"/>
      <c r="KX219" s="261"/>
      <c r="KY219" s="261"/>
      <c r="KZ219" s="261"/>
      <c r="LA219" s="261"/>
      <c r="LB219" s="261"/>
      <c r="LC219" s="261"/>
      <c r="LD219" s="261"/>
      <c r="LE219" s="13"/>
      <c r="LF219" s="12"/>
      <c r="LG219" s="13"/>
      <c r="LH219" s="12"/>
      <c r="LI219" s="261"/>
      <c r="LJ219" s="261"/>
      <c r="LK219" s="261"/>
      <c r="LL219" s="261"/>
      <c r="LM219" s="261"/>
      <c r="LN219" s="261"/>
      <c r="LO219" s="261"/>
      <c r="LP219" s="261"/>
      <c r="LQ219" s="261"/>
      <c r="LR219" s="261"/>
      <c r="LS219" s="261"/>
      <c r="LT219" s="261"/>
      <c r="LU219" s="261"/>
      <c r="LV219" s="261"/>
      <c r="LW219" s="261"/>
      <c r="LX219" s="261"/>
      <c r="LY219" s="13"/>
      <c r="LZ219" s="261"/>
      <c r="MA219" s="13"/>
      <c r="MB219" s="261"/>
      <c r="MC219" s="261"/>
      <c r="MD219" s="261"/>
      <c r="ME219" s="261"/>
      <c r="MF219" s="261"/>
      <c r="MG219" s="261"/>
      <c r="MH219" s="261"/>
      <c r="MI219" s="261"/>
      <c r="MJ219" s="261"/>
      <c r="MK219" s="261"/>
      <c r="ML219" s="261"/>
      <c r="MM219" s="261"/>
      <c r="MN219" s="261"/>
      <c r="MO219" s="261"/>
      <c r="MP219" s="261"/>
      <c r="MQ219" s="261"/>
      <c r="MR219" s="261"/>
      <c r="MS219" s="261"/>
      <c r="MT219" s="261"/>
      <c r="MU219" s="261"/>
      <c r="MV219" s="261"/>
      <c r="MW219" s="261"/>
      <c r="MX219" s="261"/>
      <c r="MY219" s="13"/>
      <c r="MZ219" s="12"/>
      <c r="NA219" s="261"/>
      <c r="NB219" s="261"/>
      <c r="NC219" s="261"/>
      <c r="ND219" s="261"/>
      <c r="NE219" s="261"/>
      <c r="NF219" s="261"/>
      <c r="NG219" s="261"/>
      <c r="NH219" s="261"/>
      <c r="NI219" s="261"/>
      <c r="NJ219" s="261"/>
      <c r="NK219" s="13"/>
      <c r="NL219" s="261"/>
      <c r="NM219" s="261"/>
      <c r="NN219" s="13"/>
      <c r="OO219" s="263"/>
      <c r="OP219" s="263"/>
      <c r="OQ219" s="261"/>
      <c r="OR219" s="12"/>
      <c r="OS219" s="263"/>
      <c r="OT219" s="261"/>
      <c r="OU219" s="12"/>
      <c r="OV219" s="261"/>
      <c r="OW219" s="261"/>
      <c r="OX219" s="261"/>
      <c r="OY219" s="261"/>
      <c r="OZ219" s="261"/>
      <c r="PA219" s="261"/>
      <c r="PB219" s="261"/>
      <c r="PC219" s="261"/>
      <c r="PD219" s="261"/>
      <c r="PE219" s="261"/>
      <c r="PF219" s="261"/>
      <c r="PG219" s="261"/>
      <c r="PH219" s="261"/>
      <c r="PI219" s="261"/>
      <c r="PJ219" s="261"/>
      <c r="PK219" s="261"/>
      <c r="PL219" s="261"/>
      <c r="PM219" s="261"/>
      <c r="PN219" s="261"/>
      <c r="PO219" s="261"/>
      <c r="PP219" s="261"/>
      <c r="PQ219" s="261"/>
      <c r="PR219" s="261"/>
      <c r="PS219" s="261"/>
      <c r="PT219" s="261"/>
      <c r="PU219" s="261"/>
      <c r="PV219" s="261"/>
      <c r="PW219" s="261"/>
      <c r="PX219" s="261"/>
      <c r="PY219" s="261"/>
      <c r="PZ219" s="13"/>
      <c r="QA219" s="261"/>
      <c r="QB219" s="13"/>
      <c r="QC219" s="261"/>
      <c r="QD219" s="261"/>
      <c r="QE219" s="261"/>
      <c r="QF219" s="261"/>
      <c r="QG219" s="261"/>
      <c r="QH219" s="261"/>
      <c r="QI219" s="261"/>
      <c r="QJ219" s="261"/>
      <c r="QK219" s="261"/>
      <c r="QL219" s="261"/>
      <c r="QM219" s="261"/>
      <c r="QN219" s="261"/>
      <c r="QO219" s="261"/>
      <c r="QP219" s="261"/>
      <c r="QQ219" s="261"/>
      <c r="QR219" s="261"/>
      <c r="QS219" s="261"/>
      <c r="QT219" s="261"/>
      <c r="QU219" s="261"/>
      <c r="QV219" s="261"/>
      <c r="QW219" s="261"/>
      <c r="QX219" s="13"/>
      <c r="QY219" s="12"/>
      <c r="QZ219" s="13"/>
      <c r="RA219" s="261"/>
      <c r="RB219" s="261"/>
      <c r="RC219" s="261"/>
      <c r="RD219" s="261"/>
      <c r="RE219" s="261"/>
      <c r="RF219" s="261"/>
      <c r="RG219" s="261"/>
      <c r="RH219" s="261"/>
      <c r="RI219" s="261"/>
      <c r="RJ219" s="261"/>
      <c r="RK219" s="261"/>
      <c r="RL219" s="261"/>
      <c r="RM219" s="261"/>
      <c r="RN219" s="261"/>
      <c r="RO219" s="261"/>
      <c r="RP219" s="261"/>
      <c r="RQ219" s="261"/>
      <c r="RR219" s="261"/>
      <c r="RS219" s="261"/>
      <c r="RT219" s="261"/>
      <c r="RU219" s="261"/>
      <c r="RV219" s="261"/>
      <c r="RW219" s="261"/>
      <c r="RX219" s="261"/>
      <c r="RY219" s="261"/>
      <c r="RZ219" s="261"/>
      <c r="SA219" s="261"/>
      <c r="SB219" s="261"/>
      <c r="SC219" s="261"/>
      <c r="SD219" s="261"/>
      <c r="SE219" s="261"/>
      <c r="SF219" s="261"/>
      <c r="SG219" s="261"/>
      <c r="SH219" s="261"/>
      <c r="SI219" s="261"/>
      <c r="SJ219" s="261"/>
      <c r="SK219" s="261"/>
      <c r="SL219" s="261"/>
      <c r="SM219" s="261"/>
      <c r="SN219" s="261"/>
      <c r="SO219" s="261"/>
      <c r="SP219" s="261"/>
      <c r="SQ219" s="261"/>
      <c r="SR219" s="261"/>
      <c r="SS219" s="261"/>
      <c r="ST219" s="261"/>
      <c r="SU219" s="261"/>
      <c r="SV219" s="261"/>
      <c r="SW219" s="261"/>
      <c r="SX219" s="261"/>
      <c r="SY219" s="261"/>
      <c r="SZ219" s="261"/>
      <c r="TA219" s="261"/>
      <c r="TB219" s="261"/>
      <c r="TC219" s="261"/>
      <c r="TD219" s="13"/>
      <c r="TE219" s="261"/>
      <c r="TF219" s="261"/>
      <c r="TG219" s="13"/>
    </row>
    <row r="220" spans="65:527" ht="10.75" customHeight="1" x14ac:dyDescent="0.2">
      <c r="BS220" s="12"/>
      <c r="BT220" s="13"/>
      <c r="BU220" s="12"/>
      <c r="BV220" s="12"/>
      <c r="CG220" s="13"/>
      <c r="CH220" s="13"/>
      <c r="EW220" s="12"/>
      <c r="EX220" s="13"/>
      <c r="IV220" s="263"/>
      <c r="IW220" s="263"/>
      <c r="IX220" s="261"/>
      <c r="IY220" s="12"/>
      <c r="IZ220" s="263"/>
      <c r="JA220" s="261"/>
      <c r="JB220" s="12"/>
      <c r="JC220" s="261"/>
      <c r="JD220" s="261"/>
      <c r="JE220" s="261"/>
      <c r="JF220" s="261"/>
      <c r="JG220" s="261"/>
      <c r="JH220" s="261"/>
      <c r="JI220" s="261"/>
      <c r="JJ220" s="261"/>
      <c r="JK220" s="261"/>
      <c r="JL220" s="261"/>
      <c r="JM220" s="261"/>
      <c r="JN220" s="261"/>
      <c r="JO220" s="261"/>
      <c r="JP220" s="261"/>
      <c r="JQ220" s="261"/>
      <c r="JR220" s="261"/>
      <c r="JS220" s="261"/>
      <c r="JT220" s="261"/>
      <c r="JU220" s="261"/>
      <c r="JV220" s="261"/>
      <c r="JW220" s="261"/>
      <c r="JX220" s="261"/>
      <c r="JY220" s="261"/>
      <c r="JZ220" s="261"/>
      <c r="KA220" s="261"/>
      <c r="KB220" s="261"/>
      <c r="KC220" s="261"/>
      <c r="KD220" s="261"/>
      <c r="KE220" s="261"/>
      <c r="KF220" s="261"/>
      <c r="KG220" s="261"/>
      <c r="KH220" s="261"/>
      <c r="KI220" s="261"/>
      <c r="KJ220" s="261"/>
      <c r="KK220" s="261"/>
      <c r="KL220" s="261"/>
      <c r="KM220" s="261"/>
      <c r="KN220" s="261"/>
      <c r="KO220" s="261"/>
      <c r="KP220" s="261"/>
      <c r="KQ220" s="261"/>
      <c r="KR220" s="14"/>
      <c r="KS220" s="15"/>
      <c r="KT220" s="15"/>
      <c r="KU220" s="15"/>
      <c r="KV220" s="15"/>
      <c r="KW220" s="15"/>
      <c r="KX220" s="15"/>
      <c r="KY220" s="15"/>
      <c r="KZ220" s="15"/>
      <c r="LA220" s="15"/>
      <c r="LB220" s="15"/>
      <c r="LC220" s="15"/>
      <c r="LD220" s="15"/>
      <c r="LE220" s="16"/>
      <c r="LF220" s="14"/>
      <c r="LG220" s="16"/>
      <c r="LH220" s="14"/>
      <c r="LI220" s="15"/>
      <c r="LJ220" s="15"/>
      <c r="LK220" s="15"/>
      <c r="LL220" s="15"/>
      <c r="LM220" s="15"/>
      <c r="LN220" s="15"/>
      <c r="LO220" s="15"/>
      <c r="LP220" s="15"/>
      <c r="LQ220" s="15"/>
      <c r="LR220" s="15"/>
      <c r="LS220" s="15"/>
      <c r="LT220" s="15"/>
      <c r="LU220" s="15"/>
      <c r="LV220" s="15"/>
      <c r="LW220" s="15"/>
      <c r="LX220" s="15"/>
      <c r="LY220" s="16"/>
      <c r="LZ220" s="15"/>
      <c r="MA220" s="16"/>
      <c r="MB220" s="15"/>
      <c r="MC220" s="15"/>
      <c r="MD220" s="15"/>
      <c r="ME220" s="15"/>
      <c r="MF220" s="15"/>
      <c r="MG220" s="15"/>
      <c r="MH220" s="15"/>
      <c r="MI220" s="15"/>
      <c r="MJ220" s="15"/>
      <c r="MK220" s="15"/>
      <c r="ML220" s="15"/>
      <c r="MM220" s="15"/>
      <c r="MN220" s="15"/>
      <c r="MO220" s="15"/>
      <c r="MP220" s="15"/>
      <c r="MQ220" s="15"/>
      <c r="MR220" s="15"/>
      <c r="MS220" s="15"/>
      <c r="MT220" s="15"/>
      <c r="MU220" s="15"/>
      <c r="MV220" s="15"/>
      <c r="MW220" s="15"/>
      <c r="MX220" s="15"/>
      <c r="MY220" s="16"/>
      <c r="MZ220" s="12"/>
      <c r="NA220" s="261"/>
      <c r="NB220" s="261"/>
      <c r="NC220" s="261"/>
      <c r="ND220" s="261"/>
      <c r="NE220" s="261"/>
      <c r="NF220" s="261"/>
      <c r="NG220" s="261"/>
      <c r="NH220" s="261"/>
      <c r="NI220" s="261"/>
      <c r="NJ220" s="261"/>
      <c r="NK220" s="13"/>
      <c r="NL220" s="261"/>
      <c r="NM220" s="261"/>
      <c r="NN220" s="13"/>
      <c r="OO220" s="263"/>
      <c r="OP220" s="263"/>
      <c r="OQ220" s="261"/>
      <c r="OR220" s="12"/>
      <c r="OS220" s="263"/>
      <c r="OT220" s="261"/>
      <c r="OU220" s="12"/>
      <c r="OV220" s="261"/>
      <c r="OW220" s="261"/>
      <c r="OX220" s="261"/>
      <c r="OY220" s="261"/>
      <c r="OZ220" s="261"/>
      <c r="PA220" s="261"/>
      <c r="PB220" s="261"/>
      <c r="PC220" s="261"/>
      <c r="PD220" s="261"/>
      <c r="PE220" s="261"/>
      <c r="PF220" s="261"/>
      <c r="PG220" s="261"/>
      <c r="PH220" s="261"/>
      <c r="PI220" s="261"/>
      <c r="PJ220" s="261"/>
      <c r="PK220" s="261"/>
      <c r="PL220" s="261"/>
      <c r="PM220" s="261"/>
      <c r="PN220" s="261"/>
      <c r="PO220" s="261"/>
      <c r="PP220" s="261"/>
      <c r="PQ220" s="261"/>
      <c r="PR220" s="261"/>
      <c r="PS220" s="261"/>
      <c r="PT220" s="261"/>
      <c r="PU220" s="261"/>
      <c r="PV220" s="261"/>
      <c r="PW220" s="261"/>
      <c r="PX220" s="261"/>
      <c r="PY220" s="261"/>
      <c r="PZ220" s="13"/>
      <c r="QA220" s="261"/>
      <c r="QB220" s="13"/>
      <c r="QC220" s="261"/>
      <c r="QD220" s="261"/>
      <c r="QE220" s="261"/>
      <c r="QF220" s="261"/>
      <c r="QG220" s="261"/>
      <c r="QH220" s="261"/>
      <c r="QI220" s="261"/>
      <c r="QJ220" s="261"/>
      <c r="QK220" s="261"/>
      <c r="QL220" s="261"/>
      <c r="QM220" s="261"/>
      <c r="QN220" s="261"/>
      <c r="QO220" s="261"/>
      <c r="QP220" s="261"/>
      <c r="QQ220" s="261"/>
      <c r="QR220" s="261"/>
      <c r="QS220" s="261"/>
      <c r="QT220" s="261"/>
      <c r="QU220" s="261"/>
      <c r="QV220" s="261"/>
      <c r="QW220" s="261"/>
      <c r="QX220" s="13"/>
      <c r="QY220" s="12"/>
      <c r="QZ220" s="13"/>
      <c r="RA220" s="261"/>
      <c r="RB220" s="261"/>
      <c r="RC220" s="261"/>
      <c r="RD220" s="261"/>
      <c r="RE220" s="261"/>
      <c r="RF220" s="261"/>
      <c r="RG220" s="261"/>
      <c r="RH220" s="261"/>
      <c r="RI220" s="261"/>
      <c r="RJ220" s="261"/>
      <c r="RK220" s="261"/>
      <c r="RL220" s="261"/>
      <c r="RM220" s="261"/>
      <c r="RN220" s="261"/>
      <c r="RO220" s="261"/>
      <c r="RP220" s="261"/>
      <c r="RQ220" s="261"/>
      <c r="RR220" s="261"/>
      <c r="RS220" s="261"/>
      <c r="RT220" s="261"/>
      <c r="RU220" s="261"/>
      <c r="RV220" s="261"/>
      <c r="RW220" s="261"/>
      <c r="RX220" s="261"/>
      <c r="RY220" s="261"/>
      <c r="RZ220" s="261"/>
      <c r="SA220" s="261"/>
      <c r="SB220" s="261"/>
      <c r="SC220" s="261"/>
      <c r="SD220" s="261"/>
      <c r="SE220" s="261"/>
      <c r="SF220" s="261"/>
      <c r="SG220" s="261"/>
      <c r="SH220" s="261"/>
      <c r="SI220" s="261"/>
      <c r="SJ220" s="261"/>
      <c r="SK220" s="261"/>
      <c r="SL220" s="261"/>
      <c r="SM220" s="261"/>
      <c r="SN220" s="261"/>
      <c r="SO220" s="261"/>
      <c r="SP220" s="261"/>
      <c r="SQ220" s="261"/>
      <c r="SR220" s="261"/>
      <c r="SS220" s="261"/>
      <c r="ST220" s="261"/>
      <c r="SU220" s="261"/>
      <c r="SV220" s="261"/>
      <c r="SW220" s="261"/>
      <c r="SX220" s="261"/>
      <c r="SY220" s="261"/>
      <c r="SZ220" s="261"/>
      <c r="TA220" s="261"/>
      <c r="TB220" s="261"/>
      <c r="TC220" s="261"/>
      <c r="TD220" s="13"/>
      <c r="TE220" s="261"/>
      <c r="TF220" s="261"/>
      <c r="TG220" s="13"/>
    </row>
    <row r="221" spans="65:527" ht="10.75" customHeight="1" x14ac:dyDescent="0.2">
      <c r="BS221" s="12"/>
      <c r="BT221" s="13"/>
      <c r="BU221" s="12"/>
      <c r="BV221" s="12"/>
      <c r="CG221" s="13"/>
      <c r="CH221" s="13"/>
      <c r="EW221" s="12"/>
      <c r="EX221" s="13"/>
      <c r="IV221" s="263"/>
      <c r="IW221" s="263"/>
      <c r="IX221" s="261"/>
      <c r="IY221" s="12"/>
      <c r="IZ221" s="263"/>
      <c r="JA221" s="261"/>
      <c r="JB221" s="12"/>
      <c r="JC221" s="261"/>
      <c r="JD221" s="261"/>
      <c r="JE221" s="261"/>
      <c r="JF221" s="261"/>
      <c r="JG221" s="261"/>
      <c r="JH221" s="261"/>
      <c r="JI221" s="261"/>
      <c r="JJ221" s="261"/>
      <c r="JK221" s="261"/>
      <c r="JL221" s="261"/>
      <c r="JM221" s="261"/>
      <c r="JN221" s="261"/>
      <c r="JO221" s="261"/>
      <c r="JP221" s="261"/>
      <c r="JQ221" s="261"/>
      <c r="JR221" s="261"/>
      <c r="JS221" s="261"/>
      <c r="JT221" s="261"/>
      <c r="JU221" s="261"/>
      <c r="JV221" s="261"/>
      <c r="JW221" s="261"/>
      <c r="JX221" s="261"/>
      <c r="JY221" s="261"/>
      <c r="JZ221" s="261"/>
      <c r="KA221" s="261"/>
      <c r="KB221" s="261"/>
      <c r="KC221" s="261"/>
      <c r="KD221" s="261"/>
      <c r="KE221" s="261"/>
      <c r="KF221" s="261"/>
      <c r="KG221" s="261"/>
      <c r="KH221" s="261"/>
      <c r="KI221" s="261"/>
      <c r="KJ221" s="261"/>
      <c r="KK221" s="261"/>
      <c r="KL221" s="261"/>
      <c r="KM221" s="261"/>
      <c r="KN221" s="261"/>
      <c r="KO221" s="261"/>
      <c r="KP221" s="261"/>
      <c r="KQ221" s="261"/>
      <c r="KR221" s="9"/>
      <c r="KS221" s="10"/>
      <c r="KT221" s="10"/>
      <c r="KU221" s="10"/>
      <c r="KV221" s="10"/>
      <c r="KW221" s="10"/>
      <c r="KX221" s="10"/>
      <c r="KY221" s="10"/>
      <c r="KZ221" s="10"/>
      <c r="LA221" s="10"/>
      <c r="LB221" s="10"/>
      <c r="LC221" s="10"/>
      <c r="LD221" s="10"/>
      <c r="LE221" s="11"/>
      <c r="LF221" s="12"/>
      <c r="LG221" s="13"/>
      <c r="LH221" s="261"/>
      <c r="LI221" s="261"/>
      <c r="LJ221" s="261"/>
      <c r="LK221" s="261"/>
      <c r="LL221" s="261"/>
      <c r="LM221" s="261"/>
      <c r="LN221" s="261"/>
      <c r="LO221" s="261"/>
      <c r="LP221" s="261"/>
      <c r="LQ221" s="261"/>
      <c r="LR221" s="261"/>
      <c r="LS221" s="261"/>
      <c r="LT221" s="261"/>
      <c r="LU221" s="261"/>
      <c r="LV221" s="261"/>
      <c r="LW221" s="261"/>
      <c r="LX221" s="261"/>
      <c r="LY221" s="261"/>
      <c r="LZ221" s="261"/>
      <c r="MA221" s="261"/>
      <c r="MB221" s="261"/>
      <c r="MC221" s="261"/>
      <c r="MD221" s="261"/>
      <c r="ME221" s="261"/>
      <c r="MF221" s="261"/>
      <c r="MG221" s="261"/>
      <c r="MH221" s="261"/>
      <c r="MI221" s="261"/>
      <c r="MJ221" s="261"/>
      <c r="MK221" s="261"/>
      <c r="ML221" s="261"/>
      <c r="MM221" s="261"/>
      <c r="MN221" s="261"/>
      <c r="MO221" s="261"/>
      <c r="MP221" s="261"/>
      <c r="MQ221" s="261"/>
      <c r="MR221" s="261"/>
      <c r="MS221" s="261"/>
      <c r="MT221" s="261"/>
      <c r="MU221" s="261"/>
      <c r="MV221" s="261"/>
      <c r="MW221" s="261"/>
      <c r="MX221" s="9"/>
      <c r="MY221" s="11"/>
      <c r="MZ221" s="12"/>
      <c r="NA221" s="261"/>
      <c r="NB221" s="261"/>
      <c r="NC221" s="261"/>
      <c r="ND221" s="261"/>
      <c r="NE221" s="261"/>
      <c r="NF221" s="261"/>
      <c r="NG221" s="261"/>
      <c r="NH221" s="261"/>
      <c r="NI221" s="261"/>
      <c r="NJ221" s="261"/>
      <c r="NK221" s="13"/>
      <c r="NL221" s="261"/>
      <c r="NM221" s="261"/>
      <c r="NN221" s="13"/>
      <c r="OO221" s="263"/>
      <c r="OP221" s="263"/>
      <c r="OQ221" s="261"/>
      <c r="OR221" s="12"/>
      <c r="OS221" s="263"/>
      <c r="OT221" s="261"/>
      <c r="OU221" s="12"/>
      <c r="OV221" s="261"/>
      <c r="OW221" s="261"/>
      <c r="OX221" s="261"/>
      <c r="OY221" s="261"/>
      <c r="OZ221" s="261"/>
      <c r="PA221" s="261"/>
      <c r="PB221" s="261"/>
      <c r="PC221" s="261"/>
      <c r="PD221" s="261"/>
      <c r="PE221" s="261"/>
      <c r="PF221" s="261"/>
      <c r="PG221" s="261"/>
      <c r="PH221" s="261"/>
      <c r="PI221" s="261"/>
      <c r="PJ221" s="261"/>
      <c r="PK221" s="261"/>
      <c r="PL221" s="261"/>
      <c r="PM221" s="261"/>
      <c r="PN221" s="261"/>
      <c r="PO221" s="261"/>
      <c r="PP221" s="261"/>
      <c r="PQ221" s="261"/>
      <c r="PR221" s="261"/>
      <c r="PS221" s="261"/>
      <c r="PT221" s="261"/>
      <c r="PU221" s="261"/>
      <c r="PV221" s="261"/>
      <c r="PW221" s="261"/>
      <c r="PX221" s="261"/>
      <c r="PY221" s="261"/>
      <c r="PZ221" s="13"/>
      <c r="QA221" s="261"/>
      <c r="QB221" s="13"/>
      <c r="QC221" s="261"/>
      <c r="QD221" s="261"/>
      <c r="QE221" s="261"/>
      <c r="QF221" s="261"/>
      <c r="QG221" s="261"/>
      <c r="QH221" s="261"/>
      <c r="QI221" s="261"/>
      <c r="QJ221" s="261"/>
      <c r="QK221" s="261"/>
      <c r="QL221" s="261"/>
      <c r="QM221" s="261"/>
      <c r="QN221" s="261"/>
      <c r="QO221" s="261"/>
      <c r="QP221" s="261"/>
      <c r="QQ221" s="261"/>
      <c r="QR221" s="261"/>
      <c r="QS221" s="261"/>
      <c r="QT221" s="261"/>
      <c r="QU221" s="261"/>
      <c r="QV221" s="261"/>
      <c r="QW221" s="261"/>
      <c r="QX221" s="13"/>
      <c r="QY221" s="12"/>
      <c r="QZ221" s="13"/>
      <c r="RA221" s="261"/>
      <c r="RB221" s="261"/>
      <c r="RC221" s="261"/>
      <c r="RD221" s="261"/>
      <c r="RE221" s="261"/>
      <c r="RF221" s="261"/>
      <c r="RG221" s="261"/>
      <c r="RH221" s="261"/>
      <c r="RI221" s="261"/>
      <c r="RJ221" s="261"/>
      <c r="RK221" s="261"/>
      <c r="RL221" s="261"/>
      <c r="RM221" s="261"/>
      <c r="RN221" s="261"/>
      <c r="RO221" s="261"/>
      <c r="RP221" s="261"/>
      <c r="RQ221" s="261"/>
      <c r="RR221" s="261"/>
      <c r="RS221" s="261"/>
      <c r="RT221" s="261"/>
      <c r="RU221" s="261"/>
      <c r="RV221" s="261"/>
      <c r="RW221" s="261"/>
      <c r="RX221" s="261"/>
      <c r="RY221" s="261"/>
      <c r="RZ221" s="261"/>
      <c r="SA221" s="261"/>
      <c r="SB221" s="261"/>
      <c r="SC221" s="261"/>
      <c r="SD221" s="261"/>
      <c r="SE221" s="261"/>
      <c r="SF221" s="261"/>
      <c r="SG221" s="261"/>
      <c r="SH221" s="261"/>
      <c r="SI221" s="261"/>
      <c r="SJ221" s="261"/>
      <c r="SK221" s="261"/>
      <c r="SL221" s="261"/>
      <c r="SM221" s="261"/>
      <c r="SN221" s="261"/>
      <c r="SO221" s="261"/>
      <c r="SP221" s="261"/>
      <c r="SQ221" s="261"/>
      <c r="SR221" s="261"/>
      <c r="SS221" s="261"/>
      <c r="ST221" s="261"/>
      <c r="SU221" s="261"/>
      <c r="SV221" s="261"/>
      <c r="SW221" s="261"/>
      <c r="SX221" s="261"/>
      <c r="SY221" s="261"/>
      <c r="SZ221" s="261"/>
      <c r="TA221" s="261"/>
      <c r="TB221" s="261"/>
      <c r="TC221" s="261"/>
      <c r="TD221" s="13"/>
      <c r="TE221" s="261"/>
      <c r="TF221" s="261"/>
      <c r="TG221" s="13"/>
    </row>
    <row r="222" spans="65:527" ht="10.75" customHeight="1" x14ac:dyDescent="0.2">
      <c r="BS222" s="12"/>
      <c r="BT222" s="13"/>
      <c r="BU222" s="12"/>
      <c r="BV222" s="12"/>
      <c r="CG222" s="13"/>
      <c r="CH222" s="13"/>
      <c r="EW222" s="12"/>
      <c r="EX222" s="13"/>
      <c r="IV222" s="263"/>
      <c r="IW222" s="263"/>
      <c r="IX222" s="261"/>
      <c r="IY222" s="12"/>
      <c r="IZ222" s="263"/>
      <c r="JA222" s="261"/>
      <c r="JB222" s="12"/>
      <c r="JC222" s="261"/>
      <c r="JD222" s="261"/>
      <c r="JE222" s="261"/>
      <c r="JF222" s="261"/>
      <c r="JG222" s="261"/>
      <c r="JH222" s="261"/>
      <c r="JI222" s="261"/>
      <c r="JJ222" s="261"/>
      <c r="JK222" s="261"/>
      <c r="JL222" s="261"/>
      <c r="JM222" s="261"/>
      <c r="JN222" s="261"/>
      <c r="JO222" s="261"/>
      <c r="JP222" s="261"/>
      <c r="JQ222" s="261"/>
      <c r="JR222" s="261"/>
      <c r="JS222" s="261"/>
      <c r="JT222" s="261"/>
      <c r="JU222" s="261"/>
      <c r="JV222" s="261"/>
      <c r="JW222" s="261"/>
      <c r="JX222" s="261"/>
      <c r="JY222" s="261"/>
      <c r="JZ222" s="261"/>
      <c r="KA222" s="261"/>
      <c r="KB222" s="261"/>
      <c r="KC222" s="261"/>
      <c r="KD222" s="261"/>
      <c r="KE222" s="261"/>
      <c r="KF222" s="261"/>
      <c r="KG222" s="261"/>
      <c r="KH222" s="261"/>
      <c r="KI222" s="261"/>
      <c r="KJ222" s="261"/>
      <c r="KK222" s="261"/>
      <c r="KL222" s="261"/>
      <c r="KM222" s="261"/>
      <c r="KN222" s="261"/>
      <c r="KO222" s="261"/>
      <c r="KP222" s="261"/>
      <c r="KQ222" s="261"/>
      <c r="KR222" s="14"/>
      <c r="KS222" s="15"/>
      <c r="KT222" s="15"/>
      <c r="KU222" s="15"/>
      <c r="KV222" s="15"/>
      <c r="KW222" s="15"/>
      <c r="KX222" s="15"/>
      <c r="KY222" s="15"/>
      <c r="KZ222" s="15"/>
      <c r="LA222" s="15"/>
      <c r="LB222" s="15"/>
      <c r="LC222" s="15"/>
      <c r="LD222" s="15"/>
      <c r="LE222" s="16"/>
      <c r="LF222" s="12"/>
      <c r="LG222" s="13"/>
      <c r="LH222" s="15"/>
      <c r="LI222" s="15"/>
      <c r="LJ222" s="15"/>
      <c r="LK222" s="15"/>
      <c r="LL222" s="15"/>
      <c r="LM222" s="15"/>
      <c r="LN222" s="15"/>
      <c r="LO222" s="15"/>
      <c r="LP222" s="15"/>
      <c r="LQ222" s="15"/>
      <c r="LR222" s="15"/>
      <c r="LS222" s="15"/>
      <c r="LT222" s="15"/>
      <c r="LU222" s="15"/>
      <c r="LV222" s="15"/>
      <c r="LW222" s="15"/>
      <c r="LX222" s="15"/>
      <c r="LY222" s="15"/>
      <c r="LZ222" s="15"/>
      <c r="MA222" s="15"/>
      <c r="MB222" s="15"/>
      <c r="MC222" s="15"/>
      <c r="MD222" s="15"/>
      <c r="ME222" s="15"/>
      <c r="MF222" s="15"/>
      <c r="MG222" s="15"/>
      <c r="MH222" s="15"/>
      <c r="MI222" s="15"/>
      <c r="MJ222" s="15"/>
      <c r="MK222" s="15"/>
      <c r="ML222" s="15"/>
      <c r="MM222" s="15"/>
      <c r="MN222" s="15"/>
      <c r="MO222" s="15"/>
      <c r="MP222" s="15"/>
      <c r="MQ222" s="15"/>
      <c r="MR222" s="15"/>
      <c r="MS222" s="15"/>
      <c r="MT222" s="15"/>
      <c r="MU222" s="15"/>
      <c r="MV222" s="15"/>
      <c r="MW222" s="15"/>
      <c r="MX222" s="14"/>
      <c r="MY222" s="16"/>
      <c r="MZ222" s="12"/>
      <c r="NA222" s="261"/>
      <c r="NB222" s="261"/>
      <c r="NC222" s="261"/>
      <c r="ND222" s="261"/>
      <c r="NE222" s="261"/>
      <c r="NF222" s="261"/>
      <c r="NG222" s="261"/>
      <c r="NH222" s="261"/>
      <c r="NI222" s="261"/>
      <c r="NJ222" s="261"/>
      <c r="NK222" s="13"/>
      <c r="NL222" s="261"/>
      <c r="NM222" s="261"/>
      <c r="NN222" s="13"/>
      <c r="OO222" s="263"/>
      <c r="OP222" s="263"/>
      <c r="OQ222" s="261"/>
      <c r="OR222" s="12"/>
      <c r="OS222" s="263"/>
      <c r="OT222" s="261"/>
      <c r="OU222" s="12"/>
      <c r="OV222" s="261"/>
      <c r="OW222" s="261"/>
      <c r="OX222" s="261"/>
      <c r="OY222" s="261"/>
      <c r="OZ222" s="261"/>
      <c r="PA222" s="261"/>
      <c r="PB222" s="261"/>
      <c r="PC222" s="261"/>
      <c r="PD222" s="261"/>
      <c r="PE222" s="261"/>
      <c r="PF222" s="261"/>
      <c r="PG222" s="261"/>
      <c r="PH222" s="261"/>
      <c r="PI222" s="261"/>
      <c r="PJ222" s="261"/>
      <c r="PK222" s="261"/>
      <c r="PL222" s="261"/>
      <c r="PM222" s="261"/>
      <c r="PN222" s="261"/>
      <c r="PO222" s="261"/>
      <c r="PP222" s="261"/>
      <c r="PQ222" s="261"/>
      <c r="PR222" s="261"/>
      <c r="PS222" s="261"/>
      <c r="PT222" s="261"/>
      <c r="PU222" s="261"/>
      <c r="PV222" s="261"/>
      <c r="PW222" s="261"/>
      <c r="PX222" s="261"/>
      <c r="PY222" s="261"/>
      <c r="PZ222" s="13"/>
      <c r="QA222" s="261"/>
      <c r="QB222" s="13"/>
      <c r="QC222" s="261"/>
      <c r="QD222" s="261"/>
      <c r="QE222" s="261"/>
      <c r="QF222" s="261"/>
      <c r="QG222" s="261"/>
      <c r="QH222" s="261"/>
      <c r="QI222" s="261"/>
      <c r="QJ222" s="261"/>
      <c r="QK222" s="261"/>
      <c r="QL222" s="261"/>
      <c r="QM222" s="261"/>
      <c r="QN222" s="261"/>
      <c r="QO222" s="261"/>
      <c r="QP222" s="261"/>
      <c r="QQ222" s="261"/>
      <c r="QR222" s="261"/>
      <c r="QS222" s="261"/>
      <c r="QT222" s="261"/>
      <c r="QU222" s="261"/>
      <c r="QV222" s="261"/>
      <c r="QW222" s="261"/>
      <c r="QX222" s="13"/>
      <c r="QY222" s="12"/>
      <c r="QZ222" s="13"/>
      <c r="RA222" s="261"/>
      <c r="RB222" s="261"/>
      <c r="RC222" s="261"/>
      <c r="RD222" s="261"/>
      <c r="RE222" s="261"/>
      <c r="RF222" s="261"/>
      <c r="RG222" s="261"/>
      <c r="RH222" s="261"/>
      <c r="RI222" s="261"/>
      <c r="RJ222" s="261"/>
      <c r="RK222" s="261"/>
      <c r="RL222" s="261"/>
      <c r="RM222" s="261"/>
      <c r="RN222" s="261"/>
      <c r="RO222" s="261"/>
      <c r="RP222" s="261"/>
      <c r="RQ222" s="261"/>
      <c r="RR222" s="261"/>
      <c r="RS222" s="261"/>
      <c r="RT222" s="261"/>
      <c r="RU222" s="261"/>
      <c r="RV222" s="261"/>
      <c r="RW222" s="261"/>
      <c r="RX222" s="261"/>
      <c r="RY222" s="261"/>
      <c r="RZ222" s="261"/>
      <c r="SA222" s="261"/>
      <c r="SB222" s="261"/>
      <c r="SC222" s="261"/>
      <c r="SD222" s="261"/>
      <c r="SE222" s="261"/>
      <c r="SF222" s="261"/>
      <c r="SG222" s="261"/>
      <c r="SH222" s="261"/>
      <c r="SI222" s="261"/>
      <c r="SJ222" s="261"/>
      <c r="SK222" s="261"/>
      <c r="SL222" s="261"/>
      <c r="SM222" s="261"/>
      <c r="SN222" s="261"/>
      <c r="SO222" s="261"/>
      <c r="SP222" s="261"/>
      <c r="SQ222" s="261"/>
      <c r="SR222" s="261"/>
      <c r="SS222" s="261"/>
      <c r="ST222" s="261"/>
      <c r="SU222" s="261"/>
      <c r="SV222" s="261"/>
      <c r="SW222" s="261"/>
      <c r="SX222" s="261"/>
      <c r="SY222" s="261"/>
      <c r="SZ222" s="261"/>
      <c r="TA222" s="261"/>
      <c r="TB222" s="261"/>
      <c r="TC222" s="261"/>
      <c r="TD222" s="13"/>
      <c r="TE222" s="261"/>
      <c r="TF222" s="261"/>
      <c r="TG222" s="13"/>
    </row>
    <row r="223" spans="65:527" ht="10.75" customHeight="1" x14ac:dyDescent="0.2">
      <c r="BS223" s="12"/>
      <c r="BT223" s="13"/>
      <c r="BU223" s="12"/>
      <c r="BV223" s="12"/>
      <c r="CG223" s="13"/>
      <c r="CH223" s="13"/>
      <c r="EW223" s="12"/>
      <c r="EX223" s="13"/>
      <c r="IV223" s="263"/>
      <c r="IW223" s="263"/>
      <c r="IX223" s="261"/>
      <c r="IY223" s="12"/>
      <c r="IZ223" s="263"/>
      <c r="JA223" s="261"/>
      <c r="JB223" s="12"/>
      <c r="JC223" s="261"/>
      <c r="JD223" s="261"/>
      <c r="JE223" s="261"/>
      <c r="JF223" s="261"/>
      <c r="JG223" s="261"/>
      <c r="JH223" s="261"/>
      <c r="JI223" s="261"/>
      <c r="JJ223" s="261"/>
      <c r="JK223" s="261"/>
      <c r="JL223" s="261"/>
      <c r="JM223" s="261"/>
      <c r="JN223" s="261"/>
      <c r="JO223" s="261"/>
      <c r="JP223" s="261"/>
      <c r="JQ223" s="261"/>
      <c r="JR223" s="261"/>
      <c r="JS223" s="261"/>
      <c r="JT223" s="261"/>
      <c r="JU223" s="261"/>
      <c r="JV223" s="261"/>
      <c r="JW223" s="261"/>
      <c r="JX223" s="261"/>
      <c r="JY223" s="261"/>
      <c r="JZ223" s="261"/>
      <c r="KA223" s="261"/>
      <c r="KB223" s="261"/>
      <c r="KC223" s="261"/>
      <c r="KD223" s="261"/>
      <c r="KE223" s="261"/>
      <c r="KF223" s="261"/>
      <c r="KG223" s="261"/>
      <c r="KH223" s="261"/>
      <c r="KI223" s="261"/>
      <c r="KJ223" s="261"/>
      <c r="KK223" s="261"/>
      <c r="KL223" s="261"/>
      <c r="KM223" s="261"/>
      <c r="KN223" s="261"/>
      <c r="KO223" s="261"/>
      <c r="KP223" s="261"/>
      <c r="KQ223" s="261"/>
      <c r="KR223" s="261"/>
      <c r="KS223" s="261"/>
      <c r="KT223" s="261"/>
      <c r="KU223" s="261"/>
      <c r="KV223" s="261"/>
      <c r="KW223" s="261"/>
      <c r="KX223" s="261"/>
      <c r="KY223" s="261"/>
      <c r="KZ223" s="261"/>
      <c r="LA223" s="261"/>
      <c r="LB223" s="261"/>
      <c r="LC223" s="261"/>
      <c r="LD223" s="261"/>
      <c r="LE223" s="13"/>
      <c r="LF223" s="12"/>
      <c r="LG223" s="13"/>
      <c r="LH223" s="261"/>
      <c r="LI223" s="261"/>
      <c r="LJ223" s="261"/>
      <c r="LK223" s="261"/>
      <c r="LL223" s="261"/>
      <c r="LM223" s="261"/>
      <c r="LN223" s="261"/>
      <c r="LO223" s="261"/>
      <c r="LP223" s="261"/>
      <c r="LQ223" s="261"/>
      <c r="LR223" s="261"/>
      <c r="LS223" s="261"/>
      <c r="LT223" s="261"/>
      <c r="LU223" s="261"/>
      <c r="LV223" s="261"/>
      <c r="LW223" s="261"/>
      <c r="LX223" s="261"/>
      <c r="LY223" s="261"/>
      <c r="LZ223" s="261"/>
      <c r="MA223" s="261"/>
      <c r="MB223" s="261"/>
      <c r="MC223" s="261"/>
      <c r="MD223" s="261"/>
      <c r="ME223" s="261"/>
      <c r="MF223" s="261"/>
      <c r="MG223" s="261"/>
      <c r="MH223" s="261"/>
      <c r="MI223" s="261"/>
      <c r="MJ223" s="261"/>
      <c r="MK223" s="261"/>
      <c r="ML223" s="261"/>
      <c r="MM223" s="261"/>
      <c r="MN223" s="261"/>
      <c r="MO223" s="261"/>
      <c r="MP223" s="261"/>
      <c r="MQ223" s="261"/>
      <c r="MR223" s="261"/>
      <c r="MS223" s="261"/>
      <c r="MT223" s="261"/>
      <c r="MU223" s="261"/>
      <c r="MV223" s="261"/>
      <c r="MW223" s="261"/>
      <c r="MX223" s="12"/>
      <c r="MY223" s="13"/>
      <c r="MZ223" s="12"/>
      <c r="NA223" s="261"/>
      <c r="NB223" s="261"/>
      <c r="NC223" s="261"/>
      <c r="ND223" s="261"/>
      <c r="NE223" s="261"/>
      <c r="NF223" s="261"/>
      <c r="NG223" s="261"/>
      <c r="NH223" s="261"/>
      <c r="NI223" s="261"/>
      <c r="NJ223" s="261"/>
      <c r="NK223" s="13"/>
      <c r="NL223" s="261"/>
      <c r="NM223" s="261"/>
      <c r="NN223" s="13"/>
      <c r="OO223" s="263"/>
      <c r="OP223" s="263"/>
      <c r="OQ223" s="261"/>
      <c r="OR223" s="12"/>
      <c r="OS223" s="263"/>
      <c r="OT223" s="261"/>
      <c r="OU223" s="12"/>
      <c r="OV223" s="261"/>
      <c r="OW223" s="261"/>
      <c r="OX223" s="261"/>
      <c r="OY223" s="261"/>
      <c r="OZ223" s="261"/>
      <c r="PA223" s="261"/>
      <c r="PB223" s="261"/>
      <c r="PC223" s="261"/>
      <c r="PD223" s="261"/>
      <c r="PE223" s="261"/>
      <c r="PF223" s="261"/>
      <c r="PG223" s="261"/>
      <c r="PH223" s="261"/>
      <c r="PI223" s="261"/>
      <c r="PJ223" s="261"/>
      <c r="PK223" s="261"/>
      <c r="PL223" s="261"/>
      <c r="PM223" s="261"/>
      <c r="PN223" s="261"/>
      <c r="PO223" s="261"/>
      <c r="PP223" s="261"/>
      <c r="PQ223" s="261"/>
      <c r="PR223" s="261"/>
      <c r="PS223" s="261"/>
      <c r="PT223" s="261"/>
      <c r="PU223" s="261"/>
      <c r="PV223" s="261"/>
      <c r="PW223" s="261"/>
      <c r="PX223" s="261"/>
      <c r="PY223" s="261"/>
      <c r="PZ223" s="13"/>
      <c r="QA223" s="261"/>
      <c r="QB223" s="13"/>
      <c r="QC223" s="261"/>
      <c r="QD223" s="261"/>
      <c r="QE223" s="261"/>
      <c r="QF223" s="261"/>
      <c r="QG223" s="261"/>
      <c r="QH223" s="261"/>
      <c r="QI223" s="261"/>
      <c r="QJ223" s="261"/>
      <c r="QK223" s="261"/>
      <c r="QL223" s="261"/>
      <c r="QM223" s="261"/>
      <c r="QN223" s="261"/>
      <c r="QO223" s="261"/>
      <c r="QP223" s="261"/>
      <c r="QQ223" s="261"/>
      <c r="QR223" s="261"/>
      <c r="QS223" s="261"/>
      <c r="QT223" s="261"/>
      <c r="QU223" s="261"/>
      <c r="QV223" s="261"/>
      <c r="QW223" s="261"/>
      <c r="QX223" s="13"/>
      <c r="QY223" s="12"/>
      <c r="QZ223" s="13"/>
      <c r="RA223" s="261"/>
      <c r="RB223" s="261"/>
      <c r="RC223" s="261"/>
      <c r="RD223" s="261"/>
      <c r="RE223" s="261"/>
      <c r="RF223" s="261"/>
      <c r="RG223" s="261"/>
      <c r="RH223" s="261"/>
      <c r="RI223" s="261"/>
      <c r="RJ223" s="261"/>
      <c r="RK223" s="261"/>
      <c r="RL223" s="261"/>
      <c r="RM223" s="261"/>
      <c r="RN223" s="261"/>
      <c r="RO223" s="261"/>
      <c r="RP223" s="261"/>
      <c r="RQ223" s="261"/>
      <c r="RR223" s="261"/>
      <c r="RS223" s="261"/>
      <c r="RT223" s="261"/>
      <c r="RU223" s="261"/>
      <c r="RV223" s="261"/>
      <c r="RW223" s="261"/>
      <c r="RX223" s="261"/>
      <c r="RY223" s="261"/>
      <c r="RZ223" s="261"/>
      <c r="SA223" s="261"/>
      <c r="SB223" s="261"/>
      <c r="SC223" s="261"/>
      <c r="SD223" s="261"/>
      <c r="SE223" s="261"/>
      <c r="SF223" s="261"/>
      <c r="SG223" s="261"/>
      <c r="SH223" s="261"/>
      <c r="SI223" s="261"/>
      <c r="SJ223" s="261"/>
      <c r="SK223" s="261"/>
      <c r="SL223" s="261"/>
      <c r="SM223" s="261"/>
      <c r="SN223" s="261"/>
      <c r="SO223" s="261"/>
      <c r="SP223" s="261"/>
      <c r="SQ223" s="261"/>
      <c r="SR223" s="261"/>
      <c r="SS223" s="261"/>
      <c r="ST223" s="261"/>
      <c r="SU223" s="261"/>
      <c r="SV223" s="261"/>
      <c r="SW223" s="261"/>
      <c r="SX223" s="261"/>
      <c r="SY223" s="261"/>
      <c r="SZ223" s="261"/>
      <c r="TA223" s="261"/>
      <c r="TB223" s="261"/>
      <c r="TC223" s="261"/>
      <c r="TD223" s="13"/>
      <c r="TE223" s="261"/>
      <c r="TF223" s="261"/>
      <c r="TG223" s="13"/>
    </row>
    <row r="224" spans="65:527" ht="10.75" customHeight="1" x14ac:dyDescent="0.2">
      <c r="BS224" s="12"/>
      <c r="BT224" s="13"/>
      <c r="BU224" s="12"/>
      <c r="BV224" s="12"/>
      <c r="CG224" s="13"/>
      <c r="CH224" s="13"/>
      <c r="EW224" s="12"/>
      <c r="EX224" s="13"/>
      <c r="IV224" s="263"/>
      <c r="IW224" s="263"/>
      <c r="IX224" s="261"/>
      <c r="IY224" s="12"/>
      <c r="IZ224" s="263"/>
      <c r="JA224" s="261"/>
      <c r="JB224" s="12"/>
      <c r="JC224" s="261"/>
      <c r="JD224" s="261"/>
      <c r="JE224" s="261"/>
      <c r="JF224" s="261"/>
      <c r="JG224" s="261"/>
      <c r="JH224" s="261"/>
      <c r="JI224" s="261"/>
      <c r="JJ224" s="261"/>
      <c r="JK224" s="261"/>
      <c r="JL224" s="261"/>
      <c r="JM224" s="261"/>
      <c r="JN224" s="261"/>
      <c r="JO224" s="261"/>
      <c r="JP224" s="261"/>
      <c r="JQ224" s="261"/>
      <c r="JR224" s="261"/>
      <c r="JS224" s="261"/>
      <c r="JT224" s="261"/>
      <c r="JU224" s="261"/>
      <c r="JV224" s="261"/>
      <c r="JW224" s="261"/>
      <c r="JX224" s="261"/>
      <c r="JY224" s="261"/>
      <c r="JZ224" s="261"/>
      <c r="KA224" s="261"/>
      <c r="KB224" s="261"/>
      <c r="KC224" s="261"/>
      <c r="KD224" s="261"/>
      <c r="KE224" s="261"/>
      <c r="KF224" s="261"/>
      <c r="KG224" s="261"/>
      <c r="KH224" s="261"/>
      <c r="KI224" s="261"/>
      <c r="KJ224" s="261"/>
      <c r="KK224" s="261"/>
      <c r="KL224" s="261"/>
      <c r="KM224" s="261"/>
      <c r="KN224" s="261"/>
      <c r="KO224" s="261"/>
      <c r="KP224" s="261"/>
      <c r="KQ224" s="261"/>
      <c r="KR224" s="261"/>
      <c r="KS224" s="261"/>
      <c r="KT224" s="261"/>
      <c r="KU224" s="261"/>
      <c r="KV224" s="261"/>
      <c r="KW224" s="261"/>
      <c r="KX224" s="261"/>
      <c r="KY224" s="261"/>
      <c r="KZ224" s="261"/>
      <c r="LA224" s="261"/>
      <c r="LB224" s="261"/>
      <c r="LC224" s="261"/>
      <c r="LD224" s="261"/>
      <c r="LE224" s="13"/>
      <c r="LF224" s="12"/>
      <c r="LG224" s="13"/>
      <c r="LH224" s="261"/>
      <c r="LI224" s="261"/>
      <c r="LJ224" s="261"/>
      <c r="LK224" s="261"/>
      <c r="LL224" s="261"/>
      <c r="LM224" s="261"/>
      <c r="LN224" s="261"/>
      <c r="LO224" s="261"/>
      <c r="LP224" s="261"/>
      <c r="LQ224" s="261"/>
      <c r="LR224" s="261"/>
      <c r="LS224" s="261"/>
      <c r="LT224" s="261"/>
      <c r="LU224" s="261"/>
      <c r="LV224" s="261"/>
      <c r="LW224" s="261"/>
      <c r="LX224" s="261"/>
      <c r="LY224" s="261"/>
      <c r="LZ224" s="261"/>
      <c r="MA224" s="261"/>
      <c r="MB224" s="261"/>
      <c r="MC224" s="261"/>
      <c r="MD224" s="261"/>
      <c r="ME224" s="261"/>
      <c r="MF224" s="261"/>
      <c r="MG224" s="261"/>
      <c r="MH224" s="261"/>
      <c r="MI224" s="261"/>
      <c r="MJ224" s="261"/>
      <c r="MK224" s="261"/>
      <c r="ML224" s="261"/>
      <c r="MM224" s="261"/>
      <c r="MN224" s="261"/>
      <c r="MO224" s="261"/>
      <c r="MP224" s="261"/>
      <c r="MQ224" s="261"/>
      <c r="MR224" s="261"/>
      <c r="MS224" s="261"/>
      <c r="MT224" s="261"/>
      <c r="MU224" s="261"/>
      <c r="MV224" s="261"/>
      <c r="MW224" s="261"/>
      <c r="MX224" s="12"/>
      <c r="MY224" s="13"/>
      <c r="MZ224" s="12"/>
      <c r="NA224" s="261"/>
      <c r="NB224" s="261"/>
      <c r="NC224" s="261"/>
      <c r="ND224" s="261"/>
      <c r="NE224" s="261"/>
      <c r="NF224" s="261"/>
      <c r="NG224" s="261"/>
      <c r="NH224" s="261"/>
      <c r="NI224" s="261"/>
      <c r="NJ224" s="261"/>
      <c r="NK224" s="13"/>
      <c r="NL224" s="261"/>
      <c r="NM224" s="261"/>
      <c r="NN224" s="13"/>
      <c r="OO224" s="263"/>
      <c r="OP224" s="263"/>
      <c r="OQ224" s="261"/>
      <c r="OR224" s="12"/>
      <c r="OS224" s="263"/>
      <c r="OT224" s="261"/>
      <c r="OU224" s="12"/>
      <c r="OV224" s="261"/>
      <c r="OW224" s="261"/>
      <c r="OX224" s="261"/>
      <c r="OY224" s="261"/>
      <c r="OZ224" s="261"/>
      <c r="PA224" s="261"/>
      <c r="PB224" s="261"/>
      <c r="PC224" s="261"/>
      <c r="PD224" s="261"/>
      <c r="PE224" s="261"/>
      <c r="PF224" s="261"/>
      <c r="PG224" s="261"/>
      <c r="PH224" s="261"/>
      <c r="PI224" s="261"/>
      <c r="PJ224" s="261"/>
      <c r="PK224" s="261"/>
      <c r="PL224" s="261"/>
      <c r="PM224" s="261"/>
      <c r="PN224" s="261"/>
      <c r="PO224" s="261"/>
      <c r="PP224" s="261"/>
      <c r="PQ224" s="261"/>
      <c r="PR224" s="261"/>
      <c r="PS224" s="261"/>
      <c r="PT224" s="261"/>
      <c r="PU224" s="261"/>
      <c r="PV224" s="261"/>
      <c r="PW224" s="261"/>
      <c r="PX224" s="261"/>
      <c r="PY224" s="261"/>
      <c r="PZ224" s="13"/>
      <c r="QA224" s="261"/>
      <c r="QB224" s="13"/>
      <c r="QC224" s="261"/>
      <c r="QD224" s="261"/>
      <c r="QE224" s="261"/>
      <c r="QF224" s="261"/>
      <c r="QG224" s="261"/>
      <c r="QH224" s="261"/>
      <c r="QI224" s="261"/>
      <c r="QJ224" s="261"/>
      <c r="QK224" s="261"/>
      <c r="QL224" s="261"/>
      <c r="QM224" s="261"/>
      <c r="QN224" s="261"/>
      <c r="QO224" s="261"/>
      <c r="QP224" s="261"/>
      <c r="QQ224" s="261"/>
      <c r="QR224" s="261"/>
      <c r="QS224" s="261"/>
      <c r="QT224" s="261"/>
      <c r="QU224" s="261"/>
      <c r="QV224" s="261"/>
      <c r="QW224" s="261"/>
      <c r="QX224" s="13"/>
      <c r="QY224" s="12"/>
      <c r="QZ224" s="13"/>
      <c r="RA224" s="261"/>
      <c r="RB224" s="261"/>
      <c r="RC224" s="261"/>
      <c r="RD224" s="261"/>
      <c r="RE224" s="261"/>
      <c r="RF224" s="261"/>
      <c r="RG224" s="261"/>
      <c r="RH224" s="261"/>
      <c r="RI224" s="261"/>
      <c r="RJ224" s="261"/>
      <c r="RK224" s="261"/>
      <c r="RL224" s="261"/>
      <c r="RM224" s="261"/>
      <c r="RN224" s="261"/>
      <c r="RO224" s="261"/>
      <c r="RP224" s="261"/>
      <c r="RQ224" s="261"/>
      <c r="RR224" s="261"/>
      <c r="RS224" s="261"/>
      <c r="RT224" s="261"/>
      <c r="RU224" s="261"/>
      <c r="RV224" s="261"/>
      <c r="RW224" s="261"/>
      <c r="RX224" s="261"/>
      <c r="RY224" s="261"/>
      <c r="RZ224" s="261"/>
      <c r="SA224" s="261"/>
      <c r="SB224" s="261"/>
      <c r="SC224" s="261"/>
      <c r="SD224" s="261"/>
      <c r="SE224" s="261"/>
      <c r="SF224" s="261"/>
      <c r="SG224" s="261"/>
      <c r="SH224" s="261"/>
      <c r="SI224" s="261"/>
      <c r="SJ224" s="261"/>
      <c r="SK224" s="261"/>
      <c r="SL224" s="261"/>
      <c r="SM224" s="261"/>
      <c r="SN224" s="261"/>
      <c r="SO224" s="261"/>
      <c r="SP224" s="261"/>
      <c r="SQ224" s="261"/>
      <c r="SR224" s="261"/>
      <c r="SS224" s="261"/>
      <c r="ST224" s="261"/>
      <c r="SU224" s="261"/>
      <c r="SV224" s="261"/>
      <c r="SW224" s="261"/>
      <c r="SX224" s="261"/>
      <c r="SY224" s="261"/>
      <c r="SZ224" s="261"/>
      <c r="TA224" s="261"/>
      <c r="TB224" s="261"/>
      <c r="TC224" s="261"/>
      <c r="TD224" s="13"/>
      <c r="TE224" s="261"/>
      <c r="TF224" s="261"/>
      <c r="TG224" s="13"/>
    </row>
    <row r="225" spans="71:527" ht="10.75" customHeight="1" x14ac:dyDescent="0.2">
      <c r="BS225" s="12"/>
      <c r="BT225" s="13"/>
      <c r="BU225" s="12"/>
      <c r="BV225" s="12"/>
      <c r="CG225" s="13"/>
      <c r="CH225" s="13"/>
      <c r="EW225" s="12"/>
      <c r="EX225" s="13"/>
      <c r="IV225" s="263"/>
      <c r="IW225" s="263"/>
      <c r="IX225" s="261"/>
      <c r="IY225" s="12"/>
      <c r="IZ225" s="263"/>
      <c r="JA225" s="261"/>
      <c r="JB225" s="12"/>
      <c r="JC225" s="261"/>
      <c r="JD225" s="261"/>
      <c r="JE225" s="261"/>
      <c r="JF225" s="261"/>
      <c r="JG225" s="261"/>
      <c r="JH225" s="261"/>
      <c r="JI225" s="261"/>
      <c r="JJ225" s="261"/>
      <c r="JK225" s="261"/>
      <c r="JL225" s="261"/>
      <c r="JM225" s="261"/>
      <c r="JN225" s="261"/>
      <c r="JO225" s="261"/>
      <c r="JP225" s="261"/>
      <c r="JQ225" s="261"/>
      <c r="JR225" s="261"/>
      <c r="JS225" s="261"/>
      <c r="JT225" s="261"/>
      <c r="JU225" s="261"/>
      <c r="JV225" s="261"/>
      <c r="JW225" s="261"/>
      <c r="JX225" s="261"/>
      <c r="JY225" s="261"/>
      <c r="JZ225" s="261"/>
      <c r="KA225" s="261"/>
      <c r="KB225" s="261"/>
      <c r="KC225" s="261"/>
      <c r="KD225" s="261"/>
      <c r="KE225" s="261"/>
      <c r="KF225" s="261"/>
      <c r="KG225" s="261"/>
      <c r="KH225" s="261"/>
      <c r="KI225" s="261"/>
      <c r="KJ225" s="261"/>
      <c r="KK225" s="261"/>
      <c r="KL225" s="261"/>
      <c r="KM225" s="261"/>
      <c r="KN225" s="261"/>
      <c r="KO225" s="261"/>
      <c r="KP225" s="261"/>
      <c r="KQ225" s="261"/>
      <c r="KR225" s="261"/>
      <c r="KS225" s="261"/>
      <c r="KT225" s="261"/>
      <c r="KU225" s="261"/>
      <c r="KV225" s="261"/>
      <c r="KW225" s="261"/>
      <c r="KX225" s="261"/>
      <c r="KY225" s="261"/>
      <c r="KZ225" s="261"/>
      <c r="LA225" s="261"/>
      <c r="LB225" s="261"/>
      <c r="LC225" s="261"/>
      <c r="LD225" s="261"/>
      <c r="LE225" s="13"/>
      <c r="LF225" s="12"/>
      <c r="LG225" s="13"/>
      <c r="LH225" s="261"/>
      <c r="LI225" s="261"/>
      <c r="LJ225" s="261"/>
      <c r="LK225" s="261"/>
      <c r="LL225" s="261"/>
      <c r="LM225" s="261"/>
      <c r="LN225" s="261"/>
      <c r="LO225" s="261"/>
      <c r="LP225" s="261"/>
      <c r="LQ225" s="261"/>
      <c r="LR225" s="261"/>
      <c r="LS225" s="261"/>
      <c r="LT225" s="261"/>
      <c r="LU225" s="261"/>
      <c r="LV225" s="261"/>
      <c r="LW225" s="261"/>
      <c r="LX225" s="261"/>
      <c r="LY225" s="261"/>
      <c r="LZ225" s="261"/>
      <c r="MA225" s="261"/>
      <c r="MB225" s="261"/>
      <c r="MC225" s="261"/>
      <c r="MD225" s="261"/>
      <c r="ME225" s="261"/>
      <c r="MF225" s="261"/>
      <c r="MG225" s="261"/>
      <c r="MH225" s="261"/>
      <c r="MI225" s="261"/>
      <c r="MJ225" s="261"/>
      <c r="MK225" s="261"/>
      <c r="ML225" s="261"/>
      <c r="MM225" s="261"/>
      <c r="MN225" s="261"/>
      <c r="MO225" s="261"/>
      <c r="MP225" s="261"/>
      <c r="MQ225" s="261"/>
      <c r="MR225" s="261"/>
      <c r="MS225" s="261"/>
      <c r="MT225" s="261"/>
      <c r="MU225" s="261"/>
      <c r="MV225" s="261"/>
      <c r="MW225" s="261"/>
      <c r="MX225" s="12"/>
      <c r="MY225" s="13"/>
      <c r="MZ225" s="12"/>
      <c r="NA225" s="261"/>
      <c r="NB225" s="261"/>
      <c r="NC225" s="261"/>
      <c r="ND225" s="261"/>
      <c r="NE225" s="261"/>
      <c r="NF225" s="261"/>
      <c r="NG225" s="261"/>
      <c r="NH225" s="261"/>
      <c r="NI225" s="261"/>
      <c r="NJ225" s="261"/>
      <c r="NK225" s="13"/>
      <c r="NL225" s="261"/>
      <c r="NM225" s="261"/>
      <c r="NN225" s="13"/>
      <c r="OO225" s="263"/>
      <c r="OP225" s="263"/>
      <c r="OQ225" s="261"/>
      <c r="OR225" s="12"/>
      <c r="OS225" s="263"/>
      <c r="OT225" s="261"/>
      <c r="OU225" s="12"/>
      <c r="OV225" s="261"/>
      <c r="OW225" s="261"/>
      <c r="OX225" s="261"/>
      <c r="OY225" s="261"/>
      <c r="OZ225" s="261"/>
      <c r="PA225" s="261"/>
      <c r="PB225" s="261"/>
      <c r="PC225" s="261"/>
      <c r="PD225" s="261"/>
      <c r="PE225" s="261"/>
      <c r="PF225" s="261"/>
      <c r="PG225" s="261"/>
      <c r="PH225" s="261"/>
      <c r="PI225" s="261"/>
      <c r="PJ225" s="261"/>
      <c r="PK225" s="261"/>
      <c r="PL225" s="261"/>
      <c r="PM225" s="261"/>
      <c r="PN225" s="261"/>
      <c r="PO225" s="261"/>
      <c r="PP225" s="261"/>
      <c r="PQ225" s="261"/>
      <c r="PR225" s="261"/>
      <c r="PS225" s="261"/>
      <c r="PT225" s="261"/>
      <c r="PU225" s="261"/>
      <c r="PV225" s="261"/>
      <c r="PW225" s="261"/>
      <c r="PX225" s="261"/>
      <c r="PY225" s="261"/>
      <c r="PZ225" s="13"/>
      <c r="QA225" s="261"/>
      <c r="QB225" s="13"/>
      <c r="QC225" s="261"/>
      <c r="QD225" s="261"/>
      <c r="QE225" s="261"/>
      <c r="QF225" s="261"/>
      <c r="QG225" s="261"/>
      <c r="QH225" s="261"/>
      <c r="QI225" s="261"/>
      <c r="QJ225" s="261"/>
      <c r="QK225" s="261"/>
      <c r="QL225" s="261"/>
      <c r="QM225" s="261"/>
      <c r="QN225" s="261"/>
      <c r="QO225" s="261"/>
      <c r="QP225" s="261"/>
      <c r="QQ225" s="261"/>
      <c r="QR225" s="261"/>
      <c r="QS225" s="261"/>
      <c r="QT225" s="261"/>
      <c r="QU225" s="261"/>
      <c r="QV225" s="261"/>
      <c r="QW225" s="261"/>
      <c r="QX225" s="13"/>
      <c r="QY225" s="12"/>
      <c r="QZ225" s="13"/>
      <c r="RA225" s="261"/>
      <c r="RB225" s="261"/>
      <c r="RC225" s="261"/>
      <c r="RD225" s="261"/>
      <c r="RE225" s="261"/>
      <c r="RF225" s="261"/>
      <c r="RG225" s="261"/>
      <c r="RH225" s="261"/>
      <c r="RI225" s="261"/>
      <c r="RJ225" s="261"/>
      <c r="RK225" s="261"/>
      <c r="RL225" s="261"/>
      <c r="RM225" s="261"/>
      <c r="RN225" s="261"/>
      <c r="RO225" s="261"/>
      <c r="RP225" s="261"/>
      <c r="RQ225" s="261"/>
      <c r="RR225" s="261"/>
      <c r="RS225" s="261"/>
      <c r="RT225" s="261"/>
      <c r="RU225" s="261"/>
      <c r="RV225" s="261"/>
      <c r="RW225" s="261"/>
      <c r="RX225" s="261"/>
      <c r="RY225" s="261"/>
      <c r="RZ225" s="261"/>
      <c r="SA225" s="261"/>
      <c r="SB225" s="261"/>
      <c r="SC225" s="261"/>
      <c r="SD225" s="261"/>
      <c r="SE225" s="261"/>
      <c r="SF225" s="261"/>
      <c r="SG225" s="261"/>
      <c r="SH225" s="261"/>
      <c r="SI225" s="261"/>
      <c r="SJ225" s="261"/>
      <c r="SK225" s="261"/>
      <c r="SL225" s="261"/>
      <c r="SM225" s="261"/>
      <c r="SN225" s="261"/>
      <c r="SO225" s="261"/>
      <c r="SP225" s="261"/>
      <c r="SQ225" s="261"/>
      <c r="SR225" s="261"/>
      <c r="SS225" s="261"/>
      <c r="ST225" s="261"/>
      <c r="SU225" s="261"/>
      <c r="SV225" s="261"/>
      <c r="SW225" s="261"/>
      <c r="SX225" s="261"/>
      <c r="SY225" s="261"/>
      <c r="SZ225" s="261"/>
      <c r="TA225" s="261"/>
      <c r="TB225" s="261"/>
      <c r="TC225" s="261"/>
      <c r="TD225" s="13"/>
      <c r="TE225" s="261"/>
      <c r="TF225" s="261"/>
      <c r="TG225" s="13"/>
    </row>
    <row r="226" spans="71:527" ht="10.75" customHeight="1" x14ac:dyDescent="0.2">
      <c r="BS226" s="12"/>
      <c r="BT226" s="13"/>
      <c r="BU226" s="12"/>
      <c r="BV226" s="12"/>
      <c r="CG226" s="13"/>
      <c r="CH226" s="13"/>
      <c r="EW226" s="12"/>
      <c r="EX226" s="13"/>
      <c r="IV226" s="263"/>
      <c r="IW226" s="263"/>
      <c r="IX226" s="261"/>
      <c r="IY226" s="12"/>
      <c r="IZ226" s="263"/>
      <c r="JA226" s="261"/>
      <c r="JB226" s="12"/>
      <c r="JC226" s="261"/>
      <c r="JD226" s="261"/>
      <c r="JE226" s="261"/>
      <c r="JF226" s="261"/>
      <c r="JG226" s="261"/>
      <c r="JH226" s="261"/>
      <c r="JI226" s="261"/>
      <c r="JJ226" s="261"/>
      <c r="JK226" s="261"/>
      <c r="JL226" s="261"/>
      <c r="JM226" s="261"/>
      <c r="JN226" s="261"/>
      <c r="JO226" s="261"/>
      <c r="JP226" s="261"/>
      <c r="JQ226" s="261"/>
      <c r="JR226" s="261"/>
      <c r="JS226" s="261"/>
      <c r="JT226" s="261"/>
      <c r="JU226" s="261"/>
      <c r="JV226" s="261"/>
      <c r="JW226" s="261"/>
      <c r="JX226" s="261"/>
      <c r="JY226" s="261"/>
      <c r="JZ226" s="261"/>
      <c r="KA226" s="261"/>
      <c r="KB226" s="261"/>
      <c r="KC226" s="261"/>
      <c r="KD226" s="261"/>
      <c r="KE226" s="261"/>
      <c r="KF226" s="261"/>
      <c r="KG226" s="261"/>
      <c r="KH226" s="261"/>
      <c r="KI226" s="261"/>
      <c r="KJ226" s="261"/>
      <c r="KK226" s="261"/>
      <c r="KL226" s="261"/>
      <c r="KM226" s="261"/>
      <c r="KN226" s="261"/>
      <c r="KO226" s="261"/>
      <c r="KP226" s="261"/>
      <c r="KQ226" s="261"/>
      <c r="KR226" s="261"/>
      <c r="KS226" s="261"/>
      <c r="KT226" s="261"/>
      <c r="KU226" s="261"/>
      <c r="KV226" s="261"/>
      <c r="KW226" s="261"/>
      <c r="KX226" s="261"/>
      <c r="KY226" s="261"/>
      <c r="KZ226" s="261"/>
      <c r="LA226" s="261"/>
      <c r="LB226" s="261"/>
      <c r="LC226" s="261"/>
      <c r="LD226" s="261"/>
      <c r="LE226" s="13"/>
      <c r="LF226" s="12"/>
      <c r="LG226" s="13"/>
      <c r="LH226" s="261"/>
      <c r="LI226" s="261"/>
      <c r="LJ226" s="261"/>
      <c r="LK226" s="261"/>
      <c r="LL226" s="261"/>
      <c r="LM226" s="261"/>
      <c r="LN226" s="261"/>
      <c r="LO226" s="261"/>
      <c r="LP226" s="261"/>
      <c r="LQ226" s="261"/>
      <c r="LR226" s="261"/>
      <c r="LS226" s="261"/>
      <c r="LT226" s="261"/>
      <c r="LU226" s="261"/>
      <c r="LV226" s="261"/>
      <c r="LW226" s="261"/>
      <c r="LX226" s="261"/>
      <c r="LY226" s="261"/>
      <c r="LZ226" s="261"/>
      <c r="MA226" s="261"/>
      <c r="MB226" s="261"/>
      <c r="MC226" s="261"/>
      <c r="MD226" s="261"/>
      <c r="ME226" s="261"/>
      <c r="MF226" s="261"/>
      <c r="MG226" s="261"/>
      <c r="MH226" s="261"/>
      <c r="MI226" s="261"/>
      <c r="MJ226" s="261"/>
      <c r="MK226" s="261"/>
      <c r="ML226" s="261"/>
      <c r="MM226" s="261"/>
      <c r="MN226" s="261"/>
      <c r="MO226" s="261"/>
      <c r="MP226" s="261"/>
      <c r="MQ226" s="261"/>
      <c r="MR226" s="261"/>
      <c r="MS226" s="261"/>
      <c r="MT226" s="261"/>
      <c r="MU226" s="261"/>
      <c r="MV226" s="261"/>
      <c r="MW226" s="261"/>
      <c r="MX226" s="12"/>
      <c r="MY226" s="13"/>
      <c r="MZ226" s="12"/>
      <c r="NA226" s="261"/>
      <c r="NB226" s="261"/>
      <c r="NC226" s="261"/>
      <c r="ND226" s="261"/>
      <c r="NE226" s="261"/>
      <c r="NF226" s="261"/>
      <c r="NG226" s="261"/>
      <c r="NH226" s="261"/>
      <c r="NI226" s="261"/>
      <c r="NJ226" s="261"/>
      <c r="NK226" s="13"/>
      <c r="NL226" s="261"/>
      <c r="NM226" s="261"/>
      <c r="NN226" s="13"/>
      <c r="OO226" s="263"/>
      <c r="OP226" s="263"/>
      <c r="OQ226" s="261"/>
      <c r="OR226" s="12"/>
      <c r="OS226" s="263"/>
      <c r="OT226" s="261"/>
      <c r="OU226" s="14"/>
      <c r="OV226" s="15"/>
      <c r="OW226" s="15"/>
      <c r="OX226" s="15"/>
      <c r="OY226" s="15"/>
      <c r="OZ226" s="15"/>
      <c r="PA226" s="15"/>
      <c r="PB226" s="15"/>
      <c r="PC226" s="15"/>
      <c r="PD226" s="15"/>
      <c r="PE226" s="15"/>
      <c r="PF226" s="15"/>
      <c r="PG226" s="15"/>
      <c r="PH226" s="15"/>
      <c r="PI226" s="15"/>
      <c r="PJ226" s="15"/>
      <c r="PK226" s="15"/>
      <c r="PL226" s="15"/>
      <c r="PM226" s="15"/>
      <c r="PN226" s="15"/>
      <c r="PO226" s="15"/>
      <c r="PP226" s="15"/>
      <c r="PQ226" s="15"/>
      <c r="PR226" s="15"/>
      <c r="PS226" s="15"/>
      <c r="PT226" s="15"/>
      <c r="PU226" s="15"/>
      <c r="PV226" s="15"/>
      <c r="PW226" s="15"/>
      <c r="PX226" s="15"/>
      <c r="PY226" s="15"/>
      <c r="PZ226" s="16"/>
      <c r="QA226" s="15"/>
      <c r="QB226" s="16"/>
      <c r="QC226" s="15"/>
      <c r="QD226" s="15"/>
      <c r="QE226" s="15"/>
      <c r="QF226" s="15"/>
      <c r="QG226" s="15"/>
      <c r="QH226" s="15"/>
      <c r="QI226" s="15"/>
      <c r="QJ226" s="15"/>
      <c r="QK226" s="15"/>
      <c r="QL226" s="15"/>
      <c r="QM226" s="15"/>
      <c r="QN226" s="15"/>
      <c r="QO226" s="15"/>
      <c r="QP226" s="15"/>
      <c r="QQ226" s="15"/>
      <c r="QR226" s="15"/>
      <c r="QS226" s="15"/>
      <c r="QT226" s="15"/>
      <c r="QU226" s="15"/>
      <c r="QV226" s="15"/>
      <c r="QW226" s="15"/>
      <c r="QX226" s="16"/>
      <c r="QY226" s="12"/>
      <c r="QZ226" s="13"/>
      <c r="RA226" s="261"/>
      <c r="RB226" s="261"/>
      <c r="RC226" s="261"/>
      <c r="RD226" s="261"/>
      <c r="RE226" s="261"/>
      <c r="RF226" s="261"/>
      <c r="RG226" s="261"/>
      <c r="RH226" s="261"/>
      <c r="RI226" s="261"/>
      <c r="RJ226" s="261"/>
      <c r="RK226" s="261"/>
      <c r="RL226" s="261"/>
      <c r="RM226" s="261"/>
      <c r="RN226" s="261"/>
      <c r="RO226" s="261"/>
      <c r="RP226" s="261"/>
      <c r="RQ226" s="261"/>
      <c r="RR226" s="261"/>
      <c r="RS226" s="261"/>
      <c r="RT226" s="261"/>
      <c r="RU226" s="261"/>
      <c r="RV226" s="261"/>
      <c r="RW226" s="261"/>
      <c r="RX226" s="261"/>
      <c r="RY226" s="261"/>
      <c r="RZ226" s="261"/>
      <c r="SA226" s="261"/>
      <c r="SB226" s="261"/>
      <c r="SC226" s="261"/>
      <c r="SD226" s="261"/>
      <c r="SE226" s="261"/>
      <c r="SF226" s="261"/>
      <c r="SG226" s="261"/>
      <c r="SH226" s="261"/>
      <c r="SI226" s="261"/>
      <c r="SJ226" s="261"/>
      <c r="SK226" s="261"/>
      <c r="SL226" s="261"/>
      <c r="SM226" s="261"/>
      <c r="SN226" s="261"/>
      <c r="SO226" s="261"/>
      <c r="SP226" s="261"/>
      <c r="SQ226" s="261"/>
      <c r="SR226" s="261"/>
      <c r="SS226" s="261"/>
      <c r="ST226" s="261"/>
      <c r="SU226" s="261"/>
      <c r="SV226" s="261"/>
      <c r="SW226" s="261"/>
      <c r="SX226" s="261"/>
      <c r="SY226" s="261"/>
      <c r="SZ226" s="261"/>
      <c r="TA226" s="261"/>
      <c r="TB226" s="261"/>
      <c r="TC226" s="261"/>
      <c r="TD226" s="13"/>
      <c r="TE226" s="261"/>
      <c r="TF226" s="261"/>
      <c r="TG226" s="13"/>
    </row>
    <row r="227" spans="71:527" ht="10.75" customHeight="1" x14ac:dyDescent="0.2">
      <c r="BS227" s="12"/>
      <c r="BT227" s="13"/>
      <c r="BU227" s="12"/>
      <c r="BV227" s="12"/>
      <c r="CG227" s="13"/>
      <c r="CH227" s="13"/>
      <c r="EW227" s="12"/>
      <c r="EX227" s="13"/>
      <c r="IV227" s="263"/>
      <c r="IW227" s="263"/>
      <c r="IX227" s="261"/>
      <c r="IY227" s="12"/>
      <c r="IZ227" s="263"/>
      <c r="JA227" s="261"/>
      <c r="JB227" s="12"/>
      <c r="JC227" s="261"/>
      <c r="JD227" s="261"/>
      <c r="JE227" s="261"/>
      <c r="JF227" s="261"/>
      <c r="JG227" s="261"/>
      <c r="JH227" s="261"/>
      <c r="JI227" s="261"/>
      <c r="JJ227" s="261"/>
      <c r="JK227" s="261"/>
      <c r="JL227" s="261"/>
      <c r="JM227" s="261"/>
      <c r="JN227" s="261"/>
      <c r="JO227" s="261"/>
      <c r="JP227" s="261"/>
      <c r="JQ227" s="261"/>
      <c r="JR227" s="261"/>
      <c r="JS227" s="261"/>
      <c r="JT227" s="261"/>
      <c r="JU227" s="261"/>
      <c r="JV227" s="261"/>
      <c r="JW227" s="261"/>
      <c r="JX227" s="261"/>
      <c r="JY227" s="261"/>
      <c r="JZ227" s="261"/>
      <c r="KA227" s="261"/>
      <c r="KB227" s="261"/>
      <c r="KC227" s="261"/>
      <c r="KD227" s="261"/>
      <c r="KE227" s="261"/>
      <c r="KF227" s="261"/>
      <c r="KG227" s="261"/>
      <c r="KH227" s="261"/>
      <c r="KI227" s="261"/>
      <c r="KJ227" s="261"/>
      <c r="KK227" s="261"/>
      <c r="KL227" s="261"/>
      <c r="KM227" s="261"/>
      <c r="KN227" s="261"/>
      <c r="KO227" s="261"/>
      <c r="KP227" s="261"/>
      <c r="KQ227" s="261"/>
      <c r="KR227" s="261"/>
      <c r="KS227" s="261"/>
      <c r="KT227" s="261"/>
      <c r="KU227" s="261"/>
      <c r="KV227" s="261"/>
      <c r="KW227" s="261"/>
      <c r="KX227" s="261"/>
      <c r="KY227" s="261"/>
      <c r="KZ227" s="261"/>
      <c r="LA227" s="261"/>
      <c r="LB227" s="261"/>
      <c r="LC227" s="261"/>
      <c r="LD227" s="261"/>
      <c r="LE227" s="13"/>
      <c r="LF227" s="12"/>
      <c r="LG227" s="13"/>
      <c r="LH227" s="261"/>
      <c r="LI227" s="261"/>
      <c r="LJ227" s="261"/>
      <c r="LK227" s="261"/>
      <c r="LL227" s="261"/>
      <c r="LM227" s="261"/>
      <c r="LN227" s="261"/>
      <c r="LO227" s="261"/>
      <c r="LP227" s="261"/>
      <c r="LQ227" s="261"/>
      <c r="LR227" s="261"/>
      <c r="LS227" s="261"/>
      <c r="LT227" s="261"/>
      <c r="LU227" s="261"/>
      <c r="LV227" s="261"/>
      <c r="LW227" s="261"/>
      <c r="LX227" s="261"/>
      <c r="LY227" s="261"/>
      <c r="LZ227" s="261"/>
      <c r="MA227" s="261"/>
      <c r="MB227" s="261"/>
      <c r="MC227" s="261"/>
      <c r="MD227" s="261"/>
      <c r="ME227" s="261"/>
      <c r="MF227" s="261"/>
      <c r="MG227" s="261"/>
      <c r="MH227" s="261"/>
      <c r="MI227" s="261"/>
      <c r="MJ227" s="261"/>
      <c r="MK227" s="261"/>
      <c r="ML227" s="261"/>
      <c r="MM227" s="261"/>
      <c r="MN227" s="261"/>
      <c r="MO227" s="261"/>
      <c r="MP227" s="261"/>
      <c r="MQ227" s="261"/>
      <c r="MR227" s="261"/>
      <c r="MS227" s="261"/>
      <c r="MT227" s="261"/>
      <c r="MU227" s="261"/>
      <c r="MV227" s="261"/>
      <c r="MW227" s="261"/>
      <c r="MX227" s="12"/>
      <c r="MY227" s="13"/>
      <c r="MZ227" s="12"/>
      <c r="NA227" s="261"/>
      <c r="NB227" s="261"/>
      <c r="NC227" s="261"/>
      <c r="ND227" s="261"/>
      <c r="NE227" s="261"/>
      <c r="NF227" s="261"/>
      <c r="NG227" s="261"/>
      <c r="NH227" s="261"/>
      <c r="NI227" s="261"/>
      <c r="NJ227" s="261"/>
      <c r="NK227" s="13"/>
      <c r="NL227" s="261"/>
      <c r="NM227" s="261"/>
      <c r="NN227" s="13"/>
      <c r="OO227" s="263"/>
      <c r="OP227" s="263"/>
      <c r="OQ227" s="261"/>
      <c r="OR227" s="12"/>
      <c r="OS227" s="263"/>
      <c r="OT227" s="261"/>
      <c r="OU227" s="9"/>
      <c r="OV227" s="10"/>
      <c r="OW227" s="10"/>
      <c r="OX227" s="10"/>
      <c r="OY227" s="10"/>
      <c r="OZ227" s="10"/>
      <c r="PA227" s="10"/>
      <c r="PB227" s="10"/>
      <c r="PC227" s="10"/>
      <c r="PD227" s="10"/>
      <c r="PE227" s="10"/>
      <c r="PF227" s="10"/>
      <c r="PG227" s="10"/>
      <c r="PH227" s="10"/>
      <c r="PI227" s="10"/>
      <c r="PJ227" s="10"/>
      <c r="PK227" s="10"/>
      <c r="PL227" s="10"/>
      <c r="PM227" s="10"/>
      <c r="PN227" s="10"/>
      <c r="PO227" s="10"/>
      <c r="PP227" s="10"/>
      <c r="PQ227" s="10"/>
      <c r="PR227" s="10"/>
      <c r="PS227" s="10"/>
      <c r="PT227" s="10"/>
      <c r="PU227" s="10"/>
      <c r="PV227" s="10"/>
      <c r="PW227" s="10"/>
      <c r="PX227" s="10"/>
      <c r="PY227" s="10"/>
      <c r="PZ227" s="10"/>
      <c r="QA227" s="10"/>
      <c r="QB227" s="10"/>
      <c r="QC227" s="10"/>
      <c r="QD227" s="10"/>
      <c r="QE227" s="10"/>
      <c r="QF227" s="10"/>
      <c r="QG227" s="10"/>
      <c r="QH227" s="10"/>
      <c r="QI227" s="10"/>
      <c r="QJ227" s="10"/>
      <c r="QK227" s="10"/>
      <c r="QL227" s="10"/>
      <c r="QM227" s="10"/>
      <c r="QN227" s="10"/>
      <c r="QO227" s="10"/>
      <c r="QP227" s="10"/>
      <c r="QQ227" s="10"/>
      <c r="QR227" s="10"/>
      <c r="QS227" s="10"/>
      <c r="QT227" s="10"/>
      <c r="QU227" s="10"/>
      <c r="QV227" s="10"/>
      <c r="QW227" s="10"/>
      <c r="QX227" s="11"/>
      <c r="QY227" s="12"/>
      <c r="QZ227" s="13"/>
      <c r="RA227" s="261"/>
      <c r="RB227" s="261"/>
      <c r="RC227" s="261"/>
      <c r="RD227" s="261"/>
      <c r="RE227" s="261"/>
      <c r="RF227" s="261"/>
      <c r="RG227" s="261"/>
      <c r="RH227" s="261"/>
      <c r="RI227" s="261"/>
      <c r="RJ227" s="261"/>
      <c r="RK227" s="261"/>
      <c r="RL227" s="261"/>
      <c r="RM227" s="261"/>
      <c r="RN227" s="261"/>
      <c r="RO227" s="261"/>
      <c r="RP227" s="261"/>
      <c r="RQ227" s="261"/>
      <c r="RR227" s="261"/>
      <c r="RS227" s="261"/>
      <c r="RT227" s="261"/>
      <c r="RU227" s="261"/>
      <c r="RV227" s="261"/>
      <c r="RW227" s="261"/>
      <c r="RX227" s="261"/>
      <c r="RY227" s="261"/>
      <c r="RZ227" s="261"/>
      <c r="SA227" s="261"/>
      <c r="SB227" s="261"/>
      <c r="SC227" s="261"/>
      <c r="SD227" s="261"/>
      <c r="SE227" s="261"/>
      <c r="SF227" s="261"/>
      <c r="SG227" s="261"/>
      <c r="SH227" s="261"/>
      <c r="SI227" s="261"/>
      <c r="SJ227" s="261"/>
      <c r="SK227" s="261"/>
      <c r="SL227" s="261"/>
      <c r="SM227" s="261"/>
      <c r="SN227" s="261"/>
      <c r="SO227" s="261"/>
      <c r="SP227" s="261"/>
      <c r="SQ227" s="261"/>
      <c r="SR227" s="261"/>
      <c r="SS227" s="261"/>
      <c r="ST227" s="261"/>
      <c r="SU227" s="261"/>
      <c r="SV227" s="261"/>
      <c r="SW227" s="261"/>
      <c r="SX227" s="261"/>
      <c r="SY227" s="261"/>
      <c r="SZ227" s="261"/>
      <c r="TA227" s="261"/>
      <c r="TB227" s="261"/>
      <c r="TC227" s="261"/>
      <c r="TD227" s="13"/>
      <c r="TE227" s="261"/>
      <c r="TF227" s="261"/>
      <c r="TG227" s="13"/>
    </row>
    <row r="228" spans="71:527" ht="10.75" customHeight="1" x14ac:dyDescent="0.2">
      <c r="BS228" s="12"/>
      <c r="BT228" s="13"/>
      <c r="BU228" s="12"/>
      <c r="BV228" s="12"/>
      <c r="CG228" s="13"/>
      <c r="CH228" s="13"/>
      <c r="EW228" s="12"/>
      <c r="EX228" s="13"/>
      <c r="IV228" s="263"/>
      <c r="IW228" s="263"/>
      <c r="IX228" s="261"/>
      <c r="IY228" s="12"/>
      <c r="IZ228" s="263"/>
      <c r="JA228" s="261"/>
      <c r="JB228" s="12"/>
      <c r="JC228" s="261"/>
      <c r="JD228" s="261"/>
      <c r="JE228" s="261"/>
      <c r="JF228" s="261"/>
      <c r="JG228" s="261"/>
      <c r="JH228" s="261"/>
      <c r="JI228" s="261"/>
      <c r="JJ228" s="261"/>
      <c r="JK228" s="261"/>
      <c r="JL228" s="261"/>
      <c r="JM228" s="261"/>
      <c r="JN228" s="261"/>
      <c r="JO228" s="261"/>
      <c r="JP228" s="261"/>
      <c r="JQ228" s="261"/>
      <c r="JR228" s="261"/>
      <c r="JS228" s="261"/>
      <c r="JT228" s="261"/>
      <c r="JU228" s="261"/>
      <c r="JV228" s="261"/>
      <c r="JW228" s="261"/>
      <c r="JX228" s="261"/>
      <c r="JY228" s="261"/>
      <c r="JZ228" s="261"/>
      <c r="KA228" s="261"/>
      <c r="KB228" s="261"/>
      <c r="KC228" s="261"/>
      <c r="KD228" s="261"/>
      <c r="KE228" s="261"/>
      <c r="KF228" s="261"/>
      <c r="KG228" s="261"/>
      <c r="KH228" s="261"/>
      <c r="KI228" s="261"/>
      <c r="KJ228" s="261"/>
      <c r="KK228" s="261"/>
      <c r="KL228" s="261"/>
      <c r="KM228" s="261"/>
      <c r="KN228" s="261"/>
      <c r="KO228" s="261"/>
      <c r="KP228" s="261"/>
      <c r="KQ228" s="261"/>
      <c r="KR228" s="261"/>
      <c r="KS228" s="261"/>
      <c r="KT228" s="261"/>
      <c r="KU228" s="261"/>
      <c r="KV228" s="261"/>
      <c r="KW228" s="261"/>
      <c r="KX228" s="261"/>
      <c r="KY228" s="261"/>
      <c r="KZ228" s="261"/>
      <c r="LA228" s="261"/>
      <c r="LB228" s="261"/>
      <c r="LC228" s="261"/>
      <c r="LD228" s="261"/>
      <c r="LE228" s="13"/>
      <c r="LF228" s="12"/>
      <c r="LG228" s="13"/>
      <c r="LH228" s="261"/>
      <c r="LI228" s="261"/>
      <c r="LJ228" s="261"/>
      <c r="LK228" s="261"/>
      <c r="LL228" s="261"/>
      <c r="LM228" s="261"/>
      <c r="LN228" s="261"/>
      <c r="LO228" s="261"/>
      <c r="LP228" s="261"/>
      <c r="LQ228" s="261"/>
      <c r="LR228" s="261"/>
      <c r="LS228" s="261"/>
      <c r="LT228" s="261"/>
      <c r="LU228" s="261"/>
      <c r="LV228" s="261"/>
      <c r="LW228" s="261"/>
      <c r="LX228" s="261"/>
      <c r="LY228" s="261"/>
      <c r="LZ228" s="261"/>
      <c r="MA228" s="261"/>
      <c r="MB228" s="261"/>
      <c r="MC228" s="261"/>
      <c r="MD228" s="261"/>
      <c r="ME228" s="261"/>
      <c r="MF228" s="261"/>
      <c r="MG228" s="261"/>
      <c r="MH228" s="261"/>
      <c r="MI228" s="261"/>
      <c r="MJ228" s="261"/>
      <c r="MK228" s="261"/>
      <c r="ML228" s="261"/>
      <c r="MM228" s="261"/>
      <c r="MN228" s="261"/>
      <c r="MO228" s="261"/>
      <c r="MP228" s="261"/>
      <c r="MQ228" s="261"/>
      <c r="MR228" s="261"/>
      <c r="MS228" s="261"/>
      <c r="MT228" s="261"/>
      <c r="MU228" s="261"/>
      <c r="MV228" s="261"/>
      <c r="MW228" s="261"/>
      <c r="MX228" s="14"/>
      <c r="MY228" s="16"/>
      <c r="MZ228" s="14"/>
      <c r="NA228" s="15"/>
      <c r="NB228" s="15"/>
      <c r="NC228" s="15"/>
      <c r="ND228" s="15"/>
      <c r="NE228" s="15"/>
      <c r="NF228" s="15"/>
      <c r="NG228" s="15"/>
      <c r="NH228" s="15"/>
      <c r="NI228" s="15"/>
      <c r="NJ228" s="15"/>
      <c r="NK228" s="16"/>
      <c r="NL228" s="261"/>
      <c r="NM228" s="261"/>
      <c r="NN228" s="13"/>
      <c r="OO228" s="263"/>
      <c r="OP228" s="263"/>
      <c r="OQ228" s="261"/>
      <c r="OR228" s="12"/>
      <c r="OS228" s="263"/>
      <c r="OT228" s="261"/>
      <c r="OU228" s="12"/>
      <c r="OV228" s="261"/>
      <c r="OW228" s="261"/>
      <c r="OX228" s="261"/>
      <c r="OY228" s="261"/>
      <c r="OZ228" s="261"/>
      <c r="PA228" s="261"/>
      <c r="PB228" s="261"/>
      <c r="PC228" s="261"/>
      <c r="PD228" s="261"/>
      <c r="PE228" s="261"/>
      <c r="PF228" s="261"/>
      <c r="PG228" s="261"/>
      <c r="PH228" s="261"/>
      <c r="PI228" s="261"/>
      <c r="PJ228" s="261"/>
      <c r="PK228" s="261"/>
      <c r="PL228" s="261"/>
      <c r="PM228" s="261"/>
      <c r="PN228" s="261"/>
      <c r="PO228" s="261"/>
      <c r="PP228" s="261"/>
      <c r="PQ228" s="261"/>
      <c r="PR228" s="261"/>
      <c r="PS228" s="261"/>
      <c r="PT228" s="261"/>
      <c r="PU228" s="261"/>
      <c r="PV228" s="261"/>
      <c r="PW228" s="261"/>
      <c r="PX228" s="261"/>
      <c r="PY228" s="261"/>
      <c r="PZ228" s="261"/>
      <c r="QA228" s="261"/>
      <c r="QB228" s="261"/>
      <c r="QC228" s="261"/>
      <c r="QD228" s="261"/>
      <c r="QE228" s="261"/>
      <c r="QF228" s="261"/>
      <c r="QG228" s="261"/>
      <c r="QH228" s="261"/>
      <c r="QI228" s="261"/>
      <c r="QJ228" s="261"/>
      <c r="QK228" s="261"/>
      <c r="QL228" s="261"/>
      <c r="QM228" s="261"/>
      <c r="QN228" s="261"/>
      <c r="QO228" s="261"/>
      <c r="QP228" s="261"/>
      <c r="QQ228" s="261"/>
      <c r="QR228" s="261"/>
      <c r="QS228" s="261"/>
      <c r="QT228" s="261"/>
      <c r="QU228" s="261"/>
      <c r="QV228" s="261"/>
      <c r="QW228" s="261"/>
      <c r="QX228" s="13"/>
      <c r="QY228" s="12"/>
      <c r="QZ228" s="13"/>
      <c r="RA228" s="261"/>
      <c r="RB228" s="261"/>
      <c r="RC228" s="261"/>
      <c r="RD228" s="261"/>
      <c r="RE228" s="261"/>
      <c r="RF228" s="261"/>
      <c r="RG228" s="261"/>
      <c r="RH228" s="261"/>
      <c r="RI228" s="261"/>
      <c r="RJ228" s="261"/>
      <c r="RK228" s="261"/>
      <c r="RL228" s="261"/>
      <c r="RM228" s="261"/>
      <c r="RN228" s="261"/>
      <c r="RO228" s="261"/>
      <c r="RP228" s="261"/>
      <c r="RQ228" s="261"/>
      <c r="RR228" s="261"/>
      <c r="RS228" s="261"/>
      <c r="RT228" s="261"/>
      <c r="RU228" s="261"/>
      <c r="RV228" s="261"/>
      <c r="RW228" s="261"/>
      <c r="RX228" s="261"/>
      <c r="RY228" s="261"/>
      <c r="RZ228" s="261"/>
      <c r="SA228" s="261"/>
      <c r="SB228" s="261"/>
      <c r="SC228" s="261"/>
      <c r="SD228" s="261"/>
      <c r="SE228" s="261"/>
      <c r="SF228" s="261"/>
      <c r="SG228" s="261"/>
      <c r="SH228" s="261"/>
      <c r="SI228" s="261"/>
      <c r="SJ228" s="261"/>
      <c r="SK228" s="261"/>
      <c r="SL228" s="261"/>
      <c r="SM228" s="261"/>
      <c r="SN228" s="261"/>
      <c r="SO228" s="261"/>
      <c r="SP228" s="261"/>
      <c r="SQ228" s="261"/>
      <c r="SR228" s="261"/>
      <c r="SS228" s="261"/>
      <c r="ST228" s="261"/>
      <c r="SU228" s="261"/>
      <c r="SV228" s="261"/>
      <c r="SW228" s="261"/>
      <c r="SX228" s="261"/>
      <c r="SY228" s="261"/>
      <c r="SZ228" s="261"/>
      <c r="TA228" s="261"/>
      <c r="TB228" s="261"/>
      <c r="TC228" s="261"/>
      <c r="TD228" s="13"/>
      <c r="TE228" s="261"/>
      <c r="TF228" s="261"/>
      <c r="TG228" s="13"/>
    </row>
    <row r="229" spans="71:527" ht="10.75" customHeight="1" x14ac:dyDescent="0.2">
      <c r="BS229" s="12"/>
      <c r="BT229" s="13"/>
      <c r="BU229" s="12"/>
      <c r="BV229" s="12"/>
      <c r="CG229" s="13"/>
      <c r="CH229" s="13"/>
      <c r="EW229" s="12"/>
      <c r="EX229" s="13"/>
      <c r="IV229" s="263"/>
      <c r="IW229" s="263"/>
      <c r="IX229" s="261"/>
      <c r="IY229" s="12"/>
      <c r="IZ229" s="263"/>
      <c r="JA229" s="261"/>
      <c r="JB229" s="12"/>
      <c r="JC229" s="261"/>
      <c r="JD229" s="261"/>
      <c r="JE229" s="261"/>
      <c r="JF229" s="261"/>
      <c r="JG229" s="261"/>
      <c r="JH229" s="261"/>
      <c r="JI229" s="261"/>
      <c r="JJ229" s="261"/>
      <c r="JK229" s="261"/>
      <c r="JL229" s="261"/>
      <c r="JM229" s="261"/>
      <c r="JN229" s="261"/>
      <c r="JO229" s="261"/>
      <c r="JP229" s="261"/>
      <c r="JQ229" s="261"/>
      <c r="JR229" s="261"/>
      <c r="JS229" s="261"/>
      <c r="JT229" s="261"/>
      <c r="JU229" s="261"/>
      <c r="JV229" s="261"/>
      <c r="JW229" s="261"/>
      <c r="JX229" s="261"/>
      <c r="JY229" s="261"/>
      <c r="JZ229" s="261"/>
      <c r="KA229" s="261"/>
      <c r="KB229" s="261"/>
      <c r="KC229" s="261"/>
      <c r="KD229" s="261"/>
      <c r="KE229" s="261"/>
      <c r="KF229" s="261"/>
      <c r="KG229" s="261"/>
      <c r="KH229" s="261"/>
      <c r="KI229" s="261"/>
      <c r="KJ229" s="261"/>
      <c r="KK229" s="261"/>
      <c r="KL229" s="261"/>
      <c r="KM229" s="261"/>
      <c r="KN229" s="261"/>
      <c r="KO229" s="261"/>
      <c r="KP229" s="261"/>
      <c r="KQ229" s="261"/>
      <c r="KR229" s="261"/>
      <c r="KS229" s="261"/>
      <c r="KT229" s="261"/>
      <c r="KU229" s="261"/>
      <c r="KV229" s="261"/>
      <c r="KW229" s="261"/>
      <c r="KX229" s="261"/>
      <c r="KY229" s="261"/>
      <c r="KZ229" s="261"/>
      <c r="LA229" s="261"/>
      <c r="LB229" s="261"/>
      <c r="LC229" s="261"/>
      <c r="LD229" s="261"/>
      <c r="LE229" s="13"/>
      <c r="LF229" s="12"/>
      <c r="LG229" s="13"/>
      <c r="LH229" s="261"/>
      <c r="LI229" s="261"/>
      <c r="LJ229" s="261"/>
      <c r="LK229" s="261"/>
      <c r="LL229" s="261"/>
      <c r="LM229" s="261"/>
      <c r="LN229" s="261"/>
      <c r="LO229" s="261"/>
      <c r="LP229" s="261"/>
      <c r="LQ229" s="261"/>
      <c r="LR229" s="261"/>
      <c r="LS229" s="261"/>
      <c r="LT229" s="261"/>
      <c r="LU229" s="261"/>
      <c r="LV229" s="261"/>
      <c r="LW229" s="261"/>
      <c r="LX229" s="261"/>
      <c r="LY229" s="261"/>
      <c r="LZ229" s="261"/>
      <c r="MA229" s="261"/>
      <c r="MB229" s="261"/>
      <c r="MC229" s="261"/>
      <c r="MD229" s="261"/>
      <c r="ME229" s="261"/>
      <c r="MF229" s="261"/>
      <c r="MG229" s="261"/>
      <c r="MH229" s="261"/>
      <c r="MI229" s="261"/>
      <c r="MJ229" s="261"/>
      <c r="MK229" s="261"/>
      <c r="ML229" s="261"/>
      <c r="MM229" s="261"/>
      <c r="MN229" s="261"/>
      <c r="MO229" s="261"/>
      <c r="MP229" s="261"/>
      <c r="MQ229" s="261"/>
      <c r="MR229" s="261"/>
      <c r="MS229" s="261"/>
      <c r="MT229" s="261"/>
      <c r="MU229" s="261"/>
      <c r="MV229" s="261"/>
      <c r="MW229" s="261"/>
      <c r="MX229" s="261"/>
      <c r="MY229" s="261"/>
      <c r="MZ229" s="261"/>
      <c r="NA229" s="261"/>
      <c r="NB229" s="261"/>
      <c r="NC229" s="261"/>
      <c r="ND229" s="261"/>
      <c r="NE229" s="261"/>
      <c r="NF229" s="261"/>
      <c r="NG229" s="261"/>
      <c r="NH229" s="261"/>
      <c r="NI229" s="261"/>
      <c r="NJ229" s="261"/>
      <c r="NK229" s="13"/>
      <c r="NL229" s="261"/>
      <c r="NM229" s="261"/>
      <c r="NN229" s="13"/>
      <c r="OO229" s="263"/>
      <c r="OP229" s="263"/>
      <c r="OQ229" s="261"/>
      <c r="OR229" s="12"/>
      <c r="OS229" s="263"/>
      <c r="OT229" s="261"/>
      <c r="OU229" s="9"/>
      <c r="OV229" s="10"/>
      <c r="OW229" s="10"/>
      <c r="OX229" s="10"/>
      <c r="OY229" s="10"/>
      <c r="OZ229" s="10"/>
      <c r="PA229" s="10"/>
      <c r="PB229" s="10"/>
      <c r="PC229" s="10"/>
      <c r="PD229" s="10"/>
      <c r="PE229" s="10"/>
      <c r="PF229" s="10"/>
      <c r="PG229" s="10"/>
      <c r="PH229" s="10"/>
      <c r="PI229" s="10"/>
      <c r="PJ229" s="10"/>
      <c r="PK229" s="10"/>
      <c r="PL229" s="10"/>
      <c r="PM229" s="10"/>
      <c r="PN229" s="10"/>
      <c r="PO229" s="10"/>
      <c r="PP229" s="10"/>
      <c r="PQ229" s="10"/>
      <c r="PR229" s="10"/>
      <c r="PS229" s="10"/>
      <c r="PT229" s="10"/>
      <c r="PU229" s="10"/>
      <c r="PV229" s="10"/>
      <c r="PW229" s="10"/>
      <c r="PX229" s="10"/>
      <c r="PY229" s="10"/>
      <c r="PZ229" s="10"/>
      <c r="QA229" s="10"/>
      <c r="QB229" s="10"/>
      <c r="QC229" s="10"/>
      <c r="QD229" s="10"/>
      <c r="QE229" s="10"/>
      <c r="QF229" s="10"/>
      <c r="QG229" s="10"/>
      <c r="QH229" s="10"/>
      <c r="QI229" s="10"/>
      <c r="QJ229" s="10"/>
      <c r="QK229" s="10"/>
      <c r="QL229" s="10"/>
      <c r="QM229" s="10"/>
      <c r="QN229" s="10"/>
      <c r="QO229" s="10"/>
      <c r="QP229" s="10"/>
      <c r="QQ229" s="10"/>
      <c r="QR229" s="10"/>
      <c r="QS229" s="10"/>
      <c r="QT229" s="10"/>
      <c r="QU229" s="10"/>
      <c r="QV229" s="10"/>
      <c r="QW229" s="10"/>
      <c r="QX229" s="11"/>
      <c r="QY229" s="12"/>
      <c r="QZ229" s="13"/>
      <c r="RA229" s="261"/>
      <c r="RB229" s="261"/>
      <c r="RC229" s="261"/>
      <c r="RD229" s="261"/>
      <c r="RE229" s="261"/>
      <c r="RF229" s="261"/>
      <c r="RG229" s="261"/>
      <c r="RH229" s="261"/>
      <c r="RI229" s="261"/>
      <c r="RJ229" s="261"/>
      <c r="RK229" s="261"/>
      <c r="RL229" s="261"/>
      <c r="RM229" s="261"/>
      <c r="RN229" s="261"/>
      <c r="RO229" s="261"/>
      <c r="RP229" s="261"/>
      <c r="RQ229" s="261"/>
      <c r="RR229" s="261"/>
      <c r="RS229" s="261"/>
      <c r="RT229" s="261"/>
      <c r="RU229" s="261"/>
      <c r="RV229" s="261"/>
      <c r="RW229" s="261"/>
      <c r="RX229" s="261"/>
      <c r="RY229" s="261"/>
      <c r="RZ229" s="261"/>
      <c r="SA229" s="261"/>
      <c r="SB229" s="261"/>
      <c r="SC229" s="261"/>
      <c r="SD229" s="261"/>
      <c r="SE229" s="261"/>
      <c r="SF229" s="261"/>
      <c r="SG229" s="261"/>
      <c r="SH229" s="261"/>
      <c r="SI229" s="261"/>
      <c r="SJ229" s="261"/>
      <c r="SK229" s="261"/>
      <c r="SL229" s="261"/>
      <c r="SM229" s="261"/>
      <c r="SN229" s="261"/>
      <c r="SO229" s="261"/>
      <c r="SP229" s="261"/>
      <c r="SQ229" s="261"/>
      <c r="SR229" s="261"/>
      <c r="SS229" s="261"/>
      <c r="ST229" s="261"/>
      <c r="SU229" s="261"/>
      <c r="SV229" s="261"/>
      <c r="SW229" s="261"/>
      <c r="SX229" s="261"/>
      <c r="SY229" s="261"/>
      <c r="SZ229" s="261"/>
      <c r="TA229" s="261"/>
      <c r="TB229" s="261"/>
      <c r="TC229" s="261"/>
      <c r="TD229" s="13"/>
      <c r="TE229" s="261"/>
      <c r="TF229" s="261"/>
      <c r="TG229" s="13"/>
    </row>
    <row r="230" spans="71:527" ht="10.75" customHeight="1" x14ac:dyDescent="0.2">
      <c r="BS230" s="12"/>
      <c r="BT230" s="13"/>
      <c r="BU230" s="12"/>
      <c r="BV230" s="12"/>
      <c r="CG230" s="13"/>
      <c r="CH230" s="13"/>
      <c r="EW230" s="12"/>
      <c r="EX230" s="13"/>
      <c r="IV230" s="263"/>
      <c r="IW230" s="263"/>
      <c r="IX230" s="261"/>
      <c r="IY230" s="12"/>
      <c r="IZ230" s="263"/>
      <c r="JA230" s="263"/>
      <c r="JB230" s="264"/>
      <c r="JC230" s="263"/>
      <c r="JD230" s="263"/>
      <c r="JE230" s="263"/>
      <c r="JF230" s="263"/>
      <c r="JG230" s="263"/>
      <c r="JH230" s="261"/>
      <c r="JI230" s="261"/>
      <c r="JJ230" s="261"/>
      <c r="JK230" s="261"/>
      <c r="JL230" s="261"/>
      <c r="JM230" s="261"/>
      <c r="JN230" s="261"/>
      <c r="JO230" s="261"/>
      <c r="JP230" s="261"/>
      <c r="JQ230" s="261"/>
      <c r="JR230" s="261"/>
      <c r="JS230" s="261"/>
      <c r="JT230" s="261"/>
      <c r="JU230" s="261"/>
      <c r="JV230" s="261"/>
      <c r="JW230" s="261"/>
      <c r="JX230" s="261"/>
      <c r="JY230" s="261"/>
      <c r="JZ230" s="261"/>
      <c r="KA230" s="261"/>
      <c r="KB230" s="261"/>
      <c r="KC230" s="261"/>
      <c r="KD230" s="261"/>
      <c r="KE230" s="261"/>
      <c r="KF230" s="261"/>
      <c r="KG230" s="261"/>
      <c r="KH230" s="261"/>
      <c r="KI230" s="261"/>
      <c r="KJ230" s="261"/>
      <c r="KK230" s="261"/>
      <c r="KL230" s="261"/>
      <c r="KM230" s="261"/>
      <c r="KN230" s="261"/>
      <c r="KO230" s="261"/>
      <c r="KP230" s="261"/>
      <c r="KQ230" s="261"/>
      <c r="KR230" s="261"/>
      <c r="KS230" s="261"/>
      <c r="KT230" s="261"/>
      <c r="KU230" s="261"/>
      <c r="KV230" s="261"/>
      <c r="KW230" s="261"/>
      <c r="KX230" s="261"/>
      <c r="KY230" s="261"/>
      <c r="KZ230" s="261"/>
      <c r="LA230" s="261"/>
      <c r="LB230" s="261"/>
      <c r="LC230" s="261"/>
      <c r="LD230" s="261"/>
      <c r="LE230" s="13"/>
      <c r="LF230" s="12"/>
      <c r="LG230" s="13"/>
      <c r="LH230" s="261"/>
      <c r="LI230" s="261"/>
      <c r="LJ230" s="261"/>
      <c r="LK230" s="261"/>
      <c r="LL230" s="261"/>
      <c r="LM230" s="261"/>
      <c r="LN230" s="261"/>
      <c r="LO230" s="261"/>
      <c r="LP230" s="261"/>
      <c r="LQ230" s="261"/>
      <c r="LR230" s="261"/>
      <c r="LS230" s="261"/>
      <c r="LT230" s="261"/>
      <c r="LU230" s="261"/>
      <c r="LV230" s="261"/>
      <c r="LW230" s="261"/>
      <c r="LX230" s="261"/>
      <c r="LY230" s="261"/>
      <c r="LZ230" s="261"/>
      <c r="MA230" s="261"/>
      <c r="MB230" s="261"/>
      <c r="MC230" s="261"/>
      <c r="MD230" s="261"/>
      <c r="ME230" s="261"/>
      <c r="MF230" s="261"/>
      <c r="MG230" s="261"/>
      <c r="MH230" s="261"/>
      <c r="MI230" s="261"/>
      <c r="MJ230" s="261"/>
      <c r="MK230" s="261"/>
      <c r="ML230" s="261"/>
      <c r="MM230" s="261"/>
      <c r="MN230" s="261"/>
      <c r="MO230" s="261"/>
      <c r="MP230" s="261"/>
      <c r="MQ230" s="261"/>
      <c r="MR230" s="261"/>
      <c r="MS230" s="261"/>
      <c r="MT230" s="261"/>
      <c r="MU230" s="261"/>
      <c r="MV230" s="261"/>
      <c r="MW230" s="261"/>
      <c r="MX230" s="261"/>
      <c r="MY230" s="261"/>
      <c r="MZ230" s="261"/>
      <c r="NA230" s="261"/>
      <c r="NB230" s="261"/>
      <c r="NC230" s="261"/>
      <c r="ND230" s="261"/>
      <c r="NE230" s="261"/>
      <c r="NF230" s="261"/>
      <c r="NG230" s="261"/>
      <c r="NH230" s="261"/>
      <c r="NI230" s="261"/>
      <c r="NJ230" s="261"/>
      <c r="NK230" s="13"/>
      <c r="NL230" s="261"/>
      <c r="NM230" s="261"/>
      <c r="NN230" s="13"/>
      <c r="OO230" s="263"/>
      <c r="OP230" s="263"/>
      <c r="OQ230" s="261"/>
      <c r="OR230" s="12"/>
      <c r="OS230" s="263"/>
      <c r="OT230" s="263"/>
      <c r="OU230" s="264"/>
      <c r="OV230" s="263"/>
      <c r="OW230" s="263"/>
      <c r="OX230" s="263"/>
      <c r="OY230" s="263"/>
      <c r="OZ230" s="263"/>
      <c r="PA230" s="261"/>
      <c r="PB230" s="261"/>
      <c r="PC230" s="261"/>
      <c r="PD230" s="261"/>
      <c r="PE230" s="261"/>
      <c r="PF230" s="261"/>
      <c r="PG230" s="261"/>
      <c r="PH230" s="261"/>
      <c r="PI230" s="261"/>
      <c r="PJ230" s="261"/>
      <c r="PK230" s="261"/>
      <c r="PL230" s="261"/>
      <c r="PM230" s="261"/>
      <c r="PN230" s="261"/>
      <c r="PO230" s="261"/>
      <c r="PP230" s="261"/>
      <c r="PQ230" s="261"/>
      <c r="PR230" s="261"/>
      <c r="PS230" s="261"/>
      <c r="PT230" s="261"/>
      <c r="PU230" s="261"/>
      <c r="PV230" s="261"/>
      <c r="PW230" s="261"/>
      <c r="PX230" s="261"/>
      <c r="PY230" s="261"/>
      <c r="PZ230" s="261"/>
      <c r="QA230" s="261"/>
      <c r="QB230" s="261"/>
      <c r="QC230" s="261"/>
      <c r="QD230" s="261"/>
      <c r="QE230" s="261"/>
      <c r="QF230" s="261"/>
      <c r="QG230" s="261"/>
      <c r="QH230" s="261"/>
      <c r="QI230" s="261"/>
      <c r="QJ230" s="261"/>
      <c r="QK230" s="261"/>
      <c r="QL230" s="261"/>
      <c r="QM230" s="261"/>
      <c r="QN230" s="261"/>
      <c r="QO230" s="261"/>
      <c r="QP230" s="261"/>
      <c r="QQ230" s="261"/>
      <c r="QR230" s="261"/>
      <c r="QS230" s="261"/>
      <c r="QT230" s="261"/>
      <c r="QU230" s="261"/>
      <c r="QV230" s="261"/>
      <c r="QW230" s="261"/>
      <c r="QX230" s="13"/>
      <c r="QY230" s="12"/>
      <c r="QZ230" s="13"/>
      <c r="RA230" s="261"/>
      <c r="RB230" s="261"/>
      <c r="RC230" s="261"/>
      <c r="RD230" s="261"/>
      <c r="RE230" s="261"/>
      <c r="RF230" s="261"/>
      <c r="RG230" s="261"/>
      <c r="RH230" s="261"/>
      <c r="RI230" s="261"/>
      <c r="RJ230" s="261"/>
      <c r="RK230" s="261"/>
      <c r="RL230" s="261"/>
      <c r="RM230" s="261"/>
      <c r="RN230" s="261"/>
      <c r="RO230" s="261"/>
      <c r="RP230" s="261"/>
      <c r="RQ230" s="261"/>
      <c r="RR230" s="261"/>
      <c r="RS230" s="261"/>
      <c r="RT230" s="261"/>
      <c r="RU230" s="261"/>
      <c r="RV230" s="261"/>
      <c r="RW230" s="261"/>
      <c r="RX230" s="261"/>
      <c r="RY230" s="261"/>
      <c r="RZ230" s="261"/>
      <c r="SA230" s="261"/>
      <c r="SB230" s="261"/>
      <c r="SC230" s="261"/>
      <c r="SD230" s="261"/>
      <c r="SE230" s="261"/>
      <c r="SF230" s="261"/>
      <c r="SG230" s="261"/>
      <c r="SH230" s="261"/>
      <c r="SI230" s="261"/>
      <c r="SJ230" s="261"/>
      <c r="SK230" s="261"/>
      <c r="SL230" s="261"/>
      <c r="SM230" s="261"/>
      <c r="SN230" s="261"/>
      <c r="SO230" s="261"/>
      <c r="SP230" s="261"/>
      <c r="SQ230" s="261"/>
      <c r="SR230" s="261"/>
      <c r="SS230" s="261"/>
      <c r="ST230" s="261"/>
      <c r="SU230" s="261"/>
      <c r="SV230" s="261"/>
      <c r="SW230" s="261"/>
      <c r="SX230" s="261"/>
      <c r="SY230" s="261"/>
      <c r="SZ230" s="261"/>
      <c r="TA230" s="261"/>
      <c r="TB230" s="261"/>
      <c r="TC230" s="261"/>
      <c r="TD230" s="13"/>
      <c r="TE230" s="261"/>
      <c r="TF230" s="261"/>
      <c r="TG230" s="13"/>
    </row>
    <row r="231" spans="71:527" ht="10.75" customHeight="1" x14ac:dyDescent="0.2">
      <c r="BS231" s="12"/>
      <c r="BT231" s="13"/>
      <c r="BU231" s="12"/>
      <c r="BV231" s="12"/>
      <c r="CG231" s="13"/>
      <c r="CH231" s="13"/>
      <c r="EW231" s="12"/>
      <c r="EX231" s="13"/>
      <c r="IV231" s="263"/>
      <c r="IW231" s="263"/>
      <c r="IX231" s="261"/>
      <c r="IY231" s="12"/>
      <c r="IZ231" s="263"/>
      <c r="JA231" s="263"/>
      <c r="JB231" s="264"/>
      <c r="JC231" s="263"/>
      <c r="JD231" s="263"/>
      <c r="JE231" s="263"/>
      <c r="JF231" s="263"/>
      <c r="JG231" s="263"/>
      <c r="JH231" s="261"/>
      <c r="JI231" s="261"/>
      <c r="JJ231" s="261"/>
      <c r="JK231" s="261"/>
      <c r="JL231" s="261"/>
      <c r="JM231" s="261"/>
      <c r="JN231" s="261"/>
      <c r="JO231" s="261"/>
      <c r="JP231" s="261"/>
      <c r="JQ231" s="261"/>
      <c r="JR231" s="261"/>
      <c r="JS231" s="261"/>
      <c r="JT231" s="261"/>
      <c r="JU231" s="261"/>
      <c r="JV231" s="261"/>
      <c r="JW231" s="261"/>
      <c r="JX231" s="261"/>
      <c r="JY231" s="261"/>
      <c r="JZ231" s="261"/>
      <c r="KA231" s="261"/>
      <c r="KB231" s="261"/>
      <c r="KC231" s="261"/>
      <c r="KD231" s="261"/>
      <c r="KE231" s="261"/>
      <c r="KF231" s="261"/>
      <c r="KG231" s="261"/>
      <c r="KH231" s="261"/>
      <c r="KI231" s="261"/>
      <c r="KJ231" s="261"/>
      <c r="KK231" s="261"/>
      <c r="KL231" s="261"/>
      <c r="KM231" s="261"/>
      <c r="KN231" s="261"/>
      <c r="KO231" s="261"/>
      <c r="KP231" s="261"/>
      <c r="KQ231" s="261"/>
      <c r="KR231" s="261"/>
      <c r="KS231" s="261"/>
      <c r="KT231" s="261"/>
      <c r="KU231" s="261"/>
      <c r="KV231" s="261"/>
      <c r="KW231" s="261"/>
      <c r="KX231" s="261"/>
      <c r="KY231" s="261"/>
      <c r="KZ231" s="261"/>
      <c r="LA231" s="261"/>
      <c r="LB231" s="261"/>
      <c r="LC231" s="261"/>
      <c r="LD231" s="261"/>
      <c r="LE231" s="13"/>
      <c r="LF231" s="12"/>
      <c r="LG231" s="13"/>
      <c r="LH231" s="261"/>
      <c r="LI231" s="261"/>
      <c r="LJ231" s="261"/>
      <c r="LK231" s="261"/>
      <c r="LL231" s="261"/>
      <c r="LM231" s="261"/>
      <c r="LN231" s="261"/>
      <c r="LO231" s="261"/>
      <c r="LP231" s="261"/>
      <c r="LQ231" s="261"/>
      <c r="LR231" s="261"/>
      <c r="LS231" s="261"/>
      <c r="LT231" s="261"/>
      <c r="LU231" s="261"/>
      <c r="LV231" s="261"/>
      <c r="LW231" s="261"/>
      <c r="LX231" s="261"/>
      <c r="LY231" s="261"/>
      <c r="LZ231" s="261"/>
      <c r="MA231" s="261"/>
      <c r="MB231" s="261"/>
      <c r="MC231" s="261"/>
      <c r="MD231" s="261"/>
      <c r="ME231" s="261"/>
      <c r="MF231" s="261"/>
      <c r="MG231" s="261"/>
      <c r="MH231" s="261"/>
      <c r="MI231" s="261"/>
      <c r="MJ231" s="261"/>
      <c r="MK231" s="261"/>
      <c r="ML231" s="261"/>
      <c r="MM231" s="261"/>
      <c r="MN231" s="261"/>
      <c r="MO231" s="261"/>
      <c r="MP231" s="261"/>
      <c r="MQ231" s="261"/>
      <c r="MR231" s="261"/>
      <c r="MS231" s="261"/>
      <c r="MT231" s="261"/>
      <c r="MU231" s="261"/>
      <c r="MV231" s="261"/>
      <c r="MW231" s="261"/>
      <c r="MX231" s="261"/>
      <c r="MY231" s="261"/>
      <c r="MZ231" s="261"/>
      <c r="NA231" s="261"/>
      <c r="NB231" s="261"/>
      <c r="NC231" s="261"/>
      <c r="ND231" s="261"/>
      <c r="NE231" s="261"/>
      <c r="NF231" s="261"/>
      <c r="NG231" s="261"/>
      <c r="NH231" s="261"/>
      <c r="NI231" s="261"/>
      <c r="NJ231" s="261"/>
      <c r="NK231" s="13"/>
      <c r="NL231" s="261"/>
      <c r="NM231" s="261"/>
      <c r="NN231" s="13"/>
      <c r="OO231" s="263"/>
      <c r="OP231" s="263"/>
      <c r="OQ231" s="261"/>
      <c r="OR231" s="12"/>
      <c r="OS231" s="263"/>
      <c r="OT231" s="263"/>
      <c r="OU231" s="264"/>
      <c r="OV231" s="263"/>
      <c r="OW231" s="263"/>
      <c r="OX231" s="263"/>
      <c r="OY231" s="263"/>
      <c r="OZ231" s="263"/>
      <c r="PA231" s="261"/>
      <c r="PB231" s="261"/>
      <c r="PC231" s="261"/>
      <c r="PD231" s="261"/>
      <c r="PE231" s="261"/>
      <c r="PF231" s="261"/>
      <c r="PG231" s="261"/>
      <c r="PH231" s="261"/>
      <c r="PI231" s="261"/>
      <c r="PJ231" s="261"/>
      <c r="PK231" s="261"/>
      <c r="PL231" s="261"/>
      <c r="PM231" s="261"/>
      <c r="PN231" s="261"/>
      <c r="PO231" s="261"/>
      <c r="PP231" s="261"/>
      <c r="PQ231" s="261"/>
      <c r="PR231" s="261"/>
      <c r="PS231" s="261"/>
      <c r="PT231" s="261"/>
      <c r="PU231" s="261"/>
      <c r="PV231" s="261"/>
      <c r="PW231" s="261"/>
      <c r="PX231" s="261"/>
      <c r="PY231" s="261"/>
      <c r="PZ231" s="261"/>
      <c r="QA231" s="261"/>
      <c r="QB231" s="261"/>
      <c r="QC231" s="261"/>
      <c r="QD231" s="261"/>
      <c r="QE231" s="261"/>
      <c r="QF231" s="261"/>
      <c r="QG231" s="261"/>
      <c r="QH231" s="261"/>
      <c r="QI231" s="261"/>
      <c r="QJ231" s="261"/>
      <c r="QK231" s="261"/>
      <c r="QL231" s="261"/>
      <c r="QM231" s="261"/>
      <c r="QN231" s="261"/>
      <c r="QO231" s="261"/>
      <c r="QP231" s="261"/>
      <c r="QQ231" s="261"/>
      <c r="QR231" s="261"/>
      <c r="QS231" s="261"/>
      <c r="QT231" s="261"/>
      <c r="QU231" s="261"/>
      <c r="QV231" s="261"/>
      <c r="QW231" s="261"/>
      <c r="QX231" s="13"/>
      <c r="QY231" s="12"/>
      <c r="QZ231" s="13"/>
      <c r="RA231" s="261"/>
      <c r="RB231" s="261"/>
      <c r="RC231" s="261"/>
      <c r="RD231" s="261"/>
      <c r="RE231" s="261"/>
      <c r="RF231" s="261"/>
      <c r="RG231" s="261"/>
      <c r="RH231" s="261"/>
      <c r="RI231" s="261"/>
      <c r="RJ231" s="261"/>
      <c r="RK231" s="261"/>
      <c r="RL231" s="261"/>
      <c r="RM231" s="261"/>
      <c r="RN231" s="261"/>
      <c r="RO231" s="261"/>
      <c r="RP231" s="261"/>
      <c r="RQ231" s="261"/>
      <c r="RR231" s="261"/>
      <c r="RS231" s="261"/>
      <c r="RT231" s="261"/>
      <c r="RU231" s="261"/>
      <c r="RV231" s="261"/>
      <c r="RW231" s="261"/>
      <c r="RX231" s="261"/>
      <c r="RY231" s="261"/>
      <c r="RZ231" s="261"/>
      <c r="SA231" s="261"/>
      <c r="SB231" s="261"/>
      <c r="SC231" s="261"/>
      <c r="SD231" s="261"/>
      <c r="SE231" s="261"/>
      <c r="SF231" s="261"/>
      <c r="SG231" s="261"/>
      <c r="SH231" s="261"/>
      <c r="SI231" s="261"/>
      <c r="SJ231" s="261"/>
      <c r="SK231" s="261"/>
      <c r="SL231" s="261"/>
      <c r="SM231" s="261"/>
      <c r="SN231" s="261"/>
      <c r="SO231" s="261"/>
      <c r="SP231" s="261"/>
      <c r="SQ231" s="261"/>
      <c r="SR231" s="261"/>
      <c r="SS231" s="261"/>
      <c r="ST231" s="261"/>
      <c r="SU231" s="261"/>
      <c r="SV231" s="261"/>
      <c r="SW231" s="261"/>
      <c r="SX231" s="261"/>
      <c r="SY231" s="261"/>
      <c r="SZ231" s="261"/>
      <c r="TA231" s="261"/>
      <c r="TB231" s="261"/>
      <c r="TC231" s="261"/>
      <c r="TD231" s="13"/>
      <c r="TE231" s="261"/>
      <c r="TF231" s="261"/>
      <c r="TG231" s="13"/>
    </row>
    <row r="232" spans="71:527" ht="10.75" customHeight="1" x14ac:dyDescent="0.2">
      <c r="BS232" s="12"/>
      <c r="BT232" s="13"/>
      <c r="BU232" s="12"/>
      <c r="BV232" s="12"/>
      <c r="CG232" s="13"/>
      <c r="CH232" s="13"/>
      <c r="DB232" s="17"/>
      <c r="EW232" s="12"/>
      <c r="EX232" s="13"/>
      <c r="IV232" s="263"/>
      <c r="IW232" s="263"/>
      <c r="IX232" s="261"/>
      <c r="IY232" s="12"/>
      <c r="IZ232" s="263"/>
      <c r="JA232" s="263"/>
      <c r="JB232" s="264"/>
      <c r="JC232" s="263"/>
      <c r="JD232" s="263"/>
      <c r="JE232" s="263"/>
      <c r="JF232" s="263"/>
      <c r="JG232" s="263"/>
      <c r="JH232" s="261"/>
      <c r="JI232" s="261"/>
      <c r="JJ232" s="261"/>
      <c r="JK232" s="261"/>
      <c r="JL232" s="261"/>
      <c r="JM232" s="261"/>
      <c r="JN232" s="261"/>
      <c r="JO232" s="261"/>
      <c r="JP232" s="261"/>
      <c r="JQ232" s="261"/>
      <c r="JR232" s="261"/>
      <c r="JS232" s="261"/>
      <c r="JT232" s="261"/>
      <c r="JU232" s="261"/>
      <c r="JV232" s="261"/>
      <c r="JW232" s="261"/>
      <c r="JX232" s="261"/>
      <c r="JY232" s="261"/>
      <c r="JZ232" s="261"/>
      <c r="KA232" s="261"/>
      <c r="KB232" s="261"/>
      <c r="KC232" s="261"/>
      <c r="KD232" s="261"/>
      <c r="KE232" s="261"/>
      <c r="KF232" s="261"/>
      <c r="KG232" s="261"/>
      <c r="KH232" s="261"/>
      <c r="KI232" s="261"/>
      <c r="KJ232" s="261"/>
      <c r="KK232" s="261"/>
      <c r="KL232" s="261"/>
      <c r="KM232" s="261"/>
      <c r="KN232" s="261"/>
      <c r="KO232" s="261"/>
      <c r="KP232" s="261"/>
      <c r="KQ232" s="261"/>
      <c r="KR232" s="261"/>
      <c r="KS232" s="261"/>
      <c r="KT232" s="261"/>
      <c r="KU232" s="261"/>
      <c r="KV232" s="261"/>
      <c r="KW232" s="261"/>
      <c r="KX232" s="261"/>
      <c r="KY232" s="261"/>
      <c r="KZ232" s="261"/>
      <c r="LA232" s="261"/>
      <c r="LB232" s="261"/>
      <c r="LC232" s="261"/>
      <c r="LD232" s="261"/>
      <c r="LE232" s="13"/>
      <c r="LF232" s="12"/>
      <c r="LG232" s="13"/>
      <c r="LH232" s="261"/>
      <c r="LI232" s="261"/>
      <c r="LJ232" s="261"/>
      <c r="LK232" s="261"/>
      <c r="LL232" s="261"/>
      <c r="LM232" s="261"/>
      <c r="LN232" s="261"/>
      <c r="LO232" s="261"/>
      <c r="LP232" s="261"/>
      <c r="LQ232" s="261"/>
      <c r="LR232" s="261"/>
      <c r="LS232" s="261"/>
      <c r="LT232" s="261"/>
      <c r="LU232" s="261"/>
      <c r="LV232" s="261"/>
      <c r="LW232" s="261"/>
      <c r="LX232" s="261"/>
      <c r="LY232" s="261"/>
      <c r="LZ232" s="261"/>
      <c r="MA232" s="261"/>
      <c r="MB232" s="261"/>
      <c r="MC232" s="261"/>
      <c r="MD232" s="261"/>
      <c r="ME232" s="261"/>
      <c r="MF232" s="261"/>
      <c r="MG232" s="261"/>
      <c r="MH232" s="261"/>
      <c r="MI232" s="261"/>
      <c r="MJ232" s="261"/>
      <c r="MK232" s="261"/>
      <c r="ML232" s="261"/>
      <c r="MM232" s="261"/>
      <c r="MN232" s="261"/>
      <c r="MO232" s="261"/>
      <c r="MP232" s="261"/>
      <c r="MQ232" s="261"/>
      <c r="MR232" s="261"/>
      <c r="MS232" s="261"/>
      <c r="MT232" s="261"/>
      <c r="MU232" s="261"/>
      <c r="MV232" s="261"/>
      <c r="MW232" s="261"/>
      <c r="MX232" s="261"/>
      <c r="MY232" s="261"/>
      <c r="MZ232" s="261"/>
      <c r="NA232" s="261"/>
      <c r="NB232" s="261"/>
      <c r="NC232" s="261"/>
      <c r="ND232" s="261"/>
      <c r="NE232" s="261"/>
      <c r="NF232" s="261"/>
      <c r="NG232" s="261"/>
      <c r="NH232" s="261"/>
      <c r="NI232" s="261"/>
      <c r="NJ232" s="261"/>
      <c r="NK232" s="13"/>
      <c r="NL232" s="261"/>
      <c r="NM232" s="261"/>
      <c r="NN232" s="13"/>
      <c r="OO232" s="263"/>
      <c r="OP232" s="263"/>
      <c r="OQ232" s="261"/>
      <c r="OR232" s="12"/>
      <c r="OS232" s="263"/>
      <c r="OT232" s="263"/>
      <c r="OU232" s="264"/>
      <c r="OV232" s="263"/>
      <c r="OW232" s="263"/>
      <c r="OX232" s="263"/>
      <c r="OY232" s="263"/>
      <c r="OZ232" s="263"/>
      <c r="PA232" s="261"/>
      <c r="PB232" s="261"/>
      <c r="PC232" s="261"/>
      <c r="PD232" s="261"/>
      <c r="PE232" s="261"/>
      <c r="PF232" s="261"/>
      <c r="PG232" s="261"/>
      <c r="PH232" s="261"/>
      <c r="PI232" s="261"/>
      <c r="PJ232" s="261"/>
      <c r="PK232" s="261"/>
      <c r="PL232" s="261"/>
      <c r="PM232" s="261"/>
      <c r="PN232" s="261"/>
      <c r="PO232" s="261"/>
      <c r="PP232" s="261"/>
      <c r="PQ232" s="261"/>
      <c r="PR232" s="261"/>
      <c r="PS232" s="261"/>
      <c r="PT232" s="261"/>
      <c r="PU232" s="261"/>
      <c r="PV232" s="261"/>
      <c r="PW232" s="261"/>
      <c r="PX232" s="261"/>
      <c r="PY232" s="261"/>
      <c r="PZ232" s="261"/>
      <c r="QA232" s="261"/>
      <c r="QB232" s="261"/>
      <c r="QC232" s="261"/>
      <c r="QD232" s="261"/>
      <c r="QE232" s="261"/>
      <c r="QF232" s="261"/>
      <c r="QG232" s="261"/>
      <c r="QH232" s="261"/>
      <c r="QI232" s="261"/>
      <c r="QJ232" s="261"/>
      <c r="QK232" s="261"/>
      <c r="QL232" s="261"/>
      <c r="QM232" s="261"/>
      <c r="QN232" s="261"/>
      <c r="QO232" s="261"/>
      <c r="QP232" s="261"/>
      <c r="QQ232" s="261"/>
      <c r="QR232" s="261"/>
      <c r="QS232" s="261"/>
      <c r="QT232" s="261"/>
      <c r="QU232" s="261"/>
      <c r="QV232" s="261"/>
      <c r="QW232" s="261"/>
      <c r="QX232" s="13"/>
      <c r="QY232" s="12"/>
      <c r="QZ232" s="13"/>
      <c r="RA232" s="261"/>
      <c r="RB232" s="261"/>
      <c r="RC232" s="261"/>
      <c r="RD232" s="261"/>
      <c r="RE232" s="261"/>
      <c r="RF232" s="261"/>
      <c r="RG232" s="261"/>
      <c r="RH232" s="261"/>
      <c r="RI232" s="261"/>
      <c r="RJ232" s="261"/>
      <c r="RK232" s="261"/>
      <c r="RL232" s="261"/>
      <c r="RM232" s="261"/>
      <c r="RN232" s="261"/>
      <c r="RO232" s="261"/>
      <c r="RP232" s="261"/>
      <c r="RQ232" s="261"/>
      <c r="RR232" s="261"/>
      <c r="RS232" s="261"/>
      <c r="RT232" s="261"/>
      <c r="RU232" s="261"/>
      <c r="RV232" s="261"/>
      <c r="RW232" s="261"/>
      <c r="RX232" s="261"/>
      <c r="RY232" s="261"/>
      <c r="RZ232" s="261"/>
      <c r="SA232" s="261"/>
      <c r="SB232" s="261"/>
      <c r="SC232" s="261"/>
      <c r="SD232" s="261"/>
      <c r="SE232" s="261"/>
      <c r="SF232" s="261"/>
      <c r="SG232" s="261"/>
      <c r="SH232" s="261"/>
      <c r="SI232" s="261"/>
      <c r="SJ232" s="261"/>
      <c r="SK232" s="261"/>
      <c r="SL232" s="261"/>
      <c r="SM232" s="261"/>
      <c r="SN232" s="261"/>
      <c r="SO232" s="261"/>
      <c r="SP232" s="261"/>
      <c r="SQ232" s="261"/>
      <c r="SR232" s="261"/>
      <c r="SS232" s="261"/>
      <c r="ST232" s="261"/>
      <c r="SU232" s="261"/>
      <c r="SV232" s="261"/>
      <c r="SW232" s="261"/>
      <c r="SX232" s="261"/>
      <c r="SY232" s="261"/>
      <c r="SZ232" s="261"/>
      <c r="TA232" s="261"/>
      <c r="TB232" s="261"/>
      <c r="TC232" s="261"/>
      <c r="TD232" s="13"/>
      <c r="TE232" s="261"/>
      <c r="TF232" s="261"/>
      <c r="TG232" s="13"/>
    </row>
    <row r="233" spans="71:527" ht="10.75" customHeight="1" x14ac:dyDescent="0.2">
      <c r="BS233" s="12"/>
      <c r="BT233" s="13"/>
      <c r="BU233" s="12"/>
      <c r="BV233" s="12"/>
      <c r="CG233" s="13"/>
      <c r="CH233" s="13"/>
      <c r="DB233" s="18"/>
      <c r="EW233" s="12"/>
      <c r="EX233" s="13"/>
      <c r="IV233" s="263"/>
      <c r="IW233" s="263"/>
      <c r="IX233" s="261"/>
      <c r="IY233" s="12"/>
      <c r="IZ233" s="263"/>
      <c r="JA233" s="263"/>
      <c r="JB233" s="264"/>
      <c r="JC233" s="263"/>
      <c r="JD233" s="263"/>
      <c r="JE233" s="263"/>
      <c r="JF233" s="263"/>
      <c r="JG233" s="263"/>
      <c r="JH233" s="261"/>
      <c r="JI233" s="261"/>
      <c r="JJ233" s="261"/>
      <c r="JK233" s="261"/>
      <c r="JL233" s="261"/>
      <c r="JM233" s="261"/>
      <c r="JN233" s="261"/>
      <c r="JO233" s="261"/>
      <c r="JP233" s="261"/>
      <c r="JQ233" s="261"/>
      <c r="JR233" s="261"/>
      <c r="JS233" s="261"/>
      <c r="JT233" s="261"/>
      <c r="JU233" s="261"/>
      <c r="JV233" s="261"/>
      <c r="JW233" s="261"/>
      <c r="JX233" s="261"/>
      <c r="JY233" s="261"/>
      <c r="JZ233" s="261"/>
      <c r="KA233" s="261"/>
      <c r="KB233" s="261"/>
      <c r="KC233" s="261"/>
      <c r="KD233" s="261"/>
      <c r="KE233" s="261"/>
      <c r="KF233" s="261"/>
      <c r="KG233" s="261"/>
      <c r="KH233" s="261"/>
      <c r="KI233" s="261"/>
      <c r="KJ233" s="261"/>
      <c r="KK233" s="261"/>
      <c r="KL233" s="261"/>
      <c r="KM233" s="261"/>
      <c r="KN233" s="261"/>
      <c r="KO233" s="261"/>
      <c r="KP233" s="261"/>
      <c r="KQ233" s="261"/>
      <c r="KR233" s="261"/>
      <c r="KS233" s="261"/>
      <c r="KT233" s="261"/>
      <c r="KU233" s="261"/>
      <c r="KV233" s="261"/>
      <c r="KW233" s="261"/>
      <c r="KX233" s="261"/>
      <c r="KY233" s="261"/>
      <c r="KZ233" s="261"/>
      <c r="LA233" s="261"/>
      <c r="LB233" s="261"/>
      <c r="LC233" s="261"/>
      <c r="LD233" s="261"/>
      <c r="LE233" s="13"/>
      <c r="LF233" s="12"/>
      <c r="LG233" s="13"/>
      <c r="LH233" s="261"/>
      <c r="LI233" s="261"/>
      <c r="LJ233" s="261"/>
      <c r="LK233" s="261"/>
      <c r="LL233" s="261"/>
      <c r="LM233" s="261"/>
      <c r="LN233" s="261"/>
      <c r="LO233" s="261"/>
      <c r="LP233" s="261"/>
      <c r="LQ233" s="261"/>
      <c r="LR233" s="261"/>
      <c r="LS233" s="261"/>
      <c r="LT233" s="261"/>
      <c r="LU233" s="261"/>
      <c r="LV233" s="261"/>
      <c r="LW233" s="261"/>
      <c r="LX233" s="261"/>
      <c r="LY233" s="261"/>
      <c r="LZ233" s="261"/>
      <c r="MA233" s="261"/>
      <c r="MB233" s="261"/>
      <c r="MC233" s="261"/>
      <c r="MD233" s="261"/>
      <c r="ME233" s="261"/>
      <c r="MF233" s="261"/>
      <c r="MG233" s="261"/>
      <c r="MH233" s="261"/>
      <c r="MI233" s="261"/>
      <c r="MJ233" s="261"/>
      <c r="MK233" s="261"/>
      <c r="ML233" s="261"/>
      <c r="MM233" s="261"/>
      <c r="MN233" s="261"/>
      <c r="MO233" s="261"/>
      <c r="MP233" s="261"/>
      <c r="MQ233" s="261"/>
      <c r="MR233" s="261"/>
      <c r="MS233" s="261"/>
      <c r="MT233" s="261"/>
      <c r="MU233" s="261"/>
      <c r="MV233" s="261"/>
      <c r="MW233" s="261"/>
      <c r="MX233" s="261"/>
      <c r="MY233" s="261"/>
      <c r="MZ233" s="261"/>
      <c r="NA233" s="261"/>
      <c r="NB233" s="261"/>
      <c r="NC233" s="261"/>
      <c r="ND233" s="261"/>
      <c r="NE233" s="261"/>
      <c r="NF233" s="261"/>
      <c r="NG233" s="261"/>
      <c r="NH233" s="261"/>
      <c r="NI233" s="261"/>
      <c r="NJ233" s="261"/>
      <c r="NK233" s="13"/>
      <c r="NL233" s="261"/>
      <c r="NM233" s="261"/>
      <c r="NN233" s="13"/>
      <c r="OO233" s="263"/>
      <c r="OP233" s="263"/>
      <c r="OQ233" s="261"/>
      <c r="OR233" s="12"/>
      <c r="OS233" s="263"/>
      <c r="OT233" s="263"/>
      <c r="OU233" s="264"/>
      <c r="OV233" s="263"/>
      <c r="OW233" s="263"/>
      <c r="OX233" s="263"/>
      <c r="OY233" s="263"/>
      <c r="OZ233" s="263"/>
      <c r="PA233" s="261"/>
      <c r="PB233" s="261"/>
      <c r="PC233" s="261"/>
      <c r="PD233" s="261"/>
      <c r="PE233" s="261"/>
      <c r="PF233" s="261"/>
      <c r="PG233" s="261"/>
      <c r="PH233" s="261"/>
      <c r="PI233" s="261"/>
      <c r="PJ233" s="261"/>
      <c r="PK233" s="261"/>
      <c r="PL233" s="261"/>
      <c r="PM233" s="261"/>
      <c r="PN233" s="261"/>
      <c r="PO233" s="261"/>
      <c r="PP233" s="261"/>
      <c r="PQ233" s="261"/>
      <c r="PR233" s="261"/>
      <c r="PS233" s="261"/>
      <c r="PT233" s="261"/>
      <c r="PU233" s="261"/>
      <c r="PV233" s="261"/>
      <c r="PW233" s="261"/>
      <c r="PX233" s="261"/>
      <c r="PY233" s="261"/>
      <c r="PZ233" s="261"/>
      <c r="QA233" s="261"/>
      <c r="QB233" s="261"/>
      <c r="QC233" s="261"/>
      <c r="QD233" s="261"/>
      <c r="QE233" s="261"/>
      <c r="QF233" s="261"/>
      <c r="QG233" s="261"/>
      <c r="QH233" s="261"/>
      <c r="QI233" s="261"/>
      <c r="QJ233" s="261"/>
      <c r="QK233" s="261"/>
      <c r="QL233" s="261"/>
      <c r="QM233" s="261"/>
      <c r="QN233" s="261"/>
      <c r="QO233" s="261"/>
      <c r="QP233" s="261"/>
      <c r="QQ233" s="261"/>
      <c r="QR233" s="261"/>
      <c r="QS233" s="261"/>
      <c r="QT233" s="261"/>
      <c r="QU233" s="261"/>
      <c r="QV233" s="261"/>
      <c r="QW233" s="261"/>
      <c r="QX233" s="13"/>
      <c r="QY233" s="12"/>
      <c r="QZ233" s="13"/>
      <c r="RA233" s="261"/>
      <c r="RB233" s="261"/>
      <c r="RC233" s="261"/>
      <c r="RD233" s="261"/>
      <c r="RE233" s="261"/>
      <c r="RF233" s="261"/>
      <c r="RG233" s="261"/>
      <c r="RH233" s="261"/>
      <c r="RI233" s="261"/>
      <c r="RJ233" s="261"/>
      <c r="RK233" s="261"/>
      <c r="RL233" s="261"/>
      <c r="RM233" s="261"/>
      <c r="RN233" s="261"/>
      <c r="RO233" s="261"/>
      <c r="RP233" s="261"/>
      <c r="RQ233" s="261"/>
      <c r="RR233" s="261"/>
      <c r="RS233" s="261"/>
      <c r="RT233" s="261"/>
      <c r="RU233" s="261"/>
      <c r="RV233" s="261"/>
      <c r="RW233" s="261"/>
      <c r="RX233" s="261"/>
      <c r="RY233" s="261"/>
      <c r="RZ233" s="261"/>
      <c r="SA233" s="261"/>
      <c r="SB233" s="261"/>
      <c r="SC233" s="261"/>
      <c r="SD233" s="261"/>
      <c r="SE233" s="261"/>
      <c r="SF233" s="261"/>
      <c r="SG233" s="261"/>
      <c r="SH233" s="261"/>
      <c r="SI233" s="261"/>
      <c r="SJ233" s="261"/>
      <c r="SK233" s="261"/>
      <c r="SL233" s="261"/>
      <c r="SM233" s="261"/>
      <c r="SN233" s="261"/>
      <c r="SO233" s="261"/>
      <c r="SP233" s="261"/>
      <c r="SQ233" s="261"/>
      <c r="SR233" s="261"/>
      <c r="SS233" s="261"/>
      <c r="ST233" s="261"/>
      <c r="SU233" s="261"/>
      <c r="SV233" s="261"/>
      <c r="SW233" s="261"/>
      <c r="SX233" s="261"/>
      <c r="SY233" s="261"/>
      <c r="SZ233" s="261"/>
      <c r="TA233" s="261"/>
      <c r="TB233" s="261"/>
      <c r="TC233" s="261"/>
      <c r="TD233" s="13"/>
      <c r="TE233" s="261"/>
      <c r="TF233" s="261"/>
      <c r="TG233" s="13"/>
    </row>
    <row r="234" spans="71:527" ht="10.75" customHeight="1" x14ac:dyDescent="0.2">
      <c r="BS234" s="12"/>
      <c r="BT234" s="13"/>
      <c r="BU234" s="12"/>
      <c r="BV234" s="12"/>
      <c r="CG234" s="13"/>
      <c r="CH234" s="13"/>
      <c r="DB234" s="18"/>
      <c r="EW234" s="12"/>
      <c r="EX234" s="13"/>
      <c r="IV234" s="263"/>
      <c r="IW234" s="263"/>
      <c r="IX234" s="261"/>
      <c r="IY234" s="12"/>
      <c r="IZ234" s="263"/>
      <c r="JA234" s="263"/>
      <c r="JB234" s="264"/>
      <c r="JC234" s="263"/>
      <c r="JD234" s="263"/>
      <c r="JE234" s="263"/>
      <c r="JF234" s="263"/>
      <c r="JG234" s="263"/>
      <c r="JH234" s="261"/>
      <c r="JI234" s="261"/>
      <c r="JJ234" s="261"/>
      <c r="JK234" s="261"/>
      <c r="JL234" s="261"/>
      <c r="JM234" s="261"/>
      <c r="JN234" s="261"/>
      <c r="JO234" s="261"/>
      <c r="JP234" s="261"/>
      <c r="JQ234" s="261"/>
      <c r="JR234" s="261"/>
      <c r="JS234" s="261"/>
      <c r="JT234" s="261"/>
      <c r="JU234" s="261"/>
      <c r="JV234" s="261"/>
      <c r="JW234" s="261"/>
      <c r="JX234" s="261"/>
      <c r="JY234" s="261"/>
      <c r="JZ234" s="261"/>
      <c r="KA234" s="261"/>
      <c r="KB234" s="261"/>
      <c r="KC234" s="261"/>
      <c r="KD234" s="261"/>
      <c r="KE234" s="261"/>
      <c r="KF234" s="261"/>
      <c r="KG234" s="261"/>
      <c r="KH234" s="261"/>
      <c r="KI234" s="261"/>
      <c r="KJ234" s="261"/>
      <c r="KK234" s="261"/>
      <c r="KL234" s="261"/>
      <c r="KM234" s="261"/>
      <c r="KN234" s="261"/>
      <c r="KO234" s="261"/>
      <c r="KP234" s="261"/>
      <c r="KQ234" s="261"/>
      <c r="KR234" s="261"/>
      <c r="KS234" s="261"/>
      <c r="KT234" s="261"/>
      <c r="KU234" s="261"/>
      <c r="KV234" s="261"/>
      <c r="KW234" s="261"/>
      <c r="KX234" s="261"/>
      <c r="KY234" s="261"/>
      <c r="KZ234" s="261"/>
      <c r="LA234" s="261"/>
      <c r="LB234" s="261"/>
      <c r="LC234" s="261"/>
      <c r="LD234" s="261"/>
      <c r="LE234" s="13"/>
      <c r="LF234" s="12"/>
      <c r="LG234" s="13"/>
      <c r="LH234" s="261"/>
      <c r="LI234" s="261"/>
      <c r="LJ234" s="261"/>
      <c r="LK234" s="261"/>
      <c r="LL234" s="261"/>
      <c r="LM234" s="261"/>
      <c r="LN234" s="261"/>
      <c r="LO234" s="261"/>
      <c r="LP234" s="261"/>
      <c r="LQ234" s="261"/>
      <c r="LR234" s="261"/>
      <c r="LS234" s="261"/>
      <c r="LT234" s="261"/>
      <c r="LU234" s="261"/>
      <c r="LV234" s="261"/>
      <c r="LW234" s="261"/>
      <c r="LX234" s="261"/>
      <c r="LY234" s="261"/>
      <c r="LZ234" s="261"/>
      <c r="MA234" s="261"/>
      <c r="MB234" s="261"/>
      <c r="MC234" s="261"/>
      <c r="MD234" s="261"/>
      <c r="ME234" s="261"/>
      <c r="MF234" s="261"/>
      <c r="MG234" s="261"/>
      <c r="MH234" s="261"/>
      <c r="MI234" s="261"/>
      <c r="MJ234" s="261"/>
      <c r="MK234" s="261"/>
      <c r="ML234" s="261"/>
      <c r="MM234" s="261"/>
      <c r="MN234" s="261"/>
      <c r="MO234" s="261"/>
      <c r="MP234" s="261"/>
      <c r="MQ234" s="261"/>
      <c r="MR234" s="261"/>
      <c r="MS234" s="261"/>
      <c r="MT234" s="261"/>
      <c r="MU234" s="261"/>
      <c r="MV234" s="261"/>
      <c r="MW234" s="261"/>
      <c r="MX234" s="261"/>
      <c r="MY234" s="261"/>
      <c r="MZ234" s="261"/>
      <c r="NA234" s="261"/>
      <c r="NB234" s="261"/>
      <c r="NC234" s="261"/>
      <c r="ND234" s="261"/>
      <c r="NE234" s="261"/>
      <c r="NF234" s="261"/>
      <c r="NG234" s="261"/>
      <c r="NH234" s="261"/>
      <c r="NI234" s="261"/>
      <c r="NJ234" s="261"/>
      <c r="NK234" s="13"/>
      <c r="NL234" s="261"/>
      <c r="NM234" s="261"/>
      <c r="NN234" s="13"/>
      <c r="OO234" s="263"/>
      <c r="OP234" s="263"/>
      <c r="OQ234" s="261"/>
      <c r="OR234" s="12"/>
      <c r="OS234" s="263"/>
      <c r="OT234" s="263"/>
      <c r="OU234" s="264"/>
      <c r="OV234" s="263"/>
      <c r="OW234" s="263"/>
      <c r="OX234" s="263"/>
      <c r="OY234" s="263"/>
      <c r="OZ234" s="263"/>
      <c r="PA234" s="261"/>
      <c r="PB234" s="261"/>
      <c r="PC234" s="261"/>
      <c r="PD234" s="261"/>
      <c r="PE234" s="261"/>
      <c r="PF234" s="261"/>
      <c r="PG234" s="261"/>
      <c r="PH234" s="261"/>
      <c r="PI234" s="261"/>
      <c r="PJ234" s="261"/>
      <c r="PK234" s="261"/>
      <c r="PL234" s="261"/>
      <c r="PM234" s="261"/>
      <c r="PN234" s="261"/>
      <c r="PO234" s="261"/>
      <c r="PP234" s="261"/>
      <c r="PQ234" s="261"/>
      <c r="PR234" s="261"/>
      <c r="PS234" s="261"/>
      <c r="PT234" s="261"/>
      <c r="PU234" s="261"/>
      <c r="PV234" s="261"/>
      <c r="PW234" s="261"/>
      <c r="PX234" s="261"/>
      <c r="PY234" s="261"/>
      <c r="PZ234" s="261"/>
      <c r="QA234" s="261"/>
      <c r="QB234" s="261"/>
      <c r="QC234" s="261"/>
      <c r="QD234" s="261"/>
      <c r="QE234" s="261"/>
      <c r="QF234" s="261"/>
      <c r="QG234" s="261"/>
      <c r="QH234" s="261"/>
      <c r="QI234" s="261"/>
      <c r="QJ234" s="261"/>
      <c r="QK234" s="261"/>
      <c r="QL234" s="261"/>
      <c r="QM234" s="261"/>
      <c r="QN234" s="261"/>
      <c r="QO234" s="261"/>
      <c r="QP234" s="261"/>
      <c r="QQ234" s="261"/>
      <c r="QR234" s="261"/>
      <c r="QS234" s="261"/>
      <c r="QT234" s="261"/>
      <c r="QU234" s="261"/>
      <c r="QV234" s="261"/>
      <c r="QW234" s="261"/>
      <c r="QX234" s="13"/>
      <c r="QY234" s="12"/>
      <c r="QZ234" s="13"/>
      <c r="RA234" s="261"/>
      <c r="RB234" s="261"/>
      <c r="RC234" s="261"/>
      <c r="RD234" s="261"/>
      <c r="RE234" s="261"/>
      <c r="RF234" s="261"/>
      <c r="RG234" s="261"/>
      <c r="RH234" s="261"/>
      <c r="RI234" s="261"/>
      <c r="RJ234" s="261"/>
      <c r="RK234" s="261"/>
      <c r="RL234" s="261"/>
      <c r="RM234" s="261"/>
      <c r="RN234" s="261"/>
      <c r="RO234" s="261"/>
      <c r="RP234" s="261"/>
      <c r="RQ234" s="261"/>
      <c r="RR234" s="261"/>
      <c r="RS234" s="261"/>
      <c r="RT234" s="261"/>
      <c r="RU234" s="261"/>
      <c r="RV234" s="261"/>
      <c r="RW234" s="261"/>
      <c r="RX234" s="261"/>
      <c r="RY234" s="261"/>
      <c r="RZ234" s="261"/>
      <c r="SA234" s="261"/>
      <c r="SB234" s="261"/>
      <c r="SC234" s="261"/>
      <c r="SD234" s="261"/>
      <c r="SE234" s="261"/>
      <c r="SF234" s="261"/>
      <c r="SG234" s="261"/>
      <c r="SH234" s="261"/>
      <c r="SI234" s="261"/>
      <c r="SJ234" s="261"/>
      <c r="SK234" s="261"/>
      <c r="SL234" s="261"/>
      <c r="SM234" s="261"/>
      <c r="SN234" s="261"/>
      <c r="SO234" s="261"/>
      <c r="SP234" s="261"/>
      <c r="SQ234" s="261"/>
      <c r="SR234" s="261"/>
      <c r="SS234" s="261"/>
      <c r="ST234" s="261"/>
      <c r="SU234" s="261"/>
      <c r="SV234" s="261"/>
      <c r="SW234" s="261"/>
      <c r="SX234" s="261"/>
      <c r="SY234" s="261"/>
      <c r="SZ234" s="261"/>
      <c r="TA234" s="261"/>
      <c r="TB234" s="261"/>
      <c r="TC234" s="261"/>
      <c r="TD234" s="13"/>
      <c r="TE234" s="261"/>
      <c r="TF234" s="261"/>
      <c r="TG234" s="13"/>
    </row>
    <row r="235" spans="71:527" ht="10.75" customHeight="1" x14ac:dyDescent="0.2">
      <c r="BS235" s="12"/>
      <c r="BT235" s="13"/>
      <c r="BU235" s="12"/>
      <c r="BV235" s="12"/>
      <c r="CG235" s="13"/>
      <c r="CH235" s="13"/>
      <c r="DB235" s="18"/>
      <c r="DG235" s="17"/>
      <c r="EW235" s="12"/>
      <c r="EX235" s="13"/>
      <c r="IV235" s="263"/>
      <c r="IW235" s="263"/>
      <c r="IX235" s="261"/>
      <c r="IY235" s="12"/>
      <c r="IZ235" s="263"/>
      <c r="JA235" s="263"/>
      <c r="JB235" s="264"/>
      <c r="JC235" s="263"/>
      <c r="JD235" s="263"/>
      <c r="JE235" s="263"/>
      <c r="JF235" s="263"/>
      <c r="JG235" s="263"/>
      <c r="JH235" s="261"/>
      <c r="JI235" s="261"/>
      <c r="JJ235" s="261"/>
      <c r="JK235" s="261"/>
      <c r="JL235" s="261"/>
      <c r="JM235" s="261"/>
      <c r="JN235" s="261"/>
      <c r="JO235" s="261"/>
      <c r="JP235" s="261"/>
      <c r="JQ235" s="261"/>
      <c r="JR235" s="261"/>
      <c r="JS235" s="261"/>
      <c r="JT235" s="261"/>
      <c r="JU235" s="261"/>
      <c r="JV235" s="261"/>
      <c r="JW235" s="261"/>
      <c r="JX235" s="261"/>
      <c r="JY235" s="261"/>
      <c r="JZ235" s="261"/>
      <c r="KA235" s="261"/>
      <c r="KB235" s="261"/>
      <c r="KC235" s="261"/>
      <c r="KD235" s="261"/>
      <c r="KE235" s="261"/>
      <c r="KF235" s="261"/>
      <c r="KG235" s="261"/>
      <c r="KH235" s="261"/>
      <c r="KI235" s="261"/>
      <c r="KJ235" s="261"/>
      <c r="KK235" s="261"/>
      <c r="KL235" s="261"/>
      <c r="KM235" s="261"/>
      <c r="KN235" s="261"/>
      <c r="KO235" s="261"/>
      <c r="KP235" s="261"/>
      <c r="KQ235" s="261"/>
      <c r="KR235" s="261"/>
      <c r="KS235" s="261"/>
      <c r="KT235" s="261"/>
      <c r="KU235" s="261"/>
      <c r="KV235" s="261"/>
      <c r="KW235" s="261"/>
      <c r="KX235" s="261"/>
      <c r="KY235" s="261"/>
      <c r="KZ235" s="261"/>
      <c r="LA235" s="261"/>
      <c r="LB235" s="261"/>
      <c r="LC235" s="261"/>
      <c r="LD235" s="261"/>
      <c r="LE235" s="13"/>
      <c r="LF235" s="12"/>
      <c r="LG235" s="13"/>
      <c r="LH235" s="261"/>
      <c r="LI235" s="261"/>
      <c r="LJ235" s="261"/>
      <c r="LK235" s="261"/>
      <c r="LL235" s="261"/>
      <c r="LM235" s="261"/>
      <c r="LN235" s="261"/>
      <c r="LO235" s="261"/>
      <c r="LP235" s="261"/>
      <c r="LQ235" s="261"/>
      <c r="LR235" s="261"/>
      <c r="LS235" s="261"/>
      <c r="LT235" s="261"/>
      <c r="LU235" s="261"/>
      <c r="LV235" s="261"/>
      <c r="LW235" s="261"/>
      <c r="LX235" s="261"/>
      <c r="LY235" s="261"/>
      <c r="LZ235" s="261"/>
      <c r="MA235" s="261"/>
      <c r="MB235" s="261"/>
      <c r="MC235" s="261"/>
      <c r="MD235" s="261"/>
      <c r="ME235" s="261"/>
      <c r="MF235" s="261"/>
      <c r="MG235" s="261"/>
      <c r="MH235" s="261"/>
      <c r="MI235" s="261"/>
      <c r="MJ235" s="261"/>
      <c r="MK235" s="261"/>
      <c r="ML235" s="261"/>
      <c r="MM235" s="261"/>
      <c r="MN235" s="261"/>
      <c r="MO235" s="261"/>
      <c r="MP235" s="261"/>
      <c r="MQ235" s="261"/>
      <c r="MR235" s="261"/>
      <c r="MS235" s="261"/>
      <c r="MT235" s="261"/>
      <c r="MU235" s="261"/>
      <c r="MV235" s="261"/>
      <c r="MW235" s="261"/>
      <c r="MX235" s="261"/>
      <c r="MY235" s="261"/>
      <c r="MZ235" s="261"/>
      <c r="NA235" s="261"/>
      <c r="NB235" s="261"/>
      <c r="NC235" s="261"/>
      <c r="ND235" s="261"/>
      <c r="NE235" s="261"/>
      <c r="NF235" s="261"/>
      <c r="NG235" s="261"/>
      <c r="NH235" s="261"/>
      <c r="NI235" s="261"/>
      <c r="NJ235" s="261"/>
      <c r="NK235" s="13"/>
      <c r="NL235" s="261"/>
      <c r="NM235" s="261"/>
      <c r="NN235" s="13"/>
      <c r="OO235" s="263"/>
      <c r="OP235" s="263"/>
      <c r="OQ235" s="261"/>
      <c r="OR235" s="12"/>
      <c r="OS235" s="263"/>
      <c r="OT235" s="263"/>
      <c r="OU235" s="264"/>
      <c r="OV235" s="263"/>
      <c r="OW235" s="263"/>
      <c r="OX235" s="263"/>
      <c r="OY235" s="263"/>
      <c r="OZ235" s="263"/>
      <c r="PA235" s="261"/>
      <c r="PB235" s="261"/>
      <c r="PC235" s="261"/>
      <c r="PD235" s="261"/>
      <c r="PE235" s="261"/>
      <c r="PF235" s="261"/>
      <c r="PG235" s="261"/>
      <c r="PH235" s="261"/>
      <c r="PI235" s="261"/>
      <c r="PJ235" s="261"/>
      <c r="PK235" s="261"/>
      <c r="PL235" s="261"/>
      <c r="PM235" s="261"/>
      <c r="PN235" s="261"/>
      <c r="PO235" s="261"/>
      <c r="PP235" s="261"/>
      <c r="PQ235" s="261"/>
      <c r="PR235" s="261"/>
      <c r="PS235" s="261"/>
      <c r="PT235" s="261"/>
      <c r="PU235" s="261"/>
      <c r="PV235" s="261"/>
      <c r="PW235" s="261"/>
      <c r="PX235" s="261"/>
      <c r="PY235" s="261"/>
      <c r="PZ235" s="261"/>
      <c r="QA235" s="261"/>
      <c r="QB235" s="261"/>
      <c r="QC235" s="261"/>
      <c r="QD235" s="261"/>
      <c r="QE235" s="261"/>
      <c r="QF235" s="261"/>
      <c r="QG235" s="261"/>
      <c r="QH235" s="261"/>
      <c r="QI235" s="261"/>
      <c r="QJ235" s="261"/>
      <c r="QK235" s="261"/>
      <c r="QL235" s="261"/>
      <c r="QM235" s="261"/>
      <c r="QN235" s="261"/>
      <c r="QO235" s="261"/>
      <c r="QP235" s="261"/>
      <c r="QQ235" s="261"/>
      <c r="QR235" s="261"/>
      <c r="QS235" s="261"/>
      <c r="QT235" s="261"/>
      <c r="QU235" s="261"/>
      <c r="QV235" s="261"/>
      <c r="QW235" s="261"/>
      <c r="QX235" s="13"/>
      <c r="QY235" s="12"/>
      <c r="QZ235" s="13"/>
      <c r="RA235" s="261"/>
      <c r="RB235" s="261"/>
      <c r="RC235" s="261"/>
      <c r="RD235" s="261"/>
      <c r="RE235" s="261"/>
      <c r="RF235" s="261"/>
      <c r="RG235" s="261"/>
      <c r="RH235" s="261"/>
      <c r="RI235" s="261"/>
      <c r="RJ235" s="261"/>
      <c r="RK235" s="261"/>
      <c r="RL235" s="261"/>
      <c r="RM235" s="261"/>
      <c r="RN235" s="261"/>
      <c r="RO235" s="261"/>
      <c r="RP235" s="261"/>
      <c r="RQ235" s="261"/>
      <c r="RR235" s="261"/>
      <c r="RS235" s="261"/>
      <c r="RT235" s="261"/>
      <c r="RU235" s="261"/>
      <c r="RV235" s="261"/>
      <c r="RW235" s="261"/>
      <c r="RX235" s="261"/>
      <c r="RY235" s="261"/>
      <c r="RZ235" s="261"/>
      <c r="SA235" s="261"/>
      <c r="SB235" s="261"/>
      <c r="SC235" s="261"/>
      <c r="SD235" s="261"/>
      <c r="SE235" s="261"/>
      <c r="SF235" s="261"/>
      <c r="SG235" s="261"/>
      <c r="SH235" s="261"/>
      <c r="SI235" s="261"/>
      <c r="SJ235" s="261"/>
      <c r="SK235" s="261"/>
      <c r="SL235" s="261"/>
      <c r="SM235" s="261"/>
      <c r="SN235" s="261"/>
      <c r="SO235" s="261"/>
      <c r="SP235" s="261"/>
      <c r="SQ235" s="261"/>
      <c r="SR235" s="261"/>
      <c r="SS235" s="261"/>
      <c r="ST235" s="261"/>
      <c r="SU235" s="261"/>
      <c r="SV235" s="261"/>
      <c r="SW235" s="261"/>
      <c r="SX235" s="261"/>
      <c r="SY235" s="261"/>
      <c r="SZ235" s="261"/>
      <c r="TA235" s="261"/>
      <c r="TB235" s="261"/>
      <c r="TC235" s="261"/>
      <c r="TD235" s="13"/>
      <c r="TE235" s="261"/>
      <c r="TF235" s="261"/>
      <c r="TG235" s="13"/>
    </row>
    <row r="236" spans="71:527" ht="10.75" customHeight="1" x14ac:dyDescent="0.2">
      <c r="BS236" s="12"/>
      <c r="BT236" s="13"/>
      <c r="BU236" s="12"/>
      <c r="BV236" s="12"/>
      <c r="CG236" s="13"/>
      <c r="CH236" s="13"/>
      <c r="DB236" s="18"/>
      <c r="DG236" s="18"/>
      <c r="EW236" s="12"/>
      <c r="EX236" s="13"/>
      <c r="IV236" s="263"/>
      <c r="IW236" s="263"/>
      <c r="IX236" s="261"/>
      <c r="IY236" s="12"/>
      <c r="IZ236" s="263"/>
      <c r="JA236" s="263"/>
      <c r="JB236" s="264"/>
      <c r="JC236" s="263"/>
      <c r="JD236" s="263"/>
      <c r="JE236" s="263"/>
      <c r="JF236" s="263"/>
      <c r="JG236" s="263"/>
      <c r="JH236" s="261"/>
      <c r="JI236" s="261"/>
      <c r="JJ236" s="261"/>
      <c r="JK236" s="261"/>
      <c r="JL236" s="261"/>
      <c r="JM236" s="261"/>
      <c r="JN236" s="261"/>
      <c r="JO236" s="261"/>
      <c r="JP236" s="261"/>
      <c r="JQ236" s="261"/>
      <c r="JR236" s="261"/>
      <c r="JS236" s="261"/>
      <c r="JT236" s="261"/>
      <c r="JU236" s="261"/>
      <c r="JV236" s="261"/>
      <c r="JW236" s="261"/>
      <c r="JX236" s="261"/>
      <c r="JY236" s="261"/>
      <c r="JZ236" s="261"/>
      <c r="KA236" s="261"/>
      <c r="KB236" s="261"/>
      <c r="KC236" s="261"/>
      <c r="KD236" s="261"/>
      <c r="KE236" s="261"/>
      <c r="KF236" s="261"/>
      <c r="KG236" s="261"/>
      <c r="KH236" s="261"/>
      <c r="KI236" s="261"/>
      <c r="KJ236" s="261"/>
      <c r="KK236" s="261"/>
      <c r="KL236" s="261"/>
      <c r="KM236" s="261"/>
      <c r="KN236" s="261"/>
      <c r="KO236" s="261"/>
      <c r="KP236" s="261"/>
      <c r="KQ236" s="261"/>
      <c r="KR236" s="261"/>
      <c r="KS236" s="261"/>
      <c r="KT236" s="261"/>
      <c r="KU236" s="261"/>
      <c r="KV236" s="261"/>
      <c r="KW236" s="261"/>
      <c r="KX236" s="261"/>
      <c r="KY236" s="261"/>
      <c r="KZ236" s="261"/>
      <c r="LA236" s="261"/>
      <c r="LB236" s="261"/>
      <c r="LC236" s="261"/>
      <c r="LD236" s="261"/>
      <c r="LE236" s="13"/>
      <c r="LF236" s="12"/>
      <c r="LG236" s="13"/>
      <c r="LH236" s="261"/>
      <c r="LI236" s="261"/>
      <c r="LJ236" s="261"/>
      <c r="LK236" s="261"/>
      <c r="LL236" s="261"/>
      <c r="LM236" s="261"/>
      <c r="LN236" s="261"/>
      <c r="LO236" s="261"/>
      <c r="LP236" s="261"/>
      <c r="LQ236" s="261"/>
      <c r="LR236" s="261"/>
      <c r="LS236" s="261"/>
      <c r="LT236" s="261"/>
      <c r="LU236" s="261"/>
      <c r="LV236" s="261"/>
      <c r="LW236" s="261"/>
      <c r="LX236" s="261"/>
      <c r="LY236" s="261"/>
      <c r="LZ236" s="261"/>
      <c r="MA236" s="261"/>
      <c r="MB236" s="261"/>
      <c r="MC236" s="261"/>
      <c r="MD236" s="261"/>
      <c r="ME236" s="261"/>
      <c r="MF236" s="261"/>
      <c r="MG236" s="261"/>
      <c r="MH236" s="261"/>
      <c r="MI236" s="261"/>
      <c r="MJ236" s="261"/>
      <c r="MK236" s="261"/>
      <c r="ML236" s="261"/>
      <c r="MM236" s="261"/>
      <c r="MN236" s="261"/>
      <c r="MO236" s="261"/>
      <c r="MP236" s="261"/>
      <c r="MQ236" s="261"/>
      <c r="MR236" s="261"/>
      <c r="MS236" s="261"/>
      <c r="MT236" s="261"/>
      <c r="MU236" s="261"/>
      <c r="MV236" s="261"/>
      <c r="MW236" s="261"/>
      <c r="MX236" s="261"/>
      <c r="MY236" s="261"/>
      <c r="MZ236" s="261"/>
      <c r="NA236" s="261"/>
      <c r="NB236" s="261"/>
      <c r="NC236" s="261"/>
      <c r="ND236" s="261"/>
      <c r="NE236" s="261"/>
      <c r="NF236" s="261"/>
      <c r="NG236" s="261"/>
      <c r="NH236" s="261"/>
      <c r="NI236" s="261"/>
      <c r="NJ236" s="261"/>
      <c r="NK236" s="13"/>
      <c r="NL236" s="261"/>
      <c r="NM236" s="261"/>
      <c r="NN236" s="13"/>
      <c r="OO236" s="263"/>
      <c r="OP236" s="263"/>
      <c r="OQ236" s="261"/>
      <c r="OR236" s="12"/>
      <c r="OS236" s="263"/>
      <c r="OT236" s="263"/>
      <c r="OU236" s="264"/>
      <c r="OV236" s="263"/>
      <c r="OW236" s="263"/>
      <c r="OX236" s="263"/>
      <c r="OY236" s="263"/>
      <c r="OZ236" s="263"/>
      <c r="PA236" s="261"/>
      <c r="PB236" s="261"/>
      <c r="PC236" s="261"/>
      <c r="PD236" s="261"/>
      <c r="PE236" s="261"/>
      <c r="PF236" s="261"/>
      <c r="PG236" s="261"/>
      <c r="PH236" s="261"/>
      <c r="PI236" s="261"/>
      <c r="PJ236" s="261"/>
      <c r="PK236" s="261"/>
      <c r="PL236" s="261"/>
      <c r="PM236" s="261"/>
      <c r="PN236" s="261"/>
      <c r="PO236" s="261"/>
      <c r="PP236" s="261"/>
      <c r="PQ236" s="261"/>
      <c r="PR236" s="261"/>
      <c r="PS236" s="261"/>
      <c r="PT236" s="261"/>
      <c r="PU236" s="261"/>
      <c r="PV236" s="261"/>
      <c r="PW236" s="261"/>
      <c r="PX236" s="261"/>
      <c r="PY236" s="261"/>
      <c r="PZ236" s="261"/>
      <c r="QA236" s="261"/>
      <c r="QB236" s="261"/>
      <c r="QC236" s="261"/>
      <c r="QD236" s="261"/>
      <c r="QE236" s="261"/>
      <c r="QF236" s="261"/>
      <c r="QG236" s="261"/>
      <c r="QH236" s="261"/>
      <c r="QI236" s="261"/>
      <c r="QJ236" s="261"/>
      <c r="QK236" s="261"/>
      <c r="QL236" s="261"/>
      <c r="QM236" s="261"/>
      <c r="QN236" s="261"/>
      <c r="QO236" s="261"/>
      <c r="QP236" s="261"/>
      <c r="QQ236" s="261"/>
      <c r="QR236" s="261"/>
      <c r="QS236" s="261"/>
      <c r="QT236" s="261"/>
      <c r="QU236" s="261"/>
      <c r="QV236" s="261"/>
      <c r="QW236" s="261"/>
      <c r="QX236" s="13"/>
      <c r="QY236" s="12"/>
      <c r="QZ236" s="13"/>
      <c r="RA236" s="261"/>
      <c r="RB236" s="261"/>
      <c r="RC236" s="261"/>
      <c r="RD236" s="261"/>
      <c r="RE236" s="261"/>
      <c r="RF236" s="261"/>
      <c r="RG236" s="261"/>
      <c r="RH236" s="261"/>
      <c r="RI236" s="261"/>
      <c r="RJ236" s="261"/>
      <c r="RK236" s="261"/>
      <c r="RL236" s="261"/>
      <c r="RM236" s="261"/>
      <c r="RN236" s="261"/>
      <c r="RO236" s="261"/>
      <c r="RP236" s="261"/>
      <c r="RQ236" s="261"/>
      <c r="RR236" s="261"/>
      <c r="RS236" s="261"/>
      <c r="RT236" s="261"/>
      <c r="RU236" s="261"/>
      <c r="RV236" s="261"/>
      <c r="RW236" s="261"/>
      <c r="RX236" s="261"/>
      <c r="RY236" s="261"/>
      <c r="RZ236" s="261"/>
      <c r="SA236" s="261"/>
      <c r="SB236" s="261"/>
      <c r="SC236" s="261"/>
      <c r="SD236" s="261"/>
      <c r="SE236" s="261"/>
      <c r="SF236" s="261"/>
      <c r="SG236" s="261"/>
      <c r="SH236" s="261"/>
      <c r="SI236" s="261"/>
      <c r="SJ236" s="261"/>
      <c r="SK236" s="261"/>
      <c r="SL236" s="261"/>
      <c r="SM236" s="261"/>
      <c r="SN236" s="261"/>
      <c r="SO236" s="261"/>
      <c r="SP236" s="261"/>
      <c r="SQ236" s="261"/>
      <c r="SR236" s="261"/>
      <c r="SS236" s="261"/>
      <c r="ST236" s="261"/>
      <c r="SU236" s="261"/>
      <c r="SV236" s="261"/>
      <c r="SW236" s="261"/>
      <c r="SX236" s="261"/>
      <c r="SY236" s="261"/>
      <c r="SZ236" s="261"/>
      <c r="TA236" s="261"/>
      <c r="TB236" s="261"/>
      <c r="TC236" s="261"/>
      <c r="TD236" s="13"/>
      <c r="TE236" s="261"/>
      <c r="TF236" s="261"/>
      <c r="TG236" s="13"/>
    </row>
    <row r="237" spans="71:527" ht="10.75" customHeight="1" x14ac:dyDescent="0.2">
      <c r="BS237" s="12"/>
      <c r="BT237" s="13"/>
      <c r="BU237" s="12"/>
      <c r="BV237" s="12"/>
      <c r="CG237" s="13"/>
      <c r="CH237" s="13"/>
      <c r="DB237" s="18"/>
      <c r="DG237" s="18"/>
      <c r="EW237" s="12"/>
      <c r="EX237" s="13"/>
      <c r="IV237" s="263"/>
      <c r="IW237" s="263"/>
      <c r="IX237" s="261"/>
      <c r="IY237" s="12"/>
      <c r="IZ237" s="263"/>
      <c r="JA237" s="263"/>
      <c r="JB237" s="264"/>
      <c r="JC237" s="263"/>
      <c r="JD237" s="263"/>
      <c r="JE237" s="263"/>
      <c r="JF237" s="263"/>
      <c r="JG237" s="263"/>
      <c r="JH237" s="261"/>
      <c r="JI237" s="261"/>
      <c r="JJ237" s="261"/>
      <c r="JK237" s="261"/>
      <c r="JL237" s="261"/>
      <c r="JM237" s="261"/>
      <c r="JN237" s="261"/>
      <c r="JO237" s="261"/>
      <c r="JP237" s="261"/>
      <c r="JQ237" s="261"/>
      <c r="JR237" s="261"/>
      <c r="JS237" s="261"/>
      <c r="JT237" s="261"/>
      <c r="JU237" s="261"/>
      <c r="JV237" s="261"/>
      <c r="JW237" s="261"/>
      <c r="JX237" s="261"/>
      <c r="JY237" s="261"/>
      <c r="JZ237" s="261"/>
      <c r="KA237" s="261"/>
      <c r="KB237" s="261"/>
      <c r="KC237" s="261"/>
      <c r="KD237" s="261"/>
      <c r="KE237" s="261"/>
      <c r="KF237" s="261"/>
      <c r="KG237" s="261"/>
      <c r="KH237" s="261"/>
      <c r="KI237" s="261"/>
      <c r="KJ237" s="261"/>
      <c r="KK237" s="261"/>
      <c r="KL237" s="261"/>
      <c r="KM237" s="261"/>
      <c r="KN237" s="261"/>
      <c r="KO237" s="261"/>
      <c r="KP237" s="261"/>
      <c r="KQ237" s="261"/>
      <c r="KR237" s="261"/>
      <c r="KS237" s="261"/>
      <c r="KT237" s="261"/>
      <c r="KU237" s="261"/>
      <c r="KV237" s="261"/>
      <c r="KW237" s="261"/>
      <c r="KX237" s="261"/>
      <c r="KY237" s="261"/>
      <c r="KZ237" s="261"/>
      <c r="LA237" s="261"/>
      <c r="LB237" s="261"/>
      <c r="LC237" s="261"/>
      <c r="LD237" s="261"/>
      <c r="LE237" s="13"/>
      <c r="LF237" s="12"/>
      <c r="LG237" s="13"/>
      <c r="LH237" s="261"/>
      <c r="LI237" s="261"/>
      <c r="LJ237" s="261"/>
      <c r="LK237" s="261"/>
      <c r="LL237" s="261"/>
      <c r="LM237" s="261"/>
      <c r="LN237" s="261"/>
      <c r="LO237" s="261"/>
      <c r="LP237" s="261"/>
      <c r="LQ237" s="261"/>
      <c r="LR237" s="261"/>
      <c r="LS237" s="261"/>
      <c r="LT237" s="261"/>
      <c r="LU237" s="261"/>
      <c r="LV237" s="261"/>
      <c r="LW237" s="261"/>
      <c r="LX237" s="261"/>
      <c r="LY237" s="261"/>
      <c r="LZ237" s="261"/>
      <c r="MA237" s="261"/>
      <c r="MB237" s="261"/>
      <c r="MC237" s="261"/>
      <c r="MD237" s="261"/>
      <c r="ME237" s="261"/>
      <c r="MF237" s="261"/>
      <c r="MG237" s="261"/>
      <c r="MH237" s="261"/>
      <c r="MI237" s="261"/>
      <c r="MJ237" s="261"/>
      <c r="MK237" s="261"/>
      <c r="ML237" s="261"/>
      <c r="MM237" s="261"/>
      <c r="MN237" s="261"/>
      <c r="MO237" s="261"/>
      <c r="MP237" s="261"/>
      <c r="MQ237" s="261"/>
      <c r="MR237" s="261"/>
      <c r="MS237" s="261"/>
      <c r="MT237" s="261"/>
      <c r="MU237" s="261"/>
      <c r="MV237" s="261"/>
      <c r="MW237" s="261"/>
      <c r="MX237" s="261"/>
      <c r="MY237" s="261"/>
      <c r="MZ237" s="261"/>
      <c r="NA237" s="261"/>
      <c r="NB237" s="261"/>
      <c r="NC237" s="261"/>
      <c r="ND237" s="261"/>
      <c r="NE237" s="261"/>
      <c r="NF237" s="261"/>
      <c r="NG237" s="261"/>
      <c r="NH237" s="261"/>
      <c r="NI237" s="261"/>
      <c r="NJ237" s="261"/>
      <c r="NK237" s="13"/>
      <c r="NL237" s="261"/>
      <c r="NM237" s="261"/>
      <c r="NN237" s="13"/>
      <c r="OO237" s="263"/>
      <c r="OP237" s="263"/>
      <c r="OQ237" s="261"/>
      <c r="OR237" s="12"/>
      <c r="OS237" s="263"/>
      <c r="OT237" s="263"/>
      <c r="OU237" s="264"/>
      <c r="OV237" s="263"/>
      <c r="OW237" s="263"/>
      <c r="OX237" s="263"/>
      <c r="OY237" s="263"/>
      <c r="OZ237" s="263"/>
      <c r="PA237" s="261"/>
      <c r="PB237" s="261"/>
      <c r="PC237" s="261"/>
      <c r="PD237" s="261"/>
      <c r="PE237" s="261"/>
      <c r="PF237" s="261"/>
      <c r="PG237" s="261"/>
      <c r="PH237" s="261"/>
      <c r="PI237" s="261"/>
      <c r="PJ237" s="261"/>
      <c r="PK237" s="261"/>
      <c r="PL237" s="261"/>
      <c r="PM237" s="261"/>
      <c r="PN237" s="261"/>
      <c r="PO237" s="261"/>
      <c r="PP237" s="261"/>
      <c r="PQ237" s="261"/>
      <c r="PR237" s="261"/>
      <c r="PS237" s="261"/>
      <c r="PT237" s="261"/>
      <c r="PU237" s="261"/>
      <c r="PV237" s="261"/>
      <c r="PW237" s="261"/>
      <c r="PX237" s="261"/>
      <c r="PY237" s="261"/>
      <c r="PZ237" s="261"/>
      <c r="QA237" s="261"/>
      <c r="QB237" s="261"/>
      <c r="QC237" s="261"/>
      <c r="QD237" s="261"/>
      <c r="QE237" s="261"/>
      <c r="QF237" s="261"/>
      <c r="QG237" s="261"/>
      <c r="QH237" s="261"/>
      <c r="QI237" s="261"/>
      <c r="QJ237" s="261"/>
      <c r="QK237" s="261"/>
      <c r="QL237" s="261"/>
      <c r="QM237" s="261"/>
      <c r="QN237" s="261"/>
      <c r="QO237" s="261"/>
      <c r="QP237" s="261"/>
      <c r="QQ237" s="261"/>
      <c r="QR237" s="261"/>
      <c r="QS237" s="261"/>
      <c r="QT237" s="261"/>
      <c r="QU237" s="261"/>
      <c r="QV237" s="261"/>
      <c r="QW237" s="261"/>
      <c r="QX237" s="13"/>
      <c r="QY237" s="12"/>
      <c r="QZ237" s="13"/>
      <c r="RA237" s="261"/>
      <c r="RB237" s="261"/>
      <c r="RC237" s="261"/>
      <c r="RD237" s="261"/>
      <c r="RE237" s="261"/>
      <c r="RF237" s="261"/>
      <c r="RG237" s="261"/>
      <c r="RH237" s="261"/>
      <c r="RI237" s="261"/>
      <c r="RJ237" s="261"/>
      <c r="RK237" s="261"/>
      <c r="RL237" s="261"/>
      <c r="RM237" s="261"/>
      <c r="RN237" s="261"/>
      <c r="RO237" s="261"/>
      <c r="RP237" s="261"/>
      <c r="RQ237" s="261"/>
      <c r="RR237" s="261"/>
      <c r="RS237" s="261"/>
      <c r="RT237" s="261"/>
      <c r="RU237" s="261"/>
      <c r="RV237" s="261"/>
      <c r="RW237" s="261"/>
      <c r="RX237" s="261"/>
      <c r="RY237" s="261"/>
      <c r="RZ237" s="261"/>
      <c r="SA237" s="261"/>
      <c r="SB237" s="261"/>
      <c r="SC237" s="261"/>
      <c r="SD237" s="261"/>
      <c r="SE237" s="261"/>
      <c r="SF237" s="261"/>
      <c r="SG237" s="261"/>
      <c r="SH237" s="261"/>
      <c r="SI237" s="261"/>
      <c r="SJ237" s="261"/>
      <c r="SK237" s="261"/>
      <c r="SL237" s="261"/>
      <c r="SM237" s="261"/>
      <c r="SN237" s="261"/>
      <c r="SO237" s="261"/>
      <c r="SP237" s="261"/>
      <c r="SQ237" s="261"/>
      <c r="SR237" s="261"/>
      <c r="SS237" s="261"/>
      <c r="ST237" s="261"/>
      <c r="SU237" s="261"/>
      <c r="SV237" s="261"/>
      <c r="SW237" s="261"/>
      <c r="SX237" s="261"/>
      <c r="SY237" s="261"/>
      <c r="SZ237" s="261"/>
      <c r="TA237" s="261"/>
      <c r="TB237" s="261"/>
      <c r="TC237" s="261"/>
      <c r="TD237" s="13"/>
      <c r="TE237" s="261"/>
      <c r="TF237" s="261"/>
      <c r="TG237" s="13"/>
    </row>
    <row r="238" spans="71:527" ht="10.75" customHeight="1" x14ac:dyDescent="0.2">
      <c r="BS238" s="12"/>
      <c r="BT238" s="13"/>
      <c r="BU238" s="12"/>
      <c r="BV238" s="14"/>
      <c r="BW238" s="15"/>
      <c r="BX238" s="15"/>
      <c r="BY238" s="15"/>
      <c r="BZ238" s="15"/>
      <c r="CA238" s="15"/>
      <c r="CB238" s="15"/>
      <c r="CC238" s="15"/>
      <c r="CD238" s="15"/>
      <c r="CE238" s="15"/>
      <c r="CF238" s="15"/>
      <c r="CG238" s="16"/>
      <c r="CH238" s="13"/>
      <c r="DB238" s="18"/>
      <c r="DG238" s="18"/>
      <c r="DL238" s="17"/>
      <c r="EW238" s="12"/>
      <c r="EX238" s="13"/>
      <c r="IV238" s="263"/>
      <c r="IW238" s="263"/>
      <c r="IX238" s="261"/>
      <c r="IY238" s="12"/>
      <c r="IZ238" s="263"/>
      <c r="JA238" s="263"/>
      <c r="JB238" s="264"/>
      <c r="JC238" s="263"/>
      <c r="JD238" s="263"/>
      <c r="JE238" s="263"/>
      <c r="JF238" s="263"/>
      <c r="JG238" s="263"/>
      <c r="JH238" s="261"/>
      <c r="JI238" s="261"/>
      <c r="JJ238" s="261"/>
      <c r="JK238" s="261"/>
      <c r="JL238" s="261"/>
      <c r="JM238" s="261"/>
      <c r="JN238" s="261"/>
      <c r="JO238" s="261"/>
      <c r="JP238" s="261"/>
      <c r="JQ238" s="261"/>
      <c r="JR238" s="261"/>
      <c r="JS238" s="261"/>
      <c r="JT238" s="261"/>
      <c r="JU238" s="261"/>
      <c r="JV238" s="261"/>
      <c r="JW238" s="261"/>
      <c r="JX238" s="261"/>
      <c r="JY238" s="261"/>
      <c r="JZ238" s="261"/>
      <c r="KA238" s="261"/>
      <c r="KB238" s="261"/>
      <c r="KC238" s="261"/>
      <c r="KD238" s="261"/>
      <c r="KE238" s="261"/>
      <c r="KF238" s="261"/>
      <c r="KG238" s="261"/>
      <c r="KH238" s="261"/>
      <c r="KI238" s="261"/>
      <c r="KJ238" s="261"/>
      <c r="KK238" s="261"/>
      <c r="KL238" s="261"/>
      <c r="KM238" s="261"/>
      <c r="KN238" s="261"/>
      <c r="KO238" s="261"/>
      <c r="KP238" s="261"/>
      <c r="KQ238" s="261"/>
      <c r="KR238" s="261"/>
      <c r="KS238" s="261"/>
      <c r="KT238" s="261"/>
      <c r="KU238" s="261"/>
      <c r="KV238" s="261"/>
      <c r="KW238" s="261"/>
      <c r="KX238" s="261"/>
      <c r="KY238" s="261"/>
      <c r="KZ238" s="261"/>
      <c r="LA238" s="261"/>
      <c r="LB238" s="261"/>
      <c r="LC238" s="261"/>
      <c r="LD238" s="261"/>
      <c r="LE238" s="13"/>
      <c r="LF238" s="12"/>
      <c r="LG238" s="13"/>
      <c r="LH238" s="261"/>
      <c r="LI238" s="261"/>
      <c r="LJ238" s="261"/>
      <c r="LK238" s="261"/>
      <c r="LL238" s="261"/>
      <c r="LM238" s="261"/>
      <c r="LN238" s="261"/>
      <c r="LO238" s="261"/>
      <c r="LP238" s="261"/>
      <c r="LQ238" s="261"/>
      <c r="LR238" s="261"/>
      <c r="LS238" s="261"/>
      <c r="LT238" s="261"/>
      <c r="LU238" s="261"/>
      <c r="LV238" s="261"/>
      <c r="LW238" s="261"/>
      <c r="LX238" s="261"/>
      <c r="LY238" s="261"/>
      <c r="LZ238" s="261"/>
      <c r="MA238" s="261"/>
      <c r="MB238" s="261"/>
      <c r="MC238" s="261"/>
      <c r="MD238" s="261"/>
      <c r="ME238" s="261"/>
      <c r="MF238" s="261"/>
      <c r="MG238" s="261"/>
      <c r="MH238" s="261"/>
      <c r="MI238" s="261"/>
      <c r="MJ238" s="261"/>
      <c r="MK238" s="261"/>
      <c r="ML238" s="261"/>
      <c r="MM238" s="261"/>
      <c r="MN238" s="261"/>
      <c r="MO238" s="261"/>
      <c r="MP238" s="261"/>
      <c r="MQ238" s="261"/>
      <c r="MR238" s="261"/>
      <c r="MS238" s="261"/>
      <c r="MT238" s="261"/>
      <c r="MU238" s="261"/>
      <c r="MV238" s="261"/>
      <c r="MW238" s="261"/>
      <c r="MX238" s="261"/>
      <c r="MY238" s="261"/>
      <c r="MZ238" s="261"/>
      <c r="NA238" s="261"/>
      <c r="NB238" s="261"/>
      <c r="NC238" s="261"/>
      <c r="ND238" s="261"/>
      <c r="NE238" s="261"/>
      <c r="NF238" s="261"/>
      <c r="NG238" s="261"/>
      <c r="NH238" s="261"/>
      <c r="NI238" s="261"/>
      <c r="NJ238" s="261"/>
      <c r="NK238" s="13"/>
      <c r="NL238" s="261"/>
      <c r="NM238" s="261"/>
      <c r="NN238" s="13"/>
      <c r="OO238" s="263"/>
      <c r="OP238" s="263"/>
      <c r="OQ238" s="261"/>
      <c r="OR238" s="12"/>
      <c r="OS238" s="263"/>
      <c r="OT238" s="263"/>
      <c r="OU238" s="264"/>
      <c r="OV238" s="263"/>
      <c r="OW238" s="263"/>
      <c r="OX238" s="263"/>
      <c r="OY238" s="263"/>
      <c r="OZ238" s="263"/>
      <c r="PA238" s="261"/>
      <c r="PB238" s="261"/>
      <c r="PC238" s="261"/>
      <c r="PD238" s="261"/>
      <c r="PE238" s="261"/>
      <c r="PF238" s="261"/>
      <c r="PG238" s="261"/>
      <c r="PH238" s="261"/>
      <c r="PI238" s="261"/>
      <c r="PJ238" s="261"/>
      <c r="PK238" s="261"/>
      <c r="PL238" s="261"/>
      <c r="PM238" s="261"/>
      <c r="PN238" s="261"/>
      <c r="PO238" s="261"/>
      <c r="PP238" s="261"/>
      <c r="PQ238" s="261"/>
      <c r="PR238" s="261"/>
      <c r="PS238" s="261"/>
      <c r="PT238" s="261"/>
      <c r="PU238" s="261"/>
      <c r="PV238" s="261"/>
      <c r="PW238" s="261"/>
      <c r="PX238" s="261"/>
      <c r="PY238" s="261"/>
      <c r="PZ238" s="261"/>
      <c r="QA238" s="261"/>
      <c r="QB238" s="261"/>
      <c r="QC238" s="261"/>
      <c r="QD238" s="261"/>
      <c r="QE238" s="261"/>
      <c r="QF238" s="261"/>
      <c r="QG238" s="261"/>
      <c r="QH238" s="261"/>
      <c r="QI238" s="261"/>
      <c r="QJ238" s="261"/>
      <c r="QK238" s="261"/>
      <c r="QL238" s="261"/>
      <c r="QM238" s="261"/>
      <c r="QN238" s="261"/>
      <c r="QO238" s="261"/>
      <c r="QP238" s="261"/>
      <c r="QQ238" s="261"/>
      <c r="QR238" s="261"/>
      <c r="QS238" s="261"/>
      <c r="QT238" s="261"/>
      <c r="QU238" s="261"/>
      <c r="QV238" s="261"/>
      <c r="QW238" s="261"/>
      <c r="QX238" s="13"/>
      <c r="QY238" s="12"/>
      <c r="QZ238" s="13"/>
      <c r="RA238" s="261"/>
      <c r="RB238" s="261"/>
      <c r="RC238" s="261"/>
      <c r="RD238" s="261"/>
      <c r="RE238" s="261"/>
      <c r="RF238" s="261"/>
      <c r="RG238" s="261"/>
      <c r="RH238" s="261"/>
      <c r="RI238" s="261"/>
      <c r="RJ238" s="261"/>
      <c r="RK238" s="261"/>
      <c r="RL238" s="261"/>
      <c r="RM238" s="261"/>
      <c r="RN238" s="261"/>
      <c r="RO238" s="261"/>
      <c r="RP238" s="261"/>
      <c r="RQ238" s="261"/>
      <c r="RR238" s="261"/>
      <c r="RS238" s="261"/>
      <c r="RT238" s="261"/>
      <c r="RU238" s="261"/>
      <c r="RV238" s="261"/>
      <c r="RW238" s="261"/>
      <c r="RX238" s="261"/>
      <c r="RY238" s="261"/>
      <c r="RZ238" s="261"/>
      <c r="SA238" s="261"/>
      <c r="SB238" s="261"/>
      <c r="SC238" s="261"/>
      <c r="SD238" s="261"/>
      <c r="SE238" s="261"/>
      <c r="SF238" s="261"/>
      <c r="SG238" s="261"/>
      <c r="SH238" s="261"/>
      <c r="SI238" s="261"/>
      <c r="SJ238" s="261"/>
      <c r="SK238" s="261"/>
      <c r="SL238" s="261"/>
      <c r="SM238" s="261"/>
      <c r="SN238" s="261"/>
      <c r="SO238" s="261"/>
      <c r="SP238" s="261"/>
      <c r="SQ238" s="261"/>
      <c r="SR238" s="261"/>
      <c r="SS238" s="261"/>
      <c r="ST238" s="261"/>
      <c r="SU238" s="261"/>
      <c r="SV238" s="261"/>
      <c r="SW238" s="261"/>
      <c r="SX238" s="261"/>
      <c r="SY238" s="261"/>
      <c r="SZ238" s="261"/>
      <c r="TA238" s="261"/>
      <c r="TB238" s="261"/>
      <c r="TC238" s="261"/>
      <c r="TD238" s="13"/>
      <c r="TE238" s="261"/>
      <c r="TF238" s="261"/>
      <c r="TG238" s="13"/>
    </row>
    <row r="239" spans="71:527" ht="10.75" customHeight="1" x14ac:dyDescent="0.2">
      <c r="BS239" s="12"/>
      <c r="BT239" s="13"/>
      <c r="BU239" s="12"/>
      <c r="CH239" s="13"/>
      <c r="DB239" s="18"/>
      <c r="DG239" s="18"/>
      <c r="DL239" s="18"/>
      <c r="EW239" s="12"/>
      <c r="EX239" s="13"/>
      <c r="IV239" s="263"/>
      <c r="IW239" s="263"/>
      <c r="IX239" s="261"/>
      <c r="IY239" s="12"/>
      <c r="IZ239" s="263"/>
      <c r="JA239" s="263"/>
      <c r="JB239" s="264"/>
      <c r="JC239" s="263"/>
      <c r="JD239" s="263"/>
      <c r="JE239" s="263"/>
      <c r="JF239" s="263"/>
      <c r="JG239" s="263"/>
      <c r="JH239" s="261"/>
      <c r="JI239" s="261"/>
      <c r="JJ239" s="261"/>
      <c r="JK239" s="261"/>
      <c r="JL239" s="261"/>
      <c r="JM239" s="261"/>
      <c r="JN239" s="261"/>
      <c r="JO239" s="261"/>
      <c r="JP239" s="261"/>
      <c r="JQ239" s="261"/>
      <c r="JR239" s="261"/>
      <c r="JS239" s="261"/>
      <c r="JT239" s="261"/>
      <c r="JU239" s="261"/>
      <c r="JV239" s="261"/>
      <c r="JW239" s="261"/>
      <c r="JX239" s="261"/>
      <c r="JY239" s="261"/>
      <c r="JZ239" s="261"/>
      <c r="KA239" s="261"/>
      <c r="KB239" s="261"/>
      <c r="KC239" s="261"/>
      <c r="KD239" s="261"/>
      <c r="KE239" s="261"/>
      <c r="KF239" s="261"/>
      <c r="KG239" s="261"/>
      <c r="KH239" s="261"/>
      <c r="KI239" s="261"/>
      <c r="KJ239" s="261"/>
      <c r="KK239" s="261"/>
      <c r="KL239" s="261"/>
      <c r="KM239" s="261"/>
      <c r="KN239" s="261"/>
      <c r="KO239" s="261"/>
      <c r="KP239" s="261"/>
      <c r="KQ239" s="261"/>
      <c r="KR239" s="261"/>
      <c r="KS239" s="261"/>
      <c r="KT239" s="261"/>
      <c r="KU239" s="261"/>
      <c r="KV239" s="261"/>
      <c r="KW239" s="261"/>
      <c r="KX239" s="261"/>
      <c r="KY239" s="261"/>
      <c r="KZ239" s="261"/>
      <c r="LA239" s="261"/>
      <c r="LB239" s="261"/>
      <c r="LC239" s="261"/>
      <c r="LD239" s="261"/>
      <c r="LE239" s="13"/>
      <c r="LF239" s="12"/>
      <c r="LG239" s="13"/>
      <c r="LH239" s="261"/>
      <c r="LI239" s="261"/>
      <c r="LJ239" s="261"/>
      <c r="LK239" s="261"/>
      <c r="LL239" s="261"/>
      <c r="LM239" s="261"/>
      <c r="LN239" s="261"/>
      <c r="LO239" s="261"/>
      <c r="LP239" s="261"/>
      <c r="LQ239" s="261"/>
      <c r="LR239" s="261"/>
      <c r="LS239" s="261"/>
      <c r="LT239" s="261"/>
      <c r="LU239" s="261"/>
      <c r="LV239" s="261"/>
      <c r="LW239" s="261"/>
      <c r="LX239" s="261"/>
      <c r="LY239" s="261"/>
      <c r="LZ239" s="261"/>
      <c r="MA239" s="261"/>
      <c r="MB239" s="261"/>
      <c r="MC239" s="261"/>
      <c r="MD239" s="261"/>
      <c r="ME239" s="261"/>
      <c r="MF239" s="261"/>
      <c r="MG239" s="261"/>
      <c r="MH239" s="261"/>
      <c r="MI239" s="261"/>
      <c r="MJ239" s="261"/>
      <c r="MK239" s="261"/>
      <c r="ML239" s="261"/>
      <c r="MM239" s="261"/>
      <c r="MN239" s="261"/>
      <c r="MO239" s="261"/>
      <c r="MP239" s="261"/>
      <c r="MQ239" s="261"/>
      <c r="MR239" s="261"/>
      <c r="MS239" s="261"/>
      <c r="MT239" s="261"/>
      <c r="MU239" s="261"/>
      <c r="MV239" s="261"/>
      <c r="MW239" s="261"/>
      <c r="MX239" s="261"/>
      <c r="MY239" s="261"/>
      <c r="MZ239" s="261"/>
      <c r="NA239" s="261"/>
      <c r="NB239" s="261"/>
      <c r="NC239" s="261"/>
      <c r="ND239" s="261"/>
      <c r="NE239" s="261"/>
      <c r="NF239" s="261"/>
      <c r="NG239" s="261"/>
      <c r="NH239" s="261"/>
      <c r="NI239" s="261"/>
      <c r="NJ239" s="261"/>
      <c r="NK239" s="13"/>
      <c r="NL239" s="261"/>
      <c r="NM239" s="261"/>
      <c r="NN239" s="13"/>
      <c r="OO239" s="263"/>
      <c r="OP239" s="263"/>
      <c r="OQ239" s="261"/>
      <c r="OR239" s="12"/>
      <c r="OS239" s="263"/>
      <c r="OT239" s="263"/>
      <c r="OU239" s="264"/>
      <c r="OV239" s="263"/>
      <c r="OW239" s="263"/>
      <c r="OX239" s="263"/>
      <c r="OY239" s="263"/>
      <c r="OZ239" s="263"/>
      <c r="PA239" s="261"/>
      <c r="PB239" s="261"/>
      <c r="PC239" s="261"/>
      <c r="PD239" s="261"/>
      <c r="PE239" s="261"/>
      <c r="PF239" s="261"/>
      <c r="PG239" s="261"/>
      <c r="PH239" s="261"/>
      <c r="PI239" s="261"/>
      <c r="PJ239" s="261"/>
      <c r="PK239" s="261"/>
      <c r="PL239" s="261"/>
      <c r="PM239" s="261"/>
      <c r="PN239" s="261"/>
      <c r="PO239" s="261"/>
      <c r="PP239" s="261"/>
      <c r="PQ239" s="261"/>
      <c r="PR239" s="261"/>
      <c r="PS239" s="261"/>
      <c r="PT239" s="261"/>
      <c r="PU239" s="261"/>
      <c r="PV239" s="261"/>
      <c r="PW239" s="261"/>
      <c r="PX239" s="261"/>
      <c r="PY239" s="261"/>
      <c r="PZ239" s="261"/>
      <c r="QA239" s="261"/>
      <c r="QB239" s="261"/>
      <c r="QC239" s="261"/>
      <c r="QD239" s="261"/>
      <c r="QE239" s="261"/>
      <c r="QF239" s="261"/>
      <c r="QG239" s="261"/>
      <c r="QH239" s="261"/>
      <c r="QI239" s="261"/>
      <c r="QJ239" s="261"/>
      <c r="QK239" s="261"/>
      <c r="QL239" s="261"/>
      <c r="QM239" s="261"/>
      <c r="QN239" s="261"/>
      <c r="QO239" s="261"/>
      <c r="QP239" s="261"/>
      <c r="QQ239" s="261"/>
      <c r="QR239" s="261"/>
      <c r="QS239" s="261"/>
      <c r="QT239" s="261"/>
      <c r="QU239" s="261"/>
      <c r="QV239" s="261"/>
      <c r="QW239" s="261"/>
      <c r="QX239" s="13"/>
      <c r="QY239" s="12"/>
      <c r="QZ239" s="13"/>
      <c r="RA239" s="261"/>
      <c r="RB239" s="261"/>
      <c r="RC239" s="261"/>
      <c r="RD239" s="261"/>
      <c r="RE239" s="261"/>
      <c r="RF239" s="261"/>
      <c r="RG239" s="261"/>
      <c r="RH239" s="261"/>
      <c r="RI239" s="261"/>
      <c r="RJ239" s="261"/>
      <c r="RK239" s="261"/>
      <c r="RL239" s="261"/>
      <c r="RM239" s="261"/>
      <c r="RN239" s="261"/>
      <c r="RO239" s="261"/>
      <c r="RP239" s="261"/>
      <c r="RQ239" s="261"/>
      <c r="RR239" s="261"/>
      <c r="RS239" s="261"/>
      <c r="RT239" s="261"/>
      <c r="RU239" s="261"/>
      <c r="RV239" s="261"/>
      <c r="RW239" s="261"/>
      <c r="RX239" s="261"/>
      <c r="RY239" s="261"/>
      <c r="RZ239" s="261"/>
      <c r="SA239" s="261"/>
      <c r="SB239" s="261"/>
      <c r="SC239" s="261"/>
      <c r="SD239" s="261"/>
      <c r="SE239" s="261"/>
      <c r="SF239" s="261"/>
      <c r="SG239" s="261"/>
      <c r="SH239" s="261"/>
      <c r="SI239" s="261"/>
      <c r="SJ239" s="261"/>
      <c r="SK239" s="261"/>
      <c r="SL239" s="261"/>
      <c r="SM239" s="261"/>
      <c r="SN239" s="261"/>
      <c r="SO239" s="261"/>
      <c r="SP239" s="261"/>
      <c r="SQ239" s="261"/>
      <c r="SR239" s="261"/>
      <c r="SS239" s="261"/>
      <c r="ST239" s="261"/>
      <c r="SU239" s="261"/>
      <c r="SV239" s="261"/>
      <c r="SW239" s="261"/>
      <c r="SX239" s="261"/>
      <c r="SY239" s="261"/>
      <c r="SZ239" s="261"/>
      <c r="TA239" s="261"/>
      <c r="TB239" s="261"/>
      <c r="TC239" s="261"/>
      <c r="TD239" s="13"/>
      <c r="TE239" s="261"/>
      <c r="TF239" s="261"/>
      <c r="TG239" s="13"/>
    </row>
    <row r="240" spans="71:527" ht="10.75" customHeight="1" x14ac:dyDescent="0.2">
      <c r="BS240" s="12"/>
      <c r="BT240" s="13"/>
      <c r="BU240" s="9"/>
      <c r="BV240" s="10"/>
      <c r="BW240" s="10"/>
      <c r="BX240" s="10"/>
      <c r="BY240" s="10"/>
      <c r="BZ240" s="10"/>
      <c r="CA240" s="10"/>
      <c r="CB240" s="10"/>
      <c r="CC240" s="10"/>
      <c r="CD240" s="10"/>
      <c r="CE240" s="10"/>
      <c r="CF240" s="10"/>
      <c r="CG240" s="10"/>
      <c r="CH240" s="11"/>
      <c r="DB240" s="18"/>
      <c r="DG240" s="18"/>
      <c r="DL240" s="18"/>
      <c r="EW240" s="12"/>
      <c r="EX240" s="13"/>
      <c r="IV240" s="263"/>
      <c r="IW240" s="263"/>
      <c r="IX240" s="261"/>
      <c r="IY240" s="12"/>
      <c r="IZ240" s="263"/>
      <c r="JA240" s="263"/>
      <c r="JB240" s="264"/>
      <c r="JC240" s="263"/>
      <c r="JD240" s="263"/>
      <c r="JE240" s="263"/>
      <c r="JF240" s="263"/>
      <c r="JG240" s="263"/>
      <c r="JH240" s="261"/>
      <c r="JI240" s="261"/>
      <c r="JJ240" s="261"/>
      <c r="JK240" s="261"/>
      <c r="JL240" s="261"/>
      <c r="JM240" s="261"/>
      <c r="JN240" s="261"/>
      <c r="JO240" s="261"/>
      <c r="JP240" s="261"/>
      <c r="JQ240" s="261"/>
      <c r="JR240" s="261"/>
      <c r="JS240" s="261"/>
      <c r="JT240" s="261"/>
      <c r="JU240" s="261"/>
      <c r="JV240" s="261"/>
      <c r="JW240" s="261"/>
      <c r="JX240" s="261"/>
      <c r="JY240" s="261"/>
      <c r="JZ240" s="261"/>
      <c r="KA240" s="261"/>
      <c r="KB240" s="261"/>
      <c r="KC240" s="261"/>
      <c r="KD240" s="261"/>
      <c r="KE240" s="261"/>
      <c r="KF240" s="261"/>
      <c r="KG240" s="261"/>
      <c r="KH240" s="261"/>
      <c r="KI240" s="261"/>
      <c r="KJ240" s="261"/>
      <c r="KK240" s="261"/>
      <c r="KL240" s="261"/>
      <c r="KM240" s="261"/>
      <c r="KN240" s="261"/>
      <c r="KO240" s="261"/>
      <c r="KP240" s="261"/>
      <c r="KQ240" s="261"/>
      <c r="KR240" s="261"/>
      <c r="KS240" s="261"/>
      <c r="KT240" s="261"/>
      <c r="KU240" s="261"/>
      <c r="KV240" s="261"/>
      <c r="KW240" s="261"/>
      <c r="KX240" s="261"/>
      <c r="KY240" s="261"/>
      <c r="KZ240" s="261"/>
      <c r="LA240" s="261"/>
      <c r="LB240" s="261"/>
      <c r="LC240" s="261"/>
      <c r="LD240" s="261"/>
      <c r="LE240" s="13"/>
      <c r="LF240" s="12"/>
      <c r="LG240" s="13"/>
      <c r="LH240" s="261"/>
      <c r="LI240" s="261"/>
      <c r="LJ240" s="261"/>
      <c r="LK240" s="261"/>
      <c r="LL240" s="261"/>
      <c r="LM240" s="261"/>
      <c r="LN240" s="261"/>
      <c r="LO240" s="261"/>
      <c r="LP240" s="261"/>
      <c r="LQ240" s="261"/>
      <c r="LR240" s="261"/>
      <c r="LS240" s="261"/>
      <c r="LT240" s="261"/>
      <c r="LU240" s="261"/>
      <c r="LV240" s="261"/>
      <c r="LW240" s="261"/>
      <c r="LX240" s="261"/>
      <c r="LY240" s="261"/>
      <c r="LZ240" s="261"/>
      <c r="MA240" s="261"/>
      <c r="MB240" s="261"/>
      <c r="MC240" s="261"/>
      <c r="MD240" s="261"/>
      <c r="ME240" s="261"/>
      <c r="MF240" s="261"/>
      <c r="MG240" s="261"/>
      <c r="MH240" s="261"/>
      <c r="MI240" s="261"/>
      <c r="MJ240" s="261"/>
      <c r="MK240" s="261"/>
      <c r="ML240" s="261"/>
      <c r="MM240" s="261"/>
      <c r="MN240" s="261"/>
      <c r="MO240" s="261"/>
      <c r="MP240" s="261"/>
      <c r="MQ240" s="261"/>
      <c r="MR240" s="261"/>
      <c r="MS240" s="261"/>
      <c r="MT240" s="261"/>
      <c r="MU240" s="261"/>
      <c r="MV240" s="261"/>
      <c r="MW240" s="261"/>
      <c r="MX240" s="261"/>
      <c r="MY240" s="261"/>
      <c r="MZ240" s="261"/>
      <c r="NA240" s="261"/>
      <c r="NB240" s="261"/>
      <c r="NC240" s="261"/>
      <c r="ND240" s="261"/>
      <c r="NE240" s="261"/>
      <c r="NF240" s="261"/>
      <c r="NG240" s="261"/>
      <c r="NH240" s="261"/>
      <c r="NI240" s="261"/>
      <c r="NJ240" s="261"/>
      <c r="NK240" s="13"/>
      <c r="NL240" s="261"/>
      <c r="NM240" s="261"/>
      <c r="NN240" s="13"/>
      <c r="OO240" s="263"/>
      <c r="OP240" s="263"/>
      <c r="OQ240" s="261"/>
      <c r="OR240" s="12"/>
      <c r="OS240" s="263"/>
      <c r="OT240" s="263"/>
      <c r="OU240" s="264"/>
      <c r="OV240" s="263"/>
      <c r="OW240" s="263"/>
      <c r="OX240" s="263"/>
      <c r="OY240" s="263"/>
      <c r="OZ240" s="263"/>
      <c r="PA240" s="261"/>
      <c r="PB240" s="261"/>
      <c r="PC240" s="261"/>
      <c r="PD240" s="261"/>
      <c r="PE240" s="261"/>
      <c r="PF240" s="261"/>
      <c r="PG240" s="261"/>
      <c r="PH240" s="261"/>
      <c r="PI240" s="261"/>
      <c r="PJ240" s="261"/>
      <c r="PK240" s="261"/>
      <c r="PL240" s="261"/>
      <c r="PM240" s="261"/>
      <c r="PN240" s="261"/>
      <c r="PO240" s="261"/>
      <c r="PP240" s="261"/>
      <c r="PQ240" s="261"/>
      <c r="PR240" s="261"/>
      <c r="PS240" s="261"/>
      <c r="PT240" s="261"/>
      <c r="PU240" s="261"/>
      <c r="PV240" s="261"/>
      <c r="PW240" s="261"/>
      <c r="PX240" s="261"/>
      <c r="PY240" s="261"/>
      <c r="PZ240" s="261"/>
      <c r="QA240" s="261"/>
      <c r="QB240" s="261"/>
      <c r="QC240" s="261"/>
      <c r="QD240" s="261"/>
      <c r="QE240" s="261"/>
      <c r="QF240" s="261"/>
      <c r="QG240" s="261"/>
      <c r="QH240" s="261"/>
      <c r="QI240" s="261"/>
      <c r="QJ240" s="261"/>
      <c r="QK240" s="261"/>
      <c r="QL240" s="261"/>
      <c r="QM240" s="261"/>
      <c r="QN240" s="261"/>
      <c r="QO240" s="261"/>
      <c r="QP240" s="261"/>
      <c r="QQ240" s="261"/>
      <c r="QR240" s="261"/>
      <c r="QS240" s="261"/>
      <c r="QT240" s="261"/>
      <c r="QU240" s="261"/>
      <c r="QV240" s="261"/>
      <c r="QW240" s="261"/>
      <c r="QX240" s="13"/>
      <c r="QY240" s="12"/>
      <c r="QZ240" s="13"/>
      <c r="RA240" s="261"/>
      <c r="RB240" s="261"/>
      <c r="RC240" s="261"/>
      <c r="RD240" s="261"/>
      <c r="RE240" s="261"/>
      <c r="RF240" s="261"/>
      <c r="RG240" s="261"/>
      <c r="RH240" s="261"/>
      <c r="RI240" s="261"/>
      <c r="RJ240" s="261"/>
      <c r="RK240" s="261"/>
      <c r="RL240" s="261"/>
      <c r="RM240" s="261"/>
      <c r="RN240" s="261"/>
      <c r="RO240" s="261"/>
      <c r="RP240" s="261"/>
      <c r="RQ240" s="261"/>
      <c r="RR240" s="261"/>
      <c r="RS240" s="261"/>
      <c r="RT240" s="261"/>
      <c r="RU240" s="261"/>
      <c r="RV240" s="261"/>
      <c r="RW240" s="261"/>
      <c r="RX240" s="261"/>
      <c r="RY240" s="261"/>
      <c r="RZ240" s="261"/>
      <c r="SA240" s="261"/>
      <c r="SB240" s="261"/>
      <c r="SC240" s="261"/>
      <c r="SD240" s="261"/>
      <c r="SE240" s="261"/>
      <c r="SF240" s="261"/>
      <c r="SG240" s="261"/>
      <c r="SH240" s="261"/>
      <c r="SI240" s="261"/>
      <c r="SJ240" s="261"/>
      <c r="SK240" s="261"/>
      <c r="SL240" s="261"/>
      <c r="SM240" s="261"/>
      <c r="SN240" s="261"/>
      <c r="SO240" s="261"/>
      <c r="SP240" s="261"/>
      <c r="SQ240" s="261"/>
      <c r="SR240" s="261"/>
      <c r="SS240" s="261"/>
      <c r="ST240" s="261"/>
      <c r="SU240" s="261"/>
      <c r="SV240" s="261"/>
      <c r="SW240" s="261"/>
      <c r="SX240" s="261"/>
      <c r="SY240" s="261"/>
      <c r="SZ240" s="261"/>
      <c r="TA240" s="261"/>
      <c r="TB240" s="261"/>
      <c r="TC240" s="261"/>
      <c r="TD240" s="13"/>
      <c r="TE240" s="261"/>
      <c r="TF240" s="261"/>
      <c r="TG240" s="13"/>
    </row>
    <row r="241" spans="65:527" ht="10.75" customHeight="1" x14ac:dyDescent="0.2">
      <c r="BS241" s="14"/>
      <c r="BT241" s="16"/>
      <c r="BU241" s="14"/>
      <c r="BV241" s="15"/>
      <c r="BW241" s="15"/>
      <c r="BX241" s="15"/>
      <c r="BY241" s="15"/>
      <c r="BZ241" s="15"/>
      <c r="CA241" s="15"/>
      <c r="CB241" s="15"/>
      <c r="CC241" s="15"/>
      <c r="CD241" s="15"/>
      <c r="CE241" s="15"/>
      <c r="CF241" s="15"/>
      <c r="CG241" s="15"/>
      <c r="CH241" s="16"/>
      <c r="DB241" s="18"/>
      <c r="DG241" s="18"/>
      <c r="DL241" s="18"/>
      <c r="DQ241" s="17"/>
      <c r="EW241" s="12"/>
      <c r="EX241" s="13"/>
      <c r="IV241" s="263"/>
      <c r="IW241" s="263"/>
      <c r="IX241" s="261"/>
      <c r="IY241" s="12"/>
      <c r="IZ241" s="263"/>
      <c r="JA241" s="263"/>
      <c r="JB241" s="264"/>
      <c r="JC241" s="263"/>
      <c r="JD241" s="263"/>
      <c r="JE241" s="263"/>
      <c r="JF241" s="263"/>
      <c r="JG241" s="263"/>
      <c r="JH241" s="261"/>
      <c r="JI241" s="261"/>
      <c r="JJ241" s="261"/>
      <c r="JK241" s="261"/>
      <c r="JL241" s="261"/>
      <c r="JM241" s="261"/>
      <c r="JN241" s="261"/>
      <c r="JO241" s="261"/>
      <c r="JP241" s="261"/>
      <c r="JQ241" s="261"/>
      <c r="JR241" s="261"/>
      <c r="JS241" s="261"/>
      <c r="JT241" s="261"/>
      <c r="JU241" s="261"/>
      <c r="JV241" s="261"/>
      <c r="JW241" s="261"/>
      <c r="JX241" s="261"/>
      <c r="JY241" s="261"/>
      <c r="JZ241" s="261"/>
      <c r="KA241" s="261"/>
      <c r="KB241" s="261"/>
      <c r="KC241" s="261"/>
      <c r="KD241" s="261"/>
      <c r="KE241" s="261"/>
      <c r="KF241" s="261"/>
      <c r="KG241" s="261"/>
      <c r="KH241" s="261"/>
      <c r="KI241" s="261"/>
      <c r="KJ241" s="261"/>
      <c r="KK241" s="261"/>
      <c r="KL241" s="261"/>
      <c r="KM241" s="261"/>
      <c r="KN241" s="261"/>
      <c r="KO241" s="261"/>
      <c r="KP241" s="261"/>
      <c r="KQ241" s="261"/>
      <c r="KR241" s="261"/>
      <c r="KS241" s="261"/>
      <c r="KT241" s="261"/>
      <c r="KU241" s="261"/>
      <c r="KV241" s="261"/>
      <c r="KW241" s="261"/>
      <c r="KX241" s="261"/>
      <c r="KY241" s="261"/>
      <c r="KZ241" s="261"/>
      <c r="LA241" s="261"/>
      <c r="LB241" s="261"/>
      <c r="LC241" s="261"/>
      <c r="LD241" s="261"/>
      <c r="LE241" s="13"/>
      <c r="LF241" s="12"/>
      <c r="LG241" s="13"/>
      <c r="LH241" s="261"/>
      <c r="LI241" s="261"/>
      <c r="LJ241" s="261"/>
      <c r="LK241" s="261"/>
      <c r="LL241" s="261"/>
      <c r="LM241" s="261"/>
      <c r="LN241" s="261"/>
      <c r="LO241" s="261"/>
      <c r="LP241" s="261"/>
      <c r="LQ241" s="261"/>
      <c r="LR241" s="261"/>
      <c r="LS241" s="261"/>
      <c r="LT241" s="261"/>
      <c r="LU241" s="261"/>
      <c r="LV241" s="261"/>
      <c r="LW241" s="261"/>
      <c r="LX241" s="261"/>
      <c r="LY241" s="261"/>
      <c r="LZ241" s="261"/>
      <c r="MA241" s="261"/>
      <c r="MB241" s="261"/>
      <c r="MC241" s="261"/>
      <c r="MD241" s="261"/>
      <c r="ME241" s="261"/>
      <c r="MF241" s="261"/>
      <c r="MG241" s="261"/>
      <c r="MH241" s="261"/>
      <c r="MI241" s="261"/>
      <c r="MJ241" s="261"/>
      <c r="MK241" s="261"/>
      <c r="ML241" s="261"/>
      <c r="MM241" s="261"/>
      <c r="MN241" s="261"/>
      <c r="MO241" s="261"/>
      <c r="MP241" s="261"/>
      <c r="MQ241" s="261"/>
      <c r="MR241" s="261"/>
      <c r="MS241" s="261"/>
      <c r="MT241" s="261"/>
      <c r="MU241" s="261"/>
      <c r="MV241" s="261"/>
      <c r="MW241" s="261"/>
      <c r="MX241" s="261"/>
      <c r="MY241" s="261"/>
      <c r="MZ241" s="261"/>
      <c r="NA241" s="261"/>
      <c r="NB241" s="261"/>
      <c r="NC241" s="261"/>
      <c r="ND241" s="261"/>
      <c r="NE241" s="261"/>
      <c r="NF241" s="261"/>
      <c r="NG241" s="261"/>
      <c r="NH241" s="261"/>
      <c r="NI241" s="261"/>
      <c r="NJ241" s="261"/>
      <c r="NK241" s="13"/>
      <c r="NL241" s="261"/>
      <c r="NM241" s="261"/>
      <c r="NN241" s="13"/>
      <c r="OO241" s="263"/>
      <c r="OP241" s="263"/>
      <c r="OQ241" s="261"/>
      <c r="OR241" s="12"/>
      <c r="OS241" s="263"/>
      <c r="OT241" s="263"/>
      <c r="OU241" s="264"/>
      <c r="OV241" s="263"/>
      <c r="OW241" s="263"/>
      <c r="OX241" s="263"/>
      <c r="OY241" s="263"/>
      <c r="OZ241" s="263"/>
      <c r="PA241" s="261"/>
      <c r="PB241" s="261"/>
      <c r="PC241" s="261"/>
      <c r="PD241" s="261"/>
      <c r="PE241" s="261"/>
      <c r="PF241" s="261"/>
      <c r="PG241" s="261"/>
      <c r="PH241" s="261"/>
      <c r="PI241" s="261"/>
      <c r="PJ241" s="261"/>
      <c r="PK241" s="261"/>
      <c r="PL241" s="261"/>
      <c r="PM241" s="261"/>
      <c r="PN241" s="261"/>
      <c r="PO241" s="261"/>
      <c r="PP241" s="261"/>
      <c r="PQ241" s="261"/>
      <c r="PR241" s="261"/>
      <c r="PS241" s="261"/>
      <c r="PT241" s="261"/>
      <c r="PU241" s="261"/>
      <c r="PV241" s="261"/>
      <c r="PW241" s="261"/>
      <c r="PX241" s="261"/>
      <c r="PY241" s="261"/>
      <c r="PZ241" s="261"/>
      <c r="QA241" s="261"/>
      <c r="QB241" s="261"/>
      <c r="QC241" s="261"/>
      <c r="QD241" s="261"/>
      <c r="QE241" s="261"/>
      <c r="QF241" s="261"/>
      <c r="QG241" s="261"/>
      <c r="QH241" s="261"/>
      <c r="QI241" s="261"/>
      <c r="QJ241" s="261"/>
      <c r="QK241" s="261"/>
      <c r="QL241" s="261"/>
      <c r="QM241" s="261"/>
      <c r="QN241" s="261"/>
      <c r="QO241" s="261"/>
      <c r="QP241" s="261"/>
      <c r="QQ241" s="261"/>
      <c r="QR241" s="261"/>
      <c r="QS241" s="261"/>
      <c r="QT241" s="261"/>
      <c r="QU241" s="261"/>
      <c r="QV241" s="261"/>
      <c r="QW241" s="261"/>
      <c r="QX241" s="13"/>
      <c r="QY241" s="12"/>
      <c r="QZ241" s="13"/>
      <c r="RA241" s="261"/>
      <c r="RB241" s="261"/>
      <c r="RC241" s="261"/>
      <c r="RD241" s="261"/>
      <c r="RE241" s="261"/>
      <c r="RF241" s="261"/>
      <c r="RG241" s="261"/>
      <c r="RH241" s="261"/>
      <c r="RI241" s="261"/>
      <c r="RJ241" s="261"/>
      <c r="RK241" s="261"/>
      <c r="RL241" s="261"/>
      <c r="RM241" s="261"/>
      <c r="RN241" s="261"/>
      <c r="RO241" s="261"/>
      <c r="RP241" s="261"/>
      <c r="RQ241" s="261"/>
      <c r="RR241" s="261"/>
      <c r="RS241" s="261"/>
      <c r="RT241" s="261"/>
      <c r="RU241" s="261"/>
      <c r="RV241" s="261"/>
      <c r="RW241" s="261"/>
      <c r="RX241" s="261"/>
      <c r="RY241" s="261"/>
      <c r="RZ241" s="261"/>
      <c r="SA241" s="261"/>
      <c r="SB241" s="261"/>
      <c r="SC241" s="261"/>
      <c r="SD241" s="261"/>
      <c r="SE241" s="261"/>
      <c r="SF241" s="261"/>
      <c r="SG241" s="261"/>
      <c r="SH241" s="261"/>
      <c r="SI241" s="261"/>
      <c r="SJ241" s="261"/>
      <c r="SK241" s="261"/>
      <c r="SL241" s="261"/>
      <c r="SM241" s="261"/>
      <c r="SN241" s="261"/>
      <c r="SO241" s="261"/>
      <c r="SP241" s="261"/>
      <c r="SQ241" s="261"/>
      <c r="SR241" s="261"/>
      <c r="SS241" s="261"/>
      <c r="ST241" s="261"/>
      <c r="SU241" s="261"/>
      <c r="SV241" s="261"/>
      <c r="SW241" s="261"/>
      <c r="SX241" s="261"/>
      <c r="SY241" s="261"/>
      <c r="SZ241" s="261"/>
      <c r="TA241" s="261"/>
      <c r="TB241" s="261"/>
      <c r="TC241" s="261"/>
      <c r="TD241" s="13"/>
      <c r="TE241" s="261"/>
      <c r="TF241" s="261"/>
      <c r="TG241" s="13"/>
    </row>
    <row r="242" spans="65:527" ht="10.75" customHeight="1" x14ac:dyDescent="0.2">
      <c r="BM242" s="9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1"/>
      <c r="CZ242" s="255"/>
      <c r="DA242" s="255"/>
      <c r="DB242" s="256"/>
      <c r="DC242" s="255"/>
      <c r="DD242" s="255"/>
      <c r="DE242" s="255"/>
      <c r="DF242" s="255"/>
      <c r="DG242" s="256"/>
      <c r="DH242" s="255"/>
      <c r="DI242" s="255"/>
      <c r="DJ242" s="255"/>
      <c r="DK242" s="255"/>
      <c r="DL242" s="256"/>
      <c r="DM242" s="255"/>
      <c r="DN242" s="255"/>
      <c r="DO242" s="255"/>
      <c r="DP242" s="255"/>
      <c r="DQ242" s="256"/>
      <c r="DR242" s="255"/>
      <c r="DS242" s="255"/>
      <c r="DT242" s="255"/>
      <c r="DU242" s="255"/>
      <c r="DV242" s="255"/>
      <c r="DW242" s="255"/>
      <c r="DX242" s="255"/>
      <c r="DY242" s="255"/>
      <c r="DZ242" s="255"/>
      <c r="EA242" s="255"/>
      <c r="EB242" s="255"/>
      <c r="EC242" s="255"/>
      <c r="ED242" s="255"/>
      <c r="EE242" s="255"/>
      <c r="EF242" s="255"/>
      <c r="EG242" s="255"/>
      <c r="EH242" s="255"/>
      <c r="EI242" s="255"/>
      <c r="EJ242" s="255"/>
      <c r="EK242" s="255"/>
      <c r="EL242" s="255"/>
      <c r="EM242" s="255"/>
      <c r="EN242" s="255"/>
      <c r="EO242" s="255"/>
      <c r="EP242" s="255"/>
      <c r="EQ242" s="255"/>
      <c r="ER242" s="255"/>
      <c r="ES242" s="255"/>
      <c r="ET242" s="255"/>
      <c r="EU242" s="255"/>
      <c r="EV242" s="255"/>
      <c r="EW242" s="9"/>
      <c r="EX242" s="10"/>
      <c r="EY242" s="10"/>
      <c r="EZ242" s="10"/>
      <c r="FA242" s="10"/>
      <c r="FB242" s="10"/>
      <c r="FC242" s="10"/>
      <c r="FD242" s="10"/>
      <c r="FE242" s="10"/>
      <c r="FF242" s="10"/>
      <c r="FG242" s="10"/>
      <c r="FH242" s="10"/>
      <c r="FI242" s="10"/>
      <c r="FJ242" s="10"/>
      <c r="FK242" s="10"/>
      <c r="FL242" s="10"/>
      <c r="FM242" s="10"/>
      <c r="FN242" s="10"/>
      <c r="FO242" s="10"/>
      <c r="FP242" s="10"/>
      <c r="FQ242" s="10"/>
      <c r="FR242" s="10"/>
      <c r="FS242" s="10"/>
      <c r="FT242" s="10"/>
      <c r="FU242" s="10"/>
      <c r="FV242" s="10"/>
      <c r="FW242" s="10"/>
      <c r="FX242" s="10"/>
      <c r="FY242" s="10"/>
      <c r="FZ242" s="10"/>
      <c r="GA242" s="10"/>
      <c r="GB242" s="10"/>
      <c r="GC242" s="10"/>
      <c r="GD242" s="10"/>
      <c r="GE242" s="10"/>
      <c r="GF242" s="10"/>
      <c r="GG242" s="10"/>
      <c r="GH242" s="10"/>
      <c r="GI242" s="10"/>
      <c r="GJ242" s="10"/>
      <c r="GK242" s="10"/>
      <c r="GL242" s="10"/>
      <c r="GM242" s="10"/>
      <c r="GN242" s="10"/>
      <c r="GO242" s="10"/>
      <c r="GP242" s="10"/>
      <c r="GQ242" s="10"/>
      <c r="GR242" s="10"/>
      <c r="GS242" s="10"/>
      <c r="GT242" s="10"/>
      <c r="GU242" s="10"/>
      <c r="GV242" s="11"/>
      <c r="IV242" s="263"/>
      <c r="IW242" s="263"/>
      <c r="IX242" s="261"/>
      <c r="IY242" s="12"/>
      <c r="IZ242" s="263"/>
      <c r="JA242" s="263"/>
      <c r="JB242" s="264"/>
      <c r="JC242" s="263"/>
      <c r="JD242" s="263"/>
      <c r="JE242" s="263"/>
      <c r="JF242" s="263"/>
      <c r="JG242" s="263"/>
      <c r="JH242" s="261"/>
      <c r="JI242" s="261"/>
      <c r="JJ242" s="261"/>
      <c r="JK242" s="261"/>
      <c r="JL242" s="261"/>
      <c r="JM242" s="261"/>
      <c r="JN242" s="261"/>
      <c r="JO242" s="261"/>
      <c r="JP242" s="261"/>
      <c r="JQ242" s="261"/>
      <c r="JR242" s="261"/>
      <c r="JS242" s="261"/>
      <c r="JT242" s="261"/>
      <c r="JU242" s="261"/>
      <c r="JV242" s="261"/>
      <c r="JW242" s="261"/>
      <c r="JX242" s="261"/>
      <c r="JY242" s="261"/>
      <c r="JZ242" s="261"/>
      <c r="KA242" s="261"/>
      <c r="KB242" s="261"/>
      <c r="KC242" s="261"/>
      <c r="KD242" s="261"/>
      <c r="KE242" s="261"/>
      <c r="KF242" s="261"/>
      <c r="KG242" s="261"/>
      <c r="KH242" s="261"/>
      <c r="KI242" s="261"/>
      <c r="KJ242" s="261"/>
      <c r="KK242" s="261"/>
      <c r="KL242" s="261"/>
      <c r="KM242" s="261"/>
      <c r="KN242" s="261"/>
      <c r="KO242" s="261"/>
      <c r="KP242" s="261"/>
      <c r="KQ242" s="261"/>
      <c r="KR242" s="261"/>
      <c r="KS242" s="261"/>
      <c r="KT242" s="261"/>
      <c r="KU242" s="261"/>
      <c r="KV242" s="261"/>
      <c r="KW242" s="261"/>
      <c r="KX242" s="261"/>
      <c r="KY242" s="261"/>
      <c r="KZ242" s="261"/>
      <c r="LA242" s="261"/>
      <c r="LB242" s="261"/>
      <c r="LC242" s="261"/>
      <c r="LD242" s="261"/>
      <c r="LE242" s="13"/>
      <c r="LF242" s="12"/>
      <c r="LG242" s="13"/>
      <c r="LH242" s="261"/>
      <c r="LI242" s="261"/>
      <c r="LJ242" s="261"/>
      <c r="LK242" s="261"/>
      <c r="LL242" s="261"/>
      <c r="LM242" s="261"/>
      <c r="LN242" s="261"/>
      <c r="LO242" s="261"/>
      <c r="LP242" s="261"/>
      <c r="LQ242" s="261"/>
      <c r="LR242" s="261"/>
      <c r="LS242" s="261"/>
      <c r="LT242" s="261"/>
      <c r="LU242" s="261"/>
      <c r="LV242" s="261"/>
      <c r="LW242" s="261"/>
      <c r="LX242" s="261"/>
      <c r="LY242" s="261"/>
      <c r="LZ242" s="261"/>
      <c r="MA242" s="261"/>
      <c r="MB242" s="261"/>
      <c r="MC242" s="261"/>
      <c r="MD242" s="261"/>
      <c r="ME242" s="261"/>
      <c r="MF242" s="261"/>
      <c r="MG242" s="261"/>
      <c r="MH242" s="261"/>
      <c r="MI242" s="261"/>
      <c r="MJ242" s="261"/>
      <c r="MK242" s="261"/>
      <c r="ML242" s="261"/>
      <c r="MM242" s="261"/>
      <c r="MN242" s="261"/>
      <c r="MO242" s="261"/>
      <c r="MP242" s="261"/>
      <c r="MQ242" s="261"/>
      <c r="MR242" s="261"/>
      <c r="MS242" s="261"/>
      <c r="MT242" s="261"/>
      <c r="MU242" s="261"/>
      <c r="MV242" s="261"/>
      <c r="MW242" s="261"/>
      <c r="MX242" s="261"/>
      <c r="MY242" s="261"/>
      <c r="MZ242" s="261"/>
      <c r="NA242" s="261"/>
      <c r="NB242" s="261"/>
      <c r="NC242" s="261"/>
      <c r="ND242" s="261"/>
      <c r="NE242" s="261"/>
      <c r="NF242" s="261"/>
      <c r="NG242" s="261"/>
      <c r="NH242" s="261"/>
      <c r="NI242" s="261"/>
      <c r="NJ242" s="261"/>
      <c r="NK242" s="13"/>
      <c r="NL242" s="261"/>
      <c r="NM242" s="261"/>
      <c r="NN242" s="13"/>
      <c r="OO242" s="263"/>
      <c r="OP242" s="263"/>
      <c r="OQ242" s="261"/>
      <c r="OR242" s="12"/>
      <c r="OS242" s="263"/>
      <c r="OT242" s="263"/>
      <c r="OU242" s="264"/>
      <c r="OV242" s="263"/>
      <c r="OW242" s="263"/>
      <c r="OX242" s="263"/>
      <c r="OY242" s="263"/>
      <c r="OZ242" s="263"/>
      <c r="PA242" s="261"/>
      <c r="PB242" s="261"/>
      <c r="PC242" s="261"/>
      <c r="PD242" s="261"/>
      <c r="PE242" s="261"/>
      <c r="PF242" s="261"/>
      <c r="PG242" s="261"/>
      <c r="PH242" s="261"/>
      <c r="PI242" s="261"/>
      <c r="PJ242" s="261"/>
      <c r="PK242" s="261"/>
      <c r="PL242" s="261"/>
      <c r="PM242" s="261"/>
      <c r="PN242" s="261"/>
      <c r="PO242" s="261"/>
      <c r="PP242" s="261"/>
      <c r="PQ242" s="261"/>
      <c r="PR242" s="261"/>
      <c r="PS242" s="261"/>
      <c r="PT242" s="261"/>
      <c r="PU242" s="261"/>
      <c r="PV242" s="261"/>
      <c r="PW242" s="261"/>
      <c r="PX242" s="261"/>
      <c r="PY242" s="261"/>
      <c r="PZ242" s="261"/>
      <c r="QA242" s="261"/>
      <c r="QB242" s="261"/>
      <c r="QC242" s="261"/>
      <c r="QD242" s="261"/>
      <c r="QE242" s="261"/>
      <c r="QF242" s="261"/>
      <c r="QG242" s="261"/>
      <c r="QH242" s="261"/>
      <c r="QI242" s="261"/>
      <c r="QJ242" s="261"/>
      <c r="QK242" s="261"/>
      <c r="QL242" s="261"/>
      <c r="QM242" s="261"/>
      <c r="QN242" s="261"/>
      <c r="QO242" s="261"/>
      <c r="QP242" s="261"/>
      <c r="QQ242" s="261"/>
      <c r="QR242" s="261"/>
      <c r="QS242" s="261"/>
      <c r="QT242" s="261"/>
      <c r="QU242" s="261"/>
      <c r="QV242" s="261"/>
      <c r="QW242" s="261"/>
      <c r="QX242" s="13"/>
      <c r="QY242" s="12"/>
      <c r="QZ242" s="13"/>
      <c r="RA242" s="261"/>
      <c r="RB242" s="261"/>
      <c r="RC242" s="261"/>
      <c r="RD242" s="261"/>
      <c r="RE242" s="261"/>
      <c r="RF242" s="261"/>
      <c r="RG242" s="261"/>
      <c r="RH242" s="261"/>
      <c r="RI242" s="261"/>
      <c r="RJ242" s="261"/>
      <c r="RK242" s="261"/>
      <c r="RL242" s="261"/>
      <c r="RM242" s="261"/>
      <c r="RN242" s="261"/>
      <c r="RO242" s="261"/>
      <c r="RP242" s="261"/>
      <c r="RQ242" s="261"/>
      <c r="RR242" s="261"/>
      <c r="RS242" s="261"/>
      <c r="RT242" s="261"/>
      <c r="RU242" s="261"/>
      <c r="RV242" s="261"/>
      <c r="RW242" s="261"/>
      <c r="RX242" s="261"/>
      <c r="RY242" s="261"/>
      <c r="RZ242" s="261"/>
      <c r="SA242" s="261"/>
      <c r="SB242" s="261"/>
      <c r="SC242" s="261"/>
      <c r="SD242" s="261"/>
      <c r="SE242" s="261"/>
      <c r="SF242" s="261"/>
      <c r="SG242" s="261"/>
      <c r="SH242" s="261"/>
      <c r="SI242" s="261"/>
      <c r="SJ242" s="261"/>
      <c r="SK242" s="261"/>
      <c r="SL242" s="261"/>
      <c r="SM242" s="261"/>
      <c r="SN242" s="261"/>
      <c r="SO242" s="261"/>
      <c r="SP242" s="261"/>
      <c r="SQ242" s="261"/>
      <c r="SR242" s="261"/>
      <c r="SS242" s="261"/>
      <c r="ST242" s="261"/>
      <c r="SU242" s="261"/>
      <c r="SV242" s="261"/>
      <c r="SW242" s="261"/>
      <c r="SX242" s="261"/>
      <c r="SY242" s="261"/>
      <c r="SZ242" s="261"/>
      <c r="TA242" s="261"/>
      <c r="TB242" s="261"/>
      <c r="TC242" s="261"/>
      <c r="TD242" s="13"/>
      <c r="TE242" s="261"/>
      <c r="TF242" s="261"/>
      <c r="TG242" s="13"/>
    </row>
    <row r="243" spans="65:527" ht="10.75" customHeight="1" x14ac:dyDescent="0.2">
      <c r="BM243" s="14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  <c r="CA243" s="15"/>
      <c r="CB243" s="15"/>
      <c r="CC243" s="15"/>
      <c r="CD243" s="15"/>
      <c r="CE243" s="15"/>
      <c r="CF243" s="15"/>
      <c r="CG243" s="15"/>
      <c r="CH243" s="15"/>
      <c r="CI243" s="15"/>
      <c r="CJ243" s="15"/>
      <c r="CK243" s="15"/>
      <c r="CL243" s="15"/>
      <c r="CM243" s="15"/>
      <c r="CN243" s="15"/>
      <c r="CO243" s="15"/>
      <c r="CP243" s="15"/>
      <c r="CQ243" s="15"/>
      <c r="CR243" s="15"/>
      <c r="CS243" s="15"/>
      <c r="CT243" s="15"/>
      <c r="CU243" s="15"/>
      <c r="CV243" s="15"/>
      <c r="CW243" s="15"/>
      <c r="CX243" s="15"/>
      <c r="CY243" s="16"/>
      <c r="DB243" s="18"/>
      <c r="DE243" s="257"/>
      <c r="DF243" s="257"/>
      <c r="DG243" s="258"/>
      <c r="DH243" s="257"/>
      <c r="DI243" s="257"/>
      <c r="DJ243" s="257"/>
      <c r="DK243" s="257"/>
      <c r="DL243" s="258"/>
      <c r="DM243" s="257"/>
      <c r="DN243" s="257"/>
      <c r="DO243" s="257"/>
      <c r="DP243" s="257"/>
      <c r="DQ243" s="258"/>
      <c r="DR243" s="257"/>
      <c r="DS243" s="257"/>
      <c r="DT243" s="257"/>
      <c r="DU243" s="257"/>
      <c r="DV243" s="257"/>
      <c r="DW243" s="257"/>
      <c r="DX243" s="257"/>
      <c r="DY243" s="257"/>
      <c r="DZ243" s="257"/>
      <c r="EA243" s="257"/>
      <c r="EB243" s="257"/>
      <c r="EC243" s="257"/>
      <c r="ED243" s="257"/>
      <c r="EE243" s="257"/>
      <c r="EF243" s="257"/>
      <c r="EG243" s="257"/>
      <c r="EH243" s="257"/>
      <c r="EI243" s="257"/>
      <c r="EJ243" s="257"/>
      <c r="EK243" s="257"/>
      <c r="EL243" s="257"/>
      <c r="EM243" s="257"/>
      <c r="EN243" s="257"/>
      <c r="EO243" s="257"/>
      <c r="EP243" s="257"/>
      <c r="EQ243" s="257"/>
      <c r="ER243" s="257"/>
      <c r="ES243" s="257"/>
      <c r="ET243" s="257"/>
      <c r="EU243" s="257"/>
      <c r="EV243" s="257"/>
      <c r="EW243" s="14"/>
      <c r="EX243" s="15"/>
      <c r="EY243" s="15"/>
      <c r="EZ243" s="15"/>
      <c r="FA243" s="15"/>
      <c r="FB243" s="15"/>
      <c r="FC243" s="15"/>
      <c r="FD243" s="15"/>
      <c r="FE243" s="15"/>
      <c r="FF243" s="15"/>
      <c r="FG243" s="15"/>
      <c r="FH243" s="15"/>
      <c r="FI243" s="15"/>
      <c r="FJ243" s="15"/>
      <c r="FK243" s="15"/>
      <c r="FL243" s="15"/>
      <c r="FM243" s="15"/>
      <c r="FN243" s="15"/>
      <c r="FO243" s="15"/>
      <c r="FP243" s="15"/>
      <c r="FQ243" s="15"/>
      <c r="FR243" s="15"/>
      <c r="FS243" s="15"/>
      <c r="FT243" s="15"/>
      <c r="FU243" s="15"/>
      <c r="FV243" s="15"/>
      <c r="FW243" s="15"/>
      <c r="FX243" s="15"/>
      <c r="FY243" s="15"/>
      <c r="FZ243" s="15"/>
      <c r="GA243" s="15"/>
      <c r="GB243" s="15"/>
      <c r="GC243" s="15"/>
      <c r="GD243" s="15"/>
      <c r="GE243" s="15"/>
      <c r="GF243" s="15"/>
      <c r="GG243" s="15"/>
      <c r="GH243" s="15"/>
      <c r="GI243" s="15"/>
      <c r="GJ243" s="15"/>
      <c r="GK243" s="15"/>
      <c r="GL243" s="15"/>
      <c r="GM243" s="15"/>
      <c r="GN243" s="15"/>
      <c r="GO243" s="15"/>
      <c r="GP243" s="15"/>
      <c r="GQ243" s="15"/>
      <c r="GR243" s="15"/>
      <c r="GS243" s="15"/>
      <c r="GT243" s="15"/>
      <c r="GU243" s="15"/>
      <c r="GV243" s="16"/>
      <c r="IV243" s="263"/>
      <c r="IW243" s="263"/>
      <c r="IX243" s="261"/>
      <c r="IY243" s="12"/>
      <c r="IZ243" s="263"/>
      <c r="JA243" s="263"/>
      <c r="JB243" s="264"/>
      <c r="JC243" s="263"/>
      <c r="JD243" s="263"/>
      <c r="JE243" s="263"/>
      <c r="JF243" s="263"/>
      <c r="JG243" s="263"/>
      <c r="JH243" s="261"/>
      <c r="JI243" s="261"/>
      <c r="JJ243" s="261"/>
      <c r="JK243" s="261"/>
      <c r="JL243" s="261"/>
      <c r="JM243" s="261"/>
      <c r="JN243" s="261"/>
      <c r="JO243" s="261"/>
      <c r="JP243" s="261"/>
      <c r="JQ243" s="261"/>
      <c r="JR243" s="261"/>
      <c r="JS243" s="261"/>
      <c r="JT243" s="261"/>
      <c r="JU243" s="261"/>
      <c r="JV243" s="261"/>
      <c r="JW243" s="261"/>
      <c r="JX243" s="261"/>
      <c r="JY243" s="261"/>
      <c r="JZ243" s="261"/>
      <c r="KA243" s="261"/>
      <c r="KB243" s="261"/>
      <c r="KC243" s="261"/>
      <c r="KD243" s="261"/>
      <c r="KE243" s="261"/>
      <c r="KF243" s="261"/>
      <c r="KG243" s="261"/>
      <c r="KH243" s="261"/>
      <c r="KI243" s="261"/>
      <c r="KJ243" s="261"/>
      <c r="KK243" s="261"/>
      <c r="KL243" s="261"/>
      <c r="KM243" s="261"/>
      <c r="KN243" s="261"/>
      <c r="KO243" s="261"/>
      <c r="KP243" s="261"/>
      <c r="KQ243" s="261"/>
      <c r="KR243" s="261"/>
      <c r="KS243" s="261"/>
      <c r="KT243" s="261"/>
      <c r="KU243" s="261"/>
      <c r="KV243" s="261"/>
      <c r="KW243" s="261"/>
      <c r="KX243" s="261"/>
      <c r="KY243" s="261"/>
      <c r="KZ243" s="261"/>
      <c r="LA243" s="261"/>
      <c r="LB243" s="261"/>
      <c r="LC243" s="261"/>
      <c r="LD243" s="261"/>
      <c r="LE243" s="13"/>
      <c r="LF243" s="12"/>
      <c r="LG243" s="13"/>
      <c r="LH243" s="261"/>
      <c r="LI243" s="261"/>
      <c r="LJ243" s="261"/>
      <c r="LK243" s="261"/>
      <c r="LL243" s="261"/>
      <c r="LM243" s="261"/>
      <c r="LN243" s="261"/>
      <c r="LO243" s="261"/>
      <c r="LP243" s="261"/>
      <c r="LQ243" s="261"/>
      <c r="LR243" s="261"/>
      <c r="LS243" s="261"/>
      <c r="LT243" s="261"/>
      <c r="LU243" s="261"/>
      <c r="LV243" s="261"/>
      <c r="LW243" s="261"/>
      <c r="LX243" s="261"/>
      <c r="LY243" s="261"/>
      <c r="LZ243" s="261"/>
      <c r="MA243" s="261"/>
      <c r="MB243" s="261"/>
      <c r="MC243" s="261"/>
      <c r="MD243" s="261"/>
      <c r="ME243" s="261"/>
      <c r="MF243" s="261"/>
      <c r="MG243" s="261"/>
      <c r="MH243" s="261"/>
      <c r="MI243" s="261"/>
      <c r="MJ243" s="261"/>
      <c r="MK243" s="261"/>
      <c r="ML243" s="261"/>
      <c r="MM243" s="261"/>
      <c r="MN243" s="261"/>
      <c r="MO243" s="261"/>
      <c r="MP243" s="261"/>
      <c r="MQ243" s="261"/>
      <c r="MR243" s="261"/>
      <c r="MS243" s="261"/>
      <c r="MT243" s="261"/>
      <c r="MU243" s="261"/>
      <c r="MV243" s="261"/>
      <c r="MW243" s="261"/>
      <c r="MX243" s="261"/>
      <c r="MY243" s="261"/>
      <c r="MZ243" s="261"/>
      <c r="NA243" s="261"/>
      <c r="NB243" s="261"/>
      <c r="NC243" s="261"/>
      <c r="ND243" s="261"/>
      <c r="NE243" s="261"/>
      <c r="NF243" s="261"/>
      <c r="NG243" s="261"/>
      <c r="NH243" s="261"/>
      <c r="NI243" s="261"/>
      <c r="NJ243" s="261"/>
      <c r="NK243" s="13"/>
      <c r="NL243" s="261"/>
      <c r="NM243" s="261"/>
      <c r="NN243" s="13"/>
      <c r="OO243" s="263"/>
      <c r="OP243" s="263"/>
      <c r="OQ243" s="261"/>
      <c r="OR243" s="12"/>
      <c r="OS243" s="263"/>
      <c r="OT243" s="263"/>
      <c r="OU243" s="264"/>
      <c r="OV243" s="263"/>
      <c r="OW243" s="263"/>
      <c r="OX243" s="263"/>
      <c r="OY243" s="263"/>
      <c r="OZ243" s="263"/>
      <c r="PA243" s="261"/>
      <c r="PB243" s="261"/>
      <c r="PC243" s="261"/>
      <c r="PD243" s="261"/>
      <c r="PE243" s="261"/>
      <c r="PF243" s="261"/>
      <c r="PG243" s="261"/>
      <c r="PH243" s="261"/>
      <c r="PI243" s="261"/>
      <c r="PJ243" s="261"/>
      <c r="PK243" s="261"/>
      <c r="PL243" s="261"/>
      <c r="PM243" s="261"/>
      <c r="PN243" s="261"/>
      <c r="PO243" s="261"/>
      <c r="PP243" s="261"/>
      <c r="PQ243" s="261"/>
      <c r="PR243" s="261"/>
      <c r="PS243" s="261"/>
      <c r="PT243" s="261"/>
      <c r="PU243" s="261"/>
      <c r="PV243" s="261"/>
      <c r="PW243" s="261"/>
      <c r="PX243" s="261"/>
      <c r="PY243" s="261"/>
      <c r="PZ243" s="261"/>
      <c r="QA243" s="261"/>
      <c r="QB243" s="261"/>
      <c r="QC243" s="261"/>
      <c r="QD243" s="261"/>
      <c r="QE243" s="261"/>
      <c r="QF243" s="261"/>
      <c r="QG243" s="261"/>
      <c r="QH243" s="261"/>
      <c r="QI243" s="261"/>
      <c r="QJ243" s="261"/>
      <c r="QK243" s="261"/>
      <c r="QL243" s="261"/>
      <c r="QM243" s="261"/>
      <c r="QN243" s="261"/>
      <c r="QO243" s="261"/>
      <c r="QP243" s="261"/>
      <c r="QQ243" s="261"/>
      <c r="QR243" s="261"/>
      <c r="QS243" s="261"/>
      <c r="QT243" s="261"/>
      <c r="QU243" s="261"/>
      <c r="QV243" s="261"/>
      <c r="QW243" s="261"/>
      <c r="QX243" s="13"/>
      <c r="QY243" s="12"/>
      <c r="QZ243" s="13"/>
      <c r="RA243" s="261"/>
      <c r="RB243" s="261"/>
      <c r="RC243" s="261"/>
      <c r="RD243" s="261"/>
      <c r="RE243" s="261"/>
      <c r="RF243" s="261"/>
      <c r="RG243" s="261"/>
      <c r="RH243" s="261"/>
      <c r="RI243" s="261"/>
      <c r="RJ243" s="261"/>
      <c r="RK243" s="261"/>
      <c r="RL243" s="261"/>
      <c r="RM243" s="261"/>
      <c r="RN243" s="261"/>
      <c r="RO243" s="261"/>
      <c r="RP243" s="261"/>
      <c r="RQ243" s="261"/>
      <c r="RR243" s="261"/>
      <c r="RS243" s="261"/>
      <c r="RT243" s="261"/>
      <c r="RU243" s="261"/>
      <c r="RV243" s="261"/>
      <c r="RW243" s="261"/>
      <c r="RX243" s="261"/>
      <c r="RY243" s="261"/>
      <c r="RZ243" s="261"/>
      <c r="SA243" s="261"/>
      <c r="SB243" s="261"/>
      <c r="SC243" s="261"/>
      <c r="SD243" s="261"/>
      <c r="SE243" s="261"/>
      <c r="SF243" s="261"/>
      <c r="SG243" s="261"/>
      <c r="SH243" s="261"/>
      <c r="SI243" s="261"/>
      <c r="SJ243" s="261"/>
      <c r="SK243" s="261"/>
      <c r="SL243" s="261"/>
      <c r="SM243" s="261"/>
      <c r="SN243" s="261"/>
      <c r="SO243" s="261"/>
      <c r="SP243" s="261"/>
      <c r="SQ243" s="261"/>
      <c r="SR243" s="261"/>
      <c r="SS243" s="261"/>
      <c r="ST243" s="261"/>
      <c r="SU243" s="261"/>
      <c r="SV243" s="261"/>
      <c r="SW243" s="261"/>
      <c r="SX243" s="261"/>
      <c r="SY243" s="261"/>
      <c r="SZ243" s="261"/>
      <c r="TA243" s="261"/>
      <c r="TB243" s="261"/>
      <c r="TC243" s="261"/>
      <c r="TD243" s="13"/>
      <c r="TE243" s="261"/>
      <c r="TF243" s="261"/>
      <c r="TG243" s="13"/>
    </row>
    <row r="244" spans="65:527" ht="10.75" customHeight="1" x14ac:dyDescent="0.2">
      <c r="BS244" s="9"/>
      <c r="BT244" s="10"/>
      <c r="BU244" s="11"/>
      <c r="CZ244" s="9"/>
      <c r="DA244" s="10"/>
      <c r="DB244" s="10"/>
      <c r="DC244" s="10"/>
      <c r="DD244" s="11"/>
      <c r="DG244" s="18"/>
      <c r="DL244" s="18"/>
      <c r="DQ244" s="18"/>
      <c r="DS244" s="13"/>
      <c r="DV244" s="18"/>
      <c r="GN244" s="9"/>
      <c r="GO244" s="10"/>
      <c r="GP244" s="11"/>
      <c r="IV244" s="263"/>
      <c r="IW244" s="263"/>
      <c r="IX244" s="261"/>
      <c r="IY244" s="12"/>
      <c r="IZ244" s="263"/>
      <c r="JA244" s="261"/>
      <c r="JB244" s="12"/>
      <c r="JC244" s="261"/>
      <c r="JD244" s="261"/>
      <c r="JE244" s="261"/>
      <c r="JF244" s="261"/>
      <c r="JG244" s="261"/>
      <c r="JH244" s="261"/>
      <c r="JI244" s="261"/>
      <c r="JJ244" s="261"/>
      <c r="JK244" s="261"/>
      <c r="JL244" s="261"/>
      <c r="JM244" s="261"/>
      <c r="JN244" s="261"/>
      <c r="JO244" s="261"/>
      <c r="JP244" s="261"/>
      <c r="JQ244" s="261"/>
      <c r="JR244" s="261"/>
      <c r="JS244" s="261"/>
      <c r="JT244" s="261"/>
      <c r="JU244" s="261"/>
      <c r="JV244" s="261"/>
      <c r="JW244" s="261"/>
      <c r="JX244" s="261"/>
      <c r="JY244" s="261"/>
      <c r="JZ244" s="261"/>
      <c r="KA244" s="261"/>
      <c r="KB244" s="261"/>
      <c r="KC244" s="261"/>
      <c r="KD244" s="261"/>
      <c r="KE244" s="261"/>
      <c r="KF244" s="261"/>
      <c r="KG244" s="261"/>
      <c r="KH244" s="261"/>
      <c r="KI244" s="261"/>
      <c r="KJ244" s="261"/>
      <c r="KK244" s="261"/>
      <c r="KL244" s="261"/>
      <c r="KM244" s="261"/>
      <c r="KN244" s="261"/>
      <c r="KO244" s="261"/>
      <c r="KP244" s="261"/>
      <c r="KQ244" s="261"/>
      <c r="KR244" s="261"/>
      <c r="KS244" s="261"/>
      <c r="KT244" s="261"/>
      <c r="KU244" s="261"/>
      <c r="KV244" s="261"/>
      <c r="KW244" s="261"/>
      <c r="KX244" s="261"/>
      <c r="KY244" s="261"/>
      <c r="KZ244" s="261"/>
      <c r="LA244" s="261"/>
      <c r="LB244" s="261"/>
      <c r="LC244" s="261"/>
      <c r="LD244" s="261"/>
      <c r="LE244" s="13"/>
      <c r="LF244" s="12"/>
      <c r="LG244" s="13"/>
      <c r="LH244" s="261"/>
      <c r="LI244" s="261"/>
      <c r="LJ244" s="261"/>
      <c r="LK244" s="261"/>
      <c r="LL244" s="261"/>
      <c r="LM244" s="261"/>
      <c r="LN244" s="261"/>
      <c r="LO244" s="261"/>
      <c r="LP244" s="261"/>
      <c r="LQ244" s="261"/>
      <c r="LR244" s="261"/>
      <c r="LS244" s="261"/>
      <c r="LT244" s="261"/>
      <c r="LU244" s="261"/>
      <c r="LV244" s="261"/>
      <c r="LW244" s="261"/>
      <c r="LX244" s="261"/>
      <c r="LY244" s="261"/>
      <c r="LZ244" s="261"/>
      <c r="MA244" s="261"/>
      <c r="MB244" s="261"/>
      <c r="MC244" s="261"/>
      <c r="MD244" s="261"/>
      <c r="ME244" s="261"/>
      <c r="MF244" s="261"/>
      <c r="MG244" s="261"/>
      <c r="MH244" s="261"/>
      <c r="MI244" s="261"/>
      <c r="MJ244" s="261"/>
      <c r="MK244" s="261"/>
      <c r="ML244" s="261"/>
      <c r="MM244" s="261"/>
      <c r="MN244" s="261"/>
      <c r="MO244" s="261"/>
      <c r="MP244" s="261"/>
      <c r="MQ244" s="261"/>
      <c r="MR244" s="261"/>
      <c r="MS244" s="261"/>
      <c r="MT244" s="261"/>
      <c r="MU244" s="261"/>
      <c r="MV244" s="261"/>
      <c r="MW244" s="261"/>
      <c r="MX244" s="261"/>
      <c r="MY244" s="261"/>
      <c r="MZ244" s="261"/>
      <c r="NA244" s="261"/>
      <c r="NB244" s="261"/>
      <c r="NC244" s="261"/>
      <c r="ND244" s="261"/>
      <c r="NE244" s="261"/>
      <c r="NF244" s="261"/>
      <c r="NG244" s="261"/>
      <c r="NH244" s="261"/>
      <c r="NI244" s="261"/>
      <c r="NJ244" s="261"/>
      <c r="NK244" s="13"/>
      <c r="NL244" s="261"/>
      <c r="NM244" s="261"/>
      <c r="NN244" s="13"/>
      <c r="OO244" s="263"/>
      <c r="OP244" s="263"/>
      <c r="OQ244" s="261"/>
      <c r="OR244" s="12"/>
      <c r="OS244" s="263"/>
      <c r="OT244" s="261"/>
      <c r="OU244" s="12"/>
      <c r="OV244" s="261"/>
      <c r="OW244" s="261"/>
      <c r="OX244" s="261"/>
      <c r="OY244" s="261"/>
      <c r="OZ244" s="261"/>
      <c r="PA244" s="261"/>
      <c r="PB244" s="261"/>
      <c r="PC244" s="261"/>
      <c r="PD244" s="261"/>
      <c r="PE244" s="261"/>
      <c r="PF244" s="261"/>
      <c r="PG244" s="261"/>
      <c r="PH244" s="261"/>
      <c r="PI244" s="261"/>
      <c r="PJ244" s="261"/>
      <c r="PK244" s="261"/>
      <c r="PL244" s="261"/>
      <c r="PM244" s="261"/>
      <c r="PN244" s="261"/>
      <c r="PO244" s="261"/>
      <c r="PP244" s="261"/>
      <c r="PQ244" s="261"/>
      <c r="PR244" s="261"/>
      <c r="PS244" s="261"/>
      <c r="PT244" s="261"/>
      <c r="PU244" s="261"/>
      <c r="PV244" s="261"/>
      <c r="PW244" s="261"/>
      <c r="PX244" s="261"/>
      <c r="PY244" s="261"/>
      <c r="PZ244" s="261"/>
      <c r="QA244" s="261"/>
      <c r="QB244" s="261"/>
      <c r="QC244" s="261"/>
      <c r="QD244" s="261"/>
      <c r="QE244" s="261"/>
      <c r="QF244" s="261"/>
      <c r="QG244" s="261"/>
      <c r="QH244" s="261"/>
      <c r="QI244" s="261"/>
      <c r="QJ244" s="261"/>
      <c r="QK244" s="261"/>
      <c r="QL244" s="261"/>
      <c r="QM244" s="261"/>
      <c r="QN244" s="261"/>
      <c r="QO244" s="261"/>
      <c r="QP244" s="261"/>
      <c r="QQ244" s="261"/>
      <c r="QR244" s="261"/>
      <c r="QS244" s="261"/>
      <c r="QT244" s="261"/>
      <c r="QU244" s="261"/>
      <c r="QV244" s="261"/>
      <c r="QW244" s="261"/>
      <c r="QX244" s="13"/>
      <c r="QY244" s="12"/>
      <c r="QZ244" s="13"/>
      <c r="RA244" s="261"/>
      <c r="RB244" s="261"/>
      <c r="RC244" s="261"/>
      <c r="RD244" s="261"/>
      <c r="RE244" s="261"/>
      <c r="RF244" s="261"/>
      <c r="RG244" s="261"/>
      <c r="RH244" s="261"/>
      <c r="RI244" s="261"/>
      <c r="RJ244" s="261"/>
      <c r="RK244" s="261"/>
      <c r="RL244" s="261"/>
      <c r="RM244" s="261"/>
      <c r="RN244" s="261"/>
      <c r="RO244" s="261"/>
      <c r="RP244" s="261"/>
      <c r="RQ244" s="261"/>
      <c r="RR244" s="261"/>
      <c r="RS244" s="261"/>
      <c r="RT244" s="261"/>
      <c r="RU244" s="261"/>
      <c r="RV244" s="261"/>
      <c r="RW244" s="261"/>
      <c r="RX244" s="261"/>
      <c r="RY244" s="261"/>
      <c r="RZ244" s="261"/>
      <c r="SA244" s="261"/>
      <c r="SB244" s="261"/>
      <c r="SC244" s="261"/>
      <c r="SD244" s="261"/>
      <c r="SE244" s="261"/>
      <c r="SF244" s="261"/>
      <c r="SG244" s="261"/>
      <c r="SH244" s="261"/>
      <c r="SI244" s="261"/>
      <c r="SJ244" s="261"/>
      <c r="SK244" s="261"/>
      <c r="SL244" s="261"/>
      <c r="SM244" s="261"/>
      <c r="SN244" s="261"/>
      <c r="SO244" s="261"/>
      <c r="SP244" s="261"/>
      <c r="SQ244" s="261"/>
      <c r="SR244" s="261"/>
      <c r="SS244" s="261"/>
      <c r="ST244" s="261"/>
      <c r="SU244" s="261"/>
      <c r="SV244" s="261"/>
      <c r="SW244" s="261"/>
      <c r="SX244" s="261"/>
      <c r="SY244" s="261"/>
      <c r="SZ244" s="261"/>
      <c r="TA244" s="261"/>
      <c r="TB244" s="261"/>
      <c r="TC244" s="261"/>
      <c r="TD244" s="13"/>
      <c r="TE244" s="261"/>
      <c r="TF244" s="261"/>
      <c r="TG244" s="13"/>
    </row>
    <row r="245" spans="65:527" ht="10.75" customHeight="1" x14ac:dyDescent="0.2">
      <c r="BS245" s="12"/>
      <c r="BU245" s="13"/>
      <c r="CZ245" s="14"/>
      <c r="DA245" s="15"/>
      <c r="DB245" s="15"/>
      <c r="DC245" s="15"/>
      <c r="DD245" s="16"/>
      <c r="DG245" s="18"/>
      <c r="DL245" s="18"/>
      <c r="DQ245" s="18"/>
      <c r="DS245" s="13"/>
      <c r="DV245" s="18"/>
      <c r="GN245" s="12"/>
      <c r="GP245" s="13"/>
      <c r="IV245" s="263"/>
      <c r="IW245" s="263"/>
      <c r="IX245" s="261"/>
      <c r="IY245" s="12"/>
      <c r="IZ245" s="263"/>
      <c r="JA245" s="261"/>
      <c r="JB245" s="12"/>
      <c r="JC245" s="261"/>
      <c r="JD245" s="261"/>
      <c r="JE245" s="261"/>
      <c r="JF245" s="261"/>
      <c r="JG245" s="261"/>
      <c r="JH245" s="261"/>
      <c r="JI245" s="261"/>
      <c r="JJ245" s="261"/>
      <c r="JK245" s="261"/>
      <c r="JL245" s="261"/>
      <c r="JM245" s="261"/>
      <c r="JN245" s="261"/>
      <c r="JO245" s="261"/>
      <c r="JP245" s="261"/>
      <c r="JQ245" s="261"/>
      <c r="JR245" s="261"/>
      <c r="JS245" s="261"/>
      <c r="JT245" s="261"/>
      <c r="JU245" s="261"/>
      <c r="JV245" s="261"/>
      <c r="JW245" s="261"/>
      <c r="JX245" s="261"/>
      <c r="JY245" s="261"/>
      <c r="JZ245" s="261"/>
      <c r="KA245" s="261"/>
      <c r="KB245" s="261"/>
      <c r="KC245" s="261"/>
      <c r="KD245" s="261"/>
      <c r="KE245" s="261"/>
      <c r="KF245" s="261"/>
      <c r="KG245" s="261"/>
      <c r="KH245" s="261"/>
      <c r="KI245" s="261"/>
      <c r="KJ245" s="261"/>
      <c r="KK245" s="261"/>
      <c r="KL245" s="261"/>
      <c r="KM245" s="261"/>
      <c r="KN245" s="261"/>
      <c r="KO245" s="261"/>
      <c r="KP245" s="261"/>
      <c r="KQ245" s="261"/>
      <c r="KR245" s="261"/>
      <c r="KS245" s="261"/>
      <c r="KT245" s="261"/>
      <c r="KU245" s="261"/>
      <c r="KV245" s="261"/>
      <c r="KW245" s="261"/>
      <c r="KX245" s="261"/>
      <c r="KY245" s="261"/>
      <c r="KZ245" s="261"/>
      <c r="LA245" s="261"/>
      <c r="LB245" s="261"/>
      <c r="LC245" s="261"/>
      <c r="LD245" s="261"/>
      <c r="LE245" s="13"/>
      <c r="LF245" s="12"/>
      <c r="LG245" s="13"/>
      <c r="LH245" s="261"/>
      <c r="LI245" s="261"/>
      <c r="LJ245" s="261"/>
      <c r="LK245" s="261"/>
      <c r="LL245" s="261"/>
      <c r="LM245" s="261"/>
      <c r="LN245" s="261"/>
      <c r="LO245" s="261"/>
      <c r="LP245" s="261"/>
      <c r="LQ245" s="261"/>
      <c r="LR245" s="261"/>
      <c r="LS245" s="261"/>
      <c r="LT245" s="261"/>
      <c r="LU245" s="261"/>
      <c r="LV245" s="261"/>
      <c r="LW245" s="261"/>
      <c r="LX245" s="261"/>
      <c r="LY245" s="261"/>
      <c r="LZ245" s="261"/>
      <c r="MA245" s="261"/>
      <c r="MB245" s="261"/>
      <c r="MC245" s="261"/>
      <c r="MD245" s="261"/>
      <c r="ME245" s="261"/>
      <c r="MF245" s="261"/>
      <c r="MG245" s="261"/>
      <c r="MH245" s="261"/>
      <c r="MI245" s="261"/>
      <c r="MJ245" s="261"/>
      <c r="MK245" s="261"/>
      <c r="ML245" s="261"/>
      <c r="MM245" s="261"/>
      <c r="MN245" s="261"/>
      <c r="MO245" s="261"/>
      <c r="MP245" s="261"/>
      <c r="MQ245" s="261"/>
      <c r="MR245" s="261"/>
      <c r="MS245" s="261"/>
      <c r="MT245" s="261"/>
      <c r="MU245" s="261"/>
      <c r="MV245" s="261"/>
      <c r="MW245" s="261"/>
      <c r="MX245" s="261"/>
      <c r="MY245" s="261"/>
      <c r="MZ245" s="261"/>
      <c r="NA245" s="261"/>
      <c r="NB245" s="261"/>
      <c r="NC245" s="261"/>
      <c r="ND245" s="261"/>
      <c r="NE245" s="261"/>
      <c r="NF245" s="261"/>
      <c r="NG245" s="261"/>
      <c r="NH245" s="261"/>
      <c r="NI245" s="261"/>
      <c r="NJ245" s="261"/>
      <c r="NK245" s="13"/>
      <c r="NL245" s="261"/>
      <c r="NM245" s="261"/>
      <c r="NN245" s="13"/>
      <c r="OO245" s="263"/>
      <c r="OP245" s="263"/>
      <c r="OQ245" s="261"/>
      <c r="OR245" s="12"/>
      <c r="OS245" s="263"/>
      <c r="OT245" s="261"/>
      <c r="OU245" s="12"/>
      <c r="OV245" s="261"/>
      <c r="OW245" s="261"/>
      <c r="OX245" s="261"/>
      <c r="OY245" s="261"/>
      <c r="OZ245" s="261"/>
      <c r="PA245" s="261"/>
      <c r="PB245" s="261"/>
      <c r="PC245" s="261"/>
      <c r="PD245" s="261"/>
      <c r="PE245" s="261"/>
      <c r="PF245" s="261"/>
      <c r="PG245" s="261"/>
      <c r="PH245" s="261"/>
      <c r="PI245" s="261"/>
      <c r="PJ245" s="261"/>
      <c r="PK245" s="261"/>
      <c r="PL245" s="261"/>
      <c r="PM245" s="261"/>
      <c r="PN245" s="261"/>
      <c r="PO245" s="261"/>
      <c r="PP245" s="261"/>
      <c r="PQ245" s="261"/>
      <c r="PR245" s="261"/>
      <c r="PS245" s="261"/>
      <c r="PT245" s="261"/>
      <c r="PU245" s="261"/>
      <c r="PV245" s="261"/>
      <c r="PW245" s="261"/>
      <c r="PX245" s="261"/>
      <c r="PY245" s="261"/>
      <c r="PZ245" s="261"/>
      <c r="QA245" s="261"/>
      <c r="QB245" s="261"/>
      <c r="QC245" s="261"/>
      <c r="QD245" s="261"/>
      <c r="QE245" s="261"/>
      <c r="QF245" s="261"/>
      <c r="QG245" s="261"/>
      <c r="QH245" s="261"/>
      <c r="QI245" s="261"/>
      <c r="QJ245" s="261"/>
      <c r="QK245" s="261"/>
      <c r="QL245" s="261"/>
      <c r="QM245" s="261"/>
      <c r="QN245" s="261"/>
      <c r="QO245" s="261"/>
      <c r="QP245" s="261"/>
      <c r="QQ245" s="261"/>
      <c r="QR245" s="261"/>
      <c r="QS245" s="261"/>
      <c r="QT245" s="261"/>
      <c r="QU245" s="261"/>
      <c r="QV245" s="261"/>
      <c r="QW245" s="261"/>
      <c r="QX245" s="13"/>
      <c r="QY245" s="12"/>
      <c r="QZ245" s="13"/>
      <c r="RA245" s="261"/>
      <c r="RB245" s="261"/>
      <c r="RC245" s="261"/>
      <c r="RD245" s="261"/>
      <c r="RE245" s="261"/>
      <c r="RF245" s="261"/>
      <c r="RG245" s="261"/>
      <c r="RH245" s="261"/>
      <c r="RI245" s="261"/>
      <c r="RJ245" s="261"/>
      <c r="RK245" s="261"/>
      <c r="RL245" s="261"/>
      <c r="RM245" s="261"/>
      <c r="RN245" s="261"/>
      <c r="RO245" s="261"/>
      <c r="RP245" s="261"/>
      <c r="RQ245" s="261"/>
      <c r="RR245" s="261"/>
      <c r="RS245" s="261"/>
      <c r="RT245" s="261"/>
      <c r="RU245" s="261"/>
      <c r="RV245" s="261"/>
      <c r="RW245" s="261"/>
      <c r="RX245" s="261"/>
      <c r="RY245" s="261"/>
      <c r="RZ245" s="261"/>
      <c r="SA245" s="261"/>
      <c r="SB245" s="261"/>
      <c r="SC245" s="261"/>
      <c r="SD245" s="261"/>
      <c r="SE245" s="261"/>
      <c r="SF245" s="261"/>
      <c r="SG245" s="261"/>
      <c r="SH245" s="261"/>
      <c r="SI245" s="261"/>
      <c r="SJ245" s="261"/>
      <c r="SK245" s="261"/>
      <c r="SL245" s="261"/>
      <c r="SM245" s="261"/>
      <c r="SN245" s="261"/>
      <c r="SO245" s="261"/>
      <c r="SP245" s="261"/>
      <c r="SQ245" s="261"/>
      <c r="SR245" s="261"/>
      <c r="SS245" s="261"/>
      <c r="ST245" s="261"/>
      <c r="SU245" s="261"/>
      <c r="SV245" s="261"/>
      <c r="SW245" s="261"/>
      <c r="SX245" s="261"/>
      <c r="SY245" s="261"/>
      <c r="SZ245" s="261"/>
      <c r="TA245" s="261"/>
      <c r="TB245" s="261"/>
      <c r="TC245" s="261"/>
      <c r="TD245" s="13"/>
      <c r="TE245" s="261"/>
      <c r="TF245" s="261"/>
      <c r="TG245" s="13"/>
    </row>
    <row r="246" spans="65:527" ht="10.75" customHeight="1" x14ac:dyDescent="0.2">
      <c r="BS246" s="12"/>
      <c r="BU246" s="13"/>
      <c r="DG246" s="19"/>
      <c r="DL246" s="18"/>
      <c r="DQ246" s="18"/>
      <c r="DS246" s="13"/>
      <c r="DV246" s="18"/>
      <c r="GN246" s="12"/>
      <c r="GP246" s="13"/>
      <c r="IV246" s="263"/>
      <c r="IW246" s="263"/>
      <c r="IX246" s="261"/>
      <c r="IY246" s="12"/>
      <c r="IZ246" s="263"/>
      <c r="JA246" s="261"/>
      <c r="JB246" s="12"/>
      <c r="JC246" s="261"/>
      <c r="JD246" s="261"/>
      <c r="JE246" s="261"/>
      <c r="JF246" s="261"/>
      <c r="JG246" s="261"/>
      <c r="JH246" s="261"/>
      <c r="JI246" s="261"/>
      <c r="JJ246" s="261"/>
      <c r="JK246" s="261"/>
      <c r="JL246" s="261"/>
      <c r="JM246" s="261"/>
      <c r="JN246" s="261"/>
      <c r="JO246" s="261"/>
      <c r="JP246" s="261"/>
      <c r="JQ246" s="261"/>
      <c r="JR246" s="261"/>
      <c r="JS246" s="261"/>
      <c r="JT246" s="261"/>
      <c r="JU246" s="261"/>
      <c r="JV246" s="261"/>
      <c r="JW246" s="261"/>
      <c r="JX246" s="261"/>
      <c r="JY246" s="261"/>
      <c r="JZ246" s="261"/>
      <c r="KA246" s="261"/>
      <c r="KB246" s="261"/>
      <c r="KC246" s="261"/>
      <c r="KD246" s="261"/>
      <c r="KE246" s="261"/>
      <c r="KF246" s="261"/>
      <c r="KG246" s="261"/>
      <c r="KH246" s="261"/>
      <c r="KI246" s="261"/>
      <c r="KJ246" s="261"/>
      <c r="KK246" s="261"/>
      <c r="KL246" s="261"/>
      <c r="KM246" s="261"/>
      <c r="KN246" s="261"/>
      <c r="KO246" s="261"/>
      <c r="KP246" s="261"/>
      <c r="KQ246" s="261"/>
      <c r="KR246" s="261"/>
      <c r="KS246" s="261"/>
      <c r="KT246" s="261"/>
      <c r="KU246" s="261"/>
      <c r="KV246" s="261"/>
      <c r="KW246" s="261"/>
      <c r="KX246" s="261"/>
      <c r="KY246" s="261"/>
      <c r="KZ246" s="261"/>
      <c r="LA246" s="261"/>
      <c r="LB246" s="261"/>
      <c r="LC246" s="261"/>
      <c r="LD246" s="261"/>
      <c r="LE246" s="13"/>
      <c r="LF246" s="12"/>
      <c r="LG246" s="13"/>
      <c r="LH246" s="261"/>
      <c r="LI246" s="261"/>
      <c r="LJ246" s="261"/>
      <c r="LK246" s="261"/>
      <c r="LL246" s="261"/>
      <c r="LM246" s="261"/>
      <c r="LN246" s="261"/>
      <c r="LO246" s="261"/>
      <c r="LP246" s="261"/>
      <c r="LQ246" s="261"/>
      <c r="LR246" s="261"/>
      <c r="LS246" s="261"/>
      <c r="LT246" s="261"/>
      <c r="LU246" s="261"/>
      <c r="LV246" s="261"/>
      <c r="LW246" s="261"/>
      <c r="LX246" s="261"/>
      <c r="LY246" s="261"/>
      <c r="LZ246" s="261"/>
      <c r="MA246" s="261"/>
      <c r="MB246" s="261"/>
      <c r="MC246" s="261"/>
      <c r="MD246" s="261"/>
      <c r="ME246" s="261"/>
      <c r="MF246" s="261"/>
      <c r="MG246" s="261"/>
      <c r="MH246" s="261"/>
      <c r="MI246" s="261"/>
      <c r="MJ246" s="261"/>
      <c r="MK246" s="261"/>
      <c r="ML246" s="261"/>
      <c r="MM246" s="261"/>
      <c r="MN246" s="261"/>
      <c r="MO246" s="261"/>
      <c r="MP246" s="261"/>
      <c r="MQ246" s="261"/>
      <c r="MR246" s="261"/>
      <c r="MS246" s="261"/>
      <c r="MT246" s="261"/>
      <c r="MU246" s="261"/>
      <c r="MV246" s="261"/>
      <c r="MW246" s="261"/>
      <c r="MX246" s="261"/>
      <c r="MY246" s="261"/>
      <c r="MZ246" s="261"/>
      <c r="NA246" s="261"/>
      <c r="NB246" s="261"/>
      <c r="NC246" s="261"/>
      <c r="ND246" s="261"/>
      <c r="NE246" s="261"/>
      <c r="NF246" s="261"/>
      <c r="NG246" s="261"/>
      <c r="NH246" s="261"/>
      <c r="NI246" s="261"/>
      <c r="NJ246" s="261"/>
      <c r="NK246" s="13"/>
      <c r="NL246" s="261"/>
      <c r="NM246" s="261"/>
      <c r="NN246" s="13"/>
      <c r="OO246" s="263"/>
      <c r="OP246" s="263"/>
      <c r="OQ246" s="261"/>
      <c r="OR246" s="12"/>
      <c r="OS246" s="263"/>
      <c r="OT246" s="261"/>
      <c r="OU246" s="12"/>
      <c r="OV246" s="261"/>
      <c r="OW246" s="261"/>
      <c r="OX246" s="261"/>
      <c r="OY246" s="261"/>
      <c r="OZ246" s="261"/>
      <c r="PA246" s="261"/>
      <c r="PB246" s="261"/>
      <c r="PC246" s="261"/>
      <c r="PD246" s="261"/>
      <c r="PE246" s="261"/>
      <c r="PF246" s="261"/>
      <c r="PG246" s="261"/>
      <c r="PH246" s="261"/>
      <c r="PI246" s="261"/>
      <c r="PJ246" s="261"/>
      <c r="PK246" s="261"/>
      <c r="PL246" s="261"/>
      <c r="PM246" s="261"/>
      <c r="PN246" s="261"/>
      <c r="PO246" s="261"/>
      <c r="PP246" s="261"/>
      <c r="PQ246" s="261"/>
      <c r="PR246" s="261"/>
      <c r="PS246" s="261"/>
      <c r="PT246" s="261"/>
      <c r="PU246" s="261"/>
      <c r="PV246" s="261"/>
      <c r="PW246" s="261"/>
      <c r="PX246" s="261"/>
      <c r="PY246" s="261"/>
      <c r="PZ246" s="261"/>
      <c r="QA246" s="261"/>
      <c r="QB246" s="261"/>
      <c r="QC246" s="261"/>
      <c r="QD246" s="261"/>
      <c r="QE246" s="261"/>
      <c r="QF246" s="261"/>
      <c r="QG246" s="261"/>
      <c r="QH246" s="261"/>
      <c r="QI246" s="261"/>
      <c r="QJ246" s="261"/>
      <c r="QK246" s="261"/>
      <c r="QL246" s="261"/>
      <c r="QM246" s="261"/>
      <c r="QN246" s="261"/>
      <c r="QO246" s="261"/>
      <c r="QP246" s="261"/>
      <c r="QQ246" s="261"/>
      <c r="QR246" s="261"/>
      <c r="QS246" s="261"/>
      <c r="QT246" s="261"/>
      <c r="QU246" s="261"/>
      <c r="QV246" s="261"/>
      <c r="QW246" s="261"/>
      <c r="QX246" s="13"/>
      <c r="QY246" s="12"/>
      <c r="QZ246" s="13"/>
      <c r="RA246" s="261"/>
      <c r="RB246" s="261"/>
      <c r="RC246" s="261"/>
      <c r="RD246" s="261"/>
      <c r="RE246" s="261"/>
      <c r="RF246" s="261"/>
      <c r="RG246" s="261"/>
      <c r="RH246" s="261"/>
      <c r="RI246" s="261"/>
      <c r="RJ246" s="261"/>
      <c r="RK246" s="261"/>
      <c r="RL246" s="261"/>
      <c r="RM246" s="261"/>
      <c r="RN246" s="261"/>
      <c r="RO246" s="261"/>
      <c r="RP246" s="261"/>
      <c r="RQ246" s="261"/>
      <c r="RR246" s="261"/>
      <c r="RS246" s="261"/>
      <c r="RT246" s="261"/>
      <c r="RU246" s="261"/>
      <c r="RV246" s="261"/>
      <c r="RW246" s="261"/>
      <c r="RX246" s="261"/>
      <c r="RY246" s="261"/>
      <c r="RZ246" s="261"/>
      <c r="SA246" s="261"/>
      <c r="SB246" s="261"/>
      <c r="SC246" s="261"/>
      <c r="SD246" s="261"/>
      <c r="SE246" s="261"/>
      <c r="SF246" s="261"/>
      <c r="SG246" s="261"/>
      <c r="SH246" s="261"/>
      <c r="SI246" s="261"/>
      <c r="SJ246" s="261"/>
      <c r="SK246" s="261"/>
      <c r="SL246" s="261"/>
      <c r="SM246" s="261"/>
      <c r="SN246" s="261"/>
      <c r="SO246" s="261"/>
      <c r="SP246" s="261"/>
      <c r="SQ246" s="261"/>
      <c r="SR246" s="261"/>
      <c r="SS246" s="261"/>
      <c r="ST246" s="261"/>
      <c r="SU246" s="261"/>
      <c r="SV246" s="261"/>
      <c r="SW246" s="261"/>
      <c r="SX246" s="261"/>
      <c r="SY246" s="261"/>
      <c r="SZ246" s="261"/>
      <c r="TA246" s="261"/>
      <c r="TB246" s="261"/>
      <c r="TC246" s="261"/>
      <c r="TD246" s="13"/>
      <c r="TE246" s="261"/>
      <c r="TF246" s="261"/>
      <c r="TG246" s="13"/>
    </row>
    <row r="247" spans="65:527" ht="10.75" customHeight="1" x14ac:dyDescent="0.2">
      <c r="BS247" s="12"/>
      <c r="BU247" s="13"/>
      <c r="DE247" s="9"/>
      <c r="DF247" s="10"/>
      <c r="DG247" s="10"/>
      <c r="DH247" s="10"/>
      <c r="DI247" s="11"/>
      <c r="DL247" s="18"/>
      <c r="DQ247" s="18"/>
      <c r="DS247" s="13"/>
      <c r="DV247" s="18"/>
      <c r="EA247" s="17"/>
      <c r="GN247" s="12"/>
      <c r="GP247" s="13"/>
      <c r="IV247" s="263"/>
      <c r="IW247" s="263"/>
      <c r="IX247" s="261"/>
      <c r="IY247" s="12"/>
      <c r="IZ247" s="263"/>
      <c r="JA247" s="261"/>
      <c r="JB247" s="12"/>
      <c r="JC247" s="261"/>
      <c r="JD247" s="261"/>
      <c r="JE247" s="261"/>
      <c r="JF247" s="261"/>
      <c r="JG247" s="261"/>
      <c r="JH247" s="261"/>
      <c r="JI247" s="261"/>
      <c r="JJ247" s="261"/>
      <c r="JK247" s="261"/>
      <c r="JL247" s="261"/>
      <c r="JM247" s="261"/>
      <c r="JN247" s="261"/>
      <c r="JO247" s="261"/>
      <c r="JP247" s="261"/>
      <c r="JQ247" s="261"/>
      <c r="JR247" s="261"/>
      <c r="JS247" s="261"/>
      <c r="JT247" s="261"/>
      <c r="JU247" s="261"/>
      <c r="JV247" s="261"/>
      <c r="JW247" s="261"/>
      <c r="JX247" s="261"/>
      <c r="JY247" s="261"/>
      <c r="JZ247" s="261"/>
      <c r="KA247" s="261"/>
      <c r="KB247" s="261"/>
      <c r="KC247" s="261"/>
      <c r="KD247" s="261"/>
      <c r="KE247" s="261"/>
      <c r="KF247" s="261"/>
      <c r="KG247" s="261"/>
      <c r="KH247" s="261"/>
      <c r="KI247" s="261"/>
      <c r="KJ247" s="261"/>
      <c r="KK247" s="261"/>
      <c r="KL247" s="261"/>
      <c r="KM247" s="261"/>
      <c r="KN247" s="261"/>
      <c r="KO247" s="261"/>
      <c r="KP247" s="261"/>
      <c r="KQ247" s="261"/>
      <c r="KR247" s="261"/>
      <c r="KS247" s="261"/>
      <c r="KT247" s="261"/>
      <c r="KU247" s="261"/>
      <c r="KV247" s="261"/>
      <c r="KW247" s="261"/>
      <c r="KX247" s="261"/>
      <c r="KY247" s="261"/>
      <c r="KZ247" s="261"/>
      <c r="LA247" s="261"/>
      <c r="LB247" s="261"/>
      <c r="LC247" s="261"/>
      <c r="LD247" s="261"/>
      <c r="LE247" s="13"/>
      <c r="LF247" s="12"/>
      <c r="LG247" s="13"/>
      <c r="LH247" s="261"/>
      <c r="LI247" s="261"/>
      <c r="LJ247" s="261"/>
      <c r="LK247" s="261"/>
      <c r="LL247" s="261"/>
      <c r="LM247" s="261"/>
      <c r="LN247" s="261"/>
      <c r="LO247" s="261"/>
      <c r="LP247" s="261"/>
      <c r="LQ247" s="261"/>
      <c r="LR247" s="261"/>
      <c r="LS247" s="261"/>
      <c r="LT247" s="261"/>
      <c r="LU247" s="261"/>
      <c r="LV247" s="261"/>
      <c r="LW247" s="261"/>
      <c r="LX247" s="261"/>
      <c r="LY247" s="261"/>
      <c r="LZ247" s="261"/>
      <c r="MA247" s="261"/>
      <c r="MB247" s="261"/>
      <c r="MC247" s="261"/>
      <c r="MD247" s="261"/>
      <c r="ME247" s="261"/>
      <c r="MF247" s="261"/>
      <c r="MG247" s="261"/>
      <c r="MH247" s="261"/>
      <c r="MI247" s="261"/>
      <c r="MJ247" s="261"/>
      <c r="MK247" s="261"/>
      <c r="ML247" s="261"/>
      <c r="MM247" s="261"/>
      <c r="MN247" s="261"/>
      <c r="MO247" s="261"/>
      <c r="MP247" s="261"/>
      <c r="MQ247" s="261"/>
      <c r="MR247" s="261"/>
      <c r="MS247" s="261"/>
      <c r="MT247" s="261"/>
      <c r="MU247" s="261"/>
      <c r="MV247" s="261"/>
      <c r="MW247" s="261"/>
      <c r="MX247" s="261"/>
      <c r="MY247" s="261"/>
      <c r="MZ247" s="261"/>
      <c r="NA247" s="261"/>
      <c r="NB247" s="261"/>
      <c r="NC247" s="261"/>
      <c r="ND247" s="261"/>
      <c r="NE247" s="261"/>
      <c r="NF247" s="261"/>
      <c r="NG247" s="261"/>
      <c r="NH247" s="261"/>
      <c r="NI247" s="261"/>
      <c r="NJ247" s="261"/>
      <c r="NK247" s="13"/>
      <c r="NL247" s="261"/>
      <c r="NM247" s="261"/>
      <c r="NN247" s="13"/>
      <c r="OO247" s="263"/>
      <c r="OP247" s="263"/>
      <c r="OQ247" s="261"/>
      <c r="OR247" s="12"/>
      <c r="OS247" s="263"/>
      <c r="OT247" s="261"/>
      <c r="OU247" s="12"/>
      <c r="OV247" s="261"/>
      <c r="OW247" s="261"/>
      <c r="OX247" s="261"/>
      <c r="OY247" s="261"/>
      <c r="OZ247" s="261"/>
      <c r="PA247" s="261"/>
      <c r="PB247" s="261"/>
      <c r="PC247" s="261"/>
      <c r="PD247" s="261"/>
      <c r="PE247" s="261"/>
      <c r="PF247" s="261"/>
      <c r="PG247" s="261"/>
      <c r="PH247" s="261"/>
      <c r="PI247" s="261"/>
      <c r="PJ247" s="261"/>
      <c r="PK247" s="261"/>
      <c r="PL247" s="261"/>
      <c r="PM247" s="261"/>
      <c r="PN247" s="261"/>
      <c r="PO247" s="261"/>
      <c r="PP247" s="261"/>
      <c r="PQ247" s="261"/>
      <c r="PR247" s="261"/>
      <c r="PS247" s="261"/>
      <c r="PT247" s="261"/>
      <c r="PU247" s="261"/>
      <c r="PV247" s="261"/>
      <c r="PW247" s="261"/>
      <c r="PX247" s="261"/>
      <c r="PY247" s="261"/>
      <c r="PZ247" s="261"/>
      <c r="QA247" s="261"/>
      <c r="QB247" s="261"/>
      <c r="QC247" s="261"/>
      <c r="QD247" s="261"/>
      <c r="QE247" s="261"/>
      <c r="QF247" s="261"/>
      <c r="QG247" s="261"/>
      <c r="QH247" s="261"/>
      <c r="QI247" s="261"/>
      <c r="QJ247" s="261"/>
      <c r="QK247" s="261"/>
      <c r="QL247" s="261"/>
      <c r="QM247" s="261"/>
      <c r="QN247" s="261"/>
      <c r="QO247" s="261"/>
      <c r="QP247" s="261"/>
      <c r="QQ247" s="261"/>
      <c r="QR247" s="261"/>
      <c r="QS247" s="261"/>
      <c r="QT247" s="261"/>
      <c r="QU247" s="261"/>
      <c r="QV247" s="261"/>
      <c r="QW247" s="261"/>
      <c r="QX247" s="13"/>
      <c r="QY247" s="12"/>
      <c r="QZ247" s="13"/>
      <c r="RA247" s="261"/>
      <c r="RB247" s="261"/>
      <c r="RC247" s="261"/>
      <c r="RD247" s="261"/>
      <c r="RE247" s="261"/>
      <c r="RF247" s="261"/>
      <c r="RG247" s="261"/>
      <c r="RH247" s="261"/>
      <c r="RI247" s="261"/>
      <c r="RJ247" s="261"/>
      <c r="RK247" s="261"/>
      <c r="RL247" s="261"/>
      <c r="RM247" s="261"/>
      <c r="RN247" s="261"/>
      <c r="RO247" s="261"/>
      <c r="RP247" s="261"/>
      <c r="RQ247" s="261"/>
      <c r="RR247" s="261"/>
      <c r="RS247" s="261"/>
      <c r="RT247" s="261"/>
      <c r="RU247" s="261"/>
      <c r="RV247" s="261"/>
      <c r="RW247" s="261"/>
      <c r="RX247" s="261"/>
      <c r="RY247" s="261"/>
      <c r="RZ247" s="261"/>
      <c r="SA247" s="261"/>
      <c r="SB247" s="261"/>
      <c r="SC247" s="261"/>
      <c r="SD247" s="261"/>
      <c r="SE247" s="261"/>
      <c r="SF247" s="261"/>
      <c r="SG247" s="261"/>
      <c r="SH247" s="261"/>
      <c r="SI247" s="261"/>
      <c r="SJ247" s="261"/>
      <c r="SK247" s="261"/>
      <c r="SL247" s="261"/>
      <c r="SM247" s="261"/>
      <c r="SN247" s="261"/>
      <c r="SO247" s="261"/>
      <c r="SP247" s="261"/>
      <c r="SQ247" s="261"/>
      <c r="SR247" s="261"/>
      <c r="SS247" s="261"/>
      <c r="ST247" s="261"/>
      <c r="SU247" s="261"/>
      <c r="SV247" s="261"/>
      <c r="SW247" s="261"/>
      <c r="SX247" s="261"/>
      <c r="SY247" s="261"/>
      <c r="SZ247" s="261"/>
      <c r="TA247" s="261"/>
      <c r="TB247" s="261"/>
      <c r="TC247" s="261"/>
      <c r="TD247" s="13"/>
      <c r="TE247" s="261"/>
      <c r="TF247" s="261"/>
      <c r="TG247" s="13"/>
    </row>
    <row r="248" spans="65:527" ht="10.75" customHeight="1" x14ac:dyDescent="0.2">
      <c r="BS248" s="12"/>
      <c r="BU248" s="13"/>
      <c r="DE248" s="14"/>
      <c r="DF248" s="15"/>
      <c r="DG248" s="15"/>
      <c r="DH248" s="15"/>
      <c r="DI248" s="16"/>
      <c r="DL248" s="18"/>
      <c r="DQ248" s="18"/>
      <c r="DS248" s="13"/>
      <c r="DV248" s="18"/>
      <c r="EA248" s="18"/>
      <c r="GN248" s="12"/>
      <c r="GP248" s="13"/>
      <c r="IV248" s="263"/>
      <c r="IW248" s="263"/>
      <c r="IX248" s="261"/>
      <c r="IY248" s="12"/>
      <c r="IZ248" s="263"/>
      <c r="JA248" s="261"/>
      <c r="JB248" s="12"/>
      <c r="JC248" s="261"/>
      <c r="JD248" s="261"/>
      <c r="JE248" s="261"/>
      <c r="JF248" s="261"/>
      <c r="JG248" s="261"/>
      <c r="JH248" s="261"/>
      <c r="JI248" s="261"/>
      <c r="JJ248" s="261"/>
      <c r="JK248" s="261"/>
      <c r="JL248" s="261"/>
      <c r="JM248" s="261"/>
      <c r="JN248" s="261"/>
      <c r="JO248" s="261"/>
      <c r="JP248" s="261"/>
      <c r="JQ248" s="261"/>
      <c r="JR248" s="261"/>
      <c r="JS248" s="261"/>
      <c r="JT248" s="261"/>
      <c r="JU248" s="261"/>
      <c r="JV248" s="261"/>
      <c r="JW248" s="261"/>
      <c r="JX248" s="261"/>
      <c r="JY248" s="261"/>
      <c r="JZ248" s="261"/>
      <c r="KA248" s="261"/>
      <c r="KB248" s="261"/>
      <c r="KC248" s="261"/>
      <c r="KD248" s="261"/>
      <c r="KE248" s="261"/>
      <c r="KF248" s="261"/>
      <c r="KG248" s="261"/>
      <c r="KH248" s="261"/>
      <c r="KI248" s="261"/>
      <c r="KJ248" s="261"/>
      <c r="KK248" s="261"/>
      <c r="KL248" s="261"/>
      <c r="KM248" s="261"/>
      <c r="KN248" s="261"/>
      <c r="KO248" s="261"/>
      <c r="KP248" s="261"/>
      <c r="KQ248" s="261"/>
      <c r="KR248" s="261"/>
      <c r="KS248" s="261"/>
      <c r="KT248" s="261"/>
      <c r="KU248" s="261"/>
      <c r="KV248" s="261"/>
      <c r="KW248" s="261"/>
      <c r="KX248" s="261"/>
      <c r="KY248" s="261"/>
      <c r="KZ248" s="261"/>
      <c r="LA248" s="261"/>
      <c r="LB248" s="261"/>
      <c r="LC248" s="261"/>
      <c r="LD248" s="261"/>
      <c r="LE248" s="13"/>
      <c r="LF248" s="12"/>
      <c r="LG248" s="13"/>
      <c r="LH248" s="261"/>
      <c r="LI248" s="261"/>
      <c r="LJ248" s="261"/>
      <c r="LK248" s="261"/>
      <c r="LL248" s="261"/>
      <c r="LM248" s="261"/>
      <c r="LN248" s="261"/>
      <c r="LO248" s="261"/>
      <c r="LP248" s="261"/>
      <c r="LQ248" s="261"/>
      <c r="LR248" s="261"/>
      <c r="LS248" s="261"/>
      <c r="LT248" s="261"/>
      <c r="LU248" s="261"/>
      <c r="LV248" s="261"/>
      <c r="LW248" s="261"/>
      <c r="LX248" s="261"/>
      <c r="LY248" s="261"/>
      <c r="LZ248" s="261"/>
      <c r="MA248" s="261"/>
      <c r="MB248" s="261"/>
      <c r="MC248" s="261"/>
      <c r="MD248" s="261"/>
      <c r="ME248" s="261"/>
      <c r="MF248" s="261"/>
      <c r="MG248" s="261"/>
      <c r="MH248" s="261"/>
      <c r="MI248" s="261"/>
      <c r="MJ248" s="261"/>
      <c r="MK248" s="261"/>
      <c r="ML248" s="261"/>
      <c r="MM248" s="261"/>
      <c r="MN248" s="261"/>
      <c r="MO248" s="261"/>
      <c r="MP248" s="261"/>
      <c r="MQ248" s="261"/>
      <c r="MR248" s="261"/>
      <c r="MS248" s="261"/>
      <c r="MT248" s="261"/>
      <c r="MU248" s="261"/>
      <c r="MV248" s="261"/>
      <c r="MW248" s="261"/>
      <c r="MX248" s="261"/>
      <c r="MY248" s="261"/>
      <c r="MZ248" s="261"/>
      <c r="NA248" s="261"/>
      <c r="NB248" s="261"/>
      <c r="NC248" s="261"/>
      <c r="ND248" s="261"/>
      <c r="NE248" s="261"/>
      <c r="NF248" s="261"/>
      <c r="NG248" s="261"/>
      <c r="NH248" s="261"/>
      <c r="NI248" s="261"/>
      <c r="NJ248" s="261"/>
      <c r="NK248" s="13"/>
      <c r="NL248" s="261"/>
      <c r="NM248" s="261"/>
      <c r="NN248" s="13"/>
      <c r="OO248" s="263"/>
      <c r="OP248" s="263"/>
      <c r="OQ248" s="261"/>
      <c r="OR248" s="12"/>
      <c r="OS248" s="263"/>
      <c r="OT248" s="261"/>
      <c r="OU248" s="12"/>
      <c r="OV248" s="261"/>
      <c r="OW248" s="261"/>
      <c r="OX248" s="261"/>
      <c r="OY248" s="261"/>
      <c r="OZ248" s="261"/>
      <c r="PA248" s="261"/>
      <c r="PB248" s="261"/>
      <c r="PC248" s="261"/>
      <c r="PD248" s="261"/>
      <c r="PE248" s="261"/>
      <c r="PF248" s="261"/>
      <c r="PG248" s="261"/>
      <c r="PH248" s="261"/>
      <c r="PI248" s="261"/>
      <c r="PJ248" s="261"/>
      <c r="PK248" s="261"/>
      <c r="PL248" s="261"/>
      <c r="PM248" s="261"/>
      <c r="PN248" s="261"/>
      <c r="PO248" s="261"/>
      <c r="PP248" s="261"/>
      <c r="PQ248" s="261"/>
      <c r="PR248" s="261"/>
      <c r="PS248" s="261"/>
      <c r="PT248" s="261"/>
      <c r="PU248" s="261"/>
      <c r="PV248" s="261"/>
      <c r="PW248" s="261"/>
      <c r="PX248" s="261"/>
      <c r="PY248" s="261"/>
      <c r="PZ248" s="261"/>
      <c r="QA248" s="261"/>
      <c r="QB248" s="261"/>
      <c r="QC248" s="261"/>
      <c r="QD248" s="261"/>
      <c r="QE248" s="261"/>
      <c r="QF248" s="261"/>
      <c r="QG248" s="261"/>
      <c r="QH248" s="261"/>
      <c r="QI248" s="261"/>
      <c r="QJ248" s="261"/>
      <c r="QK248" s="261"/>
      <c r="QL248" s="261"/>
      <c r="QM248" s="261"/>
      <c r="QN248" s="261"/>
      <c r="QO248" s="261"/>
      <c r="QP248" s="261"/>
      <c r="QQ248" s="261"/>
      <c r="QR248" s="261"/>
      <c r="QS248" s="261"/>
      <c r="QT248" s="261"/>
      <c r="QU248" s="261"/>
      <c r="QV248" s="261"/>
      <c r="QW248" s="261"/>
      <c r="QX248" s="13"/>
      <c r="QY248" s="12"/>
      <c r="QZ248" s="13"/>
      <c r="RA248" s="261"/>
      <c r="RB248" s="261"/>
      <c r="RC248" s="261"/>
      <c r="RD248" s="261"/>
      <c r="RE248" s="261"/>
      <c r="RF248" s="261"/>
      <c r="RG248" s="261"/>
      <c r="RH248" s="261"/>
      <c r="RI248" s="261"/>
      <c r="RJ248" s="261"/>
      <c r="RK248" s="261"/>
      <c r="RL248" s="261"/>
      <c r="RM248" s="261"/>
      <c r="RN248" s="261"/>
      <c r="RO248" s="261"/>
      <c r="RP248" s="261"/>
      <c r="RQ248" s="261"/>
      <c r="RR248" s="261"/>
      <c r="RS248" s="261"/>
      <c r="RT248" s="261"/>
      <c r="RU248" s="261"/>
      <c r="RV248" s="261"/>
      <c r="RW248" s="261"/>
      <c r="RX248" s="261"/>
      <c r="RY248" s="261"/>
      <c r="RZ248" s="261"/>
      <c r="SA248" s="261"/>
      <c r="SB248" s="261"/>
      <c r="SC248" s="261"/>
      <c r="SD248" s="261"/>
      <c r="SE248" s="261"/>
      <c r="SF248" s="261"/>
      <c r="SG248" s="261"/>
      <c r="SH248" s="261"/>
      <c r="SI248" s="261"/>
      <c r="SJ248" s="261"/>
      <c r="SK248" s="261"/>
      <c r="SL248" s="261"/>
      <c r="SM248" s="261"/>
      <c r="SN248" s="261"/>
      <c r="SO248" s="261"/>
      <c r="SP248" s="261"/>
      <c r="SQ248" s="261"/>
      <c r="SR248" s="261"/>
      <c r="SS248" s="261"/>
      <c r="ST248" s="261"/>
      <c r="SU248" s="261"/>
      <c r="SV248" s="261"/>
      <c r="SW248" s="261"/>
      <c r="SX248" s="261"/>
      <c r="SY248" s="261"/>
      <c r="SZ248" s="261"/>
      <c r="TA248" s="261"/>
      <c r="TB248" s="261"/>
      <c r="TC248" s="261"/>
      <c r="TD248" s="13"/>
      <c r="TE248" s="261"/>
      <c r="TF248" s="261"/>
      <c r="TG248" s="13"/>
    </row>
    <row r="249" spans="65:527" ht="10.75" customHeight="1" x14ac:dyDescent="0.2">
      <c r="BS249" s="12"/>
      <c r="BU249" s="13"/>
      <c r="DL249" s="19"/>
      <c r="DQ249" s="18"/>
      <c r="DS249" s="13"/>
      <c r="DV249" s="18"/>
      <c r="EA249" s="18"/>
      <c r="GN249" s="12"/>
      <c r="GP249" s="13"/>
      <c r="IV249" s="263"/>
      <c r="IW249" s="263"/>
      <c r="IX249" s="261"/>
      <c r="IY249" s="12"/>
      <c r="IZ249" s="263"/>
      <c r="JA249" s="261"/>
      <c r="JB249" s="12"/>
      <c r="JC249" s="261"/>
      <c r="JD249" s="261"/>
      <c r="JE249" s="261"/>
      <c r="JF249" s="261"/>
      <c r="JG249" s="261"/>
      <c r="JH249" s="261"/>
      <c r="JI249" s="261"/>
      <c r="JJ249" s="261"/>
      <c r="JK249" s="261"/>
      <c r="JL249" s="261"/>
      <c r="JM249" s="261"/>
      <c r="JN249" s="261"/>
      <c r="JO249" s="261"/>
      <c r="JP249" s="261"/>
      <c r="JQ249" s="261"/>
      <c r="JR249" s="261"/>
      <c r="JS249" s="261"/>
      <c r="JT249" s="261"/>
      <c r="JU249" s="261"/>
      <c r="JV249" s="261"/>
      <c r="JW249" s="261"/>
      <c r="JX249" s="261"/>
      <c r="JY249" s="261"/>
      <c r="JZ249" s="261"/>
      <c r="KA249" s="261"/>
      <c r="KB249" s="261"/>
      <c r="KC249" s="261"/>
      <c r="KD249" s="261"/>
      <c r="KE249" s="261"/>
      <c r="KF249" s="261"/>
      <c r="KG249" s="261"/>
      <c r="KH249" s="261"/>
      <c r="KI249" s="261"/>
      <c r="KJ249" s="261"/>
      <c r="KK249" s="261"/>
      <c r="KL249" s="261"/>
      <c r="KM249" s="261"/>
      <c r="KN249" s="261"/>
      <c r="KO249" s="261"/>
      <c r="KP249" s="261"/>
      <c r="KQ249" s="261"/>
      <c r="KR249" s="261"/>
      <c r="KS249" s="261"/>
      <c r="KT249" s="261"/>
      <c r="KU249" s="261"/>
      <c r="KV249" s="261"/>
      <c r="KW249" s="261"/>
      <c r="KX249" s="261"/>
      <c r="KY249" s="261"/>
      <c r="KZ249" s="261"/>
      <c r="LA249" s="261"/>
      <c r="LB249" s="261"/>
      <c r="LC249" s="261"/>
      <c r="LD249" s="261"/>
      <c r="LE249" s="13"/>
      <c r="LF249" s="12"/>
      <c r="LG249" s="13"/>
      <c r="LH249" s="261"/>
      <c r="LI249" s="261"/>
      <c r="LJ249" s="261"/>
      <c r="LK249" s="261"/>
      <c r="LL249" s="261"/>
      <c r="LM249" s="261"/>
      <c r="LN249" s="261"/>
      <c r="LO249" s="261"/>
      <c r="LP249" s="261"/>
      <c r="LQ249" s="261"/>
      <c r="LR249" s="261"/>
      <c r="LS249" s="261"/>
      <c r="LT249" s="261"/>
      <c r="LU249" s="261"/>
      <c r="LV249" s="261"/>
      <c r="LW249" s="261"/>
      <c r="LX249" s="261"/>
      <c r="LY249" s="261"/>
      <c r="LZ249" s="261"/>
      <c r="MA249" s="261"/>
      <c r="MB249" s="261"/>
      <c r="MC249" s="261"/>
      <c r="MD249" s="261"/>
      <c r="ME249" s="261"/>
      <c r="MF249" s="261"/>
      <c r="MG249" s="261"/>
      <c r="MH249" s="261"/>
      <c r="MI249" s="261"/>
      <c r="MJ249" s="261"/>
      <c r="MK249" s="261"/>
      <c r="ML249" s="261"/>
      <c r="MM249" s="261"/>
      <c r="MN249" s="261"/>
      <c r="MO249" s="261"/>
      <c r="MP249" s="261"/>
      <c r="MQ249" s="261"/>
      <c r="MR249" s="261"/>
      <c r="MS249" s="261"/>
      <c r="MT249" s="261"/>
      <c r="MU249" s="261"/>
      <c r="MV249" s="261"/>
      <c r="MW249" s="261"/>
      <c r="MX249" s="261"/>
      <c r="MY249" s="261"/>
      <c r="MZ249" s="261"/>
      <c r="NA249" s="261"/>
      <c r="NB249" s="261"/>
      <c r="NC249" s="261"/>
      <c r="ND249" s="261"/>
      <c r="NE249" s="261"/>
      <c r="NF249" s="261"/>
      <c r="NG249" s="261"/>
      <c r="NH249" s="261"/>
      <c r="NI249" s="261"/>
      <c r="NJ249" s="261"/>
      <c r="NK249" s="13"/>
      <c r="NL249" s="261"/>
      <c r="NM249" s="261"/>
      <c r="NN249" s="13"/>
      <c r="OO249" s="263"/>
      <c r="OP249" s="263"/>
      <c r="OQ249" s="261"/>
      <c r="OR249" s="12"/>
      <c r="OS249" s="263"/>
      <c r="OT249" s="261"/>
      <c r="OU249" s="12"/>
      <c r="OV249" s="261"/>
      <c r="OW249" s="261"/>
      <c r="OX249" s="261"/>
      <c r="OY249" s="261"/>
      <c r="OZ249" s="261"/>
      <c r="PA249" s="261"/>
      <c r="PB249" s="261"/>
      <c r="PC249" s="261"/>
      <c r="PD249" s="261"/>
      <c r="PE249" s="261"/>
      <c r="PF249" s="261"/>
      <c r="PG249" s="261"/>
      <c r="PH249" s="261"/>
      <c r="PI249" s="261"/>
      <c r="PJ249" s="261"/>
      <c r="PK249" s="261"/>
      <c r="PL249" s="261"/>
      <c r="PM249" s="261"/>
      <c r="PN249" s="261"/>
      <c r="PO249" s="261"/>
      <c r="PP249" s="261"/>
      <c r="PQ249" s="261"/>
      <c r="PR249" s="261"/>
      <c r="PS249" s="261"/>
      <c r="PT249" s="261"/>
      <c r="PU249" s="261"/>
      <c r="PV249" s="261"/>
      <c r="PW249" s="261"/>
      <c r="PX249" s="261"/>
      <c r="PY249" s="261"/>
      <c r="PZ249" s="261"/>
      <c r="QA249" s="261"/>
      <c r="QB249" s="261"/>
      <c r="QC249" s="261"/>
      <c r="QD249" s="261"/>
      <c r="QE249" s="261"/>
      <c r="QF249" s="261"/>
      <c r="QG249" s="261"/>
      <c r="QH249" s="261"/>
      <c r="QI249" s="261"/>
      <c r="QJ249" s="261"/>
      <c r="QK249" s="261"/>
      <c r="QL249" s="261"/>
      <c r="QM249" s="261"/>
      <c r="QN249" s="261"/>
      <c r="QO249" s="261"/>
      <c r="QP249" s="261"/>
      <c r="QQ249" s="261"/>
      <c r="QR249" s="261"/>
      <c r="QS249" s="261"/>
      <c r="QT249" s="261"/>
      <c r="QU249" s="261"/>
      <c r="QV249" s="261"/>
      <c r="QW249" s="261"/>
      <c r="QX249" s="13"/>
      <c r="QY249" s="12"/>
      <c r="QZ249" s="13"/>
      <c r="RA249" s="261"/>
      <c r="RB249" s="261"/>
      <c r="RC249" s="261"/>
      <c r="RD249" s="261"/>
      <c r="RE249" s="261"/>
      <c r="RF249" s="261"/>
      <c r="RG249" s="261"/>
      <c r="RH249" s="261"/>
      <c r="RI249" s="261"/>
      <c r="RJ249" s="261"/>
      <c r="RK249" s="261"/>
      <c r="RL249" s="261"/>
      <c r="RM249" s="261"/>
      <c r="RN249" s="261"/>
      <c r="RO249" s="261"/>
      <c r="RP249" s="261"/>
      <c r="RQ249" s="261"/>
      <c r="RR249" s="261"/>
      <c r="RS249" s="261"/>
      <c r="RT249" s="261"/>
      <c r="RU249" s="261"/>
      <c r="RV249" s="261"/>
      <c r="RW249" s="261"/>
      <c r="RX249" s="261"/>
      <c r="RY249" s="261"/>
      <c r="RZ249" s="261"/>
      <c r="SA249" s="261"/>
      <c r="SB249" s="261"/>
      <c r="SC249" s="261"/>
      <c r="SD249" s="261"/>
      <c r="SE249" s="261"/>
      <c r="SF249" s="261"/>
      <c r="SG249" s="261"/>
      <c r="SH249" s="261"/>
      <c r="SI249" s="261"/>
      <c r="SJ249" s="261"/>
      <c r="SK249" s="261"/>
      <c r="SL249" s="261"/>
      <c r="SM249" s="261"/>
      <c r="SN249" s="261"/>
      <c r="SO249" s="261"/>
      <c r="SP249" s="261"/>
      <c r="SQ249" s="261"/>
      <c r="SR249" s="261"/>
      <c r="SS249" s="261"/>
      <c r="ST249" s="261"/>
      <c r="SU249" s="261"/>
      <c r="SV249" s="261"/>
      <c r="SW249" s="261"/>
      <c r="SX249" s="261"/>
      <c r="SY249" s="261"/>
      <c r="SZ249" s="261"/>
      <c r="TA249" s="261"/>
      <c r="TB249" s="261"/>
      <c r="TC249" s="261"/>
      <c r="TD249" s="13"/>
      <c r="TE249" s="261"/>
      <c r="TF249" s="261"/>
      <c r="TG249" s="13"/>
    </row>
    <row r="250" spans="65:527" ht="10.75" customHeight="1" x14ac:dyDescent="0.2">
      <c r="BS250" s="12"/>
      <c r="BU250" s="13"/>
      <c r="DJ250" s="9"/>
      <c r="DK250" s="10"/>
      <c r="DL250" s="10"/>
      <c r="DM250" s="10"/>
      <c r="DN250" s="11"/>
      <c r="DQ250" s="18"/>
      <c r="DS250" s="13"/>
      <c r="DV250" s="18"/>
      <c r="EA250" s="18"/>
      <c r="EF250" s="17"/>
      <c r="GN250" s="12"/>
      <c r="GP250" s="13"/>
      <c r="IV250" s="263"/>
      <c r="IW250" s="263"/>
      <c r="IX250" s="261"/>
      <c r="IY250" s="12"/>
      <c r="IZ250" s="263"/>
      <c r="JA250" s="261"/>
      <c r="JB250" s="12"/>
      <c r="JC250" s="261"/>
      <c r="JD250" s="261"/>
      <c r="JE250" s="261"/>
      <c r="JF250" s="261"/>
      <c r="JG250" s="261"/>
      <c r="JH250" s="261"/>
      <c r="JI250" s="261"/>
      <c r="JJ250" s="261"/>
      <c r="JK250" s="261"/>
      <c r="JL250" s="261"/>
      <c r="JM250" s="261"/>
      <c r="JN250" s="261"/>
      <c r="JO250" s="261"/>
      <c r="JP250" s="261"/>
      <c r="JQ250" s="261"/>
      <c r="JR250" s="261"/>
      <c r="JS250" s="261"/>
      <c r="JT250" s="261"/>
      <c r="JU250" s="261"/>
      <c r="JV250" s="261"/>
      <c r="JW250" s="261"/>
      <c r="JX250" s="261"/>
      <c r="JY250" s="261"/>
      <c r="JZ250" s="261"/>
      <c r="KA250" s="261"/>
      <c r="KB250" s="261"/>
      <c r="KC250" s="261"/>
      <c r="KD250" s="261"/>
      <c r="KE250" s="261"/>
      <c r="KF250" s="261"/>
      <c r="KG250" s="261"/>
      <c r="KH250" s="261"/>
      <c r="KI250" s="261"/>
      <c r="KJ250" s="261"/>
      <c r="KK250" s="261"/>
      <c r="KL250" s="261"/>
      <c r="KM250" s="261"/>
      <c r="KN250" s="261"/>
      <c r="KO250" s="261"/>
      <c r="KP250" s="261"/>
      <c r="KQ250" s="261"/>
      <c r="KR250" s="261"/>
      <c r="KS250" s="261"/>
      <c r="KT250" s="261"/>
      <c r="KU250" s="261"/>
      <c r="KV250" s="261"/>
      <c r="KW250" s="261"/>
      <c r="KX250" s="261"/>
      <c r="KY250" s="261"/>
      <c r="KZ250" s="261"/>
      <c r="LA250" s="261"/>
      <c r="LB250" s="261"/>
      <c r="LC250" s="261"/>
      <c r="LD250" s="261"/>
      <c r="LE250" s="13"/>
      <c r="LF250" s="12"/>
      <c r="LG250" s="13"/>
      <c r="LH250" s="261"/>
      <c r="LI250" s="261"/>
      <c r="LJ250" s="261"/>
      <c r="LK250" s="261"/>
      <c r="LL250" s="261"/>
      <c r="LM250" s="261"/>
      <c r="LN250" s="261"/>
      <c r="LO250" s="261"/>
      <c r="LP250" s="261"/>
      <c r="LQ250" s="261"/>
      <c r="LR250" s="261"/>
      <c r="LS250" s="261"/>
      <c r="LT250" s="261"/>
      <c r="LU250" s="261"/>
      <c r="LV250" s="261"/>
      <c r="LW250" s="261"/>
      <c r="LX250" s="261"/>
      <c r="LY250" s="261"/>
      <c r="LZ250" s="261"/>
      <c r="MA250" s="261"/>
      <c r="MB250" s="261"/>
      <c r="MC250" s="261"/>
      <c r="MD250" s="261"/>
      <c r="ME250" s="261"/>
      <c r="MF250" s="261"/>
      <c r="MG250" s="261"/>
      <c r="MH250" s="261"/>
      <c r="MI250" s="261"/>
      <c r="MJ250" s="261"/>
      <c r="MK250" s="261"/>
      <c r="ML250" s="261"/>
      <c r="MM250" s="261"/>
      <c r="MN250" s="261"/>
      <c r="MO250" s="261"/>
      <c r="MP250" s="261"/>
      <c r="MQ250" s="261"/>
      <c r="MR250" s="261"/>
      <c r="MS250" s="261"/>
      <c r="MT250" s="261"/>
      <c r="MU250" s="261"/>
      <c r="MV250" s="261"/>
      <c r="MW250" s="261"/>
      <c r="MX250" s="261"/>
      <c r="MY250" s="261"/>
      <c r="MZ250" s="261"/>
      <c r="NA250" s="261"/>
      <c r="NB250" s="261"/>
      <c r="NC250" s="261"/>
      <c r="ND250" s="261"/>
      <c r="NE250" s="261"/>
      <c r="NF250" s="261"/>
      <c r="NG250" s="261"/>
      <c r="NH250" s="261"/>
      <c r="NI250" s="261"/>
      <c r="NJ250" s="261"/>
      <c r="NK250" s="13"/>
      <c r="NL250" s="261"/>
      <c r="NM250" s="261"/>
      <c r="NN250" s="13"/>
      <c r="OO250" s="263"/>
      <c r="OP250" s="263"/>
      <c r="OQ250" s="261"/>
      <c r="OR250" s="12"/>
      <c r="OS250" s="263"/>
      <c r="OT250" s="261"/>
      <c r="OU250" s="12"/>
      <c r="OV250" s="261"/>
      <c r="OW250" s="261"/>
      <c r="OX250" s="261"/>
      <c r="OY250" s="261"/>
      <c r="OZ250" s="261"/>
      <c r="PA250" s="261"/>
      <c r="PB250" s="261"/>
      <c r="PC250" s="261"/>
      <c r="PD250" s="261"/>
      <c r="PE250" s="261"/>
      <c r="PF250" s="261"/>
      <c r="PG250" s="261"/>
      <c r="PH250" s="261"/>
      <c r="PI250" s="261"/>
      <c r="PJ250" s="261"/>
      <c r="PK250" s="261"/>
      <c r="PL250" s="261"/>
      <c r="PM250" s="261"/>
      <c r="PN250" s="261"/>
      <c r="PO250" s="261"/>
      <c r="PP250" s="261"/>
      <c r="PQ250" s="261"/>
      <c r="PR250" s="261"/>
      <c r="PS250" s="261"/>
      <c r="PT250" s="261"/>
      <c r="PU250" s="261"/>
      <c r="PV250" s="261"/>
      <c r="PW250" s="261"/>
      <c r="PX250" s="261"/>
      <c r="PY250" s="261"/>
      <c r="PZ250" s="261"/>
      <c r="QA250" s="261"/>
      <c r="QB250" s="261"/>
      <c r="QC250" s="261"/>
      <c r="QD250" s="261"/>
      <c r="QE250" s="261"/>
      <c r="QF250" s="261"/>
      <c r="QG250" s="261"/>
      <c r="QH250" s="261"/>
      <c r="QI250" s="261"/>
      <c r="QJ250" s="261"/>
      <c r="QK250" s="261"/>
      <c r="QL250" s="261"/>
      <c r="QM250" s="261"/>
      <c r="QN250" s="261"/>
      <c r="QO250" s="261"/>
      <c r="QP250" s="261"/>
      <c r="QQ250" s="261"/>
      <c r="QR250" s="261"/>
      <c r="QS250" s="261"/>
      <c r="QT250" s="261"/>
      <c r="QU250" s="261"/>
      <c r="QV250" s="261"/>
      <c r="QW250" s="261"/>
      <c r="QX250" s="13"/>
      <c r="QY250" s="12"/>
      <c r="QZ250" s="13"/>
      <c r="RA250" s="261"/>
      <c r="RB250" s="261"/>
      <c r="RC250" s="261"/>
      <c r="RD250" s="261"/>
      <c r="RE250" s="261"/>
      <c r="RF250" s="261"/>
      <c r="RG250" s="261"/>
      <c r="RH250" s="261"/>
      <c r="RI250" s="261"/>
      <c r="RJ250" s="261"/>
      <c r="RK250" s="261"/>
      <c r="RL250" s="261"/>
      <c r="RM250" s="261"/>
      <c r="RN250" s="261"/>
      <c r="RO250" s="261"/>
      <c r="RP250" s="261"/>
      <c r="RQ250" s="261"/>
      <c r="RR250" s="261"/>
      <c r="RS250" s="261"/>
      <c r="RT250" s="261"/>
      <c r="RU250" s="261"/>
      <c r="RV250" s="261"/>
      <c r="RW250" s="261"/>
      <c r="RX250" s="261"/>
      <c r="RY250" s="261"/>
      <c r="RZ250" s="261"/>
      <c r="SA250" s="261"/>
      <c r="SB250" s="261"/>
      <c r="SC250" s="261"/>
      <c r="SD250" s="261"/>
      <c r="SE250" s="261"/>
      <c r="SF250" s="261"/>
      <c r="SG250" s="261"/>
      <c r="SH250" s="261"/>
      <c r="SI250" s="261"/>
      <c r="SJ250" s="261"/>
      <c r="SK250" s="261"/>
      <c r="SL250" s="261"/>
      <c r="SM250" s="261"/>
      <c r="SN250" s="261"/>
      <c r="SO250" s="261"/>
      <c r="SP250" s="261"/>
      <c r="SQ250" s="261"/>
      <c r="SR250" s="261"/>
      <c r="SS250" s="261"/>
      <c r="ST250" s="261"/>
      <c r="SU250" s="261"/>
      <c r="SV250" s="261"/>
      <c r="SW250" s="261"/>
      <c r="SX250" s="261"/>
      <c r="SY250" s="261"/>
      <c r="SZ250" s="261"/>
      <c r="TA250" s="261"/>
      <c r="TB250" s="261"/>
      <c r="TC250" s="261"/>
      <c r="TD250" s="13"/>
      <c r="TE250" s="261"/>
      <c r="TF250" s="261"/>
      <c r="TG250" s="13"/>
    </row>
    <row r="251" spans="65:527" ht="10.75" customHeight="1" x14ac:dyDescent="0.2">
      <c r="BS251" s="12"/>
      <c r="BU251" s="13"/>
      <c r="DJ251" s="14"/>
      <c r="DK251" s="15"/>
      <c r="DL251" s="15"/>
      <c r="DM251" s="15"/>
      <c r="DN251" s="16"/>
      <c r="DQ251" s="18"/>
      <c r="DS251" s="13"/>
      <c r="DV251" s="18"/>
      <c r="EA251" s="18"/>
      <c r="EF251" s="18"/>
      <c r="GN251" s="12"/>
      <c r="GP251" s="13"/>
      <c r="IV251" s="263"/>
      <c r="IW251" s="263"/>
      <c r="IX251" s="261"/>
      <c r="IY251" s="12"/>
      <c r="IZ251" s="263"/>
      <c r="JA251" s="261"/>
      <c r="JB251" s="12"/>
      <c r="JC251" s="261"/>
      <c r="JD251" s="261"/>
      <c r="JE251" s="261"/>
      <c r="JF251" s="261"/>
      <c r="JG251" s="261"/>
      <c r="JH251" s="261"/>
      <c r="JI251" s="261"/>
      <c r="JJ251" s="261"/>
      <c r="JK251" s="261"/>
      <c r="JL251" s="261"/>
      <c r="JM251" s="261"/>
      <c r="JN251" s="261"/>
      <c r="JO251" s="261"/>
      <c r="JP251" s="261"/>
      <c r="JQ251" s="261"/>
      <c r="JR251" s="261"/>
      <c r="JS251" s="261"/>
      <c r="JT251" s="261"/>
      <c r="JU251" s="261"/>
      <c r="JV251" s="261"/>
      <c r="JW251" s="261"/>
      <c r="JX251" s="261"/>
      <c r="JY251" s="261"/>
      <c r="JZ251" s="261"/>
      <c r="KA251" s="261"/>
      <c r="KB251" s="261"/>
      <c r="KC251" s="261"/>
      <c r="KD251" s="261"/>
      <c r="KE251" s="261"/>
      <c r="KF251" s="261"/>
      <c r="KG251" s="261"/>
      <c r="KH251" s="261"/>
      <c r="KI251" s="261"/>
      <c r="KJ251" s="261"/>
      <c r="KK251" s="261"/>
      <c r="KL251" s="261"/>
      <c r="KM251" s="261"/>
      <c r="KN251" s="261"/>
      <c r="KO251" s="261"/>
      <c r="KP251" s="261"/>
      <c r="KQ251" s="261"/>
      <c r="KR251" s="261"/>
      <c r="KS251" s="261"/>
      <c r="KT251" s="261"/>
      <c r="KU251" s="261"/>
      <c r="KV251" s="261"/>
      <c r="KW251" s="261"/>
      <c r="KX251" s="261"/>
      <c r="KY251" s="261"/>
      <c r="KZ251" s="261"/>
      <c r="LA251" s="261"/>
      <c r="LB251" s="261"/>
      <c r="LC251" s="261"/>
      <c r="LD251" s="261"/>
      <c r="LE251" s="13"/>
      <c r="LF251" s="12"/>
      <c r="LG251" s="13"/>
      <c r="LH251" s="261"/>
      <c r="LI251" s="261"/>
      <c r="LJ251" s="261"/>
      <c r="LK251" s="261"/>
      <c r="LL251" s="261"/>
      <c r="LM251" s="261"/>
      <c r="LN251" s="261"/>
      <c r="LO251" s="261"/>
      <c r="LP251" s="261"/>
      <c r="LQ251" s="261"/>
      <c r="LR251" s="261"/>
      <c r="LS251" s="261"/>
      <c r="LT251" s="261"/>
      <c r="LU251" s="261"/>
      <c r="LV251" s="261"/>
      <c r="LW251" s="261"/>
      <c r="LX251" s="261"/>
      <c r="LY251" s="261"/>
      <c r="LZ251" s="261"/>
      <c r="MA251" s="261"/>
      <c r="MB251" s="261"/>
      <c r="MC251" s="261"/>
      <c r="MD251" s="261"/>
      <c r="ME251" s="261"/>
      <c r="MF251" s="261"/>
      <c r="MG251" s="261"/>
      <c r="MH251" s="261"/>
      <c r="MI251" s="261"/>
      <c r="MJ251" s="261"/>
      <c r="MK251" s="261"/>
      <c r="ML251" s="261"/>
      <c r="MM251" s="261"/>
      <c r="MN251" s="261"/>
      <c r="MO251" s="261"/>
      <c r="MP251" s="261"/>
      <c r="MQ251" s="261"/>
      <c r="MR251" s="261"/>
      <c r="MS251" s="261"/>
      <c r="MT251" s="261"/>
      <c r="MU251" s="261"/>
      <c r="MV251" s="261"/>
      <c r="MW251" s="261"/>
      <c r="MX251" s="261"/>
      <c r="MY251" s="261"/>
      <c r="MZ251" s="261"/>
      <c r="NA251" s="261"/>
      <c r="NB251" s="261"/>
      <c r="NC251" s="261"/>
      <c r="ND251" s="261"/>
      <c r="NE251" s="261"/>
      <c r="NF251" s="261"/>
      <c r="NG251" s="261"/>
      <c r="NH251" s="261"/>
      <c r="NI251" s="261"/>
      <c r="NJ251" s="261"/>
      <c r="NK251" s="13"/>
      <c r="NL251" s="261"/>
      <c r="NM251" s="261"/>
      <c r="NN251" s="13"/>
      <c r="OO251" s="263"/>
      <c r="OP251" s="263"/>
      <c r="OQ251" s="261"/>
      <c r="OR251" s="12"/>
      <c r="OS251" s="263"/>
      <c r="OT251" s="261"/>
      <c r="OU251" s="12"/>
      <c r="OV251" s="261"/>
      <c r="OW251" s="261"/>
      <c r="OX251" s="261"/>
      <c r="OY251" s="261"/>
      <c r="OZ251" s="261"/>
      <c r="PA251" s="261"/>
      <c r="PB251" s="261"/>
      <c r="PC251" s="261"/>
      <c r="PD251" s="261"/>
      <c r="PE251" s="261"/>
      <c r="PF251" s="261"/>
      <c r="PG251" s="261"/>
      <c r="PH251" s="261"/>
      <c r="PI251" s="261"/>
      <c r="PJ251" s="261"/>
      <c r="PK251" s="261"/>
      <c r="PL251" s="261"/>
      <c r="PM251" s="261"/>
      <c r="PN251" s="261"/>
      <c r="PO251" s="261"/>
      <c r="PP251" s="261"/>
      <c r="PQ251" s="261"/>
      <c r="PR251" s="261"/>
      <c r="PS251" s="261"/>
      <c r="PT251" s="261"/>
      <c r="PU251" s="261"/>
      <c r="PV251" s="261"/>
      <c r="PW251" s="261"/>
      <c r="PX251" s="261"/>
      <c r="PY251" s="261"/>
      <c r="PZ251" s="261"/>
      <c r="QA251" s="261"/>
      <c r="QB251" s="261"/>
      <c r="QC251" s="261"/>
      <c r="QD251" s="261"/>
      <c r="QE251" s="261"/>
      <c r="QF251" s="261"/>
      <c r="QG251" s="261"/>
      <c r="QH251" s="261"/>
      <c r="QI251" s="261"/>
      <c r="QJ251" s="261"/>
      <c r="QK251" s="261"/>
      <c r="QL251" s="261"/>
      <c r="QM251" s="261"/>
      <c r="QN251" s="261"/>
      <c r="QO251" s="261"/>
      <c r="QP251" s="261"/>
      <c r="QQ251" s="261"/>
      <c r="QR251" s="261"/>
      <c r="QS251" s="261"/>
      <c r="QT251" s="261"/>
      <c r="QU251" s="261"/>
      <c r="QV251" s="261"/>
      <c r="QW251" s="261"/>
      <c r="QX251" s="13"/>
      <c r="QY251" s="12"/>
      <c r="QZ251" s="13"/>
      <c r="RA251" s="261"/>
      <c r="RB251" s="261"/>
      <c r="RC251" s="261"/>
      <c r="RD251" s="261"/>
      <c r="RE251" s="261"/>
      <c r="RF251" s="261"/>
      <c r="RG251" s="261"/>
      <c r="RH251" s="261"/>
      <c r="RI251" s="261"/>
      <c r="RJ251" s="261"/>
      <c r="RK251" s="261"/>
      <c r="RL251" s="261"/>
      <c r="RM251" s="261"/>
      <c r="RN251" s="261"/>
      <c r="RO251" s="261"/>
      <c r="RP251" s="261"/>
      <c r="RQ251" s="261"/>
      <c r="RR251" s="261"/>
      <c r="RS251" s="261"/>
      <c r="RT251" s="261"/>
      <c r="RU251" s="261"/>
      <c r="RV251" s="261"/>
      <c r="RW251" s="261"/>
      <c r="RX251" s="261"/>
      <c r="RY251" s="261"/>
      <c r="RZ251" s="261"/>
      <c r="SA251" s="261"/>
      <c r="SB251" s="261"/>
      <c r="SC251" s="261"/>
      <c r="SD251" s="261"/>
      <c r="SE251" s="261"/>
      <c r="SF251" s="261"/>
      <c r="SG251" s="261"/>
      <c r="SH251" s="261"/>
      <c r="SI251" s="261"/>
      <c r="SJ251" s="261"/>
      <c r="SK251" s="261"/>
      <c r="SL251" s="261"/>
      <c r="SM251" s="261"/>
      <c r="SN251" s="261"/>
      <c r="SO251" s="261"/>
      <c r="SP251" s="261"/>
      <c r="SQ251" s="261"/>
      <c r="SR251" s="261"/>
      <c r="SS251" s="261"/>
      <c r="ST251" s="261"/>
      <c r="SU251" s="261"/>
      <c r="SV251" s="261"/>
      <c r="SW251" s="261"/>
      <c r="SX251" s="261"/>
      <c r="SY251" s="261"/>
      <c r="SZ251" s="261"/>
      <c r="TA251" s="261"/>
      <c r="TB251" s="261"/>
      <c r="TC251" s="261"/>
      <c r="TD251" s="13"/>
      <c r="TE251" s="261"/>
      <c r="TF251" s="261"/>
      <c r="TG251" s="13"/>
    </row>
    <row r="252" spans="65:527" ht="10.75" customHeight="1" x14ac:dyDescent="0.2">
      <c r="BS252" s="12"/>
      <c r="BU252" s="13"/>
      <c r="DQ252" s="19"/>
      <c r="DS252" s="13"/>
      <c r="DV252" s="18"/>
      <c r="EA252" s="18"/>
      <c r="EF252" s="18"/>
      <c r="GN252" s="12"/>
      <c r="GP252" s="13"/>
      <c r="IV252" s="263"/>
      <c r="IW252" s="263"/>
      <c r="IX252" s="261"/>
      <c r="IY252" s="12"/>
      <c r="IZ252" s="263"/>
      <c r="JA252" s="261"/>
      <c r="JB252" s="12"/>
      <c r="JC252" s="261"/>
      <c r="JD252" s="261"/>
      <c r="JE252" s="261"/>
      <c r="JF252" s="261"/>
      <c r="JG252" s="261"/>
      <c r="JH252" s="261"/>
      <c r="JI252" s="261"/>
      <c r="JJ252" s="261"/>
      <c r="JK252" s="261"/>
      <c r="JL252" s="261"/>
      <c r="JM252" s="261"/>
      <c r="JN252" s="261"/>
      <c r="JO252" s="261"/>
      <c r="JP252" s="261"/>
      <c r="JQ252" s="261"/>
      <c r="JR252" s="261"/>
      <c r="JS252" s="261"/>
      <c r="JT252" s="261"/>
      <c r="JU252" s="261"/>
      <c r="JV252" s="261"/>
      <c r="JW252" s="261"/>
      <c r="JX252" s="261"/>
      <c r="JY252" s="261"/>
      <c r="JZ252" s="261"/>
      <c r="KA252" s="261"/>
      <c r="KB252" s="261"/>
      <c r="KC252" s="261"/>
      <c r="KD252" s="261"/>
      <c r="KE252" s="261"/>
      <c r="KF252" s="261"/>
      <c r="KG252" s="261"/>
      <c r="KH252" s="261"/>
      <c r="KI252" s="261"/>
      <c r="KJ252" s="261"/>
      <c r="KK252" s="261"/>
      <c r="KL252" s="261"/>
      <c r="KM252" s="261"/>
      <c r="KN252" s="261"/>
      <c r="KO252" s="261"/>
      <c r="KP252" s="261"/>
      <c r="KQ252" s="261"/>
      <c r="KR252" s="261"/>
      <c r="KS252" s="261"/>
      <c r="KT252" s="261"/>
      <c r="KU252" s="261"/>
      <c r="KV252" s="261"/>
      <c r="KW252" s="261"/>
      <c r="KX252" s="261"/>
      <c r="KY252" s="261"/>
      <c r="KZ252" s="261"/>
      <c r="LA252" s="261"/>
      <c r="LB252" s="261"/>
      <c r="LC252" s="261"/>
      <c r="LD252" s="261"/>
      <c r="LE252" s="13"/>
      <c r="LF252" s="12"/>
      <c r="LG252" s="13"/>
      <c r="LH252" s="261"/>
      <c r="LI252" s="261"/>
      <c r="LJ252" s="261"/>
      <c r="LK252" s="261"/>
      <c r="LL252" s="261"/>
      <c r="LM252" s="261"/>
      <c r="LN252" s="261"/>
      <c r="LO252" s="261"/>
      <c r="LP252" s="261"/>
      <c r="LQ252" s="261"/>
      <c r="LR252" s="261"/>
      <c r="LS252" s="261"/>
      <c r="LT252" s="261"/>
      <c r="LU252" s="261"/>
      <c r="LV252" s="261"/>
      <c r="LW252" s="261"/>
      <c r="LX252" s="261"/>
      <c r="LY252" s="261"/>
      <c r="LZ252" s="261"/>
      <c r="MA252" s="261"/>
      <c r="MB252" s="261"/>
      <c r="MC252" s="261"/>
      <c r="MD252" s="261"/>
      <c r="ME252" s="261"/>
      <c r="MF252" s="261"/>
      <c r="MG252" s="261"/>
      <c r="MH252" s="261"/>
      <c r="MI252" s="261"/>
      <c r="MJ252" s="261"/>
      <c r="MK252" s="261"/>
      <c r="ML252" s="261"/>
      <c r="MM252" s="261"/>
      <c r="MN252" s="261"/>
      <c r="MO252" s="261"/>
      <c r="MP252" s="261"/>
      <c r="MQ252" s="261"/>
      <c r="MR252" s="261"/>
      <c r="MS252" s="261"/>
      <c r="MT252" s="261"/>
      <c r="MU252" s="261"/>
      <c r="MV252" s="261"/>
      <c r="MW252" s="261"/>
      <c r="MX252" s="261"/>
      <c r="MY252" s="261"/>
      <c r="MZ252" s="261"/>
      <c r="NA252" s="261"/>
      <c r="NB252" s="261"/>
      <c r="NC252" s="261"/>
      <c r="ND252" s="261"/>
      <c r="NE252" s="261"/>
      <c r="NF252" s="261"/>
      <c r="NG252" s="261"/>
      <c r="NH252" s="261"/>
      <c r="NI252" s="261"/>
      <c r="NJ252" s="261"/>
      <c r="NK252" s="13"/>
      <c r="NL252" s="261"/>
      <c r="NM252" s="261"/>
      <c r="NN252" s="13"/>
      <c r="OO252" s="263"/>
      <c r="OP252" s="263"/>
      <c r="OQ252" s="261"/>
      <c r="OR252" s="12"/>
      <c r="OS252" s="263"/>
      <c r="OT252" s="261"/>
      <c r="OU252" s="12"/>
      <c r="OV252" s="261"/>
      <c r="OW252" s="261"/>
      <c r="OX252" s="261"/>
      <c r="OY252" s="261"/>
      <c r="OZ252" s="261"/>
      <c r="PA252" s="261"/>
      <c r="PB252" s="261"/>
      <c r="PC252" s="261"/>
      <c r="PD252" s="261"/>
      <c r="PE252" s="261"/>
      <c r="PF252" s="261"/>
      <c r="PG252" s="261"/>
      <c r="PH252" s="261"/>
      <c r="PI252" s="261"/>
      <c r="PJ252" s="261"/>
      <c r="PK252" s="261"/>
      <c r="PL252" s="261"/>
      <c r="PM252" s="261"/>
      <c r="PN252" s="261"/>
      <c r="PO252" s="261"/>
      <c r="PP252" s="261"/>
      <c r="PQ252" s="261"/>
      <c r="PR252" s="261"/>
      <c r="PS252" s="261"/>
      <c r="PT252" s="261"/>
      <c r="PU252" s="261"/>
      <c r="PV252" s="261"/>
      <c r="PW252" s="261"/>
      <c r="PX252" s="261"/>
      <c r="PY252" s="261"/>
      <c r="PZ252" s="261"/>
      <c r="QA252" s="261"/>
      <c r="QB252" s="261"/>
      <c r="QC252" s="261"/>
      <c r="QD252" s="261"/>
      <c r="QE252" s="261"/>
      <c r="QF252" s="261"/>
      <c r="QG252" s="261"/>
      <c r="QH252" s="261"/>
      <c r="QI252" s="261"/>
      <c r="QJ252" s="261"/>
      <c r="QK252" s="261"/>
      <c r="QL252" s="261"/>
      <c r="QM252" s="261"/>
      <c r="QN252" s="261"/>
      <c r="QO252" s="261"/>
      <c r="QP252" s="261"/>
      <c r="QQ252" s="261"/>
      <c r="QR252" s="261"/>
      <c r="QS252" s="261"/>
      <c r="QT252" s="261"/>
      <c r="QU252" s="261"/>
      <c r="QV252" s="261"/>
      <c r="QW252" s="261"/>
      <c r="QX252" s="13"/>
      <c r="QY252" s="12"/>
      <c r="QZ252" s="13"/>
      <c r="RA252" s="261"/>
      <c r="RB252" s="261"/>
      <c r="RC252" s="261"/>
      <c r="RD252" s="261"/>
      <c r="RE252" s="261"/>
      <c r="RF252" s="261"/>
      <c r="RG252" s="261"/>
      <c r="RH252" s="261"/>
      <c r="RI252" s="261"/>
      <c r="RJ252" s="261"/>
      <c r="RK252" s="261"/>
      <c r="RL252" s="261"/>
      <c r="RM252" s="261"/>
      <c r="RN252" s="261"/>
      <c r="RO252" s="261"/>
      <c r="RP252" s="261"/>
      <c r="RQ252" s="261"/>
      <c r="RR252" s="261"/>
      <c r="RS252" s="261"/>
      <c r="RT252" s="261"/>
      <c r="RU252" s="261"/>
      <c r="RV252" s="261"/>
      <c r="RW252" s="261"/>
      <c r="RX252" s="261"/>
      <c r="RY252" s="261"/>
      <c r="RZ252" s="261"/>
      <c r="SA252" s="261"/>
      <c r="SB252" s="261"/>
      <c r="SC252" s="261"/>
      <c r="SD252" s="261"/>
      <c r="SE252" s="261"/>
      <c r="SF252" s="261"/>
      <c r="SG252" s="261"/>
      <c r="SH252" s="261"/>
      <c r="SI252" s="261"/>
      <c r="SJ252" s="261"/>
      <c r="SK252" s="261"/>
      <c r="SL252" s="261"/>
      <c r="SM252" s="261"/>
      <c r="SN252" s="261"/>
      <c r="SO252" s="261"/>
      <c r="SP252" s="261"/>
      <c r="SQ252" s="261"/>
      <c r="SR252" s="261"/>
      <c r="SS252" s="261"/>
      <c r="ST252" s="261"/>
      <c r="SU252" s="261"/>
      <c r="SV252" s="261"/>
      <c r="SW252" s="261"/>
      <c r="SX252" s="261"/>
      <c r="SY252" s="261"/>
      <c r="SZ252" s="261"/>
      <c r="TA252" s="261"/>
      <c r="TB252" s="261"/>
      <c r="TC252" s="261"/>
      <c r="TD252" s="13"/>
      <c r="TE252" s="261"/>
      <c r="TF252" s="261"/>
      <c r="TG252" s="13"/>
    </row>
    <row r="253" spans="65:527" ht="10.75" customHeight="1" x14ac:dyDescent="0.2">
      <c r="BS253" s="12"/>
      <c r="BU253" s="13"/>
      <c r="DO253" s="9"/>
      <c r="DP253" s="10"/>
      <c r="DQ253" s="10"/>
      <c r="DR253" s="9"/>
      <c r="DS253" s="11"/>
      <c r="DV253" s="18"/>
      <c r="EA253" s="18"/>
      <c r="EF253" s="18"/>
      <c r="EK253" s="17"/>
      <c r="GN253" s="12"/>
      <c r="GP253" s="13"/>
      <c r="IV253" s="263"/>
      <c r="IW253" s="263"/>
      <c r="IX253" s="261"/>
      <c r="IY253" s="12"/>
      <c r="IZ253" s="263"/>
      <c r="JA253" s="261"/>
      <c r="JB253" s="12"/>
      <c r="JC253" s="261"/>
      <c r="JD253" s="261"/>
      <c r="JE253" s="261"/>
      <c r="JF253" s="261"/>
      <c r="JG253" s="261"/>
      <c r="JH253" s="261"/>
      <c r="JI253" s="261"/>
      <c r="JJ253" s="261"/>
      <c r="JK253" s="261"/>
      <c r="JL253" s="261"/>
      <c r="JM253" s="261"/>
      <c r="JN253" s="261"/>
      <c r="JO253" s="261"/>
      <c r="JP253" s="261"/>
      <c r="JQ253" s="261"/>
      <c r="JR253" s="261"/>
      <c r="JS253" s="261"/>
      <c r="JT253" s="261"/>
      <c r="JU253" s="261"/>
      <c r="JV253" s="261"/>
      <c r="JW253" s="261"/>
      <c r="JX253" s="261"/>
      <c r="JY253" s="261"/>
      <c r="JZ253" s="261"/>
      <c r="KA253" s="261"/>
      <c r="KB253" s="261"/>
      <c r="KC253" s="261"/>
      <c r="KD253" s="261"/>
      <c r="KE253" s="261"/>
      <c r="KF253" s="261"/>
      <c r="KG253" s="261"/>
      <c r="KH253" s="261"/>
      <c r="KI253" s="261"/>
      <c r="KJ253" s="261"/>
      <c r="KK253" s="261"/>
      <c r="KL253" s="261"/>
      <c r="KM253" s="261"/>
      <c r="KN253" s="261"/>
      <c r="KO253" s="261"/>
      <c r="KP253" s="261"/>
      <c r="KQ253" s="261"/>
      <c r="KR253" s="261"/>
      <c r="KS253" s="261"/>
      <c r="KT253" s="261"/>
      <c r="KU253" s="261"/>
      <c r="KV253" s="261"/>
      <c r="KW253" s="261"/>
      <c r="KX253" s="261"/>
      <c r="KY253" s="261"/>
      <c r="KZ253" s="261"/>
      <c r="LA253" s="261"/>
      <c r="LB253" s="261"/>
      <c r="LC253" s="261"/>
      <c r="LD253" s="261"/>
      <c r="LE253" s="13"/>
      <c r="LF253" s="12"/>
      <c r="LG253" s="13"/>
      <c r="LH253" s="261"/>
      <c r="LI253" s="261"/>
      <c r="LJ253" s="261"/>
      <c r="LK253" s="261"/>
      <c r="LL253" s="261"/>
      <c r="LM253" s="261"/>
      <c r="LN253" s="261"/>
      <c r="LO253" s="261"/>
      <c r="LP253" s="261"/>
      <c r="LQ253" s="261"/>
      <c r="LR253" s="261"/>
      <c r="LS253" s="261"/>
      <c r="LT253" s="261"/>
      <c r="LU253" s="261"/>
      <c r="LV253" s="261"/>
      <c r="LW253" s="261"/>
      <c r="LX253" s="261"/>
      <c r="LY253" s="261"/>
      <c r="LZ253" s="261"/>
      <c r="MA253" s="261"/>
      <c r="MB253" s="261"/>
      <c r="MC253" s="261"/>
      <c r="MD253" s="261"/>
      <c r="ME253" s="261"/>
      <c r="MF253" s="261"/>
      <c r="MG253" s="261"/>
      <c r="MH253" s="261"/>
      <c r="MI253" s="261"/>
      <c r="MJ253" s="261"/>
      <c r="MK253" s="261"/>
      <c r="ML253" s="261"/>
      <c r="MM253" s="261"/>
      <c r="MN253" s="261"/>
      <c r="MO253" s="261"/>
      <c r="MP253" s="261"/>
      <c r="MQ253" s="261"/>
      <c r="MR253" s="261"/>
      <c r="MS253" s="261"/>
      <c r="MT253" s="261"/>
      <c r="MU253" s="261"/>
      <c r="MV253" s="261"/>
      <c r="MW253" s="261"/>
      <c r="MX253" s="261"/>
      <c r="MY253" s="261"/>
      <c r="MZ253" s="261"/>
      <c r="NA253" s="261"/>
      <c r="NB253" s="261"/>
      <c r="NC253" s="261"/>
      <c r="ND253" s="261"/>
      <c r="NE253" s="261"/>
      <c r="NF253" s="261"/>
      <c r="NG253" s="261"/>
      <c r="NH253" s="261"/>
      <c r="NI253" s="261"/>
      <c r="NJ253" s="261"/>
      <c r="NK253" s="13"/>
      <c r="NL253" s="261"/>
      <c r="NM253" s="261"/>
      <c r="NN253" s="13"/>
      <c r="OO253" s="263"/>
      <c r="OP253" s="263"/>
      <c r="OQ253" s="261"/>
      <c r="OR253" s="12"/>
      <c r="OS253" s="263"/>
      <c r="OT253" s="261"/>
      <c r="OU253" s="12"/>
      <c r="OV253" s="261"/>
      <c r="OW253" s="261"/>
      <c r="OX253" s="261"/>
      <c r="OY253" s="261"/>
      <c r="OZ253" s="261"/>
      <c r="PA253" s="261"/>
      <c r="PB253" s="261"/>
      <c r="PC253" s="261"/>
      <c r="PD253" s="261"/>
      <c r="PE253" s="261"/>
      <c r="PF253" s="261"/>
      <c r="PG253" s="261"/>
      <c r="PH253" s="261"/>
      <c r="PI253" s="261"/>
      <c r="PJ253" s="261"/>
      <c r="PK253" s="261"/>
      <c r="PL253" s="261"/>
      <c r="PM253" s="261"/>
      <c r="PN253" s="261"/>
      <c r="PO253" s="261"/>
      <c r="PP253" s="261"/>
      <c r="PQ253" s="261"/>
      <c r="PR253" s="261"/>
      <c r="PS253" s="261"/>
      <c r="PT253" s="261"/>
      <c r="PU253" s="261"/>
      <c r="PV253" s="261"/>
      <c r="PW253" s="261"/>
      <c r="PX253" s="261"/>
      <c r="PY253" s="261"/>
      <c r="PZ253" s="261"/>
      <c r="QA253" s="261"/>
      <c r="QB253" s="261"/>
      <c r="QC253" s="261"/>
      <c r="QD253" s="261"/>
      <c r="QE253" s="261"/>
      <c r="QF253" s="261"/>
      <c r="QG253" s="261"/>
      <c r="QH253" s="261"/>
      <c r="QI253" s="261"/>
      <c r="QJ253" s="261"/>
      <c r="QK253" s="261"/>
      <c r="QL253" s="261"/>
      <c r="QM253" s="261"/>
      <c r="QN253" s="261"/>
      <c r="QO253" s="261"/>
      <c r="QP253" s="261"/>
      <c r="QQ253" s="261"/>
      <c r="QR253" s="261"/>
      <c r="QS253" s="261"/>
      <c r="QT253" s="261"/>
      <c r="QU253" s="261"/>
      <c r="QV253" s="261"/>
      <c r="QW253" s="261"/>
      <c r="QX253" s="13"/>
      <c r="QY253" s="12"/>
      <c r="QZ253" s="13"/>
      <c r="RA253" s="261"/>
      <c r="RB253" s="261"/>
      <c r="RC253" s="261"/>
      <c r="RD253" s="261"/>
      <c r="RE253" s="261"/>
      <c r="RF253" s="261"/>
      <c r="RG253" s="261"/>
      <c r="RH253" s="261"/>
      <c r="RI253" s="261"/>
      <c r="RJ253" s="261"/>
      <c r="RK253" s="261"/>
      <c r="RL253" s="261"/>
      <c r="RM253" s="261"/>
      <c r="RN253" s="261"/>
      <c r="RO253" s="261"/>
      <c r="RP253" s="261"/>
      <c r="RQ253" s="261"/>
      <c r="RR253" s="261"/>
      <c r="RS253" s="261"/>
      <c r="RT253" s="261"/>
      <c r="RU253" s="261"/>
      <c r="RV253" s="261"/>
      <c r="RW253" s="261"/>
      <c r="RX253" s="261"/>
      <c r="RY253" s="261"/>
      <c r="RZ253" s="261"/>
      <c r="SA253" s="261"/>
      <c r="SB253" s="261"/>
      <c r="SC253" s="261"/>
      <c r="SD253" s="261"/>
      <c r="SE253" s="261"/>
      <c r="SF253" s="261"/>
      <c r="SG253" s="261"/>
      <c r="SH253" s="261"/>
      <c r="SI253" s="261"/>
      <c r="SJ253" s="261"/>
      <c r="SK253" s="261"/>
      <c r="SL253" s="261"/>
      <c r="SM253" s="261"/>
      <c r="SN253" s="261"/>
      <c r="SO253" s="261"/>
      <c r="SP253" s="261"/>
      <c r="SQ253" s="261"/>
      <c r="SR253" s="261"/>
      <c r="SS253" s="261"/>
      <c r="ST253" s="261"/>
      <c r="SU253" s="261"/>
      <c r="SV253" s="261"/>
      <c r="SW253" s="261"/>
      <c r="SX253" s="261"/>
      <c r="SY253" s="261"/>
      <c r="SZ253" s="261"/>
      <c r="TA253" s="261"/>
      <c r="TB253" s="261"/>
      <c r="TC253" s="261"/>
      <c r="TD253" s="13"/>
      <c r="TE253" s="261"/>
      <c r="TF253" s="261"/>
      <c r="TG253" s="13"/>
    </row>
    <row r="254" spans="65:527" ht="10.75" customHeight="1" x14ac:dyDescent="0.2">
      <c r="BS254" s="12"/>
      <c r="BU254" s="13"/>
      <c r="DO254" s="14"/>
      <c r="DP254" s="15"/>
      <c r="DQ254" s="15"/>
      <c r="DR254" s="14"/>
      <c r="DS254" s="16"/>
      <c r="DV254" s="18"/>
      <c r="EA254" s="18"/>
      <c r="EF254" s="18"/>
      <c r="EK254" s="18"/>
      <c r="GN254" s="12"/>
      <c r="GP254" s="13"/>
      <c r="IV254" s="263"/>
      <c r="IW254" s="263"/>
      <c r="IX254" s="261"/>
      <c r="IY254" s="12"/>
      <c r="IZ254" s="263"/>
      <c r="JA254" s="261"/>
      <c r="JB254" s="12"/>
      <c r="JC254" s="261"/>
      <c r="JD254" s="261"/>
      <c r="JE254" s="261"/>
      <c r="JF254" s="261"/>
      <c r="JG254" s="261"/>
      <c r="JH254" s="261"/>
      <c r="JI254" s="261"/>
      <c r="JJ254" s="261"/>
      <c r="JK254" s="261"/>
      <c r="JL254" s="261"/>
      <c r="JM254" s="261"/>
      <c r="JN254" s="261"/>
      <c r="JO254" s="261"/>
      <c r="JP254" s="261"/>
      <c r="JQ254" s="261"/>
      <c r="JR254" s="261"/>
      <c r="JS254" s="261"/>
      <c r="JT254" s="261"/>
      <c r="JU254" s="261"/>
      <c r="JV254" s="261"/>
      <c r="JW254" s="261"/>
      <c r="JX254" s="261"/>
      <c r="JY254" s="261"/>
      <c r="JZ254" s="261"/>
      <c r="KA254" s="261"/>
      <c r="KB254" s="261"/>
      <c r="KC254" s="261"/>
      <c r="KD254" s="261"/>
      <c r="KE254" s="261"/>
      <c r="KF254" s="261"/>
      <c r="KG254" s="261"/>
      <c r="KH254" s="261"/>
      <c r="KI254" s="261"/>
      <c r="KJ254" s="261"/>
      <c r="KK254" s="261"/>
      <c r="KL254" s="261"/>
      <c r="KM254" s="261"/>
      <c r="KN254" s="261"/>
      <c r="KO254" s="261"/>
      <c r="KP254" s="261"/>
      <c r="KQ254" s="261"/>
      <c r="KR254" s="261"/>
      <c r="KS254" s="261"/>
      <c r="KT254" s="261"/>
      <c r="KU254" s="261"/>
      <c r="KV254" s="261"/>
      <c r="KW254" s="261"/>
      <c r="KX254" s="261"/>
      <c r="KY254" s="261"/>
      <c r="KZ254" s="261"/>
      <c r="LA254" s="261"/>
      <c r="LB254" s="261"/>
      <c r="LC254" s="261"/>
      <c r="LD254" s="261"/>
      <c r="LE254" s="13"/>
      <c r="LF254" s="12"/>
      <c r="LG254" s="13"/>
      <c r="LH254" s="261"/>
      <c r="LI254" s="261"/>
      <c r="LJ254" s="261"/>
      <c r="LK254" s="261"/>
      <c r="LL254" s="261"/>
      <c r="LM254" s="261"/>
      <c r="LN254" s="261"/>
      <c r="LO254" s="261"/>
      <c r="LP254" s="261"/>
      <c r="LQ254" s="261"/>
      <c r="LR254" s="261"/>
      <c r="LS254" s="261"/>
      <c r="LT254" s="261"/>
      <c r="LU254" s="261"/>
      <c r="LV254" s="261"/>
      <c r="LW254" s="261"/>
      <c r="LX254" s="261"/>
      <c r="LY254" s="261"/>
      <c r="LZ254" s="261"/>
      <c r="MA254" s="261"/>
      <c r="MB254" s="261"/>
      <c r="MC254" s="261"/>
      <c r="MD254" s="261"/>
      <c r="ME254" s="261"/>
      <c r="MF254" s="261"/>
      <c r="MG254" s="261"/>
      <c r="MH254" s="261"/>
      <c r="MI254" s="261"/>
      <c r="MJ254" s="261"/>
      <c r="MK254" s="261"/>
      <c r="ML254" s="261"/>
      <c r="MM254" s="261"/>
      <c r="MN254" s="261"/>
      <c r="MO254" s="261"/>
      <c r="MP254" s="261"/>
      <c r="MQ254" s="261"/>
      <c r="MR254" s="261"/>
      <c r="MS254" s="261"/>
      <c r="MT254" s="261"/>
      <c r="MU254" s="261"/>
      <c r="MV254" s="261"/>
      <c r="MW254" s="261"/>
      <c r="MX254" s="261"/>
      <c r="MY254" s="261"/>
      <c r="MZ254" s="261"/>
      <c r="NA254" s="261"/>
      <c r="NB254" s="261"/>
      <c r="NC254" s="261"/>
      <c r="ND254" s="261"/>
      <c r="NE254" s="261"/>
      <c r="NF254" s="261"/>
      <c r="NG254" s="261"/>
      <c r="NH254" s="261"/>
      <c r="NI254" s="261"/>
      <c r="NJ254" s="261"/>
      <c r="NK254" s="13"/>
      <c r="NL254" s="261"/>
      <c r="NM254" s="261"/>
      <c r="NN254" s="13"/>
      <c r="OO254" s="263"/>
      <c r="OP254" s="263"/>
      <c r="OQ254" s="261"/>
      <c r="OR254" s="12"/>
      <c r="OS254" s="263"/>
      <c r="OT254" s="261"/>
      <c r="OU254" s="12"/>
      <c r="OV254" s="261"/>
      <c r="OW254" s="261"/>
      <c r="OX254" s="261"/>
      <c r="OY254" s="261"/>
      <c r="OZ254" s="261"/>
      <c r="PA254" s="261"/>
      <c r="PB254" s="261"/>
      <c r="PC254" s="261"/>
      <c r="PD254" s="261"/>
      <c r="PE254" s="261"/>
      <c r="PF254" s="261"/>
      <c r="PG254" s="261"/>
      <c r="PH254" s="261"/>
      <c r="PI254" s="261"/>
      <c r="PJ254" s="261"/>
      <c r="PK254" s="261"/>
      <c r="PL254" s="261"/>
      <c r="PM254" s="261"/>
      <c r="PN254" s="261"/>
      <c r="PO254" s="261"/>
      <c r="PP254" s="261"/>
      <c r="PQ254" s="261"/>
      <c r="PR254" s="261"/>
      <c r="PS254" s="261"/>
      <c r="PT254" s="261"/>
      <c r="PU254" s="261"/>
      <c r="PV254" s="261"/>
      <c r="PW254" s="261"/>
      <c r="PX254" s="261"/>
      <c r="PY254" s="261"/>
      <c r="PZ254" s="261"/>
      <c r="QA254" s="261"/>
      <c r="QB254" s="261"/>
      <c r="QC254" s="261"/>
      <c r="QD254" s="261"/>
      <c r="QE254" s="261"/>
      <c r="QF254" s="261"/>
      <c r="QG254" s="261"/>
      <c r="QH254" s="261"/>
      <c r="QI254" s="261"/>
      <c r="QJ254" s="261"/>
      <c r="QK254" s="261"/>
      <c r="QL254" s="261"/>
      <c r="QM254" s="261"/>
      <c r="QN254" s="261"/>
      <c r="QO254" s="261"/>
      <c r="QP254" s="261"/>
      <c r="QQ254" s="261"/>
      <c r="QR254" s="261"/>
      <c r="QS254" s="261"/>
      <c r="QT254" s="261"/>
      <c r="QU254" s="261"/>
      <c r="QV254" s="261"/>
      <c r="QW254" s="261"/>
      <c r="QX254" s="13"/>
      <c r="QY254" s="12"/>
      <c r="QZ254" s="13"/>
      <c r="RA254" s="261"/>
      <c r="RB254" s="261"/>
      <c r="RC254" s="261"/>
      <c r="RD254" s="261"/>
      <c r="RE254" s="261"/>
      <c r="RF254" s="261"/>
      <c r="RG254" s="261"/>
      <c r="RH254" s="261"/>
      <c r="RI254" s="261"/>
      <c r="RJ254" s="261"/>
      <c r="RK254" s="261"/>
      <c r="RL254" s="261"/>
      <c r="RM254" s="261"/>
      <c r="RN254" s="261"/>
      <c r="RO254" s="261"/>
      <c r="RP254" s="261"/>
      <c r="RQ254" s="261"/>
      <c r="RR254" s="261"/>
      <c r="RS254" s="261"/>
      <c r="RT254" s="261"/>
      <c r="RU254" s="261"/>
      <c r="RV254" s="261"/>
      <c r="RW254" s="261"/>
      <c r="RX254" s="261"/>
      <c r="RY254" s="261"/>
      <c r="RZ254" s="261"/>
      <c r="SA254" s="261"/>
      <c r="SB254" s="261"/>
      <c r="SC254" s="261"/>
      <c r="SD254" s="261"/>
      <c r="SE254" s="261"/>
      <c r="SF254" s="261"/>
      <c r="SG254" s="261"/>
      <c r="SH254" s="261"/>
      <c r="SI254" s="261"/>
      <c r="SJ254" s="261"/>
      <c r="SK254" s="261"/>
      <c r="SL254" s="261"/>
      <c r="SM254" s="261"/>
      <c r="SN254" s="261"/>
      <c r="SO254" s="261"/>
      <c r="SP254" s="261"/>
      <c r="SQ254" s="261"/>
      <c r="SR254" s="261"/>
      <c r="SS254" s="261"/>
      <c r="ST254" s="261"/>
      <c r="SU254" s="261"/>
      <c r="SV254" s="261"/>
      <c r="SW254" s="261"/>
      <c r="SX254" s="261"/>
      <c r="SY254" s="261"/>
      <c r="SZ254" s="261"/>
      <c r="TA254" s="261"/>
      <c r="TB254" s="261"/>
      <c r="TC254" s="261"/>
      <c r="TD254" s="13"/>
      <c r="TE254" s="261"/>
      <c r="TF254" s="261"/>
      <c r="TG254" s="13"/>
    </row>
    <row r="255" spans="65:527" ht="10.75" customHeight="1" x14ac:dyDescent="0.2">
      <c r="BS255" s="12"/>
      <c r="BU255" s="13"/>
      <c r="DR255" s="12"/>
      <c r="DS255" s="13"/>
      <c r="DV255" s="19"/>
      <c r="EA255" s="18"/>
      <c r="EF255" s="18"/>
      <c r="EK255" s="18"/>
      <c r="GN255" s="12"/>
      <c r="GP255" s="13"/>
      <c r="IV255" s="263"/>
      <c r="IW255" s="263"/>
      <c r="IX255" s="261"/>
      <c r="IY255" s="12"/>
      <c r="IZ255" s="263"/>
      <c r="JA255" s="261"/>
      <c r="JB255" s="12"/>
      <c r="JC255" s="261"/>
      <c r="JD255" s="261"/>
      <c r="JE255" s="261"/>
      <c r="JF255" s="261"/>
      <c r="JG255" s="261"/>
      <c r="JH255" s="261"/>
      <c r="JI255" s="261"/>
      <c r="JJ255" s="261"/>
      <c r="JK255" s="261"/>
      <c r="JL255" s="261"/>
      <c r="JM255" s="261"/>
      <c r="JN255" s="261"/>
      <c r="JO255" s="261"/>
      <c r="JP255" s="261"/>
      <c r="JQ255" s="261"/>
      <c r="JR255" s="261"/>
      <c r="JS255" s="261"/>
      <c r="JT255" s="261"/>
      <c r="JU255" s="261"/>
      <c r="JV255" s="261"/>
      <c r="JW255" s="261"/>
      <c r="JX255" s="261"/>
      <c r="JY255" s="261"/>
      <c r="JZ255" s="261"/>
      <c r="KA255" s="261"/>
      <c r="KB255" s="261"/>
      <c r="KC255" s="261"/>
      <c r="KD255" s="261"/>
      <c r="KE255" s="261"/>
      <c r="KF255" s="261"/>
      <c r="KG255" s="261"/>
      <c r="KH255" s="261"/>
      <c r="KI255" s="261"/>
      <c r="KJ255" s="261"/>
      <c r="KK255" s="261"/>
      <c r="KL255" s="261"/>
      <c r="KM255" s="261"/>
      <c r="KN255" s="261"/>
      <c r="KO255" s="261"/>
      <c r="KP255" s="261"/>
      <c r="KQ255" s="261"/>
      <c r="KR255" s="261"/>
      <c r="KS255" s="261"/>
      <c r="KT255" s="261"/>
      <c r="KU255" s="261"/>
      <c r="KV255" s="261"/>
      <c r="KW255" s="261"/>
      <c r="KX255" s="261"/>
      <c r="KY255" s="261"/>
      <c r="KZ255" s="261"/>
      <c r="LA255" s="261"/>
      <c r="LB255" s="261"/>
      <c r="LC255" s="261"/>
      <c r="LD255" s="261"/>
      <c r="LE255" s="13"/>
      <c r="LF255" s="12"/>
      <c r="LG255" s="13"/>
      <c r="LH255" s="261"/>
      <c r="LI255" s="261"/>
      <c r="LJ255" s="261"/>
      <c r="LK255" s="261"/>
      <c r="LL255" s="261"/>
      <c r="LM255" s="261"/>
      <c r="LN255" s="261"/>
      <c r="LO255" s="261"/>
      <c r="LP255" s="261"/>
      <c r="LQ255" s="261"/>
      <c r="LR255" s="261"/>
      <c r="LS255" s="261"/>
      <c r="LT255" s="261"/>
      <c r="LU255" s="261"/>
      <c r="LV255" s="261"/>
      <c r="LW255" s="261"/>
      <c r="LX255" s="261"/>
      <c r="LY255" s="261"/>
      <c r="LZ255" s="261"/>
      <c r="MA255" s="261"/>
      <c r="MB255" s="261"/>
      <c r="MC255" s="261"/>
      <c r="MD255" s="261"/>
      <c r="ME255" s="261"/>
      <c r="MF255" s="261"/>
      <c r="MG255" s="261"/>
      <c r="MH255" s="261"/>
      <c r="MI255" s="261"/>
      <c r="MJ255" s="261"/>
      <c r="MK255" s="261"/>
      <c r="ML255" s="261"/>
      <c r="MM255" s="261"/>
      <c r="MN255" s="261"/>
      <c r="MO255" s="261"/>
      <c r="MP255" s="261"/>
      <c r="MQ255" s="261"/>
      <c r="MR255" s="261"/>
      <c r="MS255" s="261"/>
      <c r="MT255" s="261"/>
      <c r="MU255" s="261"/>
      <c r="MV255" s="261"/>
      <c r="MW255" s="261"/>
      <c r="MX255" s="261"/>
      <c r="MY255" s="261"/>
      <c r="MZ255" s="261"/>
      <c r="NA255" s="261"/>
      <c r="NB255" s="261"/>
      <c r="NC255" s="261"/>
      <c r="ND255" s="261"/>
      <c r="NE255" s="261"/>
      <c r="NF255" s="261"/>
      <c r="NG255" s="261"/>
      <c r="NH255" s="261"/>
      <c r="NI255" s="261"/>
      <c r="NJ255" s="261"/>
      <c r="NK255" s="13"/>
      <c r="NL255" s="261"/>
      <c r="NM255" s="261"/>
      <c r="NN255" s="13"/>
      <c r="OO255" s="263"/>
      <c r="OP255" s="263"/>
      <c r="OQ255" s="261"/>
      <c r="OR255" s="12"/>
      <c r="OS255" s="263"/>
      <c r="OT255" s="261"/>
      <c r="OU255" s="12"/>
      <c r="OV255" s="261"/>
      <c r="OW255" s="261"/>
      <c r="OX255" s="261"/>
      <c r="OY255" s="261"/>
      <c r="OZ255" s="261"/>
      <c r="PA255" s="261"/>
      <c r="PB255" s="261"/>
      <c r="PC255" s="261"/>
      <c r="PD255" s="261"/>
      <c r="PE255" s="261"/>
      <c r="PF255" s="261"/>
      <c r="PG255" s="261"/>
      <c r="PH255" s="261"/>
      <c r="PI255" s="261"/>
      <c r="PJ255" s="261"/>
      <c r="PK255" s="261"/>
      <c r="PL255" s="261"/>
      <c r="PM255" s="261"/>
      <c r="PN255" s="261"/>
      <c r="PO255" s="261"/>
      <c r="PP255" s="261"/>
      <c r="PQ255" s="261"/>
      <c r="PR255" s="261"/>
      <c r="PS255" s="261"/>
      <c r="PT255" s="261"/>
      <c r="PU255" s="261"/>
      <c r="PV255" s="261"/>
      <c r="PW255" s="261"/>
      <c r="PX255" s="261"/>
      <c r="PY255" s="261"/>
      <c r="PZ255" s="261"/>
      <c r="QA255" s="261"/>
      <c r="QB255" s="261"/>
      <c r="QC255" s="261"/>
      <c r="QD255" s="261"/>
      <c r="QE255" s="261"/>
      <c r="QF255" s="261"/>
      <c r="QG255" s="261"/>
      <c r="QH255" s="261"/>
      <c r="QI255" s="261"/>
      <c r="QJ255" s="261"/>
      <c r="QK255" s="261"/>
      <c r="QL255" s="261"/>
      <c r="QM255" s="261"/>
      <c r="QN255" s="261"/>
      <c r="QO255" s="261"/>
      <c r="QP255" s="261"/>
      <c r="QQ255" s="261"/>
      <c r="QR255" s="261"/>
      <c r="QS255" s="261"/>
      <c r="QT255" s="261"/>
      <c r="QU255" s="261"/>
      <c r="QV255" s="261"/>
      <c r="QW255" s="261"/>
      <c r="QX255" s="13"/>
      <c r="QY255" s="12"/>
      <c r="QZ255" s="13"/>
      <c r="RA255" s="261"/>
      <c r="RB255" s="261"/>
      <c r="RC255" s="261"/>
      <c r="RD255" s="261"/>
      <c r="RE255" s="261"/>
      <c r="RF255" s="261"/>
      <c r="RG255" s="261"/>
      <c r="RH255" s="261"/>
      <c r="RI255" s="261"/>
      <c r="RJ255" s="261"/>
      <c r="RK255" s="261"/>
      <c r="RL255" s="261"/>
      <c r="RM255" s="261"/>
      <c r="RN255" s="261"/>
      <c r="RO255" s="261"/>
      <c r="RP255" s="261"/>
      <c r="RQ255" s="261"/>
      <c r="RR255" s="261"/>
      <c r="RS255" s="261"/>
      <c r="RT255" s="261"/>
      <c r="RU255" s="261"/>
      <c r="RV255" s="261"/>
      <c r="RW255" s="261"/>
      <c r="RX255" s="261"/>
      <c r="RY255" s="261"/>
      <c r="RZ255" s="261"/>
      <c r="SA255" s="261"/>
      <c r="SB255" s="261"/>
      <c r="SC255" s="261"/>
      <c r="SD255" s="261"/>
      <c r="SE255" s="261"/>
      <c r="SF255" s="261"/>
      <c r="SG255" s="261"/>
      <c r="SH255" s="261"/>
      <c r="SI255" s="261"/>
      <c r="SJ255" s="261"/>
      <c r="SK255" s="261"/>
      <c r="SL255" s="261"/>
      <c r="SM255" s="261"/>
      <c r="SN255" s="261"/>
      <c r="SO255" s="261"/>
      <c r="SP255" s="261"/>
      <c r="SQ255" s="261"/>
      <c r="SR255" s="261"/>
      <c r="SS255" s="261"/>
      <c r="ST255" s="261"/>
      <c r="SU255" s="261"/>
      <c r="SV255" s="261"/>
      <c r="SW255" s="261"/>
      <c r="SX255" s="261"/>
      <c r="SY255" s="261"/>
      <c r="SZ255" s="261"/>
      <c r="TA255" s="261"/>
      <c r="TB255" s="261"/>
      <c r="TC255" s="261"/>
      <c r="TD255" s="13"/>
      <c r="TE255" s="261"/>
      <c r="TF255" s="261"/>
      <c r="TG255" s="13"/>
    </row>
    <row r="256" spans="65:527" ht="10.75" customHeight="1" x14ac:dyDescent="0.2">
      <c r="BS256" s="12"/>
      <c r="BU256" s="13"/>
      <c r="DR256" s="12"/>
      <c r="DS256" s="13"/>
      <c r="DT256" s="9"/>
      <c r="DU256" s="10"/>
      <c r="DV256" s="10"/>
      <c r="DW256" s="10"/>
      <c r="DX256" s="11"/>
      <c r="EA256" s="18"/>
      <c r="EF256" s="18"/>
      <c r="EK256" s="18"/>
      <c r="EP256" s="17"/>
      <c r="GN256" s="12"/>
      <c r="GP256" s="13"/>
      <c r="IV256" s="263"/>
      <c r="IW256" s="263"/>
      <c r="IX256" s="261"/>
      <c r="IY256" s="96"/>
      <c r="IZ256" s="262"/>
      <c r="JA256" s="262"/>
      <c r="JB256" s="14"/>
      <c r="JC256" s="15"/>
      <c r="JD256" s="15"/>
      <c r="JE256" s="15"/>
      <c r="JF256" s="15"/>
      <c r="JG256" s="15"/>
      <c r="JH256" s="15"/>
      <c r="JI256" s="15"/>
      <c r="JJ256" s="15"/>
      <c r="JK256" s="15"/>
      <c r="JL256" s="15"/>
      <c r="JM256" s="15"/>
      <c r="JN256" s="15"/>
      <c r="JO256" s="15"/>
      <c r="JP256" s="15"/>
      <c r="JQ256" s="15"/>
      <c r="JR256" s="15"/>
      <c r="JS256" s="15"/>
      <c r="JT256" s="15"/>
      <c r="JU256" s="15"/>
      <c r="JV256" s="15"/>
      <c r="JW256" s="15"/>
      <c r="JX256" s="15"/>
      <c r="JY256" s="15"/>
      <c r="JZ256" s="15"/>
      <c r="KA256" s="15"/>
      <c r="KB256" s="15"/>
      <c r="KC256" s="15"/>
      <c r="KD256" s="15"/>
      <c r="KE256" s="15"/>
      <c r="KF256" s="15"/>
      <c r="KG256" s="15"/>
      <c r="KH256" s="15"/>
      <c r="KI256" s="15"/>
      <c r="KJ256" s="15"/>
      <c r="KK256" s="15"/>
      <c r="KL256" s="15"/>
      <c r="KM256" s="15"/>
      <c r="KN256" s="15"/>
      <c r="KO256" s="15"/>
      <c r="KP256" s="15"/>
      <c r="KQ256" s="15"/>
      <c r="KR256" s="15"/>
      <c r="KS256" s="15"/>
      <c r="KT256" s="15"/>
      <c r="KU256" s="15"/>
      <c r="KV256" s="15"/>
      <c r="KW256" s="15"/>
      <c r="KX256" s="15"/>
      <c r="KY256" s="15"/>
      <c r="KZ256" s="15"/>
      <c r="LA256" s="15"/>
      <c r="LB256" s="15"/>
      <c r="LC256" s="15"/>
      <c r="LD256" s="60"/>
      <c r="LE256" s="61"/>
      <c r="LF256" s="96"/>
      <c r="LG256" s="98"/>
      <c r="LH256" s="261"/>
      <c r="LI256" s="261"/>
      <c r="LJ256" s="261"/>
      <c r="LK256" s="261"/>
      <c r="LL256" s="261"/>
      <c r="LM256" s="261"/>
      <c r="LN256" s="261"/>
      <c r="LO256" s="261"/>
      <c r="LP256" s="261"/>
      <c r="LQ256" s="261"/>
      <c r="LR256" s="261"/>
      <c r="LS256" s="261"/>
      <c r="LT256" s="261"/>
      <c r="LU256" s="261"/>
      <c r="LV256" s="261"/>
      <c r="LW256" s="261"/>
      <c r="LX256" s="261"/>
      <c r="LY256" s="261"/>
      <c r="LZ256" s="261"/>
      <c r="MA256" s="261"/>
      <c r="MB256" s="261"/>
      <c r="MC256" s="261"/>
      <c r="MD256" s="261"/>
      <c r="ME256" s="261"/>
      <c r="MF256" s="261"/>
      <c r="MG256" s="261"/>
      <c r="MH256" s="261"/>
      <c r="MI256" s="261"/>
      <c r="MJ256" s="261"/>
      <c r="MK256" s="261"/>
      <c r="ML256" s="261"/>
      <c r="MM256" s="261"/>
      <c r="MN256" s="261"/>
      <c r="MO256" s="261"/>
      <c r="MP256" s="261"/>
      <c r="MQ256" s="261"/>
      <c r="MR256" s="261"/>
      <c r="MS256" s="261"/>
      <c r="MT256" s="261"/>
      <c r="MU256" s="261"/>
      <c r="MV256" s="261"/>
      <c r="MW256" s="261"/>
      <c r="MX256" s="261"/>
      <c r="MY256" s="261"/>
      <c r="MZ256" s="261"/>
      <c r="NA256" s="261"/>
      <c r="NB256" s="261"/>
      <c r="NC256" s="261"/>
      <c r="ND256" s="261"/>
      <c r="NE256" s="261"/>
      <c r="NF256" s="261"/>
      <c r="NG256" s="261"/>
      <c r="NH256" s="261"/>
      <c r="NI256" s="261"/>
      <c r="NJ256" s="261"/>
      <c r="NK256" s="13"/>
      <c r="NL256" s="262"/>
      <c r="NM256" s="262"/>
      <c r="NN256" s="98"/>
      <c r="OO256" s="263"/>
      <c r="OP256" s="263"/>
      <c r="OQ256" s="261"/>
      <c r="OR256" s="96"/>
      <c r="OS256" s="262"/>
      <c r="OT256" s="262"/>
      <c r="OU256" s="12"/>
      <c r="OV256" s="261"/>
      <c r="OW256" s="261"/>
      <c r="OX256" s="261"/>
      <c r="OY256" s="261"/>
      <c r="OZ256" s="261"/>
      <c r="PA256" s="261"/>
      <c r="PB256" s="261"/>
      <c r="PC256" s="261"/>
      <c r="PD256" s="261"/>
      <c r="PE256" s="261"/>
      <c r="PF256" s="261"/>
      <c r="PG256" s="261"/>
      <c r="PH256" s="261"/>
      <c r="PI256" s="261"/>
      <c r="PJ256" s="261"/>
      <c r="PK256" s="261"/>
      <c r="PL256" s="261"/>
      <c r="PM256" s="261"/>
      <c r="PN256" s="261"/>
      <c r="PO256" s="261"/>
      <c r="PP256" s="261"/>
      <c r="PQ256" s="261"/>
      <c r="PR256" s="261"/>
      <c r="PS256" s="261"/>
      <c r="PT256" s="261"/>
      <c r="PU256" s="261"/>
      <c r="PV256" s="261"/>
      <c r="PW256" s="261"/>
      <c r="PX256" s="261"/>
      <c r="PY256" s="261"/>
      <c r="PZ256" s="261"/>
      <c r="QA256" s="261"/>
      <c r="QB256" s="261"/>
      <c r="QC256" s="261"/>
      <c r="QD256" s="261"/>
      <c r="QE256" s="261"/>
      <c r="QF256" s="261"/>
      <c r="QG256" s="261"/>
      <c r="QH256" s="261"/>
      <c r="QI256" s="261"/>
      <c r="QJ256" s="261"/>
      <c r="QK256" s="261"/>
      <c r="QL256" s="261"/>
      <c r="QM256" s="261"/>
      <c r="QN256" s="261"/>
      <c r="QO256" s="261"/>
      <c r="QP256" s="261"/>
      <c r="QQ256" s="261"/>
      <c r="QR256" s="261"/>
      <c r="QS256" s="261"/>
      <c r="QT256" s="261"/>
      <c r="QU256" s="261"/>
      <c r="QV256" s="261"/>
      <c r="QW256" s="262"/>
      <c r="QX256" s="98"/>
      <c r="QY256" s="96"/>
      <c r="QZ256" s="98"/>
      <c r="RA256" s="261"/>
      <c r="RB256" s="261"/>
      <c r="RC256" s="261"/>
      <c r="RD256" s="261"/>
      <c r="RE256" s="261"/>
      <c r="RF256" s="261"/>
      <c r="RG256" s="261"/>
      <c r="RH256" s="261"/>
      <c r="RI256" s="261"/>
      <c r="RJ256" s="261"/>
      <c r="RK256" s="261"/>
      <c r="RL256" s="261"/>
      <c r="RM256" s="261"/>
      <c r="RN256" s="261"/>
      <c r="RO256" s="261"/>
      <c r="RP256" s="261"/>
      <c r="RQ256" s="261"/>
      <c r="RR256" s="261"/>
      <c r="RS256" s="261"/>
      <c r="RT256" s="261"/>
      <c r="RU256" s="261"/>
      <c r="RV256" s="261"/>
      <c r="RW256" s="261"/>
      <c r="RX256" s="261"/>
      <c r="RY256" s="261"/>
      <c r="RZ256" s="261"/>
      <c r="SA256" s="261"/>
      <c r="SB256" s="261"/>
      <c r="SC256" s="261"/>
      <c r="SD256" s="261"/>
      <c r="SE256" s="261"/>
      <c r="SF256" s="261"/>
      <c r="SG256" s="261"/>
      <c r="SH256" s="261"/>
      <c r="SI256" s="261"/>
      <c r="SJ256" s="261"/>
      <c r="SK256" s="261"/>
      <c r="SL256" s="261"/>
      <c r="SM256" s="261"/>
      <c r="SN256" s="261"/>
      <c r="SO256" s="261"/>
      <c r="SP256" s="261"/>
      <c r="SQ256" s="261"/>
      <c r="SR256" s="261"/>
      <c r="SS256" s="261"/>
      <c r="ST256" s="261"/>
      <c r="SU256" s="261"/>
      <c r="SV256" s="261"/>
      <c r="SW256" s="261"/>
      <c r="SX256" s="261"/>
      <c r="SY256" s="261"/>
      <c r="SZ256" s="261"/>
      <c r="TA256" s="261"/>
      <c r="TB256" s="261"/>
      <c r="TC256" s="261"/>
      <c r="TD256" s="13"/>
      <c r="TE256" s="262"/>
      <c r="TF256" s="262"/>
      <c r="TG256" s="98"/>
    </row>
    <row r="257" spans="71:581" ht="10.75" customHeight="1" x14ac:dyDescent="0.2">
      <c r="BS257" s="12"/>
      <c r="BU257" s="13"/>
      <c r="DR257" s="12"/>
      <c r="DS257" s="13"/>
      <c r="DT257" s="14"/>
      <c r="DU257" s="15"/>
      <c r="DV257" s="15"/>
      <c r="DW257" s="15"/>
      <c r="DX257" s="16"/>
      <c r="EA257" s="18"/>
      <c r="EF257" s="18"/>
      <c r="EK257" s="18"/>
      <c r="EP257" s="18"/>
      <c r="GN257" s="12"/>
      <c r="GP257" s="13"/>
      <c r="IV257" s="263"/>
      <c r="IW257" s="263"/>
      <c r="IX257" s="261"/>
      <c r="IY257" s="96"/>
      <c r="IZ257" s="262"/>
      <c r="JA257" s="262"/>
      <c r="JB257" s="12"/>
      <c r="JC257" s="261"/>
      <c r="JD257" s="261"/>
      <c r="JE257" s="261"/>
      <c r="JF257" s="261"/>
      <c r="JG257" s="261"/>
      <c r="JH257" s="261"/>
      <c r="JI257" s="261"/>
      <c r="JJ257" s="261"/>
      <c r="JK257" s="261"/>
      <c r="JL257" s="261"/>
      <c r="JM257" s="261"/>
      <c r="JN257" s="261"/>
      <c r="JO257" s="261"/>
      <c r="JP257" s="261"/>
      <c r="JQ257" s="261"/>
      <c r="JR257" s="261"/>
      <c r="JS257" s="261"/>
      <c r="JT257" s="261"/>
      <c r="JU257" s="261"/>
      <c r="JV257" s="261"/>
      <c r="JW257" s="261"/>
      <c r="JX257" s="261"/>
      <c r="JY257" s="261"/>
      <c r="JZ257" s="261"/>
      <c r="KA257" s="261"/>
      <c r="KB257" s="261"/>
      <c r="KC257" s="261"/>
      <c r="KD257" s="261"/>
      <c r="KE257" s="261"/>
      <c r="KF257" s="261"/>
      <c r="KG257" s="261"/>
      <c r="KH257" s="261"/>
      <c r="KI257" s="261"/>
      <c r="KJ257" s="261"/>
      <c r="KK257" s="261"/>
      <c r="KL257" s="261"/>
      <c r="KM257" s="261"/>
      <c r="KN257" s="261"/>
      <c r="KO257" s="261"/>
      <c r="KP257" s="261"/>
      <c r="KQ257" s="261"/>
      <c r="KR257" s="261"/>
      <c r="KS257" s="261"/>
      <c r="KT257" s="261"/>
      <c r="KU257" s="261"/>
      <c r="KV257" s="261"/>
      <c r="KW257" s="261"/>
      <c r="KX257" s="261"/>
      <c r="KY257" s="261"/>
      <c r="KZ257" s="261"/>
      <c r="LA257" s="261"/>
      <c r="LB257" s="261"/>
      <c r="LC257" s="261"/>
      <c r="LD257" s="262"/>
      <c r="LE257" s="98"/>
      <c r="LF257" s="96"/>
      <c r="LG257" s="98"/>
      <c r="LH257" s="261"/>
      <c r="LI257" s="261"/>
      <c r="LJ257" s="261"/>
      <c r="LK257" s="261"/>
      <c r="LL257" s="261"/>
      <c r="LM257" s="261"/>
      <c r="LN257" s="261"/>
      <c r="LO257" s="261"/>
      <c r="LP257" s="261"/>
      <c r="LQ257" s="261"/>
      <c r="LR257" s="261"/>
      <c r="LS257" s="261"/>
      <c r="LT257" s="261"/>
      <c r="LU257" s="261"/>
      <c r="LV257" s="261"/>
      <c r="LW257" s="261"/>
      <c r="LX257" s="261"/>
      <c r="LY257" s="261"/>
      <c r="LZ257" s="261"/>
      <c r="MA257" s="261"/>
      <c r="MB257" s="261"/>
      <c r="MC257" s="261"/>
      <c r="MD257" s="261"/>
      <c r="ME257" s="261"/>
      <c r="MF257" s="261"/>
      <c r="MG257" s="261"/>
      <c r="MH257" s="261"/>
      <c r="MI257" s="261"/>
      <c r="MJ257" s="261"/>
      <c r="MK257" s="261"/>
      <c r="ML257" s="261"/>
      <c r="MM257" s="261"/>
      <c r="MN257" s="261"/>
      <c r="MO257" s="261"/>
      <c r="MP257" s="261"/>
      <c r="MQ257" s="261"/>
      <c r="MR257" s="261"/>
      <c r="MS257" s="261"/>
      <c r="MT257" s="261"/>
      <c r="MU257" s="261"/>
      <c r="MV257" s="261"/>
      <c r="MW257" s="261"/>
      <c r="MX257" s="261"/>
      <c r="MY257" s="261"/>
      <c r="MZ257" s="261"/>
      <c r="NA257" s="261"/>
      <c r="NB257" s="261"/>
      <c r="NC257" s="261"/>
      <c r="ND257" s="261"/>
      <c r="NE257" s="261"/>
      <c r="NF257" s="261"/>
      <c r="NG257" s="261"/>
      <c r="NH257" s="261"/>
      <c r="NI257" s="261"/>
      <c r="NJ257" s="261"/>
      <c r="NK257" s="13"/>
      <c r="NL257" s="262"/>
      <c r="NM257" s="262"/>
      <c r="NN257" s="98"/>
      <c r="OO257" s="263"/>
      <c r="OP257" s="263"/>
      <c r="OQ257" s="261"/>
      <c r="OR257" s="96"/>
      <c r="OS257" s="262"/>
      <c r="OT257" s="262"/>
      <c r="OU257" s="12"/>
      <c r="OV257" s="261"/>
      <c r="OW257" s="261"/>
      <c r="OX257" s="261"/>
      <c r="OY257" s="261"/>
      <c r="OZ257" s="261"/>
      <c r="PA257" s="261"/>
      <c r="PB257" s="261"/>
      <c r="PC257" s="261"/>
      <c r="PD257" s="261"/>
      <c r="PE257" s="261"/>
      <c r="PF257" s="261"/>
      <c r="PG257" s="261"/>
      <c r="PH257" s="261"/>
      <c r="PI257" s="261"/>
      <c r="PJ257" s="261"/>
      <c r="PK257" s="261"/>
      <c r="PL257" s="261"/>
      <c r="PM257" s="261"/>
      <c r="PN257" s="261"/>
      <c r="PO257" s="261"/>
      <c r="PP257" s="261"/>
      <c r="PQ257" s="261"/>
      <c r="PR257" s="261"/>
      <c r="PS257" s="261"/>
      <c r="PT257" s="261"/>
      <c r="PU257" s="261"/>
      <c r="PV257" s="261"/>
      <c r="PW257" s="261"/>
      <c r="PX257" s="261"/>
      <c r="PY257" s="261"/>
      <c r="PZ257" s="261"/>
      <c r="QA257" s="261"/>
      <c r="QB257" s="261"/>
      <c r="QC257" s="261"/>
      <c r="QD257" s="261"/>
      <c r="QE257" s="261"/>
      <c r="QF257" s="261"/>
      <c r="QG257" s="261"/>
      <c r="QH257" s="261"/>
      <c r="QI257" s="261"/>
      <c r="QJ257" s="261"/>
      <c r="QK257" s="261"/>
      <c r="QL257" s="261"/>
      <c r="QM257" s="261"/>
      <c r="QN257" s="261"/>
      <c r="QO257" s="261"/>
      <c r="QP257" s="261"/>
      <c r="QQ257" s="261"/>
      <c r="QR257" s="261"/>
      <c r="QS257" s="261"/>
      <c r="QT257" s="261"/>
      <c r="QU257" s="261"/>
      <c r="QV257" s="261"/>
      <c r="QW257" s="262"/>
      <c r="QX257" s="98"/>
      <c r="QY257" s="96"/>
      <c r="QZ257" s="98"/>
      <c r="RA257" s="261"/>
      <c r="RB257" s="261"/>
      <c r="RC257" s="261"/>
      <c r="RD257" s="261"/>
      <c r="RE257" s="261"/>
      <c r="RF257" s="261"/>
      <c r="RG257" s="261"/>
      <c r="RH257" s="261"/>
      <c r="RI257" s="261"/>
      <c r="RJ257" s="261"/>
      <c r="RK257" s="261"/>
      <c r="RL257" s="261"/>
      <c r="RM257" s="261"/>
      <c r="RN257" s="261"/>
      <c r="RO257" s="261"/>
      <c r="RP257" s="261"/>
      <c r="RQ257" s="261"/>
      <c r="RR257" s="261"/>
      <c r="RS257" s="261"/>
      <c r="RT257" s="261"/>
      <c r="RU257" s="261"/>
      <c r="RV257" s="261"/>
      <c r="RW257" s="261"/>
      <c r="RX257" s="261"/>
      <c r="RY257" s="261"/>
      <c r="RZ257" s="261"/>
      <c r="SA257" s="261"/>
      <c r="SB257" s="261"/>
      <c r="SC257" s="261"/>
      <c r="SD257" s="261"/>
      <c r="SE257" s="261"/>
      <c r="SF257" s="261"/>
      <c r="SG257" s="261"/>
      <c r="SH257" s="261"/>
      <c r="SI257" s="261"/>
      <c r="SJ257" s="261"/>
      <c r="SK257" s="261"/>
      <c r="SL257" s="261"/>
      <c r="SM257" s="261"/>
      <c r="SN257" s="261"/>
      <c r="SO257" s="261"/>
      <c r="SP257" s="261"/>
      <c r="SQ257" s="261"/>
      <c r="SR257" s="261"/>
      <c r="SS257" s="261"/>
      <c r="ST257" s="261"/>
      <c r="SU257" s="261"/>
      <c r="SV257" s="261"/>
      <c r="SW257" s="261"/>
      <c r="SX257" s="261"/>
      <c r="SY257" s="261"/>
      <c r="SZ257" s="261"/>
      <c r="TA257" s="261"/>
      <c r="TB257" s="261"/>
      <c r="TC257" s="261"/>
      <c r="TD257" s="13"/>
      <c r="TE257" s="262"/>
      <c r="TF257" s="262"/>
      <c r="TG257" s="98"/>
    </row>
    <row r="258" spans="71:581" ht="10.75" customHeight="1" x14ac:dyDescent="0.2">
      <c r="BS258" s="12"/>
      <c r="BU258" s="13"/>
      <c r="DR258" s="12"/>
      <c r="DS258" s="13"/>
      <c r="EA258" s="19"/>
      <c r="EF258" s="18"/>
      <c r="EK258" s="18"/>
      <c r="EP258" s="18"/>
      <c r="GN258" s="12"/>
      <c r="GP258" s="13"/>
      <c r="IV258" s="263"/>
      <c r="IW258" s="263"/>
      <c r="IX258" s="261"/>
      <c r="IY258" s="59"/>
      <c r="IZ258" s="60"/>
      <c r="JA258" s="60"/>
      <c r="JB258" s="14"/>
      <c r="JC258" s="15"/>
      <c r="JD258" s="15"/>
      <c r="JE258" s="15"/>
      <c r="JF258" s="15"/>
      <c r="JG258" s="15"/>
      <c r="JH258" s="15"/>
      <c r="JI258" s="15"/>
      <c r="JJ258" s="15"/>
      <c r="JK258" s="15"/>
      <c r="JL258" s="15"/>
      <c r="JM258" s="15"/>
      <c r="JN258" s="15"/>
      <c r="JO258" s="15"/>
      <c r="JP258" s="15"/>
      <c r="JQ258" s="15"/>
      <c r="JR258" s="15"/>
      <c r="JS258" s="15"/>
      <c r="JT258" s="15"/>
      <c r="JU258" s="15"/>
      <c r="JV258" s="15"/>
      <c r="JW258" s="15"/>
      <c r="JX258" s="15"/>
      <c r="JY258" s="15"/>
      <c r="JZ258" s="15"/>
      <c r="KA258" s="15"/>
      <c r="KB258" s="15"/>
      <c r="KC258" s="15"/>
      <c r="KD258" s="15"/>
      <c r="KE258" s="15"/>
      <c r="KF258" s="15"/>
      <c r="KG258" s="15"/>
      <c r="KH258" s="15"/>
      <c r="KI258" s="15"/>
      <c r="KJ258" s="15"/>
      <c r="KK258" s="15"/>
      <c r="KL258" s="15"/>
      <c r="KM258" s="15"/>
      <c r="KN258" s="15"/>
      <c r="KO258" s="15"/>
      <c r="KP258" s="15"/>
      <c r="KQ258" s="15"/>
      <c r="KR258" s="15"/>
      <c r="KS258" s="15"/>
      <c r="KT258" s="15"/>
      <c r="KU258" s="15"/>
      <c r="KV258" s="15"/>
      <c r="KW258" s="15"/>
      <c r="KX258" s="15"/>
      <c r="KY258" s="15"/>
      <c r="KZ258" s="15"/>
      <c r="LA258" s="15"/>
      <c r="LB258" s="15"/>
      <c r="LC258" s="15"/>
      <c r="LD258" s="60"/>
      <c r="LE258" s="61"/>
      <c r="LF258" s="59"/>
      <c r="LG258" s="61"/>
      <c r="LH258" s="261"/>
      <c r="LI258" s="261"/>
      <c r="LJ258" s="261"/>
      <c r="LK258" s="261"/>
      <c r="LL258" s="261"/>
      <c r="LM258" s="261"/>
      <c r="LN258" s="261"/>
      <c r="LO258" s="261"/>
      <c r="LP258" s="261"/>
      <c r="LQ258" s="261"/>
      <c r="LR258" s="261"/>
      <c r="LS258" s="261"/>
      <c r="LT258" s="261"/>
      <c r="LU258" s="261"/>
      <c r="LV258" s="261"/>
      <c r="LW258" s="261"/>
      <c r="LX258" s="261"/>
      <c r="LY258" s="261"/>
      <c r="LZ258" s="261"/>
      <c r="MA258" s="261"/>
      <c r="MB258" s="261"/>
      <c r="MC258" s="261"/>
      <c r="MD258" s="261"/>
      <c r="ME258" s="261"/>
      <c r="MF258" s="261"/>
      <c r="MG258" s="261"/>
      <c r="MH258" s="261"/>
      <c r="MI258" s="261"/>
      <c r="MJ258" s="261"/>
      <c r="MK258" s="261"/>
      <c r="ML258" s="261"/>
      <c r="MM258" s="261"/>
      <c r="MN258" s="261"/>
      <c r="MO258" s="261"/>
      <c r="MP258" s="261"/>
      <c r="MQ258" s="261"/>
      <c r="MR258" s="261"/>
      <c r="MS258" s="261"/>
      <c r="MT258" s="261"/>
      <c r="MU258" s="261"/>
      <c r="MV258" s="261"/>
      <c r="MW258" s="261"/>
      <c r="MX258" s="261"/>
      <c r="MY258" s="261"/>
      <c r="MZ258" s="261"/>
      <c r="NA258" s="261"/>
      <c r="NB258" s="261"/>
      <c r="NC258" s="261"/>
      <c r="ND258" s="261"/>
      <c r="NE258" s="261"/>
      <c r="NF258" s="261"/>
      <c r="NG258" s="261"/>
      <c r="NH258" s="261"/>
      <c r="NI258" s="261"/>
      <c r="NJ258" s="261"/>
      <c r="NK258" s="13"/>
      <c r="NL258" s="262"/>
      <c r="NM258" s="262"/>
      <c r="NN258" s="98"/>
      <c r="OO258" s="263"/>
      <c r="OP258" s="263"/>
      <c r="OQ258" s="261"/>
      <c r="OR258" s="59"/>
      <c r="OS258" s="60"/>
      <c r="OT258" s="60"/>
      <c r="OU258" s="12"/>
      <c r="OV258" s="261"/>
      <c r="OW258" s="261"/>
      <c r="OX258" s="261"/>
      <c r="OY258" s="261"/>
      <c r="OZ258" s="261"/>
      <c r="PA258" s="261"/>
      <c r="PB258" s="261"/>
      <c r="PC258" s="261"/>
      <c r="PD258" s="261"/>
      <c r="PE258" s="261"/>
      <c r="PF258" s="261"/>
      <c r="PG258" s="261"/>
      <c r="PH258" s="261"/>
      <c r="PI258" s="261"/>
      <c r="PJ258" s="261"/>
      <c r="PK258" s="261"/>
      <c r="PL258" s="261"/>
      <c r="PM258" s="261"/>
      <c r="PN258" s="261"/>
      <c r="PO258" s="261"/>
      <c r="PP258" s="261"/>
      <c r="PQ258" s="261"/>
      <c r="PR258" s="261"/>
      <c r="PS258" s="261"/>
      <c r="PT258" s="261"/>
      <c r="PU258" s="261"/>
      <c r="PV258" s="261"/>
      <c r="PW258" s="261"/>
      <c r="PX258" s="261"/>
      <c r="PY258" s="261"/>
      <c r="PZ258" s="261"/>
      <c r="QA258" s="261"/>
      <c r="QB258" s="261"/>
      <c r="QC258" s="261"/>
      <c r="QD258" s="261"/>
      <c r="QE258" s="261"/>
      <c r="QF258" s="261"/>
      <c r="QG258" s="261"/>
      <c r="QH258" s="261"/>
      <c r="QI258" s="261"/>
      <c r="QJ258" s="261"/>
      <c r="QK258" s="261"/>
      <c r="QL258" s="261"/>
      <c r="QM258" s="261"/>
      <c r="QN258" s="261"/>
      <c r="QO258" s="261"/>
      <c r="QP258" s="261"/>
      <c r="QQ258" s="261"/>
      <c r="QR258" s="261"/>
      <c r="QS258" s="261"/>
      <c r="QT258" s="261"/>
      <c r="QU258" s="261"/>
      <c r="QV258" s="261"/>
      <c r="QW258" s="262"/>
      <c r="QX258" s="98"/>
      <c r="QY258" s="96"/>
      <c r="QZ258" s="98"/>
      <c r="RA258" s="261"/>
      <c r="RB258" s="261"/>
      <c r="RC258" s="261"/>
      <c r="RD258" s="261"/>
      <c r="RE258" s="261"/>
      <c r="RF258" s="261"/>
      <c r="RG258" s="261"/>
      <c r="RH258" s="261"/>
      <c r="RI258" s="261"/>
      <c r="RJ258" s="261"/>
      <c r="RK258" s="261"/>
      <c r="RL258" s="261"/>
      <c r="RM258" s="261"/>
      <c r="RN258" s="261"/>
      <c r="RO258" s="261"/>
      <c r="RP258" s="261"/>
      <c r="RQ258" s="261"/>
      <c r="RR258" s="261"/>
      <c r="RS258" s="261"/>
      <c r="RT258" s="261"/>
      <c r="RU258" s="261"/>
      <c r="RV258" s="261"/>
      <c r="RW258" s="261"/>
      <c r="RX258" s="261"/>
      <c r="RY258" s="261"/>
      <c r="RZ258" s="261"/>
      <c r="SA258" s="261"/>
      <c r="SB258" s="261"/>
      <c r="SC258" s="261"/>
      <c r="SD258" s="261"/>
      <c r="SE258" s="261"/>
      <c r="SF258" s="261"/>
      <c r="SG258" s="261"/>
      <c r="SH258" s="261"/>
      <c r="SI258" s="261"/>
      <c r="SJ258" s="261"/>
      <c r="SK258" s="261"/>
      <c r="SL258" s="261"/>
      <c r="SM258" s="261"/>
      <c r="SN258" s="261"/>
      <c r="SO258" s="261"/>
      <c r="SP258" s="261"/>
      <c r="SQ258" s="261"/>
      <c r="SR258" s="261"/>
      <c r="SS258" s="261"/>
      <c r="ST258" s="261"/>
      <c r="SU258" s="261"/>
      <c r="SV258" s="261"/>
      <c r="SW258" s="261"/>
      <c r="SX258" s="261"/>
      <c r="SY258" s="261"/>
      <c r="SZ258" s="261"/>
      <c r="TA258" s="261"/>
      <c r="TB258" s="261"/>
      <c r="TC258" s="261"/>
      <c r="TD258" s="13"/>
      <c r="TE258" s="262"/>
      <c r="TF258" s="262"/>
      <c r="TG258" s="98"/>
    </row>
    <row r="259" spans="71:581" ht="10.75" customHeight="1" x14ac:dyDescent="0.2">
      <c r="BS259" s="12"/>
      <c r="BU259" s="13"/>
      <c r="DR259" s="12"/>
      <c r="DS259" s="13"/>
      <c r="DY259" s="9"/>
      <c r="DZ259" s="10"/>
      <c r="EA259" s="10"/>
      <c r="EB259" s="10"/>
      <c r="EC259" s="11"/>
      <c r="EF259" s="18"/>
      <c r="EK259" s="18"/>
      <c r="EP259" s="18"/>
      <c r="EU259" s="17"/>
      <c r="GN259" s="12"/>
      <c r="GP259" s="13"/>
      <c r="IV259" s="263"/>
      <c r="IW259" s="263"/>
      <c r="IX259" s="261"/>
      <c r="IY259" s="96"/>
      <c r="IZ259" s="262"/>
      <c r="JA259" s="262"/>
      <c r="JB259" s="12"/>
      <c r="JC259" s="261"/>
      <c r="JD259" s="261"/>
      <c r="JE259" s="261"/>
      <c r="JF259" s="261"/>
      <c r="JG259" s="261"/>
      <c r="JH259" s="261"/>
      <c r="JI259" s="261"/>
      <c r="JJ259" s="261"/>
      <c r="JK259" s="261"/>
      <c r="JL259" s="261"/>
      <c r="JM259" s="261"/>
      <c r="JN259" s="261"/>
      <c r="JO259" s="261"/>
      <c r="JP259" s="261"/>
      <c r="JQ259" s="261"/>
      <c r="JR259" s="261"/>
      <c r="JS259" s="261"/>
      <c r="JT259" s="261"/>
      <c r="JU259" s="261"/>
      <c r="JV259" s="261"/>
      <c r="JW259" s="261"/>
      <c r="JX259" s="261"/>
      <c r="JY259" s="261"/>
      <c r="JZ259" s="261"/>
      <c r="KA259" s="261"/>
      <c r="KB259" s="261"/>
      <c r="KC259" s="261"/>
      <c r="KD259" s="261"/>
      <c r="KE259" s="261"/>
      <c r="KF259" s="261"/>
      <c r="KG259" s="13"/>
      <c r="KH259" s="12"/>
      <c r="KI259" s="261"/>
      <c r="KJ259" s="12"/>
      <c r="KK259" s="261"/>
      <c r="KL259" s="261"/>
      <c r="KM259" s="261"/>
      <c r="KN259" s="261"/>
      <c r="KO259" s="261"/>
      <c r="KP259" s="261"/>
      <c r="KQ259" s="261"/>
      <c r="KR259" s="261"/>
      <c r="KS259" s="261"/>
      <c r="KT259" s="261"/>
      <c r="KU259" s="261"/>
      <c r="KV259" s="261"/>
      <c r="KW259" s="261"/>
      <c r="KX259" s="261"/>
      <c r="KY259" s="261"/>
      <c r="KZ259" s="261"/>
      <c r="LA259" s="261"/>
      <c r="LB259" s="261"/>
      <c r="LC259" s="261"/>
      <c r="LD259" s="261"/>
      <c r="LE259" s="261"/>
      <c r="LF259" s="261"/>
      <c r="LG259" s="261"/>
      <c r="LH259" s="261"/>
      <c r="LI259" s="261"/>
      <c r="LJ259" s="261"/>
      <c r="LK259" s="261"/>
      <c r="LL259" s="261"/>
      <c r="LM259" s="261"/>
      <c r="LN259" s="261"/>
      <c r="LO259" s="261"/>
      <c r="LP259" s="261"/>
      <c r="LQ259" s="261"/>
      <c r="LR259" s="261"/>
      <c r="LS259" s="261"/>
      <c r="LT259" s="261"/>
      <c r="LU259" s="261"/>
      <c r="LV259" s="261"/>
      <c r="LW259" s="261"/>
      <c r="LX259" s="261"/>
      <c r="LY259" s="261"/>
      <c r="LZ259" s="261"/>
      <c r="MA259" s="261"/>
      <c r="MB259" s="261"/>
      <c r="MC259" s="261"/>
      <c r="MD259" s="261"/>
      <c r="ME259" s="261"/>
      <c r="MF259" s="261"/>
      <c r="MG259" s="261"/>
      <c r="MH259" s="261"/>
      <c r="MI259" s="261"/>
      <c r="MJ259" s="261"/>
      <c r="MK259" s="261"/>
      <c r="ML259" s="261"/>
      <c r="MM259" s="261"/>
      <c r="MN259" s="261"/>
      <c r="MO259" s="261"/>
      <c r="MP259" s="261"/>
      <c r="MQ259" s="261"/>
      <c r="MR259" s="261"/>
      <c r="MS259" s="261"/>
      <c r="MT259" s="261"/>
      <c r="MU259" s="261"/>
      <c r="MV259" s="261"/>
      <c r="MW259" s="261"/>
      <c r="MX259" s="261"/>
      <c r="MY259" s="261"/>
      <c r="MZ259" s="261"/>
      <c r="NA259" s="261"/>
      <c r="NB259" s="261"/>
      <c r="NC259" s="261"/>
      <c r="ND259" s="261"/>
      <c r="NE259" s="261"/>
      <c r="NF259" s="261"/>
      <c r="NG259" s="261"/>
      <c r="NH259" s="261"/>
      <c r="NI259" s="261"/>
      <c r="NJ259" s="261"/>
      <c r="NK259" s="13"/>
      <c r="NL259" s="262"/>
      <c r="NM259" s="262"/>
      <c r="NN259" s="98"/>
      <c r="OO259" s="263"/>
      <c r="OP259" s="263"/>
      <c r="OQ259" s="261"/>
      <c r="OR259" s="96"/>
      <c r="OS259" s="262"/>
      <c r="OT259" s="262"/>
      <c r="OU259" s="12"/>
      <c r="OV259" s="261"/>
      <c r="OW259" s="261"/>
      <c r="OX259" s="261"/>
      <c r="OY259" s="261"/>
      <c r="OZ259" s="261"/>
      <c r="PA259" s="261"/>
      <c r="PB259" s="261"/>
      <c r="PC259" s="261"/>
      <c r="PD259" s="261"/>
      <c r="PE259" s="261"/>
      <c r="PF259" s="261"/>
      <c r="PG259" s="261"/>
      <c r="PH259" s="261"/>
      <c r="PI259" s="261"/>
      <c r="PJ259" s="261"/>
      <c r="PK259" s="261"/>
      <c r="PL259" s="261"/>
      <c r="PM259" s="261"/>
      <c r="PN259" s="261"/>
      <c r="PO259" s="261"/>
      <c r="PP259" s="261"/>
      <c r="PQ259" s="261"/>
      <c r="PR259" s="261"/>
      <c r="PS259" s="261"/>
      <c r="PT259" s="261"/>
      <c r="PU259" s="261"/>
      <c r="PV259" s="261"/>
      <c r="PW259" s="261"/>
      <c r="PX259" s="261"/>
      <c r="PY259" s="261"/>
      <c r="PZ259" s="261"/>
      <c r="QA259" s="261"/>
      <c r="QB259" s="261"/>
      <c r="QC259" s="261"/>
      <c r="QD259" s="261"/>
      <c r="QE259" s="261"/>
      <c r="QF259" s="261"/>
      <c r="QG259" s="261"/>
      <c r="QH259" s="261"/>
      <c r="QI259" s="261"/>
      <c r="QJ259" s="261"/>
      <c r="QK259" s="261"/>
      <c r="QL259" s="261"/>
      <c r="QM259" s="261"/>
      <c r="QN259" s="261"/>
      <c r="QO259" s="261"/>
      <c r="QP259" s="261"/>
      <c r="QQ259" s="261"/>
      <c r="QR259" s="261"/>
      <c r="QS259" s="261"/>
      <c r="QT259" s="261"/>
      <c r="QU259" s="261"/>
      <c r="QV259" s="261"/>
      <c r="QW259" s="261"/>
      <c r="QX259" s="13"/>
      <c r="QY259" s="9"/>
      <c r="QZ259" s="11"/>
      <c r="RA259" s="261"/>
      <c r="RB259" s="261"/>
      <c r="RC259" s="261"/>
      <c r="RD259" s="261"/>
      <c r="RE259" s="261"/>
      <c r="RF259" s="261"/>
      <c r="RG259" s="261"/>
      <c r="RH259" s="261"/>
      <c r="RI259" s="261"/>
      <c r="RJ259" s="261"/>
      <c r="RK259" s="261"/>
      <c r="RL259" s="261"/>
      <c r="RM259" s="261"/>
      <c r="RN259" s="261"/>
      <c r="RO259" s="261"/>
      <c r="RP259" s="261"/>
      <c r="RQ259" s="261"/>
      <c r="RR259" s="261"/>
      <c r="RS259" s="261"/>
      <c r="RT259" s="261"/>
      <c r="RU259" s="261"/>
      <c r="RV259" s="261"/>
      <c r="RW259" s="261"/>
      <c r="RX259" s="261"/>
      <c r="RY259" s="261"/>
      <c r="RZ259" s="261"/>
      <c r="SA259" s="261"/>
      <c r="SB259" s="261"/>
      <c r="SC259" s="261"/>
      <c r="SD259" s="261"/>
      <c r="SE259" s="261"/>
      <c r="SF259" s="261"/>
      <c r="SG259" s="261"/>
      <c r="SH259" s="261"/>
      <c r="SI259" s="261"/>
      <c r="SJ259" s="261"/>
      <c r="SK259" s="261"/>
      <c r="SL259" s="261"/>
      <c r="SM259" s="261"/>
      <c r="SN259" s="261"/>
      <c r="SO259" s="261"/>
      <c r="SP259" s="261"/>
      <c r="SQ259" s="261"/>
      <c r="SR259" s="261"/>
      <c r="SS259" s="261"/>
      <c r="ST259" s="261"/>
      <c r="SU259" s="261"/>
      <c r="SV259" s="261"/>
      <c r="SW259" s="261"/>
      <c r="SX259" s="261"/>
      <c r="SY259" s="261"/>
      <c r="SZ259" s="261"/>
      <c r="TA259" s="261"/>
      <c r="TB259" s="261"/>
      <c r="TC259" s="261"/>
      <c r="TD259" s="13"/>
      <c r="TE259" s="262"/>
      <c r="TF259" s="262"/>
      <c r="TG259" s="98"/>
    </row>
    <row r="260" spans="71:581" ht="10.75" customHeight="1" x14ac:dyDescent="0.2">
      <c r="BS260" s="12"/>
      <c r="BU260" s="13"/>
      <c r="DR260" s="12"/>
      <c r="DS260" s="13"/>
      <c r="DY260" s="14"/>
      <c r="DZ260" s="15"/>
      <c r="EA260" s="15"/>
      <c r="EB260" s="15"/>
      <c r="EC260" s="16"/>
      <c r="EF260" s="18"/>
      <c r="EK260" s="18"/>
      <c r="EP260" s="18"/>
      <c r="EU260" s="18"/>
      <c r="GN260" s="12"/>
      <c r="GP260" s="13"/>
      <c r="IV260" s="263"/>
      <c r="IW260" s="263"/>
      <c r="IX260" s="261"/>
      <c r="IY260" s="12"/>
      <c r="IZ260" s="263"/>
      <c r="JA260" s="261"/>
      <c r="JB260" s="12"/>
      <c r="JC260" s="261"/>
      <c r="JD260" s="261"/>
      <c r="JE260" s="261"/>
      <c r="JF260" s="261"/>
      <c r="JG260" s="261"/>
      <c r="JH260" s="261"/>
      <c r="JI260" s="261"/>
      <c r="JJ260" s="261"/>
      <c r="JK260" s="261"/>
      <c r="JL260" s="261"/>
      <c r="JM260" s="261"/>
      <c r="JN260" s="261"/>
      <c r="JO260" s="261"/>
      <c r="JP260" s="261"/>
      <c r="JQ260" s="261"/>
      <c r="JR260" s="261"/>
      <c r="JS260" s="261"/>
      <c r="JT260" s="261"/>
      <c r="JU260" s="261"/>
      <c r="JV260" s="261"/>
      <c r="JW260" s="261"/>
      <c r="JX260" s="261"/>
      <c r="JY260" s="261"/>
      <c r="JZ260" s="261"/>
      <c r="KA260" s="261"/>
      <c r="KB260" s="261"/>
      <c r="KC260" s="261"/>
      <c r="KD260" s="261"/>
      <c r="KE260" s="261"/>
      <c r="KF260" s="261"/>
      <c r="KG260" s="13"/>
      <c r="KH260" s="12"/>
      <c r="KI260" s="261"/>
      <c r="KJ260" s="12"/>
      <c r="KK260" s="261"/>
      <c r="KL260" s="261"/>
      <c r="KM260" s="261"/>
      <c r="KN260" s="261"/>
      <c r="KO260" s="261"/>
      <c r="KP260" s="261"/>
      <c r="KQ260" s="261"/>
      <c r="KR260" s="261"/>
      <c r="KS260" s="261"/>
      <c r="KT260" s="261"/>
      <c r="KU260" s="261"/>
      <c r="KV260" s="261"/>
      <c r="KW260" s="261"/>
      <c r="KX260" s="261"/>
      <c r="KY260" s="261"/>
      <c r="KZ260" s="261"/>
      <c r="LA260" s="261"/>
      <c r="LB260" s="261"/>
      <c r="LC260" s="261"/>
      <c r="LD260" s="261"/>
      <c r="LE260" s="261"/>
      <c r="LF260" s="261"/>
      <c r="LG260" s="261"/>
      <c r="LH260" s="261"/>
      <c r="LI260" s="261"/>
      <c r="LJ260" s="261"/>
      <c r="LK260" s="261"/>
      <c r="LL260" s="261"/>
      <c r="LM260" s="261"/>
      <c r="LN260" s="261"/>
      <c r="LO260" s="261"/>
      <c r="LP260" s="261"/>
      <c r="LQ260" s="261"/>
      <c r="LR260" s="261"/>
      <c r="LS260" s="261"/>
      <c r="LT260" s="261"/>
      <c r="LU260" s="261"/>
      <c r="LV260" s="261"/>
      <c r="LW260" s="261"/>
      <c r="LX260" s="261"/>
      <c r="LY260" s="261"/>
      <c r="LZ260" s="261"/>
      <c r="MA260" s="261"/>
      <c r="MB260" s="261"/>
      <c r="MC260" s="261"/>
      <c r="MD260" s="261"/>
      <c r="ME260" s="261"/>
      <c r="MF260" s="261"/>
      <c r="MG260" s="261"/>
      <c r="MH260" s="261"/>
      <c r="MI260" s="261"/>
      <c r="MJ260" s="261"/>
      <c r="MK260" s="261"/>
      <c r="ML260" s="261"/>
      <c r="MM260" s="261"/>
      <c r="MN260" s="261"/>
      <c r="MO260" s="261"/>
      <c r="MP260" s="261"/>
      <c r="MQ260" s="261"/>
      <c r="MR260" s="261"/>
      <c r="MS260" s="261"/>
      <c r="MT260" s="261"/>
      <c r="MU260" s="261"/>
      <c r="MV260" s="261"/>
      <c r="MW260" s="261"/>
      <c r="MX260" s="261"/>
      <c r="MY260" s="261"/>
      <c r="MZ260" s="261"/>
      <c r="NA260" s="261"/>
      <c r="NB260" s="261"/>
      <c r="NC260" s="261"/>
      <c r="ND260" s="261"/>
      <c r="NE260" s="261"/>
      <c r="NF260" s="261"/>
      <c r="NG260" s="261"/>
      <c r="NH260" s="261"/>
      <c r="NI260" s="261"/>
      <c r="NJ260" s="261"/>
      <c r="NK260" s="13"/>
      <c r="NL260" s="261"/>
      <c r="NM260" s="261"/>
      <c r="NN260" s="13"/>
      <c r="OO260" s="263"/>
      <c r="OP260" s="263"/>
      <c r="OQ260" s="261"/>
      <c r="OR260" s="12"/>
      <c r="OS260" s="263"/>
      <c r="OT260" s="261"/>
      <c r="OU260" s="9"/>
      <c r="OV260" s="10"/>
      <c r="OW260" s="10"/>
      <c r="OX260" s="10"/>
      <c r="OY260" s="10"/>
      <c r="OZ260" s="10"/>
      <c r="PA260" s="10"/>
      <c r="PB260" s="10"/>
      <c r="PC260" s="10"/>
      <c r="PD260" s="10"/>
      <c r="PE260" s="10"/>
      <c r="PF260" s="11"/>
      <c r="PG260" s="10"/>
      <c r="PH260" s="11"/>
      <c r="PI260" s="261"/>
      <c r="PJ260" s="261"/>
      <c r="PK260" s="261"/>
      <c r="PL260" s="261"/>
      <c r="PM260" s="261"/>
      <c r="PN260" s="261"/>
      <c r="PO260" s="261"/>
      <c r="PP260" s="261"/>
      <c r="PQ260" s="261"/>
      <c r="PR260" s="261"/>
      <c r="PS260" s="261"/>
      <c r="PT260" s="261"/>
      <c r="PU260" s="261"/>
      <c r="PV260" s="261"/>
      <c r="PW260" s="261"/>
      <c r="PX260" s="261"/>
      <c r="PY260" s="261"/>
      <c r="PZ260" s="261"/>
      <c r="QA260" s="261"/>
      <c r="QB260" s="261"/>
      <c r="QC260" s="261"/>
      <c r="QD260" s="261"/>
      <c r="QE260" s="261"/>
      <c r="QF260" s="261"/>
      <c r="QG260" s="261"/>
      <c r="QH260" s="261"/>
      <c r="QI260" s="261"/>
      <c r="QJ260" s="261"/>
      <c r="QK260" s="261"/>
      <c r="QL260" s="261"/>
      <c r="QM260" s="261"/>
      <c r="QN260" s="261"/>
      <c r="QO260" s="261"/>
      <c r="QP260" s="261"/>
      <c r="QQ260" s="261"/>
      <c r="QR260" s="261"/>
      <c r="QS260" s="261"/>
      <c r="QT260" s="261"/>
      <c r="QU260" s="261"/>
      <c r="QV260" s="261"/>
      <c r="QW260" s="261"/>
      <c r="QX260" s="13"/>
      <c r="QY260" s="12"/>
      <c r="QZ260" s="13"/>
      <c r="RA260" s="261"/>
      <c r="RB260" s="261"/>
      <c r="RC260" s="261"/>
      <c r="RD260" s="261"/>
      <c r="RE260" s="261"/>
      <c r="RF260" s="261"/>
      <c r="RG260" s="261"/>
      <c r="RH260" s="261"/>
      <c r="RI260" s="261"/>
      <c r="RJ260" s="261"/>
      <c r="RK260" s="261"/>
      <c r="RL260" s="261"/>
      <c r="RM260" s="261"/>
      <c r="RN260" s="261"/>
      <c r="RO260" s="261"/>
      <c r="RP260" s="261"/>
      <c r="RQ260" s="261"/>
      <c r="RR260" s="261"/>
      <c r="RS260" s="261"/>
      <c r="RT260" s="261"/>
      <c r="RU260" s="261"/>
      <c r="RV260" s="261"/>
      <c r="RW260" s="261"/>
      <c r="RX260" s="261"/>
      <c r="RY260" s="261"/>
      <c r="RZ260" s="261"/>
      <c r="SA260" s="261"/>
      <c r="SB260" s="261"/>
      <c r="SC260" s="261"/>
      <c r="SD260" s="261"/>
      <c r="SE260" s="261"/>
      <c r="SF260" s="261"/>
      <c r="SG260" s="261"/>
      <c r="SH260" s="261"/>
      <c r="SI260" s="261"/>
      <c r="SJ260" s="261"/>
      <c r="SK260" s="261"/>
      <c r="SL260" s="261"/>
      <c r="SM260" s="261"/>
      <c r="SN260" s="261"/>
      <c r="SO260" s="261"/>
      <c r="SP260" s="261"/>
      <c r="SQ260" s="261"/>
      <c r="SR260" s="261"/>
      <c r="SS260" s="261"/>
      <c r="ST260" s="261"/>
      <c r="SU260" s="261"/>
      <c r="SV260" s="261"/>
      <c r="SW260" s="261"/>
      <c r="SX260" s="261"/>
      <c r="SY260" s="261"/>
      <c r="SZ260" s="261"/>
      <c r="TA260" s="261"/>
      <c r="TB260" s="261"/>
      <c r="TC260" s="261"/>
      <c r="TD260" s="13"/>
      <c r="TE260" s="261"/>
      <c r="TF260" s="261"/>
      <c r="TG260" s="13"/>
    </row>
    <row r="261" spans="71:581" ht="10.75" customHeight="1" x14ac:dyDescent="0.2">
      <c r="BS261" s="12"/>
      <c r="BU261" s="13"/>
      <c r="DR261" s="12"/>
      <c r="DS261" s="13"/>
      <c r="EF261" s="18"/>
      <c r="EK261" s="18"/>
      <c r="EP261" s="18"/>
      <c r="EU261" s="18"/>
      <c r="GN261" s="12"/>
      <c r="GP261" s="13"/>
      <c r="IV261" s="261"/>
      <c r="IW261" s="261"/>
      <c r="IX261" s="261"/>
      <c r="IY261" s="12"/>
      <c r="IZ261" s="261"/>
      <c r="JA261" s="261"/>
      <c r="JB261" s="12"/>
      <c r="JC261" s="261"/>
      <c r="JD261" s="261"/>
      <c r="JE261" s="261"/>
      <c r="JF261" s="261"/>
      <c r="JG261" s="261"/>
      <c r="JH261" s="261"/>
      <c r="JI261" s="261"/>
      <c r="JJ261" s="261"/>
      <c r="JK261" s="261"/>
      <c r="JL261" s="261"/>
      <c r="JM261" s="261"/>
      <c r="JN261" s="261"/>
      <c r="JO261" s="261"/>
      <c r="JP261" s="261"/>
      <c r="JQ261" s="261"/>
      <c r="JR261" s="261"/>
      <c r="JS261" s="261"/>
      <c r="JT261" s="261"/>
      <c r="JU261" s="261"/>
      <c r="JV261" s="261"/>
      <c r="JW261" s="261"/>
      <c r="JX261" s="261"/>
      <c r="JY261" s="261"/>
      <c r="JZ261" s="261"/>
      <c r="KA261" s="261"/>
      <c r="KB261" s="261"/>
      <c r="KC261" s="261"/>
      <c r="KD261" s="261"/>
      <c r="KE261" s="261"/>
      <c r="KF261" s="261"/>
      <c r="KG261" s="13"/>
      <c r="KH261" s="12"/>
      <c r="KI261" s="261"/>
      <c r="KJ261" s="12"/>
      <c r="KK261" s="261"/>
      <c r="KL261" s="261"/>
      <c r="KM261" s="261"/>
      <c r="KN261" s="261"/>
      <c r="KO261" s="261"/>
      <c r="KP261" s="261"/>
      <c r="KQ261" s="261"/>
      <c r="KR261" s="261"/>
      <c r="KS261" s="261"/>
      <c r="KT261" s="261"/>
      <c r="KU261" s="261"/>
      <c r="KV261" s="261"/>
      <c r="KW261" s="261"/>
      <c r="KX261" s="261"/>
      <c r="KY261" s="261"/>
      <c r="KZ261" s="261"/>
      <c r="LA261" s="261"/>
      <c r="LB261" s="261"/>
      <c r="LC261" s="261"/>
      <c r="LD261" s="261"/>
      <c r="LE261" s="261"/>
      <c r="LF261" s="261"/>
      <c r="LG261" s="261"/>
      <c r="LH261" s="261"/>
      <c r="LI261" s="261"/>
      <c r="LJ261" s="261"/>
      <c r="LK261" s="261"/>
      <c r="LL261" s="261"/>
      <c r="LM261" s="261"/>
      <c r="LN261" s="261"/>
      <c r="LO261" s="261"/>
      <c r="LP261" s="9"/>
      <c r="LQ261" s="10"/>
      <c r="LR261" s="10"/>
      <c r="LS261" s="10"/>
      <c r="LT261" s="10"/>
      <c r="LU261" s="10"/>
      <c r="LV261" s="10"/>
      <c r="LW261" s="10"/>
      <c r="LX261" s="10"/>
      <c r="LY261" s="10"/>
      <c r="LZ261" s="10"/>
      <c r="MA261" s="11"/>
      <c r="MB261" s="10"/>
      <c r="MC261" s="10"/>
      <c r="MD261" s="10"/>
      <c r="ME261" s="10"/>
      <c r="MF261" s="10"/>
      <c r="MG261" s="10"/>
      <c r="MH261" s="10"/>
      <c r="MI261" s="10"/>
      <c r="MJ261" s="10"/>
      <c r="MK261" s="10"/>
      <c r="ML261" s="10"/>
      <c r="MM261" s="10"/>
      <c r="MN261" s="10"/>
      <c r="MO261" s="10"/>
      <c r="MP261" s="10"/>
      <c r="MQ261" s="10"/>
      <c r="MR261" s="10"/>
      <c r="MS261" s="10"/>
      <c r="MT261" s="10"/>
      <c r="MU261" s="10"/>
      <c r="MV261" s="10"/>
      <c r="MW261" s="10"/>
      <c r="MX261" s="10"/>
      <c r="MY261" s="10"/>
      <c r="MZ261" s="10"/>
      <c r="NA261" s="10"/>
      <c r="NB261" s="10"/>
      <c r="NC261" s="10"/>
      <c r="ND261" s="10"/>
      <c r="NE261" s="10"/>
      <c r="NF261" s="10"/>
      <c r="NG261" s="10"/>
      <c r="NH261" s="10"/>
      <c r="NI261" s="10"/>
      <c r="NJ261" s="10"/>
      <c r="NK261" s="11"/>
      <c r="NL261" s="261"/>
      <c r="NM261" s="261"/>
      <c r="NN261" s="13"/>
      <c r="OO261" s="261"/>
      <c r="OP261" s="261"/>
      <c r="OQ261" s="261"/>
      <c r="OR261" s="12"/>
      <c r="OS261" s="261"/>
      <c r="OT261" s="261"/>
      <c r="OU261" s="12"/>
      <c r="OV261" s="261"/>
      <c r="OW261" s="261"/>
      <c r="OX261" s="261"/>
      <c r="OY261" s="261"/>
      <c r="OZ261" s="261"/>
      <c r="PA261" s="261"/>
      <c r="PB261" s="261"/>
      <c r="PC261" s="261"/>
      <c r="PD261" s="261"/>
      <c r="PE261" s="261"/>
      <c r="PF261" s="13"/>
      <c r="PG261" s="261"/>
      <c r="PH261" s="13"/>
      <c r="PI261" s="261"/>
      <c r="PJ261" s="261"/>
      <c r="PK261" s="261"/>
      <c r="PL261" s="261"/>
      <c r="PM261" s="261"/>
      <c r="PN261" s="261"/>
      <c r="PO261" s="261"/>
      <c r="PP261" s="261"/>
      <c r="PQ261" s="261"/>
      <c r="PR261" s="261"/>
      <c r="PS261" s="261"/>
      <c r="PT261" s="261"/>
      <c r="PU261" s="261"/>
      <c r="PV261" s="261"/>
      <c r="PW261" s="261"/>
      <c r="PX261" s="261"/>
      <c r="PY261" s="261"/>
      <c r="PZ261" s="261"/>
      <c r="QA261" s="261"/>
      <c r="QB261" s="261"/>
      <c r="QC261" s="261"/>
      <c r="QD261" s="261"/>
      <c r="QE261" s="261"/>
      <c r="QF261" s="261"/>
      <c r="QG261" s="261"/>
      <c r="QH261" s="261"/>
      <c r="QI261" s="261"/>
      <c r="QJ261" s="261"/>
      <c r="QK261" s="261"/>
      <c r="QL261" s="261"/>
      <c r="QM261" s="261"/>
      <c r="QN261" s="261"/>
      <c r="QO261" s="261"/>
      <c r="QP261" s="261"/>
      <c r="QQ261" s="261"/>
      <c r="QR261" s="261"/>
      <c r="QS261" s="261"/>
      <c r="QT261" s="261"/>
      <c r="QU261" s="261"/>
      <c r="QV261" s="261"/>
      <c r="QW261" s="261"/>
      <c r="QX261" s="13"/>
      <c r="QY261" s="12"/>
      <c r="QZ261" s="13"/>
      <c r="RA261" s="261"/>
      <c r="RB261" s="261"/>
      <c r="RC261" s="261"/>
      <c r="RD261" s="261"/>
      <c r="RE261" s="261"/>
      <c r="RF261" s="261"/>
      <c r="RG261" s="261"/>
      <c r="RH261" s="261"/>
      <c r="RI261" s="261"/>
      <c r="RJ261" s="261"/>
      <c r="RK261" s="261"/>
      <c r="RL261" s="261"/>
      <c r="RM261" s="261"/>
      <c r="RN261" s="261"/>
      <c r="RO261" s="261"/>
      <c r="RP261" s="261"/>
      <c r="RQ261" s="261"/>
      <c r="RR261" s="261"/>
      <c r="RS261" s="261"/>
      <c r="RT261" s="261"/>
      <c r="RU261" s="261"/>
      <c r="RV261" s="261"/>
      <c r="RW261" s="261"/>
      <c r="RX261" s="261"/>
      <c r="RY261" s="261"/>
      <c r="RZ261" s="261"/>
      <c r="SA261" s="261"/>
      <c r="SB261" s="261"/>
      <c r="SC261" s="261"/>
      <c r="SD261" s="261"/>
      <c r="SE261" s="261"/>
      <c r="SF261" s="261"/>
      <c r="SG261" s="261"/>
      <c r="SH261" s="261"/>
      <c r="SI261" s="261"/>
      <c r="SJ261" s="261"/>
      <c r="SK261" s="261"/>
      <c r="SL261" s="261"/>
      <c r="SM261" s="261"/>
      <c r="SN261" s="261"/>
      <c r="SO261" s="261"/>
      <c r="SP261" s="261"/>
      <c r="SQ261" s="261"/>
      <c r="SR261" s="261"/>
      <c r="SS261" s="261"/>
      <c r="ST261" s="261"/>
      <c r="SU261" s="261"/>
      <c r="SV261" s="261"/>
      <c r="SW261" s="261"/>
      <c r="SX261" s="261"/>
      <c r="SY261" s="261"/>
      <c r="SZ261" s="261"/>
      <c r="TA261" s="261"/>
      <c r="TB261" s="261"/>
      <c r="TC261" s="261"/>
      <c r="TD261" s="13"/>
      <c r="TE261" s="261"/>
      <c r="TF261" s="261"/>
      <c r="TG261" s="13"/>
    </row>
    <row r="262" spans="71:581" ht="10.75" customHeight="1" x14ac:dyDescent="0.2">
      <c r="BS262" s="12"/>
      <c r="BU262" s="13"/>
      <c r="DR262" s="12"/>
      <c r="DT262" s="9"/>
      <c r="DU262" s="10"/>
      <c r="DV262" s="10"/>
      <c r="DW262" s="10"/>
      <c r="DX262" s="10"/>
      <c r="DY262" s="10"/>
      <c r="DZ262" s="10"/>
      <c r="EA262" s="10"/>
      <c r="EB262" s="10"/>
      <c r="EC262" s="10"/>
      <c r="ED262" s="9"/>
      <c r="EE262" s="10"/>
      <c r="EF262" s="10"/>
      <c r="EG262" s="10"/>
      <c r="EH262" s="11"/>
      <c r="EI262" s="10"/>
      <c r="EJ262" s="11"/>
      <c r="EK262" s="11"/>
      <c r="EL262" s="10"/>
      <c r="EM262" s="10"/>
      <c r="EN262" s="10"/>
      <c r="EO262" s="10"/>
      <c r="EP262" s="18"/>
      <c r="EU262" s="18"/>
      <c r="EZ262" s="17"/>
      <c r="GN262" s="12"/>
      <c r="GP262" s="13"/>
      <c r="IV262" s="261"/>
      <c r="IW262" s="261"/>
      <c r="IX262" s="261"/>
      <c r="IY262" s="12"/>
      <c r="IZ262" s="261"/>
      <c r="JA262" s="261"/>
      <c r="JB262" s="12"/>
      <c r="JC262" s="261"/>
      <c r="JD262" s="261"/>
      <c r="JE262" s="261"/>
      <c r="JF262" s="261"/>
      <c r="JG262" s="261"/>
      <c r="JH262" s="261"/>
      <c r="JI262" s="261"/>
      <c r="JJ262" s="261"/>
      <c r="JK262" s="261"/>
      <c r="JL262" s="261"/>
      <c r="JM262" s="261"/>
      <c r="JN262" s="261"/>
      <c r="JO262" s="261"/>
      <c r="JP262" s="261"/>
      <c r="JQ262" s="261"/>
      <c r="JR262" s="261"/>
      <c r="JS262" s="261"/>
      <c r="JT262" s="261"/>
      <c r="JU262" s="261"/>
      <c r="JV262" s="261"/>
      <c r="JW262" s="261"/>
      <c r="JX262" s="261"/>
      <c r="JY262" s="261"/>
      <c r="JZ262" s="261"/>
      <c r="KA262" s="261"/>
      <c r="KB262" s="261"/>
      <c r="KC262" s="261"/>
      <c r="KD262" s="261"/>
      <c r="KE262" s="261"/>
      <c r="KF262" s="261"/>
      <c r="KG262" s="13"/>
      <c r="KH262" s="12"/>
      <c r="KI262" s="261"/>
      <c r="KJ262" s="12"/>
      <c r="KK262" s="261"/>
      <c r="KL262" s="261"/>
      <c r="KM262" s="261"/>
      <c r="KN262" s="261"/>
      <c r="KO262" s="261"/>
      <c r="KP262" s="261"/>
      <c r="KQ262" s="261"/>
      <c r="KR262" s="261"/>
      <c r="KS262" s="261"/>
      <c r="KT262" s="261"/>
      <c r="KU262" s="261"/>
      <c r="KV262" s="261"/>
      <c r="KW262" s="261"/>
      <c r="KX262" s="261"/>
      <c r="KY262" s="261"/>
      <c r="KZ262" s="261"/>
      <c r="LA262" s="261"/>
      <c r="LB262" s="261"/>
      <c r="LC262" s="261"/>
      <c r="LD262" s="261"/>
      <c r="LE262" s="261"/>
      <c r="LF262" s="261"/>
      <c r="LG262" s="261"/>
      <c r="LH262" s="261"/>
      <c r="LI262" s="261"/>
      <c r="LJ262" s="261"/>
      <c r="LK262" s="261"/>
      <c r="LL262" s="261"/>
      <c r="LM262" s="261"/>
      <c r="LN262" s="261"/>
      <c r="LO262" s="261"/>
      <c r="LP262" s="12"/>
      <c r="LQ262" s="261"/>
      <c r="LR262" s="261"/>
      <c r="LS262" s="261"/>
      <c r="LT262" s="261"/>
      <c r="LU262" s="261"/>
      <c r="LV262" s="261"/>
      <c r="LW262" s="261"/>
      <c r="LX262" s="261"/>
      <c r="LY262" s="261"/>
      <c r="LZ262" s="261"/>
      <c r="MA262" s="13"/>
      <c r="MB262" s="261"/>
      <c r="MC262" s="261"/>
      <c r="MD262" s="261"/>
      <c r="ME262" s="261"/>
      <c r="MF262" s="261"/>
      <c r="MG262" s="261"/>
      <c r="MH262" s="261"/>
      <c r="MI262" s="261"/>
      <c r="MJ262" s="261"/>
      <c r="MK262" s="261"/>
      <c r="ML262" s="261"/>
      <c r="MM262" s="261"/>
      <c r="MN262" s="261"/>
      <c r="MO262" s="261"/>
      <c r="MP262" s="261"/>
      <c r="MQ262" s="261"/>
      <c r="MR262" s="261"/>
      <c r="MS262" s="261"/>
      <c r="MT262" s="261"/>
      <c r="MU262" s="261"/>
      <c r="MV262" s="261"/>
      <c r="MW262" s="261"/>
      <c r="MX262" s="261"/>
      <c r="MY262" s="261"/>
      <c r="MZ262" s="261"/>
      <c r="NA262" s="261"/>
      <c r="NB262" s="261"/>
      <c r="NC262" s="261"/>
      <c r="ND262" s="261"/>
      <c r="NE262" s="261"/>
      <c r="NF262" s="261"/>
      <c r="NG262" s="261"/>
      <c r="NH262" s="261"/>
      <c r="NI262" s="261"/>
      <c r="NJ262" s="261"/>
      <c r="NK262" s="13"/>
      <c r="NL262" s="261"/>
      <c r="NM262" s="261"/>
      <c r="NN262" s="13"/>
      <c r="OO262" s="261"/>
      <c r="OP262" s="261"/>
      <c r="OQ262" s="261"/>
      <c r="OR262" s="12"/>
      <c r="OS262" s="261"/>
      <c r="OT262" s="261"/>
      <c r="OU262" s="12"/>
      <c r="OV262" s="261"/>
      <c r="OW262" s="261"/>
      <c r="OX262" s="261"/>
      <c r="OY262" s="261"/>
      <c r="OZ262" s="261"/>
      <c r="PA262" s="261"/>
      <c r="PB262" s="261"/>
      <c r="PC262" s="261"/>
      <c r="PD262" s="261"/>
      <c r="PE262" s="261"/>
      <c r="PF262" s="13"/>
      <c r="PG262" s="261"/>
      <c r="PH262" s="13"/>
      <c r="PI262" s="261"/>
      <c r="PJ262" s="261"/>
      <c r="PK262" s="261"/>
      <c r="PL262" s="261"/>
      <c r="PM262" s="261"/>
      <c r="PN262" s="261"/>
      <c r="PO262" s="261"/>
      <c r="PP262" s="261"/>
      <c r="PQ262" s="261"/>
      <c r="PR262" s="261"/>
      <c r="PS262" s="261"/>
      <c r="PT262" s="261"/>
      <c r="PU262" s="261"/>
      <c r="PV262" s="261"/>
      <c r="PW262" s="261"/>
      <c r="PX262" s="261"/>
      <c r="PY262" s="261"/>
      <c r="PZ262" s="261"/>
      <c r="QA262" s="261"/>
      <c r="QB262" s="261"/>
      <c r="QC262" s="261"/>
      <c r="QD262" s="261"/>
      <c r="QE262" s="261"/>
      <c r="QF262" s="261"/>
      <c r="QG262" s="261"/>
      <c r="QH262" s="261"/>
      <c r="QI262" s="261"/>
      <c r="QJ262" s="261"/>
      <c r="QK262" s="261"/>
      <c r="QL262" s="261"/>
      <c r="QM262" s="261"/>
      <c r="QN262" s="261"/>
      <c r="QO262" s="261"/>
      <c r="QP262" s="261"/>
      <c r="QQ262" s="261"/>
      <c r="QR262" s="261"/>
      <c r="QS262" s="261"/>
      <c r="QT262" s="261"/>
      <c r="QU262" s="261"/>
      <c r="QV262" s="261"/>
      <c r="QW262" s="261"/>
      <c r="QX262" s="13"/>
      <c r="QY262" s="12"/>
      <c r="QZ262" s="13"/>
      <c r="RA262" s="261"/>
      <c r="RB262" s="261"/>
      <c r="RC262" s="261"/>
      <c r="RD262" s="261"/>
      <c r="RE262" s="261"/>
      <c r="RF262" s="261"/>
      <c r="RG262" s="261"/>
      <c r="RH262" s="261"/>
      <c r="RI262" s="261"/>
      <c r="RJ262" s="261"/>
      <c r="RK262" s="261"/>
      <c r="RL262" s="261"/>
      <c r="RM262" s="261"/>
      <c r="RN262" s="261"/>
      <c r="RO262" s="261"/>
      <c r="RP262" s="261"/>
      <c r="RQ262" s="261"/>
      <c r="RR262" s="261"/>
      <c r="RS262" s="261"/>
      <c r="RT262" s="261"/>
      <c r="RU262" s="261"/>
      <c r="RV262" s="261"/>
      <c r="RW262" s="261"/>
      <c r="RX262" s="261"/>
      <c r="RY262" s="261"/>
      <c r="RZ262" s="261"/>
      <c r="SA262" s="261"/>
      <c r="SB262" s="261"/>
      <c r="SC262" s="261"/>
      <c r="SD262" s="261"/>
      <c r="SE262" s="261"/>
      <c r="SF262" s="261"/>
      <c r="SG262" s="261"/>
      <c r="SH262" s="261"/>
      <c r="SI262" s="261"/>
      <c r="SJ262" s="261"/>
      <c r="SK262" s="261"/>
      <c r="SL262" s="261"/>
      <c r="SM262" s="261"/>
      <c r="SN262" s="261"/>
      <c r="SO262" s="261"/>
      <c r="SP262" s="261"/>
      <c r="SQ262" s="261"/>
      <c r="SR262" s="261"/>
      <c r="SS262" s="261"/>
      <c r="ST262" s="261"/>
      <c r="SU262" s="261"/>
      <c r="SV262" s="261"/>
      <c r="SW262" s="261"/>
      <c r="SX262" s="261"/>
      <c r="SY262" s="261"/>
      <c r="SZ262" s="261"/>
      <c r="TA262" s="261"/>
      <c r="TB262" s="261"/>
      <c r="TC262" s="261"/>
      <c r="TD262" s="13"/>
      <c r="TE262" s="261"/>
      <c r="TF262" s="261"/>
      <c r="TG262" s="13"/>
    </row>
    <row r="263" spans="71:581" ht="10.75" customHeight="1" x14ac:dyDescent="0.2">
      <c r="BS263" s="12"/>
      <c r="BU263" s="13"/>
      <c r="DR263" s="12"/>
      <c r="DT263" s="14"/>
      <c r="DU263" s="15"/>
      <c r="DV263" s="15"/>
      <c r="DW263" s="15"/>
      <c r="DX263" s="15"/>
      <c r="DY263" s="15"/>
      <c r="DZ263" s="15"/>
      <c r="EA263" s="15"/>
      <c r="EB263" s="15"/>
      <c r="EC263" s="15"/>
      <c r="ED263" s="14"/>
      <c r="EE263" s="15"/>
      <c r="EF263" s="15"/>
      <c r="EG263" s="15"/>
      <c r="EH263" s="16"/>
      <c r="EI263" s="15"/>
      <c r="EJ263" s="16"/>
      <c r="EK263" s="16"/>
      <c r="EL263" s="15"/>
      <c r="EM263" s="15"/>
      <c r="EP263" s="18"/>
      <c r="EU263" s="18"/>
      <c r="EZ263" s="18"/>
      <c r="GN263" s="12"/>
      <c r="GP263" s="13"/>
      <c r="IV263" s="261"/>
      <c r="IW263" s="261"/>
      <c r="IX263" s="261"/>
      <c r="IY263" s="12"/>
      <c r="IZ263" s="261"/>
      <c r="JA263" s="261"/>
      <c r="JB263" s="12"/>
      <c r="JC263" s="261"/>
      <c r="JD263" s="261"/>
      <c r="JE263" s="261"/>
      <c r="JF263" s="261"/>
      <c r="JG263" s="261"/>
      <c r="JH263" s="261"/>
      <c r="JI263" s="261"/>
      <c r="JJ263" s="261"/>
      <c r="JK263" s="261"/>
      <c r="JL263" s="261"/>
      <c r="JM263" s="261"/>
      <c r="JN263" s="261"/>
      <c r="JO263" s="261"/>
      <c r="JP263" s="261"/>
      <c r="JQ263" s="261"/>
      <c r="JR263" s="261"/>
      <c r="JS263" s="261"/>
      <c r="JT263" s="261"/>
      <c r="JU263" s="261"/>
      <c r="JV263" s="261"/>
      <c r="JW263" s="261"/>
      <c r="JX263" s="261"/>
      <c r="JY263" s="261"/>
      <c r="JZ263" s="261"/>
      <c r="KA263" s="261"/>
      <c r="KB263" s="261"/>
      <c r="KC263" s="261"/>
      <c r="KD263" s="261"/>
      <c r="KE263" s="261"/>
      <c r="KF263" s="261"/>
      <c r="KG263" s="13"/>
      <c r="KH263" s="12"/>
      <c r="KI263" s="261"/>
      <c r="KJ263" s="12"/>
      <c r="KK263" s="261"/>
      <c r="KL263" s="261"/>
      <c r="KM263" s="261"/>
      <c r="KN263" s="261"/>
      <c r="KO263" s="261"/>
      <c r="KP263" s="261"/>
      <c r="KQ263" s="261"/>
      <c r="KR263" s="261"/>
      <c r="KS263" s="261"/>
      <c r="KT263" s="261"/>
      <c r="KU263" s="261"/>
      <c r="KV263" s="261"/>
      <c r="KW263" s="261"/>
      <c r="KX263" s="261"/>
      <c r="KY263" s="261"/>
      <c r="KZ263" s="261"/>
      <c r="LA263" s="261"/>
      <c r="LB263" s="261"/>
      <c r="LC263" s="261"/>
      <c r="LD263" s="261"/>
      <c r="LE263" s="261"/>
      <c r="LF263" s="261"/>
      <c r="LG263" s="261"/>
      <c r="LH263" s="261"/>
      <c r="LI263" s="261"/>
      <c r="LJ263" s="261"/>
      <c r="LK263" s="261"/>
      <c r="LL263" s="261"/>
      <c r="LM263" s="261"/>
      <c r="LN263" s="261"/>
      <c r="LO263" s="261"/>
      <c r="LP263" s="12"/>
      <c r="LQ263" s="261"/>
      <c r="LR263" s="261"/>
      <c r="LS263" s="261"/>
      <c r="LT263" s="261"/>
      <c r="LU263" s="261"/>
      <c r="LV263" s="261"/>
      <c r="LW263" s="261"/>
      <c r="LX263" s="261"/>
      <c r="LY263" s="261"/>
      <c r="LZ263" s="261"/>
      <c r="MA263" s="13"/>
      <c r="MB263" s="261"/>
      <c r="MC263" s="261"/>
      <c r="MD263" s="261"/>
      <c r="ME263" s="261"/>
      <c r="MF263" s="261"/>
      <c r="MG263" s="261"/>
      <c r="MH263" s="261"/>
      <c r="MI263" s="261"/>
      <c r="MJ263" s="261"/>
      <c r="MK263" s="261"/>
      <c r="ML263" s="261"/>
      <c r="MM263" s="261"/>
      <c r="MN263" s="261"/>
      <c r="MO263" s="261"/>
      <c r="MP263" s="261"/>
      <c r="MQ263" s="261"/>
      <c r="MR263" s="261"/>
      <c r="MS263" s="261"/>
      <c r="MT263" s="261"/>
      <c r="MU263" s="261"/>
      <c r="MV263" s="261"/>
      <c r="MW263" s="261"/>
      <c r="MX263" s="261"/>
      <c r="MY263" s="261"/>
      <c r="MZ263" s="261"/>
      <c r="NA263" s="261"/>
      <c r="NB263" s="261"/>
      <c r="NC263" s="261"/>
      <c r="ND263" s="261"/>
      <c r="NE263" s="261"/>
      <c r="NF263" s="261"/>
      <c r="NG263" s="261"/>
      <c r="NH263" s="261"/>
      <c r="NI263" s="261"/>
      <c r="NJ263" s="261"/>
      <c r="NK263" s="13"/>
      <c r="NL263" s="261"/>
      <c r="NM263" s="261"/>
      <c r="NN263" s="13"/>
      <c r="OO263" s="261"/>
      <c r="OP263" s="261"/>
      <c r="OQ263" s="261"/>
      <c r="OR263" s="12"/>
      <c r="OS263" s="261"/>
      <c r="OT263" s="261"/>
      <c r="OU263" s="12"/>
      <c r="OV263" s="261"/>
      <c r="OW263" s="261"/>
      <c r="OX263" s="261"/>
      <c r="OY263" s="261"/>
      <c r="OZ263" s="261"/>
      <c r="PA263" s="261"/>
      <c r="PB263" s="261"/>
      <c r="PC263" s="261"/>
      <c r="PD263" s="261"/>
      <c r="PE263" s="261"/>
      <c r="PF263" s="13"/>
      <c r="PG263" s="261"/>
      <c r="PH263" s="13"/>
      <c r="PI263" s="261"/>
      <c r="PJ263" s="261"/>
      <c r="PK263" s="261"/>
      <c r="PL263" s="261"/>
      <c r="PM263" s="261"/>
      <c r="PN263" s="261"/>
      <c r="PO263" s="261"/>
      <c r="PP263" s="261"/>
      <c r="PQ263" s="261"/>
      <c r="PR263" s="261"/>
      <c r="PS263" s="261"/>
      <c r="PT263" s="261"/>
      <c r="PU263" s="261"/>
      <c r="PV263" s="261"/>
      <c r="PW263" s="261"/>
      <c r="PX263" s="261"/>
      <c r="PY263" s="261"/>
      <c r="PZ263" s="261"/>
      <c r="QA263" s="261"/>
      <c r="QB263" s="261"/>
      <c r="QC263" s="261"/>
      <c r="QD263" s="261"/>
      <c r="QE263" s="261"/>
      <c r="QF263" s="261"/>
      <c r="QG263" s="261"/>
      <c r="QH263" s="261"/>
      <c r="QI263" s="261"/>
      <c r="QJ263" s="261"/>
      <c r="QK263" s="261"/>
      <c r="QL263" s="261"/>
      <c r="QM263" s="261"/>
      <c r="QN263" s="261"/>
      <c r="QO263" s="261"/>
      <c r="QP263" s="261"/>
      <c r="QQ263" s="261"/>
      <c r="QR263" s="261"/>
      <c r="QS263" s="261"/>
      <c r="QT263" s="261"/>
      <c r="QU263" s="261"/>
      <c r="QV263" s="261"/>
      <c r="QW263" s="261"/>
      <c r="QX263" s="13"/>
      <c r="QY263" s="12"/>
      <c r="QZ263" s="13"/>
      <c r="RA263" s="261"/>
      <c r="RB263" s="261"/>
      <c r="RC263" s="261"/>
      <c r="RD263" s="261"/>
      <c r="RE263" s="261"/>
      <c r="RF263" s="261"/>
      <c r="RG263" s="261"/>
      <c r="RH263" s="261"/>
      <c r="RI263" s="261"/>
      <c r="RJ263" s="261"/>
      <c r="RK263" s="261"/>
      <c r="RL263" s="261"/>
      <c r="RM263" s="261"/>
      <c r="RN263" s="261"/>
      <c r="RO263" s="261"/>
      <c r="RP263" s="261"/>
      <c r="RQ263" s="261"/>
      <c r="RR263" s="261"/>
      <c r="RS263" s="261"/>
      <c r="RT263" s="261"/>
      <c r="RU263" s="261"/>
      <c r="RV263" s="261"/>
      <c r="RW263" s="261"/>
      <c r="RX263" s="261"/>
      <c r="RY263" s="261"/>
      <c r="RZ263" s="261"/>
      <c r="SA263" s="261"/>
      <c r="SB263" s="261"/>
      <c r="SC263" s="261"/>
      <c r="SD263" s="261"/>
      <c r="SE263" s="261"/>
      <c r="SF263" s="261"/>
      <c r="SG263" s="261"/>
      <c r="SH263" s="261"/>
      <c r="SI263" s="261"/>
      <c r="SJ263" s="261"/>
      <c r="SK263" s="261"/>
      <c r="SL263" s="261"/>
      <c r="SM263" s="261"/>
      <c r="SN263" s="261"/>
      <c r="SO263" s="261"/>
      <c r="SP263" s="261"/>
      <c r="SQ263" s="261"/>
      <c r="SR263" s="261"/>
      <c r="SS263" s="261"/>
      <c r="ST263" s="261"/>
      <c r="SU263" s="261"/>
      <c r="SV263" s="261"/>
      <c r="SW263" s="261"/>
      <c r="SX263" s="261"/>
      <c r="SY263" s="261"/>
      <c r="SZ263" s="261"/>
      <c r="TA263" s="261"/>
      <c r="TB263" s="261"/>
      <c r="TC263" s="261"/>
      <c r="TD263" s="13"/>
      <c r="TE263" s="261"/>
      <c r="TF263" s="261"/>
      <c r="TG263" s="13"/>
    </row>
    <row r="264" spans="71:581" ht="10.75" customHeight="1" x14ac:dyDescent="0.2">
      <c r="BS264" s="12"/>
      <c r="BU264" s="13"/>
      <c r="DR264" s="12"/>
      <c r="DS264" s="13"/>
      <c r="EK264" s="19"/>
      <c r="EN264" s="12"/>
      <c r="EP264" s="18"/>
      <c r="EU264" s="18"/>
      <c r="EZ264" s="18"/>
      <c r="FR264" s="9"/>
      <c r="FS264" s="10"/>
      <c r="FT264" s="10"/>
      <c r="FU264" s="10"/>
      <c r="FV264" s="10"/>
      <c r="FW264" s="10"/>
      <c r="FX264" s="10"/>
      <c r="FY264" s="10"/>
      <c r="FZ264" s="10"/>
      <c r="GA264" s="10"/>
      <c r="GB264" s="10"/>
      <c r="GC264" s="10"/>
      <c r="GD264" s="10"/>
      <c r="GE264" s="11"/>
      <c r="GN264" s="12"/>
      <c r="GP264" s="13"/>
      <c r="IV264" s="261"/>
      <c r="IW264" s="261"/>
      <c r="IX264" s="261"/>
      <c r="IY264" s="12"/>
      <c r="IZ264" s="261"/>
      <c r="JA264" s="261"/>
      <c r="JB264" s="12"/>
      <c r="JC264" s="261"/>
      <c r="JD264" s="261"/>
      <c r="JE264" s="261"/>
      <c r="JF264" s="261"/>
      <c r="JG264" s="261"/>
      <c r="JH264" s="261"/>
      <c r="JI264" s="261"/>
      <c r="JJ264" s="261"/>
      <c r="JK264" s="261"/>
      <c r="JL264" s="261"/>
      <c r="JM264" s="261"/>
      <c r="JN264" s="261"/>
      <c r="JO264" s="261"/>
      <c r="JP264" s="261"/>
      <c r="JQ264" s="261"/>
      <c r="JR264" s="261"/>
      <c r="JS264" s="261"/>
      <c r="JT264" s="261"/>
      <c r="JU264" s="261"/>
      <c r="JV264" s="261"/>
      <c r="JW264" s="261"/>
      <c r="JX264" s="261"/>
      <c r="JY264" s="261"/>
      <c r="JZ264" s="261"/>
      <c r="KA264" s="261"/>
      <c r="KB264" s="261"/>
      <c r="KC264" s="261"/>
      <c r="KD264" s="261"/>
      <c r="KE264" s="261"/>
      <c r="KF264" s="261"/>
      <c r="KG264" s="13"/>
      <c r="KH264" s="12"/>
      <c r="KI264" s="261"/>
      <c r="KJ264" s="12"/>
      <c r="KK264" s="261"/>
      <c r="KL264" s="261"/>
      <c r="KM264" s="261"/>
      <c r="KN264" s="261"/>
      <c r="KO264" s="261"/>
      <c r="KP264" s="261"/>
      <c r="KQ264" s="261"/>
      <c r="KR264" s="261"/>
      <c r="KS264" s="261"/>
      <c r="KT264" s="261"/>
      <c r="KU264" s="261"/>
      <c r="KV264" s="261"/>
      <c r="KW264" s="261"/>
      <c r="KX264" s="261"/>
      <c r="KY264" s="261"/>
      <c r="KZ264" s="261"/>
      <c r="LA264" s="261"/>
      <c r="LB264" s="261"/>
      <c r="LC264" s="261"/>
      <c r="LD264" s="261"/>
      <c r="LE264" s="261"/>
      <c r="LF264" s="261"/>
      <c r="LG264" s="261"/>
      <c r="LH264" s="261"/>
      <c r="LI264" s="261"/>
      <c r="LJ264" s="261"/>
      <c r="LK264" s="261"/>
      <c r="LL264" s="261"/>
      <c r="LM264" s="261"/>
      <c r="LN264" s="261"/>
      <c r="LO264" s="261"/>
      <c r="LP264" s="12"/>
      <c r="LQ264" s="261"/>
      <c r="LR264" s="261"/>
      <c r="LS264" s="261"/>
      <c r="LT264" s="261"/>
      <c r="LU264" s="261"/>
      <c r="LV264" s="261"/>
      <c r="LW264" s="261"/>
      <c r="LX264" s="261"/>
      <c r="LY264" s="261"/>
      <c r="LZ264" s="261"/>
      <c r="MA264" s="13"/>
      <c r="MB264" s="261"/>
      <c r="MC264" s="261"/>
      <c r="MD264" s="261"/>
      <c r="ME264" s="261"/>
      <c r="MF264" s="261"/>
      <c r="MG264" s="261"/>
      <c r="MH264" s="261"/>
      <c r="MI264" s="261"/>
      <c r="MJ264" s="261"/>
      <c r="MK264" s="261"/>
      <c r="ML264" s="261"/>
      <c r="MM264" s="261"/>
      <c r="MN264" s="261"/>
      <c r="MO264" s="261"/>
      <c r="MP264" s="261"/>
      <c r="MQ264" s="261"/>
      <c r="MR264" s="261"/>
      <c r="MS264" s="261"/>
      <c r="MT264" s="261"/>
      <c r="MU264" s="261"/>
      <c r="MV264" s="261"/>
      <c r="MW264" s="261"/>
      <c r="MX264" s="261"/>
      <c r="MY264" s="261"/>
      <c r="MZ264" s="261"/>
      <c r="NA264" s="261"/>
      <c r="NB264" s="261"/>
      <c r="NC264" s="261"/>
      <c r="ND264" s="261"/>
      <c r="NE264" s="261"/>
      <c r="NF264" s="261"/>
      <c r="NG264" s="261"/>
      <c r="NH264" s="261"/>
      <c r="NI264" s="261"/>
      <c r="NJ264" s="261"/>
      <c r="NK264" s="13"/>
      <c r="NL264" s="261"/>
      <c r="NM264" s="261"/>
      <c r="NN264" s="13"/>
      <c r="OO264" s="261"/>
      <c r="OP264" s="261"/>
      <c r="OQ264" s="261"/>
      <c r="OR264" s="12"/>
      <c r="OS264" s="261"/>
      <c r="OT264" s="261"/>
      <c r="OU264" s="12"/>
      <c r="OV264" s="261"/>
      <c r="OW264" s="261"/>
      <c r="OX264" s="261"/>
      <c r="OY264" s="261"/>
      <c r="OZ264" s="261"/>
      <c r="PA264" s="261"/>
      <c r="PB264" s="261"/>
      <c r="PC264" s="261"/>
      <c r="PD264" s="261"/>
      <c r="PE264" s="261"/>
      <c r="PF264" s="13"/>
      <c r="PG264" s="261"/>
      <c r="PH264" s="13"/>
      <c r="PI264" s="261"/>
      <c r="PJ264" s="261"/>
      <c r="PK264" s="261"/>
      <c r="PL264" s="261"/>
      <c r="PM264" s="261"/>
      <c r="PN264" s="261"/>
      <c r="PO264" s="261"/>
      <c r="PP264" s="261"/>
      <c r="PQ264" s="261"/>
      <c r="PR264" s="261"/>
      <c r="PS264" s="261"/>
      <c r="PT264" s="261"/>
      <c r="PU264" s="261"/>
      <c r="PV264" s="261"/>
      <c r="PW264" s="261"/>
      <c r="PX264" s="261"/>
      <c r="PY264" s="261"/>
      <c r="PZ264" s="261"/>
      <c r="QA264" s="261"/>
      <c r="QB264" s="261"/>
      <c r="QC264" s="261"/>
      <c r="QD264" s="261"/>
      <c r="QE264" s="261"/>
      <c r="QF264" s="261"/>
      <c r="QG264" s="261"/>
      <c r="QH264" s="261"/>
      <c r="QI264" s="261"/>
      <c r="QJ264" s="261"/>
      <c r="QK264" s="261"/>
      <c r="QL264" s="261"/>
      <c r="QM264" s="261"/>
      <c r="QN264" s="261"/>
      <c r="QO264" s="261"/>
      <c r="QP264" s="261"/>
      <c r="QQ264" s="261"/>
      <c r="QR264" s="261"/>
      <c r="QS264" s="261"/>
      <c r="QT264" s="261"/>
      <c r="QU264" s="261"/>
      <c r="QV264" s="261"/>
      <c r="QW264" s="261"/>
      <c r="QX264" s="13"/>
      <c r="QY264" s="12"/>
      <c r="QZ264" s="13"/>
      <c r="RA264" s="261"/>
      <c r="RB264" s="261"/>
      <c r="RC264" s="261"/>
      <c r="RD264" s="261"/>
      <c r="RE264" s="261"/>
      <c r="RF264" s="261"/>
      <c r="RG264" s="261"/>
      <c r="RH264" s="261"/>
      <c r="RI264" s="261"/>
      <c r="RJ264" s="261"/>
      <c r="RK264" s="261"/>
      <c r="RL264" s="261"/>
      <c r="RM264" s="261"/>
      <c r="RN264" s="261"/>
      <c r="RO264" s="261"/>
      <c r="RP264" s="261"/>
      <c r="RQ264" s="261"/>
      <c r="RR264" s="261"/>
      <c r="RS264" s="261"/>
      <c r="RT264" s="261"/>
      <c r="RU264" s="261"/>
      <c r="RV264" s="261"/>
      <c r="RW264" s="261"/>
      <c r="RX264" s="261"/>
      <c r="RY264" s="261"/>
      <c r="RZ264" s="261"/>
      <c r="SA264" s="261"/>
      <c r="SB264" s="261"/>
      <c r="SC264" s="261"/>
      <c r="SD264" s="261"/>
      <c r="SE264" s="261"/>
      <c r="SF264" s="261"/>
      <c r="SG264" s="261"/>
      <c r="SH264" s="261"/>
      <c r="SI264" s="261"/>
      <c r="SJ264" s="261"/>
      <c r="SK264" s="261"/>
      <c r="SL264" s="261"/>
      <c r="SM264" s="261"/>
      <c r="SN264" s="261"/>
      <c r="SO264" s="261"/>
      <c r="SP264" s="261"/>
      <c r="SQ264" s="261"/>
      <c r="SR264" s="261"/>
      <c r="SS264" s="261"/>
      <c r="ST264" s="261"/>
      <c r="SU264" s="261"/>
      <c r="SV264" s="261"/>
      <c r="SW264" s="261"/>
      <c r="SX264" s="261"/>
      <c r="SY264" s="261"/>
      <c r="SZ264" s="261"/>
      <c r="TA264" s="261"/>
      <c r="TB264" s="261"/>
      <c r="TC264" s="261"/>
      <c r="TD264" s="13"/>
      <c r="TE264" s="261"/>
      <c r="TF264" s="261"/>
      <c r="TG264" s="13"/>
    </row>
    <row r="265" spans="71:581" ht="10.75" customHeight="1" x14ac:dyDescent="0.2">
      <c r="BS265" s="12"/>
      <c r="BU265" s="13"/>
      <c r="DR265" s="12"/>
      <c r="DS265" s="13"/>
      <c r="EI265" s="9"/>
      <c r="EJ265" s="10"/>
      <c r="EK265" s="10"/>
      <c r="EL265" s="10"/>
      <c r="EM265" s="10"/>
      <c r="EN265" s="12"/>
      <c r="EP265" s="18"/>
      <c r="EU265" s="18"/>
      <c r="EZ265" s="18"/>
      <c r="FE265" s="17"/>
      <c r="FR265" s="12"/>
      <c r="FS265" s="9"/>
      <c r="FT265" s="10"/>
      <c r="FU265" s="10"/>
      <c r="FV265" s="10"/>
      <c r="FW265" s="10"/>
      <c r="FX265" s="10"/>
      <c r="FY265" s="9"/>
      <c r="FZ265" s="10"/>
      <c r="GA265" s="10"/>
      <c r="GB265" s="10"/>
      <c r="GC265" s="10"/>
      <c r="GD265" s="11"/>
      <c r="GE265" s="13"/>
      <c r="GN265" s="12"/>
      <c r="GP265" s="13"/>
      <c r="IY265" s="12"/>
      <c r="IZ265" s="261"/>
      <c r="JA265" s="261"/>
      <c r="JB265" s="12"/>
      <c r="JC265" s="261"/>
      <c r="JD265" s="261"/>
      <c r="JE265" s="261"/>
      <c r="JF265" s="261"/>
      <c r="JG265" s="261"/>
      <c r="JH265" s="261"/>
      <c r="JI265" s="261"/>
      <c r="JJ265" s="261"/>
      <c r="JK265" s="261"/>
      <c r="JL265" s="261"/>
      <c r="JM265" s="261"/>
      <c r="JN265" s="261"/>
      <c r="JO265" s="261"/>
      <c r="JP265" s="261"/>
      <c r="JQ265" s="261"/>
      <c r="JR265" s="261"/>
      <c r="JS265" s="261"/>
      <c r="JT265" s="261"/>
      <c r="JU265" s="261"/>
      <c r="JV265" s="261"/>
      <c r="JW265" s="261"/>
      <c r="JX265" s="261"/>
      <c r="JY265" s="261"/>
      <c r="JZ265" s="261"/>
      <c r="KA265" s="261"/>
      <c r="KB265" s="261"/>
      <c r="KC265" s="261"/>
      <c r="KD265" s="261"/>
      <c r="KE265" s="261"/>
      <c r="KF265" s="261"/>
      <c r="KG265" s="13"/>
      <c r="KH265" s="12"/>
      <c r="KI265" s="261"/>
      <c r="KJ265" s="12"/>
      <c r="KK265" s="261"/>
      <c r="KL265" s="261"/>
      <c r="KM265" s="261"/>
      <c r="KN265" s="261"/>
      <c r="KO265" s="261"/>
      <c r="KP265" s="261"/>
      <c r="KQ265" s="261"/>
      <c r="KR265" s="261"/>
      <c r="KS265" s="261"/>
      <c r="KT265" s="261"/>
      <c r="KU265" s="261"/>
      <c r="KV265" s="261"/>
      <c r="KW265" s="261"/>
      <c r="KX265" s="261"/>
      <c r="KY265" s="261"/>
      <c r="KZ265" s="261"/>
      <c r="LA265" s="261"/>
      <c r="LB265" s="261"/>
      <c r="LC265" s="261"/>
      <c r="LD265" s="261"/>
      <c r="LE265" s="261"/>
      <c r="LF265" s="261"/>
      <c r="LG265" s="261"/>
      <c r="LH265" s="261"/>
      <c r="LI265" s="261"/>
      <c r="LJ265" s="261"/>
      <c r="LK265" s="261"/>
      <c r="LL265" s="261"/>
      <c r="LM265" s="261"/>
      <c r="LN265" s="261"/>
      <c r="LO265" s="261"/>
      <c r="LP265" s="12"/>
      <c r="LQ265" s="261"/>
      <c r="LR265" s="261"/>
      <c r="LS265" s="261"/>
      <c r="LT265" s="261"/>
      <c r="LU265" s="261"/>
      <c r="LV265" s="261"/>
      <c r="LW265" s="261"/>
      <c r="LX265" s="261"/>
      <c r="LY265" s="261"/>
      <c r="LZ265" s="261"/>
      <c r="MA265" s="13"/>
      <c r="MB265" s="261"/>
      <c r="MC265" s="261"/>
      <c r="MD265" s="261"/>
      <c r="ME265" s="261"/>
      <c r="MF265" s="261"/>
      <c r="MG265" s="261"/>
      <c r="MH265" s="261"/>
      <c r="MI265" s="261"/>
      <c r="MJ265" s="261"/>
      <c r="MK265" s="261"/>
      <c r="ML265" s="261"/>
      <c r="MM265" s="261"/>
      <c r="MN265" s="261"/>
      <c r="MO265" s="261"/>
      <c r="MP265" s="261"/>
      <c r="MQ265" s="261"/>
      <c r="MR265" s="261"/>
      <c r="MS265" s="261"/>
      <c r="MT265" s="261"/>
      <c r="MU265" s="261"/>
      <c r="MV265" s="261"/>
      <c r="MW265" s="261"/>
      <c r="MX265" s="261"/>
      <c r="MY265" s="261"/>
      <c r="MZ265" s="261"/>
      <c r="NA265" s="261"/>
      <c r="NB265" s="261"/>
      <c r="NC265" s="261"/>
      <c r="ND265" s="261"/>
      <c r="NE265" s="261"/>
      <c r="NF265" s="261"/>
      <c r="NG265" s="261"/>
      <c r="NH265" s="261"/>
      <c r="NI265" s="261"/>
      <c r="NJ265" s="261"/>
      <c r="NK265" s="13"/>
      <c r="NL265" s="261"/>
      <c r="NM265" s="261"/>
      <c r="NN265" s="13"/>
      <c r="OR265" s="12"/>
      <c r="OS265" s="261"/>
      <c r="OT265" s="261"/>
      <c r="OU265" s="12"/>
      <c r="OV265" s="261"/>
      <c r="OW265" s="261"/>
      <c r="OX265" s="261"/>
      <c r="OY265" s="261"/>
      <c r="OZ265" s="261"/>
      <c r="PA265" s="261"/>
      <c r="PB265" s="261"/>
      <c r="PC265" s="261"/>
      <c r="PD265" s="261"/>
      <c r="PE265" s="261"/>
      <c r="PF265" s="13"/>
      <c r="PG265" s="261"/>
      <c r="PH265" s="13"/>
      <c r="PI265" s="261"/>
      <c r="PJ265" s="261"/>
      <c r="PK265" s="261"/>
      <c r="PL265" s="261"/>
      <c r="PM265" s="261"/>
      <c r="PN265" s="261"/>
      <c r="PO265" s="261"/>
      <c r="PP265" s="261"/>
      <c r="PQ265" s="261"/>
      <c r="PR265" s="261"/>
      <c r="PS265" s="261"/>
      <c r="PT265" s="261"/>
      <c r="PU265" s="261"/>
      <c r="PV265" s="261"/>
      <c r="PW265" s="261"/>
      <c r="PX265" s="261"/>
      <c r="PY265" s="261"/>
      <c r="PZ265" s="261"/>
      <c r="QA265" s="261"/>
      <c r="QB265" s="261"/>
      <c r="QC265" s="261"/>
      <c r="QD265" s="261"/>
      <c r="QE265" s="261"/>
      <c r="QF265" s="261"/>
      <c r="QG265" s="261"/>
      <c r="QH265" s="261"/>
      <c r="QI265" s="261"/>
      <c r="QJ265" s="261"/>
      <c r="QK265" s="261"/>
      <c r="QL265" s="261"/>
      <c r="QM265" s="261"/>
      <c r="QN265" s="261"/>
      <c r="QO265" s="261"/>
      <c r="QP265" s="261"/>
      <c r="QQ265" s="261"/>
      <c r="QR265" s="261"/>
      <c r="QS265" s="261"/>
      <c r="QT265" s="261"/>
      <c r="QU265" s="261"/>
      <c r="QV265" s="261"/>
      <c r="QW265" s="261"/>
      <c r="QX265" s="13"/>
      <c r="QY265" s="9"/>
      <c r="QZ265" s="11"/>
      <c r="RA265" s="261"/>
      <c r="RB265" s="261"/>
      <c r="RC265" s="261"/>
      <c r="RD265" s="261"/>
      <c r="RE265" s="261"/>
      <c r="RF265" s="261"/>
      <c r="RG265" s="261"/>
      <c r="RH265" s="261"/>
      <c r="RI265" s="261"/>
      <c r="RJ265" s="261"/>
      <c r="RK265" s="261"/>
      <c r="RL265" s="261"/>
      <c r="RM265" s="261"/>
      <c r="RN265" s="261"/>
      <c r="RO265" s="261"/>
      <c r="RP265" s="261"/>
      <c r="RQ265" s="261"/>
      <c r="RR265" s="261"/>
      <c r="RS265" s="261"/>
      <c r="RT265" s="261"/>
      <c r="RU265" s="261"/>
      <c r="RV265" s="261"/>
      <c r="RW265" s="261"/>
      <c r="RX265" s="261"/>
      <c r="RY265" s="261"/>
      <c r="RZ265" s="261"/>
      <c r="SA265" s="261"/>
      <c r="SB265" s="261"/>
      <c r="SC265" s="261"/>
      <c r="SD265" s="261"/>
      <c r="SE265" s="261"/>
      <c r="SF265" s="261"/>
      <c r="SG265" s="261"/>
      <c r="SH265" s="261"/>
      <c r="SI265" s="261"/>
      <c r="SJ265" s="261"/>
      <c r="SK265" s="261"/>
      <c r="SL265" s="261"/>
      <c r="SM265" s="261"/>
      <c r="SN265" s="261"/>
      <c r="SO265" s="261"/>
      <c r="SP265" s="261"/>
      <c r="SQ265" s="261"/>
      <c r="SR265" s="261"/>
      <c r="SS265" s="261"/>
      <c r="ST265" s="261"/>
      <c r="SU265" s="261"/>
      <c r="SV265" s="261"/>
      <c r="SW265" s="261"/>
      <c r="SX265" s="261"/>
      <c r="SY265" s="261"/>
      <c r="SZ265" s="261"/>
      <c r="TA265" s="261"/>
      <c r="TB265" s="261"/>
      <c r="TC265" s="261"/>
      <c r="TD265" s="13"/>
      <c r="TE265" s="261"/>
      <c r="TF265" s="261"/>
      <c r="TG265" s="13"/>
    </row>
    <row r="266" spans="71:581" ht="10.75" customHeight="1" x14ac:dyDescent="0.2">
      <c r="BS266" s="12"/>
      <c r="BU266" s="13"/>
      <c r="DR266" s="12"/>
      <c r="DS266" s="13"/>
      <c r="EI266" s="14"/>
      <c r="EJ266" s="15"/>
      <c r="EK266" s="15"/>
      <c r="EL266" s="15"/>
      <c r="EM266" s="15"/>
      <c r="EN266" s="12"/>
      <c r="EP266" s="18"/>
      <c r="EU266" s="18"/>
      <c r="EZ266" s="18"/>
      <c r="FE266" s="18"/>
      <c r="FR266" s="12"/>
      <c r="FS266" s="12"/>
      <c r="FY266" s="12"/>
      <c r="GD266" s="13"/>
      <c r="GE266" s="13"/>
      <c r="GN266" s="12"/>
      <c r="GP266" s="13"/>
      <c r="IY266" s="12"/>
      <c r="IZ266" s="261"/>
      <c r="JA266" s="261"/>
      <c r="JB266" s="12"/>
      <c r="JC266" s="261"/>
      <c r="JD266" s="261"/>
      <c r="JE266" s="261"/>
      <c r="JF266" s="261"/>
      <c r="JG266" s="261"/>
      <c r="JH266" s="261"/>
      <c r="JI266" s="261"/>
      <c r="JJ266" s="261"/>
      <c r="JK266" s="261"/>
      <c r="JL266" s="261"/>
      <c r="JM266" s="261"/>
      <c r="JN266" s="261"/>
      <c r="JO266" s="261"/>
      <c r="JP266" s="261"/>
      <c r="JQ266" s="261"/>
      <c r="JR266" s="261"/>
      <c r="JS266" s="261"/>
      <c r="JT266" s="261"/>
      <c r="JU266" s="261"/>
      <c r="JV266" s="261"/>
      <c r="JW266" s="261"/>
      <c r="JX266" s="261"/>
      <c r="JY266" s="261"/>
      <c r="JZ266" s="261"/>
      <c r="KA266" s="261"/>
      <c r="KB266" s="261"/>
      <c r="KC266" s="261"/>
      <c r="KD266" s="261"/>
      <c r="KE266" s="261"/>
      <c r="KF266" s="261"/>
      <c r="KG266" s="13"/>
      <c r="KH266" s="12"/>
      <c r="KI266" s="261"/>
      <c r="KJ266" s="12"/>
      <c r="KK266" s="261"/>
      <c r="KL266" s="261"/>
      <c r="KM266" s="261"/>
      <c r="KN266" s="261"/>
      <c r="KO266" s="261"/>
      <c r="KP266" s="261"/>
      <c r="KQ266" s="261"/>
      <c r="KR266" s="261"/>
      <c r="KS266" s="261"/>
      <c r="KT266" s="261"/>
      <c r="KU266" s="261"/>
      <c r="KV266" s="261"/>
      <c r="KW266" s="261"/>
      <c r="KX266" s="261"/>
      <c r="KY266" s="261"/>
      <c r="KZ266" s="261"/>
      <c r="LA266" s="261"/>
      <c r="LB266" s="261"/>
      <c r="LC266" s="261"/>
      <c r="LD266" s="261"/>
      <c r="LE266" s="261"/>
      <c r="LF266" s="261"/>
      <c r="LG266" s="261"/>
      <c r="LH266" s="261"/>
      <c r="LI266" s="261"/>
      <c r="LJ266" s="261"/>
      <c r="LK266" s="261"/>
      <c r="LL266" s="261"/>
      <c r="LM266" s="261"/>
      <c r="LN266" s="261"/>
      <c r="LO266" s="261"/>
      <c r="LP266" s="12"/>
      <c r="LQ266" s="261"/>
      <c r="LR266" s="261"/>
      <c r="LS266" s="261"/>
      <c r="LT266" s="261"/>
      <c r="LU266" s="261"/>
      <c r="LV266" s="261"/>
      <c r="LW266" s="261"/>
      <c r="LX266" s="261"/>
      <c r="LY266" s="261"/>
      <c r="LZ266" s="261"/>
      <c r="MA266" s="13"/>
      <c r="MB266" s="261"/>
      <c r="MC266" s="261"/>
      <c r="MD266" s="261"/>
      <c r="ME266" s="261"/>
      <c r="MF266" s="261"/>
      <c r="MG266" s="261"/>
      <c r="MH266" s="261"/>
      <c r="MI266" s="261"/>
      <c r="MJ266" s="261"/>
      <c r="MK266" s="261"/>
      <c r="ML266" s="261"/>
      <c r="MM266" s="261"/>
      <c r="MN266" s="261"/>
      <c r="MO266" s="261"/>
      <c r="MP266" s="261"/>
      <c r="MQ266" s="261"/>
      <c r="MR266" s="261"/>
      <c r="MS266" s="261"/>
      <c r="MT266" s="261"/>
      <c r="MU266" s="261"/>
      <c r="MV266" s="261"/>
      <c r="MW266" s="261"/>
      <c r="MX266" s="261"/>
      <c r="MY266" s="261"/>
      <c r="MZ266" s="261"/>
      <c r="NA266" s="261"/>
      <c r="NB266" s="261"/>
      <c r="NC266" s="261"/>
      <c r="ND266" s="261"/>
      <c r="NE266" s="261"/>
      <c r="NF266" s="261"/>
      <c r="NG266" s="261"/>
      <c r="NH266" s="261"/>
      <c r="NI266" s="261"/>
      <c r="NJ266" s="261"/>
      <c r="NK266" s="13"/>
      <c r="NL266" s="261"/>
      <c r="NM266" s="261"/>
      <c r="NN266" s="13"/>
      <c r="OR266" s="12"/>
      <c r="OS266" s="261"/>
      <c r="OT266" s="261"/>
      <c r="OU266" s="12"/>
      <c r="OV266" s="261"/>
      <c r="OW266" s="261"/>
      <c r="OX266" s="261"/>
      <c r="OY266" s="261"/>
      <c r="OZ266" s="261"/>
      <c r="PA266" s="261"/>
      <c r="PB266" s="261"/>
      <c r="PC266" s="261"/>
      <c r="PD266" s="261"/>
      <c r="PE266" s="261"/>
      <c r="PF266" s="13"/>
      <c r="PG266" s="261"/>
      <c r="PH266" s="13"/>
      <c r="PI266" s="261"/>
      <c r="PJ266" s="261"/>
      <c r="PK266" s="261"/>
      <c r="PL266" s="261"/>
      <c r="PM266" s="261"/>
      <c r="PN266" s="261"/>
      <c r="PO266" s="261"/>
      <c r="PP266" s="261"/>
      <c r="PQ266" s="261"/>
      <c r="PR266" s="261"/>
      <c r="PS266" s="261"/>
      <c r="PT266" s="261"/>
      <c r="PU266" s="261"/>
      <c r="PV266" s="261"/>
      <c r="PW266" s="261"/>
      <c r="PX266" s="261"/>
      <c r="PY266" s="261"/>
      <c r="PZ266" s="261"/>
      <c r="QA266" s="261"/>
      <c r="QB266" s="261"/>
      <c r="QC266" s="261"/>
      <c r="QD266" s="261"/>
      <c r="QE266" s="261"/>
      <c r="QF266" s="261"/>
      <c r="QG266" s="261"/>
      <c r="QH266" s="261"/>
      <c r="QI266" s="261"/>
      <c r="QJ266" s="261"/>
      <c r="QK266" s="261"/>
      <c r="QL266" s="261"/>
      <c r="QM266" s="261"/>
      <c r="QN266" s="261"/>
      <c r="QO266" s="261"/>
      <c r="QP266" s="261"/>
      <c r="QQ266" s="261"/>
      <c r="QR266" s="261"/>
      <c r="QS266" s="261"/>
      <c r="QT266" s="261"/>
      <c r="QU266" s="261"/>
      <c r="QV266" s="261"/>
      <c r="QW266" s="261"/>
      <c r="QX266" s="13"/>
      <c r="QY266" s="14"/>
      <c r="QZ266" s="16"/>
      <c r="RA266" s="261"/>
      <c r="RB266" s="261"/>
      <c r="RC266" s="261"/>
      <c r="RD266" s="261"/>
      <c r="RE266" s="261"/>
      <c r="RF266" s="261"/>
      <c r="RG266" s="261"/>
      <c r="RH266" s="261"/>
      <c r="RI266" s="261"/>
      <c r="RJ266" s="261"/>
      <c r="RK266" s="261"/>
      <c r="RL266" s="261"/>
      <c r="RM266" s="261"/>
      <c r="RN266" s="261"/>
      <c r="RO266" s="261"/>
      <c r="RP266" s="261"/>
      <c r="RQ266" s="261"/>
      <c r="RR266" s="261"/>
      <c r="RS266" s="261"/>
      <c r="RT266" s="261"/>
      <c r="RU266" s="261"/>
      <c r="RV266" s="261"/>
      <c r="RW266" s="261"/>
      <c r="RX266" s="261"/>
      <c r="RY266" s="261"/>
      <c r="RZ266" s="261"/>
      <c r="SA266" s="261"/>
      <c r="SB266" s="261"/>
      <c r="SC266" s="261"/>
      <c r="SD266" s="261"/>
      <c r="SE266" s="261"/>
      <c r="SF266" s="261"/>
      <c r="SG266" s="261"/>
      <c r="SH266" s="261"/>
      <c r="SI266" s="261"/>
      <c r="SJ266" s="261"/>
      <c r="SK266" s="261"/>
      <c r="SL266" s="261"/>
      <c r="SM266" s="261"/>
      <c r="SN266" s="261"/>
      <c r="SO266" s="261"/>
      <c r="SP266" s="261"/>
      <c r="SQ266" s="261"/>
      <c r="SR266" s="261"/>
      <c r="SS266" s="261"/>
      <c r="ST266" s="261"/>
      <c r="SU266" s="261"/>
      <c r="SV266" s="261"/>
      <c r="SW266" s="261"/>
      <c r="SX266" s="261"/>
      <c r="SY266" s="261"/>
      <c r="SZ266" s="261"/>
      <c r="TA266" s="261"/>
      <c r="TB266" s="261"/>
      <c r="TC266" s="261"/>
      <c r="TD266" s="13"/>
      <c r="TE266" s="261"/>
      <c r="TF266" s="261"/>
      <c r="TG266" s="13"/>
    </row>
    <row r="267" spans="71:581" ht="10.75" customHeight="1" x14ac:dyDescent="0.2">
      <c r="BS267" s="12"/>
      <c r="BU267" s="13"/>
      <c r="DR267" s="12"/>
      <c r="DS267" s="13"/>
      <c r="EN267" s="12"/>
      <c r="EP267" s="19"/>
      <c r="EU267" s="18"/>
      <c r="EZ267" s="18"/>
      <c r="FE267" s="18"/>
      <c r="FR267" s="12"/>
      <c r="FS267" s="12"/>
      <c r="FY267" s="12"/>
      <c r="GD267" s="13"/>
      <c r="GE267" s="13"/>
      <c r="GN267" s="12"/>
      <c r="GP267" s="13"/>
      <c r="IY267" s="12"/>
      <c r="IZ267" s="261"/>
      <c r="JA267" s="261"/>
      <c r="JB267" s="12"/>
      <c r="JC267" s="261"/>
      <c r="JD267" s="261"/>
      <c r="JE267" s="261"/>
      <c r="JF267" s="261"/>
      <c r="JG267" s="261"/>
      <c r="JH267" s="261"/>
      <c r="JI267" s="261"/>
      <c r="JJ267" s="261"/>
      <c r="JK267" s="261"/>
      <c r="JL267" s="261"/>
      <c r="JM267" s="261"/>
      <c r="JN267" s="261"/>
      <c r="JO267" s="261"/>
      <c r="JP267" s="261"/>
      <c r="JQ267" s="261"/>
      <c r="JR267" s="261"/>
      <c r="JS267" s="261"/>
      <c r="JT267" s="261"/>
      <c r="JU267" s="261"/>
      <c r="JV267" s="261"/>
      <c r="JW267" s="261"/>
      <c r="JX267" s="261"/>
      <c r="JY267" s="261"/>
      <c r="JZ267" s="261"/>
      <c r="KA267" s="261"/>
      <c r="KB267" s="261"/>
      <c r="KC267" s="261"/>
      <c r="KD267" s="261"/>
      <c r="KE267" s="261"/>
      <c r="KF267" s="261"/>
      <c r="KG267" s="13"/>
      <c r="KH267" s="12"/>
      <c r="KI267" s="261"/>
      <c r="KJ267" s="12"/>
      <c r="KK267" s="261"/>
      <c r="KL267" s="261"/>
      <c r="KM267" s="261"/>
      <c r="KN267" s="261"/>
      <c r="KO267" s="261"/>
      <c r="KP267" s="261"/>
      <c r="KQ267" s="261"/>
      <c r="KR267" s="261"/>
      <c r="KS267" s="261"/>
      <c r="KT267" s="261"/>
      <c r="KU267" s="261"/>
      <c r="KV267" s="261"/>
      <c r="KW267" s="261"/>
      <c r="KX267" s="261"/>
      <c r="KY267" s="261"/>
      <c r="KZ267" s="261"/>
      <c r="LA267" s="261"/>
      <c r="LB267" s="261"/>
      <c r="LC267" s="261"/>
      <c r="LD267" s="261"/>
      <c r="LE267" s="261"/>
      <c r="LF267" s="261"/>
      <c r="LG267" s="261"/>
      <c r="LH267" s="261"/>
      <c r="LI267" s="261"/>
      <c r="LJ267" s="261"/>
      <c r="LK267" s="261"/>
      <c r="LL267" s="261"/>
      <c r="LM267" s="261"/>
      <c r="LN267" s="261"/>
      <c r="LO267" s="261"/>
      <c r="LP267" s="12"/>
      <c r="LQ267" s="261"/>
      <c r="LR267" s="261"/>
      <c r="LS267" s="261"/>
      <c r="LT267" s="261"/>
      <c r="LU267" s="261"/>
      <c r="LV267" s="261"/>
      <c r="LW267" s="261"/>
      <c r="LX267" s="261"/>
      <c r="LY267" s="261"/>
      <c r="LZ267" s="261"/>
      <c r="MA267" s="13"/>
      <c r="MB267" s="261"/>
      <c r="MC267" s="261"/>
      <c r="MD267" s="261"/>
      <c r="ME267" s="261"/>
      <c r="MF267" s="261"/>
      <c r="MG267" s="261"/>
      <c r="MH267" s="261"/>
      <c r="MI267" s="261"/>
      <c r="MJ267" s="261"/>
      <c r="MK267" s="261"/>
      <c r="ML267" s="261"/>
      <c r="MM267" s="261"/>
      <c r="MN267" s="261"/>
      <c r="MO267" s="261"/>
      <c r="MP267" s="261"/>
      <c r="MQ267" s="261"/>
      <c r="MR267" s="261"/>
      <c r="MS267" s="261"/>
      <c r="MT267" s="261"/>
      <c r="MU267" s="261"/>
      <c r="MV267" s="261"/>
      <c r="MW267" s="261"/>
      <c r="MX267" s="261"/>
      <c r="MY267" s="261"/>
      <c r="MZ267" s="261"/>
      <c r="NA267" s="261"/>
      <c r="NB267" s="261"/>
      <c r="NC267" s="261"/>
      <c r="ND267" s="261"/>
      <c r="NE267" s="261"/>
      <c r="NF267" s="261"/>
      <c r="NG267" s="261"/>
      <c r="NH267" s="261"/>
      <c r="NI267" s="261"/>
      <c r="NJ267" s="261"/>
      <c r="NK267" s="13"/>
      <c r="NL267" s="261"/>
      <c r="NM267" s="261"/>
      <c r="NN267" s="13"/>
      <c r="OR267" s="12"/>
      <c r="OS267" s="261"/>
      <c r="OT267" s="261"/>
      <c r="OU267" s="12"/>
      <c r="OV267" s="261"/>
      <c r="OW267" s="261"/>
      <c r="OX267" s="261"/>
      <c r="OY267" s="261"/>
      <c r="OZ267" s="261"/>
      <c r="PA267" s="261"/>
      <c r="PB267" s="261"/>
      <c r="PC267" s="261"/>
      <c r="PD267" s="261"/>
      <c r="PE267" s="261"/>
      <c r="PF267" s="13"/>
      <c r="PG267" s="261"/>
      <c r="PH267" s="13"/>
      <c r="PI267" s="261"/>
      <c r="PJ267" s="261"/>
      <c r="PK267" s="261"/>
      <c r="PL267" s="261"/>
      <c r="PM267" s="261"/>
      <c r="PN267" s="261"/>
      <c r="PO267" s="261"/>
      <c r="PP267" s="261"/>
      <c r="PQ267" s="261"/>
      <c r="PR267" s="261"/>
      <c r="PS267" s="261"/>
      <c r="PT267" s="261"/>
      <c r="PU267" s="261"/>
      <c r="PV267" s="261"/>
      <c r="PW267" s="261"/>
      <c r="PX267" s="261"/>
      <c r="PY267" s="261"/>
      <c r="PZ267" s="261"/>
      <c r="QA267" s="261"/>
      <c r="QB267" s="261"/>
      <c r="QC267" s="261"/>
      <c r="QD267" s="261"/>
      <c r="QE267" s="261"/>
      <c r="QF267" s="261"/>
      <c r="QG267" s="261"/>
      <c r="QH267" s="261"/>
      <c r="QI267" s="261"/>
      <c r="QJ267" s="261"/>
      <c r="QK267" s="261"/>
      <c r="QL267" s="261"/>
      <c r="QM267" s="261"/>
      <c r="QN267" s="261"/>
      <c r="QO267" s="261"/>
      <c r="QP267" s="261"/>
      <c r="QQ267" s="261"/>
      <c r="QR267" s="261"/>
      <c r="QS267" s="261"/>
      <c r="QT267" s="261"/>
      <c r="QU267" s="261"/>
      <c r="QV267" s="261"/>
      <c r="QW267" s="261"/>
      <c r="QX267" s="13"/>
      <c r="QY267" s="12"/>
      <c r="QZ267" s="13"/>
      <c r="RA267" s="261"/>
      <c r="RB267" s="261"/>
      <c r="RC267" s="261"/>
      <c r="RD267" s="261"/>
      <c r="RE267" s="261"/>
      <c r="RF267" s="261"/>
      <c r="RG267" s="261"/>
      <c r="RH267" s="261"/>
      <c r="RI267" s="261"/>
      <c r="RJ267" s="261"/>
      <c r="RK267" s="261"/>
      <c r="RL267" s="261"/>
      <c r="RM267" s="261"/>
      <c r="RN267" s="261"/>
      <c r="RO267" s="261"/>
      <c r="RP267" s="261"/>
      <c r="RQ267" s="261"/>
      <c r="RR267" s="261"/>
      <c r="RS267" s="261"/>
      <c r="RT267" s="261"/>
      <c r="RU267" s="261"/>
      <c r="RV267" s="261"/>
      <c r="RW267" s="261"/>
      <c r="RX267" s="261"/>
      <c r="RY267" s="261"/>
      <c r="RZ267" s="261"/>
      <c r="SA267" s="261"/>
      <c r="SB267" s="261"/>
      <c r="SC267" s="261"/>
      <c r="SD267" s="261"/>
      <c r="SE267" s="261"/>
      <c r="SF267" s="261"/>
      <c r="SG267" s="261"/>
      <c r="SH267" s="261"/>
      <c r="SI267" s="261"/>
      <c r="SJ267" s="261"/>
      <c r="SK267" s="261"/>
      <c r="SL267" s="261"/>
      <c r="SM267" s="261"/>
      <c r="SN267" s="261"/>
      <c r="SO267" s="261"/>
      <c r="SP267" s="261"/>
      <c r="SQ267" s="261"/>
      <c r="SR267" s="261"/>
      <c r="SS267" s="261"/>
      <c r="ST267" s="261"/>
      <c r="SU267" s="261"/>
      <c r="SV267" s="261"/>
      <c r="SW267" s="261"/>
      <c r="SX267" s="261"/>
      <c r="SY267" s="261"/>
      <c r="SZ267" s="261"/>
      <c r="TA267" s="261"/>
      <c r="TB267" s="261"/>
      <c r="TC267" s="261"/>
      <c r="TD267" s="13"/>
      <c r="TE267" s="261"/>
      <c r="TF267" s="261"/>
      <c r="TG267" s="13"/>
    </row>
    <row r="268" spans="71:581" ht="10.75" customHeight="1" x14ac:dyDescent="0.2">
      <c r="BS268" s="12"/>
      <c r="BU268" s="13"/>
      <c r="DR268" s="12"/>
      <c r="DS268" s="13"/>
      <c r="EN268" s="9"/>
      <c r="EO268" s="11"/>
      <c r="EP268" s="10"/>
      <c r="EQ268" s="10"/>
      <c r="ER268" s="11"/>
      <c r="EU268" s="18"/>
      <c r="EZ268" s="18"/>
      <c r="FE268" s="18"/>
      <c r="FJ268" s="17"/>
      <c r="FR268" s="12"/>
      <c r="FS268" s="12"/>
      <c r="FY268" s="12"/>
      <c r="GD268" s="13"/>
      <c r="GE268" s="13"/>
      <c r="GN268" s="12"/>
      <c r="GP268" s="13"/>
      <c r="IY268" s="12"/>
      <c r="IZ268" s="261"/>
      <c r="JA268" s="261"/>
      <c r="JB268" s="12"/>
      <c r="JC268" s="261"/>
      <c r="JD268" s="261"/>
      <c r="JE268" s="261"/>
      <c r="JF268" s="261"/>
      <c r="JG268" s="261"/>
      <c r="JH268" s="261"/>
      <c r="JI268" s="261"/>
      <c r="JJ268" s="261"/>
      <c r="JK268" s="261"/>
      <c r="JL268" s="261"/>
      <c r="JM268" s="261"/>
      <c r="JN268" s="261"/>
      <c r="JO268" s="261"/>
      <c r="JP268" s="261"/>
      <c r="JQ268" s="261"/>
      <c r="JR268" s="261"/>
      <c r="JS268" s="261"/>
      <c r="JT268" s="261"/>
      <c r="JU268" s="261"/>
      <c r="JV268" s="261"/>
      <c r="JW268" s="261"/>
      <c r="JX268" s="261"/>
      <c r="JY268" s="261"/>
      <c r="JZ268" s="261"/>
      <c r="KA268" s="261"/>
      <c r="KB268" s="261"/>
      <c r="KC268" s="261"/>
      <c r="KD268" s="261"/>
      <c r="KE268" s="261"/>
      <c r="KF268" s="261"/>
      <c r="KG268" s="13"/>
      <c r="KH268" s="12"/>
      <c r="KI268" s="261"/>
      <c r="KJ268" s="12"/>
      <c r="KK268" s="261"/>
      <c r="KL268" s="261"/>
      <c r="KM268" s="261"/>
      <c r="KN268" s="261"/>
      <c r="KO268" s="261"/>
      <c r="KP268" s="261"/>
      <c r="KQ268" s="261"/>
      <c r="KR268" s="261"/>
      <c r="KS268" s="261"/>
      <c r="KT268" s="261"/>
      <c r="KU268" s="261"/>
      <c r="KV268" s="261"/>
      <c r="KW268" s="261"/>
      <c r="KX268" s="261"/>
      <c r="KY268" s="261"/>
      <c r="KZ268" s="261"/>
      <c r="LA268" s="261"/>
      <c r="LB268" s="261"/>
      <c r="LC268" s="261"/>
      <c r="LD268" s="261"/>
      <c r="LE268" s="261"/>
      <c r="LF268" s="261"/>
      <c r="LG268" s="261"/>
      <c r="LH268" s="261"/>
      <c r="LI268" s="261"/>
      <c r="LJ268" s="261"/>
      <c r="LK268" s="261"/>
      <c r="LL268" s="261"/>
      <c r="LM268" s="261"/>
      <c r="LN268" s="261"/>
      <c r="LO268" s="261"/>
      <c r="LP268" s="12"/>
      <c r="LQ268" s="261"/>
      <c r="LR268" s="261"/>
      <c r="LS268" s="261"/>
      <c r="LT268" s="261"/>
      <c r="LU268" s="261"/>
      <c r="LV268" s="261"/>
      <c r="LW268" s="261"/>
      <c r="LX268" s="261"/>
      <c r="LY268" s="261"/>
      <c r="LZ268" s="261"/>
      <c r="MA268" s="13"/>
      <c r="MB268" s="261"/>
      <c r="MC268" s="261"/>
      <c r="MD268" s="261"/>
      <c r="ME268" s="261"/>
      <c r="MF268" s="261"/>
      <c r="MG268" s="261"/>
      <c r="MH268" s="261"/>
      <c r="MI268" s="261"/>
      <c r="MJ268" s="261"/>
      <c r="MK268" s="261"/>
      <c r="ML268" s="261"/>
      <c r="MM268" s="261"/>
      <c r="MN268" s="261"/>
      <c r="MO268" s="261"/>
      <c r="MP268" s="261"/>
      <c r="MQ268" s="261"/>
      <c r="MR268" s="261"/>
      <c r="MS268" s="261"/>
      <c r="MT268" s="261"/>
      <c r="MU268" s="261"/>
      <c r="MV268" s="261"/>
      <c r="MW268" s="261"/>
      <c r="MX268" s="261"/>
      <c r="MY268" s="261"/>
      <c r="MZ268" s="261"/>
      <c r="NA268" s="261"/>
      <c r="NB268" s="261"/>
      <c r="NC268" s="261"/>
      <c r="ND268" s="261"/>
      <c r="NE268" s="261"/>
      <c r="NF268" s="261"/>
      <c r="NG268" s="261"/>
      <c r="NH268" s="261"/>
      <c r="NI268" s="261"/>
      <c r="NJ268" s="261"/>
      <c r="NK268" s="13"/>
      <c r="NL268" s="261"/>
      <c r="NM268" s="261"/>
      <c r="NN268" s="13"/>
      <c r="OR268" s="12"/>
      <c r="OS268" s="261"/>
      <c r="OT268" s="261"/>
      <c r="OU268" s="12"/>
      <c r="OV268" s="261"/>
      <c r="OW268" s="261"/>
      <c r="OX268" s="261"/>
      <c r="OY268" s="261"/>
      <c r="OZ268" s="261"/>
      <c r="PA268" s="261"/>
      <c r="PB268" s="261"/>
      <c r="PC268" s="261"/>
      <c r="PD268" s="261"/>
      <c r="PE268" s="261"/>
      <c r="PF268" s="13"/>
      <c r="PG268" s="261"/>
      <c r="PH268" s="13"/>
      <c r="PI268" s="261"/>
      <c r="PJ268" s="261"/>
      <c r="PK268" s="261"/>
      <c r="PL268" s="261"/>
      <c r="PM268" s="261"/>
      <c r="PN268" s="261"/>
      <c r="PO268" s="261"/>
      <c r="PP268" s="261"/>
      <c r="PQ268" s="261"/>
      <c r="PR268" s="261"/>
      <c r="PS268" s="261"/>
      <c r="PT268" s="261"/>
      <c r="PU268" s="261"/>
      <c r="PV268" s="261"/>
      <c r="PW268" s="261"/>
      <c r="PX268" s="261"/>
      <c r="PY268" s="261"/>
      <c r="PZ268" s="261"/>
      <c r="QA268" s="261"/>
      <c r="QB268" s="261"/>
      <c r="QC268" s="261"/>
      <c r="QD268" s="261"/>
      <c r="QE268" s="261"/>
      <c r="QF268" s="261"/>
      <c r="QG268" s="261"/>
      <c r="QH268" s="261"/>
      <c r="QI268" s="261"/>
      <c r="QJ268" s="261"/>
      <c r="QK268" s="261"/>
      <c r="QL268" s="261"/>
      <c r="QM268" s="261"/>
      <c r="QN268" s="261"/>
      <c r="QO268" s="261"/>
      <c r="QP268" s="261"/>
      <c r="QQ268" s="261"/>
      <c r="QR268" s="261"/>
      <c r="QS268" s="261"/>
      <c r="QT268" s="261"/>
      <c r="QU268" s="261"/>
      <c r="QV268" s="261"/>
      <c r="QW268" s="261"/>
      <c r="QX268" s="13"/>
      <c r="QY268" s="12"/>
      <c r="QZ268" s="13"/>
      <c r="RA268" s="261"/>
      <c r="RB268" s="261"/>
      <c r="RC268" s="261"/>
      <c r="RD268" s="261"/>
      <c r="RE268" s="261"/>
      <c r="RF268" s="261"/>
      <c r="RG268" s="261"/>
      <c r="RH268" s="261"/>
      <c r="RI268" s="261"/>
      <c r="RJ268" s="261"/>
      <c r="RK268" s="261"/>
      <c r="RL268" s="261"/>
      <c r="RM268" s="261"/>
      <c r="RN268" s="261"/>
      <c r="RO268" s="261"/>
      <c r="RP268" s="261"/>
      <c r="RQ268" s="261"/>
      <c r="RR268" s="261"/>
      <c r="RS268" s="261"/>
      <c r="RT268" s="261"/>
      <c r="RU268" s="261"/>
      <c r="RV268" s="261"/>
      <c r="RW268" s="261"/>
      <c r="RX268" s="261"/>
      <c r="RY268" s="261"/>
      <c r="RZ268" s="261"/>
      <c r="SA268" s="261"/>
      <c r="SB268" s="261"/>
      <c r="SC268" s="261"/>
      <c r="SD268" s="261"/>
      <c r="SE268" s="261"/>
      <c r="SF268" s="261"/>
      <c r="SG268" s="261"/>
      <c r="SH268" s="261"/>
      <c r="SI268" s="261"/>
      <c r="SJ268" s="261"/>
      <c r="SK268" s="261"/>
      <c r="SL268" s="261"/>
      <c r="SM268" s="261"/>
      <c r="SN268" s="261"/>
      <c r="SO268" s="261"/>
      <c r="SP268" s="261"/>
      <c r="SQ268" s="261"/>
      <c r="SR268" s="261"/>
      <c r="SS268" s="261"/>
      <c r="ST268" s="261"/>
      <c r="SU268" s="261"/>
      <c r="SV268" s="261"/>
      <c r="SW268" s="261"/>
      <c r="SX268" s="261"/>
      <c r="SY268" s="261"/>
      <c r="SZ268" s="261"/>
      <c r="TA268" s="261"/>
      <c r="TB268" s="261"/>
      <c r="TC268" s="261"/>
      <c r="TD268" s="13"/>
      <c r="TE268" s="261"/>
      <c r="TF268" s="261"/>
      <c r="TG268" s="13"/>
    </row>
    <row r="269" spans="71:581" ht="10.75" customHeight="1" x14ac:dyDescent="0.2">
      <c r="BS269" s="12"/>
      <c r="BU269" s="13"/>
      <c r="DR269" s="12"/>
      <c r="DS269" s="13"/>
      <c r="EN269" s="14"/>
      <c r="EO269" s="16"/>
      <c r="EP269" s="15"/>
      <c r="EQ269" s="15"/>
      <c r="ER269" s="16"/>
      <c r="EU269" s="18"/>
      <c r="EZ269" s="18"/>
      <c r="FE269" s="18"/>
      <c r="FJ269" s="18"/>
      <c r="FR269" s="12"/>
      <c r="FS269" s="12"/>
      <c r="FY269" s="12"/>
      <c r="GD269" s="13"/>
      <c r="GE269" s="13"/>
      <c r="GN269" s="12"/>
      <c r="GP269" s="13"/>
      <c r="IY269" s="12"/>
      <c r="IZ269" s="261"/>
      <c r="JA269" s="261"/>
      <c r="JB269" s="12"/>
      <c r="JC269" s="261"/>
      <c r="JD269" s="261"/>
      <c r="JE269" s="261"/>
      <c r="JF269" s="261"/>
      <c r="JG269" s="261"/>
      <c r="JH269" s="261"/>
      <c r="JI269" s="261"/>
      <c r="JJ269" s="261"/>
      <c r="JK269" s="261"/>
      <c r="JL269" s="261"/>
      <c r="JM269" s="261"/>
      <c r="JN269" s="261"/>
      <c r="JO269" s="261"/>
      <c r="JP269" s="261"/>
      <c r="JQ269" s="261"/>
      <c r="JR269" s="261"/>
      <c r="JS269" s="261"/>
      <c r="JT269" s="261"/>
      <c r="JU269" s="261"/>
      <c r="JV269" s="261"/>
      <c r="JW269" s="261"/>
      <c r="JX269" s="261"/>
      <c r="JY269" s="261"/>
      <c r="JZ269" s="261"/>
      <c r="KA269" s="261"/>
      <c r="KB269" s="261"/>
      <c r="KC269" s="261"/>
      <c r="KD269" s="261"/>
      <c r="KE269" s="261"/>
      <c r="KF269" s="261"/>
      <c r="KG269" s="13"/>
      <c r="KH269" s="12"/>
      <c r="KI269" s="261"/>
      <c r="KJ269" s="12"/>
      <c r="KK269" s="261"/>
      <c r="KL269" s="261"/>
      <c r="KM269" s="261"/>
      <c r="KN269" s="261"/>
      <c r="KO269" s="261"/>
      <c r="KP269" s="261"/>
      <c r="KQ269" s="261"/>
      <c r="KR269" s="261"/>
      <c r="KS269" s="261"/>
      <c r="KT269" s="261"/>
      <c r="KU269" s="261"/>
      <c r="KV269" s="261"/>
      <c r="KW269" s="261"/>
      <c r="KX269" s="261"/>
      <c r="KY269" s="261"/>
      <c r="KZ269" s="261"/>
      <c r="LA269" s="261"/>
      <c r="LB269" s="261"/>
      <c r="LC269" s="261"/>
      <c r="LD269" s="261"/>
      <c r="LE269" s="261"/>
      <c r="LF269" s="261"/>
      <c r="LG269" s="261"/>
      <c r="LH269" s="261"/>
      <c r="LI269" s="261"/>
      <c r="LJ269" s="261"/>
      <c r="LK269" s="261"/>
      <c r="LL269" s="261"/>
      <c r="LM269" s="261"/>
      <c r="LN269" s="261"/>
      <c r="LO269" s="261"/>
      <c r="LP269" s="12"/>
      <c r="LQ269" s="261"/>
      <c r="LR269" s="261"/>
      <c r="LS269" s="261"/>
      <c r="LT269" s="261"/>
      <c r="LU269" s="261"/>
      <c r="LV269" s="261"/>
      <c r="LW269" s="261"/>
      <c r="LX269" s="261"/>
      <c r="LY269" s="261"/>
      <c r="LZ269" s="261"/>
      <c r="MA269" s="13"/>
      <c r="MB269" s="261"/>
      <c r="MC269" s="261"/>
      <c r="MD269" s="261"/>
      <c r="ME269" s="261"/>
      <c r="MF269" s="261"/>
      <c r="MG269" s="261"/>
      <c r="MH269" s="261"/>
      <c r="MI269" s="261"/>
      <c r="MJ269" s="261"/>
      <c r="MK269" s="261"/>
      <c r="ML269" s="261"/>
      <c r="MM269" s="261"/>
      <c r="MN269" s="261"/>
      <c r="MO269" s="261"/>
      <c r="MP269" s="261"/>
      <c r="MQ269" s="261"/>
      <c r="MR269" s="261"/>
      <c r="MS269" s="261"/>
      <c r="MT269" s="261"/>
      <c r="MU269" s="261"/>
      <c r="MV269" s="261"/>
      <c r="MW269" s="261"/>
      <c r="MX269" s="261"/>
      <c r="MY269" s="261"/>
      <c r="MZ269" s="261"/>
      <c r="NA269" s="261"/>
      <c r="NB269" s="261"/>
      <c r="NC269" s="261"/>
      <c r="ND269" s="261"/>
      <c r="NE269" s="261"/>
      <c r="NF269" s="261"/>
      <c r="NG269" s="261"/>
      <c r="NH269" s="261"/>
      <c r="NI269" s="261"/>
      <c r="NJ269" s="261"/>
      <c r="NK269" s="13"/>
      <c r="NL269" s="261"/>
      <c r="NM269" s="261"/>
      <c r="NN269" s="13"/>
      <c r="OR269" s="12"/>
      <c r="OS269" s="261"/>
      <c r="OT269" s="261"/>
      <c r="OU269" s="12"/>
      <c r="OV269" s="261"/>
      <c r="OW269" s="261"/>
      <c r="OX269" s="261"/>
      <c r="OY269" s="261"/>
      <c r="OZ269" s="261"/>
      <c r="PA269" s="261"/>
      <c r="PB269" s="261"/>
      <c r="PC269" s="261"/>
      <c r="PD269" s="261"/>
      <c r="PE269" s="261"/>
      <c r="PF269" s="13"/>
      <c r="PG269" s="261"/>
      <c r="PH269" s="13"/>
      <c r="PI269" s="261"/>
      <c r="PJ269" s="261"/>
      <c r="PK269" s="261"/>
      <c r="PL269" s="261"/>
      <c r="PM269" s="261"/>
      <c r="PN269" s="261"/>
      <c r="PO269" s="261"/>
      <c r="PP269" s="261"/>
      <c r="PQ269" s="261"/>
      <c r="PR269" s="261"/>
      <c r="PS269" s="261"/>
      <c r="PT269" s="261"/>
      <c r="PU269" s="261"/>
      <c r="PV269" s="261"/>
      <c r="PW269" s="261"/>
      <c r="PX269" s="261"/>
      <c r="PY269" s="261"/>
      <c r="PZ269" s="261"/>
      <c r="QA269" s="261"/>
      <c r="QB269" s="261"/>
      <c r="QC269" s="261"/>
      <c r="QD269" s="261"/>
      <c r="QE269" s="261"/>
      <c r="QF269" s="261"/>
      <c r="QG269" s="261"/>
      <c r="QH269" s="261"/>
      <c r="QI269" s="261"/>
      <c r="QJ269" s="261"/>
      <c r="QK269" s="261"/>
      <c r="QL269" s="261"/>
      <c r="QM269" s="261"/>
      <c r="QN269" s="261"/>
      <c r="QO269" s="261"/>
      <c r="QP269" s="261"/>
      <c r="QQ269" s="261"/>
      <c r="QR269" s="261"/>
      <c r="QS269" s="261"/>
      <c r="QT269" s="261"/>
      <c r="QU269" s="261"/>
      <c r="QV269" s="261"/>
      <c r="QW269" s="261"/>
      <c r="QX269" s="13"/>
      <c r="QY269" s="12"/>
      <c r="QZ269" s="13"/>
      <c r="RA269" s="261"/>
      <c r="RB269" s="261"/>
      <c r="RC269" s="261"/>
      <c r="RD269" s="261"/>
      <c r="RE269" s="261"/>
      <c r="RF269" s="261"/>
      <c r="RG269" s="261"/>
      <c r="RH269" s="261"/>
      <c r="RI269" s="261"/>
      <c r="RJ269" s="261"/>
      <c r="RK269" s="261"/>
      <c r="RL269" s="261"/>
      <c r="RM269" s="261"/>
      <c r="RN269" s="261"/>
      <c r="RO269" s="261"/>
      <c r="RP269" s="261"/>
      <c r="RQ269" s="261"/>
      <c r="RR269" s="261"/>
      <c r="RS269" s="261"/>
      <c r="RT269" s="261"/>
      <c r="RU269" s="261"/>
      <c r="RV269" s="261"/>
      <c r="RW269" s="261"/>
      <c r="RX269" s="261"/>
      <c r="RY269" s="261"/>
      <c r="RZ269" s="261"/>
      <c r="SA269" s="261"/>
      <c r="SB269" s="261"/>
      <c r="SC269" s="261"/>
      <c r="SD269" s="261"/>
      <c r="SE269" s="261"/>
      <c r="SF269" s="261"/>
      <c r="SG269" s="261"/>
      <c r="SH269" s="261"/>
      <c r="SI269" s="261"/>
      <c r="SJ269" s="261"/>
      <c r="SK269" s="261"/>
      <c r="SL269" s="261"/>
      <c r="SM269" s="261"/>
      <c r="SN269" s="261"/>
      <c r="SO269" s="261"/>
      <c r="SP269" s="261"/>
      <c r="SQ269" s="261"/>
      <c r="SR269" s="261"/>
      <c r="SS269" s="261"/>
      <c r="ST269" s="261"/>
      <c r="SU269" s="261"/>
      <c r="SV269" s="261"/>
      <c r="SW269" s="261"/>
      <c r="SX269" s="261"/>
      <c r="SY269" s="261"/>
      <c r="SZ269" s="261"/>
      <c r="TA269" s="261"/>
      <c r="TB269" s="261"/>
      <c r="TC269" s="261"/>
      <c r="TD269" s="13"/>
      <c r="TE269" s="261"/>
      <c r="TF269" s="261"/>
      <c r="TG269" s="13"/>
    </row>
    <row r="270" spans="71:581" ht="10.75" customHeight="1" x14ac:dyDescent="0.2">
      <c r="BS270" s="12"/>
      <c r="BU270" s="13"/>
      <c r="DR270" s="12"/>
      <c r="DS270" s="13"/>
      <c r="EN270" s="12"/>
      <c r="EO270" s="13"/>
      <c r="EU270" s="19"/>
      <c r="EZ270" s="18"/>
      <c r="FE270" s="18"/>
      <c r="FJ270" s="18"/>
      <c r="FR270" s="12"/>
      <c r="FS270" s="14"/>
      <c r="FT270" s="15"/>
      <c r="FU270" s="15"/>
      <c r="FV270" s="15"/>
      <c r="FW270" s="15"/>
      <c r="FX270" s="15"/>
      <c r="FY270" s="14"/>
      <c r="FZ270" s="15"/>
      <c r="GA270" s="15"/>
      <c r="GB270" s="15"/>
      <c r="GC270" s="15"/>
      <c r="GD270" s="16"/>
      <c r="GE270" s="13"/>
      <c r="GN270" s="12"/>
      <c r="GP270" s="13"/>
      <c r="IY270" s="12"/>
      <c r="IZ270" s="261"/>
      <c r="JA270" s="261"/>
      <c r="JB270" s="12"/>
      <c r="JC270" s="261"/>
      <c r="JD270" s="261"/>
      <c r="JE270" s="261"/>
      <c r="JF270" s="261"/>
      <c r="JG270" s="261"/>
      <c r="JH270" s="261"/>
      <c r="JI270" s="261"/>
      <c r="JJ270" s="261"/>
      <c r="JK270" s="261"/>
      <c r="JL270" s="261"/>
      <c r="JM270" s="261"/>
      <c r="JN270" s="261"/>
      <c r="JO270" s="261"/>
      <c r="JP270" s="261"/>
      <c r="JQ270" s="261"/>
      <c r="JR270" s="261"/>
      <c r="JS270" s="261"/>
      <c r="JT270" s="261"/>
      <c r="JU270" s="261"/>
      <c r="JV270" s="261"/>
      <c r="JW270" s="261"/>
      <c r="JX270" s="261"/>
      <c r="JY270" s="261"/>
      <c r="JZ270" s="261"/>
      <c r="KA270" s="261"/>
      <c r="KB270" s="261"/>
      <c r="KC270" s="261"/>
      <c r="KD270" s="261"/>
      <c r="KE270" s="261"/>
      <c r="KF270" s="261"/>
      <c r="KG270" s="13"/>
      <c r="KH270" s="12"/>
      <c r="KI270" s="261"/>
      <c r="KJ270" s="12"/>
      <c r="KK270" s="261"/>
      <c r="KL270" s="261"/>
      <c r="KM270" s="261"/>
      <c r="KN270" s="261"/>
      <c r="KO270" s="261"/>
      <c r="KP270" s="261"/>
      <c r="KQ270" s="261"/>
      <c r="KR270" s="261"/>
      <c r="KS270" s="261"/>
      <c r="KT270" s="261"/>
      <c r="KU270" s="261"/>
      <c r="KV270" s="261"/>
      <c r="KW270" s="261"/>
      <c r="KX270" s="261"/>
      <c r="KY270" s="261"/>
      <c r="KZ270" s="261"/>
      <c r="LA270" s="261"/>
      <c r="LB270" s="261"/>
      <c r="LC270" s="261"/>
      <c r="LD270" s="261"/>
      <c r="LE270" s="261"/>
      <c r="LF270" s="261"/>
      <c r="LG270" s="261"/>
      <c r="LH270" s="261"/>
      <c r="LI270" s="261"/>
      <c r="LJ270" s="261"/>
      <c r="LK270" s="261"/>
      <c r="LL270" s="261"/>
      <c r="LM270" s="261"/>
      <c r="LN270" s="261"/>
      <c r="LO270" s="261"/>
      <c r="LP270" s="12"/>
      <c r="LQ270" s="261"/>
      <c r="LR270" s="261"/>
      <c r="LS270" s="261"/>
      <c r="LT270" s="261"/>
      <c r="LU270" s="261"/>
      <c r="LV270" s="261"/>
      <c r="LW270" s="261"/>
      <c r="LX270" s="261"/>
      <c r="LY270" s="261"/>
      <c r="LZ270" s="261"/>
      <c r="MA270" s="13"/>
      <c r="MB270" s="261"/>
      <c r="MC270" s="261"/>
      <c r="MD270" s="261"/>
      <c r="ME270" s="261"/>
      <c r="MF270" s="261"/>
      <c r="MG270" s="261"/>
      <c r="MH270" s="261"/>
      <c r="MI270" s="261"/>
      <c r="MJ270" s="261"/>
      <c r="MK270" s="261"/>
      <c r="ML270" s="261"/>
      <c r="MM270" s="261"/>
      <c r="MN270" s="261"/>
      <c r="MO270" s="261"/>
      <c r="MP270" s="261"/>
      <c r="MQ270" s="261"/>
      <c r="MR270" s="261"/>
      <c r="MS270" s="261"/>
      <c r="MT270" s="261"/>
      <c r="MU270" s="261"/>
      <c r="MV270" s="261"/>
      <c r="MW270" s="261"/>
      <c r="MX270" s="261"/>
      <c r="MY270" s="261"/>
      <c r="MZ270" s="261"/>
      <c r="NA270" s="261"/>
      <c r="NB270" s="261"/>
      <c r="NC270" s="261"/>
      <c r="ND270" s="261"/>
      <c r="NE270" s="261"/>
      <c r="NF270" s="261"/>
      <c r="NG270" s="261"/>
      <c r="NH270" s="261"/>
      <c r="NI270" s="261"/>
      <c r="NJ270" s="261"/>
      <c r="NK270" s="13"/>
      <c r="NL270" s="261"/>
      <c r="NM270" s="261"/>
      <c r="NN270" s="13"/>
      <c r="OR270" s="12"/>
      <c r="OS270" s="261"/>
      <c r="OT270" s="261"/>
      <c r="OU270" s="12"/>
      <c r="OV270" s="261"/>
      <c r="OW270" s="261"/>
      <c r="OX270" s="261"/>
      <c r="OY270" s="261"/>
      <c r="OZ270" s="261"/>
      <c r="PA270" s="261"/>
      <c r="PB270" s="261"/>
      <c r="PC270" s="261"/>
      <c r="PD270" s="261"/>
      <c r="PE270" s="261"/>
      <c r="PF270" s="13"/>
      <c r="PG270" s="261"/>
      <c r="PH270" s="13"/>
      <c r="PI270" s="261"/>
      <c r="PJ270" s="261"/>
      <c r="PK270" s="261"/>
      <c r="PL270" s="261"/>
      <c r="PM270" s="261"/>
      <c r="PN270" s="261"/>
      <c r="PO270" s="261"/>
      <c r="PP270" s="261"/>
      <c r="PQ270" s="261"/>
      <c r="PR270" s="261"/>
      <c r="PS270" s="261"/>
      <c r="PT270" s="261"/>
      <c r="PU270" s="261"/>
      <c r="PV270" s="261"/>
      <c r="PW270" s="261"/>
      <c r="PX270" s="261"/>
      <c r="PY270" s="261"/>
      <c r="PZ270" s="261"/>
      <c r="QA270" s="261"/>
      <c r="QB270" s="261"/>
      <c r="QC270" s="261"/>
      <c r="QD270" s="261"/>
      <c r="QE270" s="261"/>
      <c r="QF270" s="261"/>
      <c r="QG270" s="261"/>
      <c r="QH270" s="261"/>
      <c r="QI270" s="261"/>
      <c r="QJ270" s="261"/>
      <c r="QK270" s="261"/>
      <c r="QL270" s="261"/>
      <c r="QM270" s="261"/>
      <c r="QN270" s="261"/>
      <c r="QO270" s="261"/>
      <c r="QP270" s="261"/>
      <c r="QQ270" s="261"/>
      <c r="QR270" s="261"/>
      <c r="QS270" s="261"/>
      <c r="QT270" s="261"/>
      <c r="QU270" s="261"/>
      <c r="QV270" s="261"/>
      <c r="QW270" s="261"/>
      <c r="QX270" s="13"/>
      <c r="QY270" s="12"/>
      <c r="QZ270" s="13"/>
      <c r="RA270" s="261"/>
      <c r="RB270" s="261"/>
      <c r="RC270" s="261"/>
      <c r="RD270" s="261"/>
      <c r="RE270" s="261"/>
      <c r="RF270" s="261"/>
      <c r="RG270" s="261"/>
      <c r="RH270" s="261"/>
      <c r="RI270" s="261"/>
      <c r="RJ270" s="261"/>
      <c r="RK270" s="261"/>
      <c r="RL270" s="261"/>
      <c r="RM270" s="261"/>
      <c r="RN270" s="261"/>
      <c r="RO270" s="261"/>
      <c r="RP270" s="261"/>
      <c r="RQ270" s="261"/>
      <c r="RR270" s="261"/>
      <c r="RS270" s="261"/>
      <c r="RT270" s="261"/>
      <c r="RU270" s="261"/>
      <c r="RV270" s="261"/>
      <c r="RW270" s="261"/>
      <c r="RX270" s="261"/>
      <c r="RY270" s="261"/>
      <c r="RZ270" s="261"/>
      <c r="SA270" s="261"/>
      <c r="SB270" s="261"/>
      <c r="SC270" s="261"/>
      <c r="SD270" s="261"/>
      <c r="SE270" s="261"/>
      <c r="SF270" s="261"/>
      <c r="SG270" s="261"/>
      <c r="SH270" s="261"/>
      <c r="SI270" s="261"/>
      <c r="SJ270" s="261"/>
      <c r="SK270" s="261"/>
      <c r="SL270" s="261"/>
      <c r="SM270" s="261"/>
      <c r="SN270" s="261"/>
      <c r="SO270" s="261"/>
      <c r="SP270" s="261"/>
      <c r="SQ270" s="261"/>
      <c r="SR270" s="261"/>
      <c r="SS270" s="261"/>
      <c r="ST270" s="261"/>
      <c r="SU270" s="261"/>
      <c r="SV270" s="261"/>
      <c r="SW270" s="261"/>
      <c r="SX270" s="261"/>
      <c r="SY270" s="261"/>
      <c r="SZ270" s="261"/>
      <c r="TA270" s="261"/>
      <c r="TB270" s="261"/>
      <c r="TC270" s="261"/>
      <c r="TD270" s="13"/>
      <c r="TE270" s="261"/>
      <c r="TF270" s="261"/>
      <c r="TG270" s="13"/>
    </row>
    <row r="271" spans="71:581" ht="10.75" customHeight="1" x14ac:dyDescent="0.2">
      <c r="BS271" s="12"/>
      <c r="BU271" s="13"/>
      <c r="DR271" s="12"/>
      <c r="DS271" s="13"/>
      <c r="EN271" s="12"/>
      <c r="EO271" s="13"/>
      <c r="ES271" s="9"/>
      <c r="ET271" s="10"/>
      <c r="EU271" s="10"/>
      <c r="EV271" s="10"/>
      <c r="EW271" s="11"/>
      <c r="EZ271" s="18"/>
      <c r="FE271" s="18"/>
      <c r="FJ271" s="18"/>
      <c r="FO271" s="17"/>
      <c r="FR271" s="12"/>
      <c r="FS271" s="12"/>
      <c r="FY271" s="12"/>
      <c r="GD271" s="13"/>
      <c r="GE271" s="13"/>
      <c r="GN271" s="12"/>
      <c r="GP271" s="13"/>
      <c r="IY271" s="12"/>
      <c r="IZ271" s="261"/>
      <c r="JA271" s="261"/>
      <c r="JB271" s="12"/>
      <c r="JC271" s="261"/>
      <c r="JD271" s="261"/>
      <c r="JE271" s="261"/>
      <c r="JF271" s="261"/>
      <c r="JG271" s="261"/>
      <c r="JH271" s="261"/>
      <c r="JI271" s="261"/>
      <c r="JJ271" s="261"/>
      <c r="JK271" s="261"/>
      <c r="JL271" s="261"/>
      <c r="JM271" s="261"/>
      <c r="JN271" s="261"/>
      <c r="JO271" s="261"/>
      <c r="JP271" s="261"/>
      <c r="JQ271" s="261"/>
      <c r="JR271" s="261"/>
      <c r="JS271" s="261"/>
      <c r="JT271" s="261"/>
      <c r="JU271" s="261"/>
      <c r="JV271" s="261"/>
      <c r="JW271" s="261"/>
      <c r="JX271" s="261"/>
      <c r="JY271" s="261"/>
      <c r="JZ271" s="261"/>
      <c r="KA271" s="261"/>
      <c r="KB271" s="261"/>
      <c r="KC271" s="261"/>
      <c r="KD271" s="261"/>
      <c r="KE271" s="261"/>
      <c r="KF271" s="261"/>
      <c r="KG271" s="13"/>
      <c r="KH271" s="12"/>
      <c r="KI271" s="261"/>
      <c r="KJ271" s="12"/>
      <c r="KK271" s="261"/>
      <c r="KL271" s="261"/>
      <c r="KM271" s="261"/>
      <c r="KN271" s="261"/>
      <c r="KO271" s="261"/>
      <c r="KP271" s="261"/>
      <c r="KQ271" s="261"/>
      <c r="KR271" s="261"/>
      <c r="KS271" s="261"/>
      <c r="KT271" s="261"/>
      <c r="KU271" s="261"/>
      <c r="KV271" s="261"/>
      <c r="KW271" s="261"/>
      <c r="KX271" s="261"/>
      <c r="KY271" s="261"/>
      <c r="KZ271" s="261"/>
      <c r="LA271" s="261"/>
      <c r="LB271" s="261"/>
      <c r="LC271" s="261"/>
      <c r="LD271" s="261"/>
      <c r="LE271" s="261"/>
      <c r="LF271" s="261"/>
      <c r="LG271" s="261"/>
      <c r="LH271" s="261"/>
      <c r="LI271" s="261"/>
      <c r="LJ271" s="261"/>
      <c r="LK271" s="261"/>
      <c r="LL271" s="261"/>
      <c r="LM271" s="261"/>
      <c r="LN271" s="261"/>
      <c r="LO271" s="261"/>
      <c r="LP271" s="12"/>
      <c r="LQ271" s="261"/>
      <c r="LR271" s="261"/>
      <c r="LS271" s="261"/>
      <c r="LT271" s="261"/>
      <c r="LU271" s="261"/>
      <c r="LV271" s="261"/>
      <c r="LW271" s="261"/>
      <c r="LX271" s="261"/>
      <c r="LY271" s="261"/>
      <c r="LZ271" s="261"/>
      <c r="MA271" s="13"/>
      <c r="MB271" s="261"/>
      <c r="MC271" s="261"/>
      <c r="MD271" s="261"/>
      <c r="ME271" s="261"/>
      <c r="MF271" s="261"/>
      <c r="MG271" s="261"/>
      <c r="MH271" s="261"/>
      <c r="MI271" s="261"/>
      <c r="MJ271" s="261"/>
      <c r="MK271" s="261"/>
      <c r="ML271" s="261"/>
      <c r="MM271" s="261"/>
      <c r="MN271" s="261"/>
      <c r="MO271" s="261"/>
      <c r="MP271" s="261"/>
      <c r="MQ271" s="261"/>
      <c r="MR271" s="261"/>
      <c r="MS271" s="261"/>
      <c r="MT271" s="261"/>
      <c r="MU271" s="261"/>
      <c r="MV271" s="261"/>
      <c r="MW271" s="261"/>
      <c r="MX271" s="261"/>
      <c r="MY271" s="261"/>
      <c r="MZ271" s="261"/>
      <c r="NA271" s="261"/>
      <c r="NB271" s="261"/>
      <c r="NC271" s="261"/>
      <c r="ND271" s="261"/>
      <c r="NE271" s="261"/>
      <c r="NF271" s="261"/>
      <c r="NG271" s="261"/>
      <c r="NH271" s="261"/>
      <c r="NI271" s="261"/>
      <c r="NJ271" s="261"/>
      <c r="NK271" s="13"/>
      <c r="NL271" s="261"/>
      <c r="NM271" s="261"/>
      <c r="NN271" s="13"/>
      <c r="OR271" s="12"/>
      <c r="OS271" s="261"/>
      <c r="OT271" s="261"/>
      <c r="OU271" s="12"/>
      <c r="OV271" s="261"/>
      <c r="OW271" s="261"/>
      <c r="OX271" s="261"/>
      <c r="OY271" s="261"/>
      <c r="OZ271" s="261"/>
      <c r="PA271" s="261"/>
      <c r="PB271" s="261"/>
      <c r="PC271" s="261"/>
      <c r="PD271" s="261"/>
      <c r="PE271" s="261"/>
      <c r="PF271" s="13"/>
      <c r="PG271" s="261"/>
      <c r="PH271" s="13"/>
      <c r="PI271" s="261"/>
      <c r="PJ271" s="261"/>
      <c r="PK271" s="261"/>
      <c r="PL271" s="261"/>
      <c r="PM271" s="261"/>
      <c r="PN271" s="261"/>
      <c r="PO271" s="261"/>
      <c r="PP271" s="261"/>
      <c r="PQ271" s="261"/>
      <c r="PR271" s="261"/>
      <c r="PS271" s="261"/>
      <c r="PT271" s="261"/>
      <c r="PU271" s="261"/>
      <c r="PV271" s="261"/>
      <c r="PW271" s="261"/>
      <c r="PX271" s="261"/>
      <c r="PY271" s="261"/>
      <c r="PZ271" s="261"/>
      <c r="QA271" s="261"/>
      <c r="QB271" s="261"/>
      <c r="QC271" s="261"/>
      <c r="QD271" s="261"/>
      <c r="QE271" s="261"/>
      <c r="QF271" s="261"/>
      <c r="QG271" s="261"/>
      <c r="QH271" s="261"/>
      <c r="QI271" s="261"/>
      <c r="QJ271" s="261"/>
      <c r="QK271" s="261"/>
      <c r="QL271" s="261"/>
      <c r="QM271" s="261"/>
      <c r="QN271" s="261"/>
      <c r="QO271" s="261"/>
      <c r="QP271" s="261"/>
      <c r="QQ271" s="261"/>
      <c r="QR271" s="261"/>
      <c r="QS271" s="261"/>
      <c r="QT271" s="261"/>
      <c r="QU271" s="261"/>
      <c r="QV271" s="261"/>
      <c r="QW271" s="261"/>
      <c r="QX271" s="13"/>
      <c r="QY271" s="12"/>
      <c r="QZ271" s="13"/>
      <c r="RA271" s="261"/>
      <c r="RB271" s="261"/>
      <c r="RC271" s="261"/>
      <c r="RD271" s="261"/>
      <c r="RE271" s="261"/>
      <c r="RF271" s="261"/>
      <c r="RG271" s="261"/>
      <c r="RH271" s="261"/>
      <c r="RI271" s="261"/>
      <c r="RJ271" s="261"/>
      <c r="RK271" s="261"/>
      <c r="RL271" s="261"/>
      <c r="RM271" s="261"/>
      <c r="RN271" s="261"/>
      <c r="RO271" s="261"/>
      <c r="RP271" s="261"/>
      <c r="RQ271" s="261"/>
      <c r="RR271" s="261"/>
      <c r="RS271" s="261"/>
      <c r="RT271" s="261"/>
      <c r="RU271" s="261"/>
      <c r="RV271" s="261"/>
      <c r="RW271" s="261"/>
      <c r="RX271" s="261"/>
      <c r="RY271" s="261"/>
      <c r="RZ271" s="261"/>
      <c r="SA271" s="261"/>
      <c r="SB271" s="261"/>
      <c r="SC271" s="261"/>
      <c r="SD271" s="261"/>
      <c r="SE271" s="261"/>
      <c r="SF271" s="261"/>
      <c r="SG271" s="261"/>
      <c r="SH271" s="261"/>
      <c r="SI271" s="261"/>
      <c r="SJ271" s="261"/>
      <c r="SK271" s="261"/>
      <c r="SL271" s="261"/>
      <c r="SM271" s="261"/>
      <c r="SN271" s="261"/>
      <c r="SO271" s="261"/>
      <c r="SP271" s="261"/>
      <c r="SQ271" s="261"/>
      <c r="SR271" s="261"/>
      <c r="SS271" s="261"/>
      <c r="ST271" s="261"/>
      <c r="SU271" s="261"/>
      <c r="SV271" s="261"/>
      <c r="SW271" s="261"/>
      <c r="SX271" s="261"/>
      <c r="SY271" s="261"/>
      <c r="SZ271" s="261"/>
      <c r="TA271" s="261"/>
      <c r="TB271" s="261"/>
      <c r="TC271" s="261"/>
      <c r="TD271" s="13"/>
      <c r="TE271" s="261"/>
      <c r="TF271" s="261"/>
      <c r="TG271" s="13"/>
      <c r="TO271" s="261"/>
      <c r="TP271" s="261"/>
      <c r="TQ271" s="261"/>
      <c r="TR271" s="261"/>
      <c r="TS271" s="261"/>
      <c r="TT271" s="261"/>
      <c r="TU271" s="261"/>
      <c r="TV271" s="261"/>
      <c r="TW271" s="261"/>
      <c r="TX271" s="261"/>
      <c r="TY271" s="261"/>
      <c r="TZ271" s="261"/>
      <c r="UA271" s="261"/>
      <c r="UB271" s="261"/>
      <c r="UC271" s="261"/>
      <c r="UD271" s="261"/>
      <c r="UE271" s="261"/>
      <c r="UF271" s="261"/>
      <c r="UG271" s="261"/>
      <c r="UH271" s="261"/>
      <c r="UI271" s="261"/>
      <c r="UJ271" s="261"/>
      <c r="UK271" s="261"/>
      <c r="UL271" s="261"/>
      <c r="UM271" s="261"/>
      <c r="UN271" s="261"/>
      <c r="UO271" s="261"/>
      <c r="UP271" s="261"/>
      <c r="UQ271" s="261"/>
      <c r="UR271" s="261"/>
      <c r="US271" s="261"/>
      <c r="UT271" s="261"/>
      <c r="UU271" s="261"/>
      <c r="UV271" s="261"/>
      <c r="UW271" s="261"/>
      <c r="UX271" s="261"/>
      <c r="UY271" s="261"/>
      <c r="UZ271" s="261"/>
      <c r="VA271" s="261"/>
      <c r="VB271" s="261"/>
      <c r="VC271" s="261"/>
      <c r="VD271" s="261"/>
      <c r="VE271" s="261"/>
      <c r="VF271" s="261"/>
      <c r="VG271" s="261"/>
      <c r="VH271" s="261"/>
      <c r="VI271" s="261"/>
    </row>
    <row r="272" spans="71:581" ht="10.75" customHeight="1" x14ac:dyDescent="0.2">
      <c r="BS272" s="12"/>
      <c r="BU272" s="13"/>
      <c r="DR272" s="12"/>
      <c r="DS272" s="13"/>
      <c r="EN272" s="12"/>
      <c r="EO272" s="13"/>
      <c r="ES272" s="14"/>
      <c r="ET272" s="15"/>
      <c r="EU272" s="15"/>
      <c r="EV272" s="15"/>
      <c r="EW272" s="16"/>
      <c r="EZ272" s="18"/>
      <c r="FE272" s="18"/>
      <c r="FJ272" s="18"/>
      <c r="FO272" s="18"/>
      <c r="FR272" s="12"/>
      <c r="FS272" s="12"/>
      <c r="FY272" s="12"/>
      <c r="GD272" s="13"/>
      <c r="GE272" s="13"/>
      <c r="GN272" s="12"/>
      <c r="GP272" s="13"/>
      <c r="IY272" s="12"/>
      <c r="IZ272" s="261"/>
      <c r="JA272" s="261"/>
      <c r="JB272" s="12"/>
      <c r="JC272" s="261"/>
      <c r="JD272" s="261"/>
      <c r="JE272" s="261"/>
      <c r="JF272" s="261"/>
      <c r="JG272" s="261"/>
      <c r="JH272" s="261"/>
      <c r="JI272" s="261"/>
      <c r="JJ272" s="261"/>
      <c r="JK272" s="261"/>
      <c r="JL272" s="261"/>
      <c r="JM272" s="261"/>
      <c r="JN272" s="261"/>
      <c r="JO272" s="261"/>
      <c r="JP272" s="261"/>
      <c r="JQ272" s="261"/>
      <c r="JR272" s="261"/>
      <c r="JS272" s="261"/>
      <c r="JT272" s="261"/>
      <c r="JU272" s="261"/>
      <c r="JV272" s="261"/>
      <c r="JW272" s="261"/>
      <c r="JX272" s="261"/>
      <c r="JY272" s="261"/>
      <c r="JZ272" s="261"/>
      <c r="KA272" s="261"/>
      <c r="KB272" s="261"/>
      <c r="KC272" s="261"/>
      <c r="KD272" s="261"/>
      <c r="KE272" s="261"/>
      <c r="KF272" s="261"/>
      <c r="KG272" s="13"/>
      <c r="KH272" s="12"/>
      <c r="KI272" s="261"/>
      <c r="KJ272" s="12"/>
      <c r="KK272" s="261"/>
      <c r="KL272" s="261"/>
      <c r="KM272" s="261"/>
      <c r="KN272" s="261"/>
      <c r="KO272" s="261"/>
      <c r="KP272" s="261"/>
      <c r="KQ272" s="261"/>
      <c r="KR272" s="261"/>
      <c r="KS272" s="261"/>
      <c r="KT272" s="261"/>
      <c r="KU272" s="261"/>
      <c r="KV272" s="261"/>
      <c r="KW272" s="261"/>
      <c r="KX272" s="261"/>
      <c r="KY272" s="261"/>
      <c r="KZ272" s="261"/>
      <c r="LA272" s="261"/>
      <c r="LB272" s="261"/>
      <c r="LC272" s="261"/>
      <c r="LD272" s="261"/>
      <c r="LE272" s="261"/>
      <c r="LF272" s="261"/>
      <c r="LG272" s="261"/>
      <c r="LH272" s="261"/>
      <c r="LI272" s="261"/>
      <c r="LJ272" s="261"/>
      <c r="LK272" s="261"/>
      <c r="LL272" s="261"/>
      <c r="LM272" s="261"/>
      <c r="LN272" s="261"/>
      <c r="LO272" s="261"/>
      <c r="LP272" s="12"/>
      <c r="LQ272" s="261"/>
      <c r="LR272" s="261"/>
      <c r="LS272" s="261"/>
      <c r="LT272" s="261"/>
      <c r="LU272" s="261"/>
      <c r="LV272" s="261"/>
      <c r="LW272" s="261"/>
      <c r="LX272" s="261"/>
      <c r="LY272" s="261"/>
      <c r="LZ272" s="261"/>
      <c r="MA272" s="13"/>
      <c r="MB272" s="261"/>
      <c r="MC272" s="261"/>
      <c r="MD272" s="261"/>
      <c r="ME272" s="261"/>
      <c r="MF272" s="261"/>
      <c r="MG272" s="261"/>
      <c r="MH272" s="261"/>
      <c r="MI272" s="261"/>
      <c r="MJ272" s="261"/>
      <c r="MK272" s="261"/>
      <c r="ML272" s="261"/>
      <c r="MM272" s="261"/>
      <c r="MN272" s="261"/>
      <c r="MO272" s="261"/>
      <c r="MP272" s="261"/>
      <c r="MQ272" s="261"/>
      <c r="MR272" s="261"/>
      <c r="MS272" s="261"/>
      <c r="MT272" s="261"/>
      <c r="MU272" s="261"/>
      <c r="MV272" s="261"/>
      <c r="MW272" s="261"/>
      <c r="MX272" s="261"/>
      <c r="MY272" s="261"/>
      <c r="MZ272" s="261"/>
      <c r="NA272" s="261"/>
      <c r="NB272" s="261"/>
      <c r="NC272" s="261"/>
      <c r="ND272" s="261"/>
      <c r="NE272" s="261"/>
      <c r="NF272" s="261"/>
      <c r="NG272" s="261"/>
      <c r="NH272" s="261"/>
      <c r="NI272" s="261"/>
      <c r="NJ272" s="261"/>
      <c r="NK272" s="13"/>
      <c r="NL272" s="261"/>
      <c r="NM272" s="261"/>
      <c r="NN272" s="13"/>
      <c r="OR272" s="12"/>
      <c r="OS272" s="261"/>
      <c r="OT272" s="261"/>
      <c r="OU272" s="12"/>
      <c r="OV272" s="261"/>
      <c r="OW272" s="261"/>
      <c r="OX272" s="261"/>
      <c r="OY272" s="261"/>
      <c r="OZ272" s="261"/>
      <c r="PA272" s="261"/>
      <c r="PB272" s="261"/>
      <c r="PC272" s="261"/>
      <c r="PD272" s="261"/>
      <c r="PE272" s="261"/>
      <c r="PF272" s="13"/>
      <c r="PG272" s="261"/>
      <c r="PH272" s="13"/>
      <c r="PI272" s="261"/>
      <c r="PJ272" s="261"/>
      <c r="PK272" s="261"/>
      <c r="PL272" s="261"/>
      <c r="PM272" s="261"/>
      <c r="PN272" s="261"/>
      <c r="PO272" s="261"/>
      <c r="PP272" s="261"/>
      <c r="PQ272" s="261"/>
      <c r="PR272" s="261"/>
      <c r="PS272" s="261"/>
      <c r="PT272" s="261"/>
      <c r="PU272" s="261"/>
      <c r="PV272" s="261"/>
      <c r="PW272" s="261"/>
      <c r="PX272" s="261"/>
      <c r="PY272" s="261"/>
      <c r="PZ272" s="261"/>
      <c r="QA272" s="261"/>
      <c r="QB272" s="261"/>
      <c r="QC272" s="261"/>
      <c r="QD272" s="261"/>
      <c r="QE272" s="261"/>
      <c r="QF272" s="261"/>
      <c r="QG272" s="261"/>
      <c r="QH272" s="261"/>
      <c r="QI272" s="261"/>
      <c r="QJ272" s="261"/>
      <c r="QK272" s="261"/>
      <c r="QL272" s="261"/>
      <c r="QM272" s="261"/>
      <c r="QN272" s="261"/>
      <c r="QO272" s="261"/>
      <c r="QP272" s="261"/>
      <c r="QQ272" s="261"/>
      <c r="QR272" s="261"/>
      <c r="QS272" s="261"/>
      <c r="QT272" s="261"/>
      <c r="QU272" s="261"/>
      <c r="QV272" s="261"/>
      <c r="QW272" s="261"/>
      <c r="QX272" s="13"/>
      <c r="QY272" s="12"/>
      <c r="QZ272" s="13"/>
      <c r="RA272" s="261"/>
      <c r="RB272" s="261"/>
      <c r="RC272" s="261"/>
      <c r="RD272" s="261"/>
      <c r="RE272" s="261"/>
      <c r="RF272" s="261"/>
      <c r="RG272" s="261"/>
      <c r="RH272" s="261"/>
      <c r="RI272" s="261"/>
      <c r="RJ272" s="261"/>
      <c r="RK272" s="261"/>
      <c r="RL272" s="261"/>
      <c r="RM272" s="261"/>
      <c r="RN272" s="261"/>
      <c r="RO272" s="261"/>
      <c r="RP272" s="261"/>
      <c r="RQ272" s="261"/>
      <c r="RR272" s="261"/>
      <c r="RS272" s="261"/>
      <c r="RT272" s="261"/>
      <c r="RU272" s="261"/>
      <c r="RV272" s="261"/>
      <c r="RW272" s="261"/>
      <c r="RX272" s="261"/>
      <c r="RY272" s="261"/>
      <c r="RZ272" s="261"/>
      <c r="SA272" s="261"/>
      <c r="SB272" s="261"/>
      <c r="SC272" s="261"/>
      <c r="SD272" s="261"/>
      <c r="SE272" s="261"/>
      <c r="SF272" s="261"/>
      <c r="SG272" s="261"/>
      <c r="SH272" s="261"/>
      <c r="SI272" s="261"/>
      <c r="SJ272" s="261"/>
      <c r="SK272" s="261"/>
      <c r="SL272" s="261"/>
      <c r="SM272" s="261"/>
      <c r="SN272" s="261"/>
      <c r="SO272" s="261"/>
      <c r="SP272" s="261"/>
      <c r="SQ272" s="261"/>
      <c r="SR272" s="261"/>
      <c r="SS272" s="261"/>
      <c r="ST272" s="261"/>
      <c r="SU272" s="261"/>
      <c r="SV272" s="261"/>
      <c r="SW272" s="261"/>
      <c r="SX272" s="261"/>
      <c r="SY272" s="261"/>
      <c r="SZ272" s="261"/>
      <c r="TA272" s="261"/>
      <c r="TB272" s="261"/>
      <c r="TC272" s="261"/>
      <c r="TD272" s="13"/>
      <c r="TE272" s="261"/>
      <c r="TF272" s="261"/>
      <c r="TG272" s="13"/>
      <c r="TO272" s="261"/>
      <c r="TP272" s="261"/>
      <c r="TQ272" s="261"/>
      <c r="TR272" s="261"/>
      <c r="TS272" s="261"/>
      <c r="TT272" s="261"/>
      <c r="TU272" s="261"/>
      <c r="TV272" s="261"/>
      <c r="TW272" s="261"/>
      <c r="TX272" s="261"/>
      <c r="TY272" s="261"/>
      <c r="TZ272" s="261"/>
      <c r="UA272" s="261"/>
      <c r="UB272" s="261"/>
      <c r="UC272" s="261"/>
      <c r="UD272" s="261"/>
      <c r="UE272" s="261"/>
      <c r="UF272" s="261"/>
      <c r="UG272" s="261"/>
      <c r="UH272" s="261"/>
      <c r="UI272" s="261"/>
      <c r="UJ272" s="261"/>
      <c r="UK272" s="261"/>
      <c r="UL272" s="261"/>
      <c r="UM272" s="261"/>
      <c r="UN272" s="261"/>
      <c r="UO272" s="261"/>
      <c r="UP272" s="261"/>
      <c r="UQ272" s="261"/>
      <c r="UR272" s="261"/>
      <c r="US272" s="261"/>
      <c r="UT272" s="261"/>
      <c r="UU272" s="261"/>
      <c r="UV272" s="261"/>
      <c r="UW272" s="261"/>
      <c r="UX272" s="261"/>
      <c r="UY272" s="261"/>
      <c r="UZ272" s="261"/>
      <c r="VA272" s="261"/>
      <c r="VB272" s="261"/>
      <c r="VC272" s="261"/>
      <c r="VD272" s="261"/>
      <c r="VE272" s="261"/>
      <c r="VF272" s="261"/>
      <c r="VG272" s="261"/>
      <c r="VH272" s="261"/>
      <c r="VI272" s="261"/>
    </row>
    <row r="273" spans="71:581" ht="10.75" customHeight="1" x14ac:dyDescent="0.2">
      <c r="BS273" s="12"/>
      <c r="BU273" s="13"/>
      <c r="DR273" s="12"/>
      <c r="DS273" s="13"/>
      <c r="EN273" s="12"/>
      <c r="EO273" s="13"/>
      <c r="EZ273" s="19"/>
      <c r="FE273" s="18"/>
      <c r="FJ273" s="18"/>
      <c r="FO273" s="18"/>
      <c r="FR273" s="12"/>
      <c r="FS273" s="12"/>
      <c r="FY273" s="12"/>
      <c r="GD273" s="13"/>
      <c r="GE273" s="13"/>
      <c r="GN273" s="12"/>
      <c r="GP273" s="13"/>
      <c r="IY273" s="12"/>
      <c r="IZ273" s="261"/>
      <c r="JA273" s="261"/>
      <c r="JB273" s="12"/>
      <c r="JC273" s="261"/>
      <c r="JD273" s="261"/>
      <c r="JE273" s="261"/>
      <c r="JF273" s="261"/>
      <c r="JG273" s="261"/>
      <c r="JH273" s="261"/>
      <c r="JI273" s="261"/>
      <c r="JJ273" s="261"/>
      <c r="JK273" s="261"/>
      <c r="JL273" s="261"/>
      <c r="JM273" s="261"/>
      <c r="JN273" s="261"/>
      <c r="JO273" s="261"/>
      <c r="JP273" s="261"/>
      <c r="JQ273" s="261"/>
      <c r="JR273" s="261"/>
      <c r="JS273" s="261"/>
      <c r="JT273" s="261"/>
      <c r="JU273" s="261"/>
      <c r="JV273" s="261"/>
      <c r="JW273" s="261"/>
      <c r="JX273" s="261"/>
      <c r="JY273" s="261"/>
      <c r="JZ273" s="261"/>
      <c r="KA273" s="261"/>
      <c r="KB273" s="261"/>
      <c r="KC273" s="261"/>
      <c r="KD273" s="261"/>
      <c r="KE273" s="261"/>
      <c r="KF273" s="261"/>
      <c r="KG273" s="13"/>
      <c r="KH273" s="12"/>
      <c r="KI273" s="261"/>
      <c r="KJ273" s="12"/>
      <c r="KK273" s="261"/>
      <c r="KL273" s="261"/>
      <c r="KM273" s="261"/>
      <c r="KN273" s="261"/>
      <c r="KO273" s="261"/>
      <c r="KP273" s="261"/>
      <c r="KQ273" s="261"/>
      <c r="KR273" s="261"/>
      <c r="KS273" s="261"/>
      <c r="KT273" s="261"/>
      <c r="KU273" s="261"/>
      <c r="KV273" s="261"/>
      <c r="KW273" s="261"/>
      <c r="KX273" s="261"/>
      <c r="KY273" s="261"/>
      <c r="KZ273" s="261"/>
      <c r="LA273" s="261"/>
      <c r="LB273" s="261"/>
      <c r="LC273" s="261"/>
      <c r="LD273" s="261"/>
      <c r="LE273" s="261"/>
      <c r="LF273" s="261"/>
      <c r="LG273" s="261"/>
      <c r="LH273" s="261"/>
      <c r="LI273" s="261"/>
      <c r="LJ273" s="261"/>
      <c r="LK273" s="261"/>
      <c r="LL273" s="261"/>
      <c r="LM273" s="261"/>
      <c r="LN273" s="261"/>
      <c r="LO273" s="261"/>
      <c r="LP273" s="12"/>
      <c r="LQ273" s="261"/>
      <c r="LR273" s="261"/>
      <c r="LS273" s="261"/>
      <c r="LT273" s="261"/>
      <c r="LU273" s="261"/>
      <c r="LV273" s="261"/>
      <c r="LW273" s="261"/>
      <c r="LX273" s="261"/>
      <c r="LY273" s="261"/>
      <c r="LZ273" s="261"/>
      <c r="MA273" s="13"/>
      <c r="MB273" s="261"/>
      <c r="MC273" s="261"/>
      <c r="MD273" s="261"/>
      <c r="ME273" s="261"/>
      <c r="MF273" s="261"/>
      <c r="MG273" s="261"/>
      <c r="MH273" s="261"/>
      <c r="MI273" s="261"/>
      <c r="MJ273" s="261"/>
      <c r="MK273" s="261"/>
      <c r="ML273" s="261"/>
      <c r="MM273" s="261"/>
      <c r="MN273" s="261"/>
      <c r="MO273" s="261"/>
      <c r="MP273" s="261"/>
      <c r="MQ273" s="261"/>
      <c r="MR273" s="261"/>
      <c r="MS273" s="261"/>
      <c r="MT273" s="261"/>
      <c r="MU273" s="261"/>
      <c r="MV273" s="261"/>
      <c r="MW273" s="261"/>
      <c r="MX273" s="261"/>
      <c r="MY273" s="261"/>
      <c r="MZ273" s="261"/>
      <c r="NA273" s="261"/>
      <c r="NB273" s="261"/>
      <c r="NC273" s="261"/>
      <c r="ND273" s="261"/>
      <c r="NE273" s="261"/>
      <c r="NF273" s="261"/>
      <c r="NG273" s="261"/>
      <c r="NH273" s="261"/>
      <c r="NI273" s="261"/>
      <c r="NJ273" s="261"/>
      <c r="NK273" s="13"/>
      <c r="NL273" s="261"/>
      <c r="NM273" s="261"/>
      <c r="NN273" s="13"/>
      <c r="OR273" s="12"/>
      <c r="OS273" s="261"/>
      <c r="OT273" s="261"/>
      <c r="OU273" s="12"/>
      <c r="OV273" s="261"/>
      <c r="OW273" s="261"/>
      <c r="OX273" s="261"/>
      <c r="OY273" s="261"/>
      <c r="OZ273" s="261"/>
      <c r="PA273" s="261"/>
      <c r="PB273" s="261"/>
      <c r="PC273" s="261"/>
      <c r="PD273" s="261"/>
      <c r="PE273" s="261"/>
      <c r="PF273" s="13"/>
      <c r="PG273" s="261"/>
      <c r="PH273" s="13"/>
      <c r="PI273" s="261"/>
      <c r="PJ273" s="261"/>
      <c r="PK273" s="261"/>
      <c r="PL273" s="261"/>
      <c r="PM273" s="261"/>
      <c r="PN273" s="261"/>
      <c r="PO273" s="261"/>
      <c r="PP273" s="261"/>
      <c r="PQ273" s="261"/>
      <c r="PR273" s="261"/>
      <c r="PS273" s="261"/>
      <c r="PT273" s="261"/>
      <c r="PU273" s="261"/>
      <c r="PV273" s="261"/>
      <c r="PW273" s="261"/>
      <c r="PX273" s="261"/>
      <c r="PY273" s="261"/>
      <c r="PZ273" s="261"/>
      <c r="QA273" s="261"/>
      <c r="QB273" s="261"/>
      <c r="QC273" s="261"/>
      <c r="QD273" s="261"/>
      <c r="QE273" s="261"/>
      <c r="QF273" s="261"/>
      <c r="QG273" s="261"/>
      <c r="QH273" s="261"/>
      <c r="QI273" s="261"/>
      <c r="QJ273" s="261"/>
      <c r="QK273" s="261"/>
      <c r="QL273" s="261"/>
      <c r="QM273" s="261"/>
      <c r="QN273" s="261"/>
      <c r="QO273" s="261"/>
      <c r="QP273" s="261"/>
      <c r="QQ273" s="261"/>
      <c r="QR273" s="261"/>
      <c r="QS273" s="261"/>
      <c r="QT273" s="261"/>
      <c r="QU273" s="261"/>
      <c r="QV273" s="261"/>
      <c r="QW273" s="261"/>
      <c r="QX273" s="13"/>
      <c r="QY273" s="12"/>
      <c r="QZ273" s="13"/>
      <c r="RA273" s="261"/>
      <c r="RB273" s="261"/>
      <c r="RC273" s="261"/>
      <c r="RD273" s="261"/>
      <c r="RE273" s="261"/>
      <c r="RF273" s="261"/>
      <c r="RG273" s="261"/>
      <c r="RH273" s="261"/>
      <c r="RI273" s="261"/>
      <c r="RJ273" s="261"/>
      <c r="RK273" s="261"/>
      <c r="RL273" s="261"/>
      <c r="RM273" s="261"/>
      <c r="RN273" s="261"/>
      <c r="RO273" s="261"/>
      <c r="RP273" s="261"/>
      <c r="RQ273" s="261"/>
      <c r="RR273" s="261"/>
      <c r="RS273" s="261"/>
      <c r="RT273" s="261"/>
      <c r="RU273" s="261"/>
      <c r="RV273" s="261"/>
      <c r="RW273" s="261"/>
      <c r="RX273" s="261"/>
      <c r="RY273" s="261"/>
      <c r="RZ273" s="261"/>
      <c r="SA273" s="261"/>
      <c r="SB273" s="261"/>
      <c r="SC273" s="261"/>
      <c r="SD273" s="261"/>
      <c r="SE273" s="261"/>
      <c r="SF273" s="261"/>
      <c r="SG273" s="261"/>
      <c r="SH273" s="261"/>
      <c r="SI273" s="261"/>
      <c r="SJ273" s="261"/>
      <c r="SK273" s="261"/>
      <c r="SL273" s="261"/>
      <c r="SM273" s="261"/>
      <c r="SN273" s="261"/>
      <c r="SO273" s="261"/>
      <c r="SP273" s="261"/>
      <c r="SQ273" s="261"/>
      <c r="SR273" s="261"/>
      <c r="SS273" s="261"/>
      <c r="ST273" s="261"/>
      <c r="SU273" s="261"/>
      <c r="SV273" s="261"/>
      <c r="SW273" s="261"/>
      <c r="SX273" s="261"/>
      <c r="SY273" s="261"/>
      <c r="SZ273" s="261"/>
      <c r="TA273" s="261"/>
      <c r="TB273" s="261"/>
      <c r="TC273" s="261"/>
      <c r="TD273" s="13"/>
      <c r="TE273" s="261"/>
      <c r="TF273" s="261"/>
      <c r="TG273" s="13"/>
      <c r="TO273" s="261"/>
      <c r="TP273" s="261"/>
      <c r="TQ273" s="261"/>
      <c r="TR273" s="261"/>
      <c r="TS273" s="261"/>
      <c r="TT273" s="261"/>
      <c r="TU273" s="261"/>
      <c r="TV273" s="261"/>
      <c r="TW273" s="261"/>
      <c r="TX273" s="261"/>
      <c r="TY273" s="261"/>
      <c r="TZ273" s="261"/>
      <c r="UA273" s="261"/>
      <c r="UB273" s="261"/>
      <c r="UC273" s="261"/>
      <c r="UD273" s="261"/>
      <c r="UE273" s="261"/>
      <c r="UF273" s="261"/>
      <c r="UG273" s="261"/>
      <c r="UH273" s="261"/>
      <c r="UI273" s="261"/>
      <c r="UJ273" s="261"/>
      <c r="UK273" s="261"/>
      <c r="UL273" s="261"/>
      <c r="UM273" s="261"/>
      <c r="UN273" s="261"/>
      <c r="UO273" s="261"/>
      <c r="UP273" s="261"/>
      <c r="UQ273" s="261"/>
      <c r="UR273" s="261"/>
      <c r="US273" s="261"/>
      <c r="UT273" s="261"/>
      <c r="UU273" s="261"/>
      <c r="UV273" s="261"/>
      <c r="UW273" s="261"/>
      <c r="UX273" s="261"/>
      <c r="UY273" s="261"/>
      <c r="UZ273" s="261"/>
      <c r="VA273" s="261"/>
      <c r="VB273" s="261"/>
      <c r="VC273" s="261"/>
      <c r="VD273" s="261"/>
      <c r="VE273" s="261"/>
      <c r="VF273" s="261"/>
      <c r="VG273" s="261"/>
      <c r="VH273" s="261"/>
      <c r="VI273" s="261"/>
    </row>
    <row r="274" spans="71:581" ht="10.75" customHeight="1" x14ac:dyDescent="0.2">
      <c r="BS274" s="12"/>
      <c r="BU274" s="13"/>
      <c r="DR274" s="12"/>
      <c r="DS274" s="13"/>
      <c r="EN274" s="12"/>
      <c r="EO274" s="13"/>
      <c r="EX274" s="9"/>
      <c r="EY274" s="10"/>
      <c r="EZ274" s="10"/>
      <c r="FA274" s="10"/>
      <c r="FB274" s="11"/>
      <c r="FE274" s="18"/>
      <c r="FJ274" s="18"/>
      <c r="FO274" s="18"/>
      <c r="FR274" s="12"/>
      <c r="FS274" s="12"/>
      <c r="FT274" s="17"/>
      <c r="FY274" s="12"/>
      <c r="GD274" s="13"/>
      <c r="GE274" s="13"/>
      <c r="GN274" s="12"/>
      <c r="GP274" s="13"/>
      <c r="IY274" s="12"/>
      <c r="IZ274" s="261"/>
      <c r="JA274" s="261"/>
      <c r="JB274" s="12"/>
      <c r="JC274" s="261"/>
      <c r="JD274" s="261"/>
      <c r="JE274" s="261"/>
      <c r="JF274" s="261"/>
      <c r="JG274" s="261"/>
      <c r="JH274" s="261"/>
      <c r="JI274" s="261"/>
      <c r="JJ274" s="261"/>
      <c r="JK274" s="261"/>
      <c r="JL274" s="261"/>
      <c r="JM274" s="261"/>
      <c r="JN274" s="261"/>
      <c r="JO274" s="261"/>
      <c r="JP274" s="261"/>
      <c r="JQ274" s="261"/>
      <c r="JR274" s="261"/>
      <c r="JS274" s="261"/>
      <c r="JT274" s="261"/>
      <c r="JU274" s="261"/>
      <c r="JV274" s="261"/>
      <c r="JW274" s="261"/>
      <c r="JX274" s="261"/>
      <c r="JY274" s="261"/>
      <c r="JZ274" s="261"/>
      <c r="KA274" s="261"/>
      <c r="KB274" s="261"/>
      <c r="KC274" s="261"/>
      <c r="KD274" s="261"/>
      <c r="KE274" s="261"/>
      <c r="KF274" s="261"/>
      <c r="KG274" s="13"/>
      <c r="KH274" s="12"/>
      <c r="KI274" s="261"/>
      <c r="KJ274" s="12"/>
      <c r="KK274" s="261"/>
      <c r="KL274" s="261"/>
      <c r="KM274" s="261"/>
      <c r="KN274" s="261"/>
      <c r="KO274" s="261"/>
      <c r="KP274" s="261"/>
      <c r="KQ274" s="261"/>
      <c r="KR274" s="261"/>
      <c r="KS274" s="261"/>
      <c r="KT274" s="261"/>
      <c r="KU274" s="261"/>
      <c r="KV274" s="261"/>
      <c r="KW274" s="261"/>
      <c r="KX274" s="261"/>
      <c r="KY274" s="261"/>
      <c r="KZ274" s="261"/>
      <c r="LA274" s="261"/>
      <c r="LB274" s="261"/>
      <c r="LC274" s="261"/>
      <c r="LD274" s="261"/>
      <c r="LE274" s="261"/>
      <c r="LF274" s="261"/>
      <c r="LG274" s="261"/>
      <c r="LH274" s="261"/>
      <c r="LI274" s="261"/>
      <c r="LJ274" s="261"/>
      <c r="LK274" s="261"/>
      <c r="LL274" s="261"/>
      <c r="LM274" s="261"/>
      <c r="LN274" s="261"/>
      <c r="LO274" s="261"/>
      <c r="LP274" s="12"/>
      <c r="LQ274" s="261"/>
      <c r="LR274" s="261"/>
      <c r="LS274" s="261"/>
      <c r="LT274" s="261"/>
      <c r="LU274" s="261"/>
      <c r="LV274" s="261"/>
      <c r="LW274" s="261"/>
      <c r="LX274" s="261"/>
      <c r="LY274" s="261"/>
      <c r="LZ274" s="261"/>
      <c r="MA274" s="13"/>
      <c r="MB274" s="261"/>
      <c r="MC274" s="261"/>
      <c r="MD274" s="261"/>
      <c r="ME274" s="261"/>
      <c r="MF274" s="261"/>
      <c r="MG274" s="261"/>
      <c r="MH274" s="261"/>
      <c r="MI274" s="261"/>
      <c r="MJ274" s="261"/>
      <c r="MK274" s="261"/>
      <c r="ML274" s="261"/>
      <c r="MM274" s="261"/>
      <c r="MN274" s="261"/>
      <c r="MO274" s="261"/>
      <c r="MP274" s="261"/>
      <c r="MQ274" s="261"/>
      <c r="MR274" s="261"/>
      <c r="MS274" s="261"/>
      <c r="MT274" s="261"/>
      <c r="MU274" s="261"/>
      <c r="MV274" s="261"/>
      <c r="MW274" s="261"/>
      <c r="MX274" s="261"/>
      <c r="MY274" s="261"/>
      <c r="MZ274" s="261"/>
      <c r="NA274" s="261"/>
      <c r="NB274" s="261"/>
      <c r="NC274" s="261"/>
      <c r="ND274" s="261"/>
      <c r="NE274" s="261"/>
      <c r="NF274" s="261"/>
      <c r="NG274" s="261"/>
      <c r="NH274" s="261"/>
      <c r="NI274" s="261"/>
      <c r="NJ274" s="261"/>
      <c r="NK274" s="13"/>
      <c r="NL274" s="261"/>
      <c r="NM274" s="261"/>
      <c r="NN274" s="13"/>
      <c r="OR274" s="12"/>
      <c r="OS274" s="261"/>
      <c r="OT274" s="261"/>
      <c r="OU274" s="14"/>
      <c r="OV274" s="15"/>
      <c r="OW274" s="15"/>
      <c r="OX274" s="15"/>
      <c r="OY274" s="15"/>
      <c r="OZ274" s="15"/>
      <c r="PA274" s="15"/>
      <c r="PB274" s="15"/>
      <c r="PC274" s="15"/>
      <c r="PD274" s="15"/>
      <c r="PE274" s="15"/>
      <c r="PF274" s="16"/>
      <c r="PG274" s="15"/>
      <c r="PH274" s="16"/>
      <c r="PI274" s="15"/>
      <c r="PJ274" s="15"/>
      <c r="PK274" s="15"/>
      <c r="PL274" s="15"/>
      <c r="PM274" s="15"/>
      <c r="PN274" s="15"/>
      <c r="PO274" s="15"/>
      <c r="PP274" s="15"/>
      <c r="PQ274" s="15"/>
      <c r="PR274" s="15"/>
      <c r="PS274" s="15"/>
      <c r="PT274" s="15"/>
      <c r="PU274" s="15"/>
      <c r="PV274" s="15"/>
      <c r="PW274" s="15"/>
      <c r="PX274" s="15"/>
      <c r="PY274" s="15"/>
      <c r="PZ274" s="15"/>
      <c r="QA274" s="15"/>
      <c r="QB274" s="15"/>
      <c r="QC274" s="15"/>
      <c r="QD274" s="15"/>
      <c r="QE274" s="15"/>
      <c r="QF274" s="15"/>
      <c r="QG274" s="15"/>
      <c r="QH274" s="15"/>
      <c r="QI274" s="15"/>
      <c r="QJ274" s="15"/>
      <c r="QK274" s="15"/>
      <c r="QL274" s="15"/>
      <c r="QM274" s="15"/>
      <c r="QN274" s="15"/>
      <c r="QO274" s="15"/>
      <c r="QP274" s="15"/>
      <c r="QQ274" s="15"/>
      <c r="QR274" s="15"/>
      <c r="QS274" s="15"/>
      <c r="QT274" s="15"/>
      <c r="QU274" s="15"/>
      <c r="QV274" s="15"/>
      <c r="QW274" s="15"/>
      <c r="QX274" s="16"/>
      <c r="QY274" s="12"/>
      <c r="QZ274" s="13"/>
      <c r="RA274" s="261"/>
      <c r="RB274" s="261"/>
      <c r="RC274" s="261"/>
      <c r="RD274" s="261"/>
      <c r="RE274" s="261"/>
      <c r="RF274" s="261"/>
      <c r="RG274" s="261"/>
      <c r="RH274" s="261"/>
      <c r="RI274" s="261"/>
      <c r="RJ274" s="261"/>
      <c r="RK274" s="261"/>
      <c r="RL274" s="261"/>
      <c r="RM274" s="261"/>
      <c r="RN274" s="261"/>
      <c r="RO274" s="261"/>
      <c r="RP274" s="261"/>
      <c r="RQ274" s="261"/>
      <c r="RR274" s="261"/>
      <c r="RS274" s="261"/>
      <c r="RT274" s="261"/>
      <c r="RU274" s="261"/>
      <c r="RV274" s="261"/>
      <c r="RW274" s="261"/>
      <c r="RX274" s="261"/>
      <c r="RY274" s="261"/>
      <c r="RZ274" s="261"/>
      <c r="SA274" s="261"/>
      <c r="SB274" s="261"/>
      <c r="SC274" s="261"/>
      <c r="SD274" s="261"/>
      <c r="SE274" s="261"/>
      <c r="SF274" s="261"/>
      <c r="SG274" s="261"/>
      <c r="SH274" s="261"/>
      <c r="SI274" s="261"/>
      <c r="SJ274" s="261"/>
      <c r="SK274" s="261"/>
      <c r="SL274" s="261"/>
      <c r="SM274" s="261"/>
      <c r="SN274" s="261"/>
      <c r="SO274" s="261"/>
      <c r="SP274" s="261"/>
      <c r="SQ274" s="261"/>
      <c r="SR274" s="261"/>
      <c r="SS274" s="261"/>
      <c r="ST274" s="261"/>
      <c r="SU274" s="261"/>
      <c r="SV274" s="261"/>
      <c r="SW274" s="261"/>
      <c r="SX274" s="261"/>
      <c r="SY274" s="261"/>
      <c r="SZ274" s="261"/>
      <c r="TA274" s="261"/>
      <c r="TB274" s="261"/>
      <c r="TC274" s="261"/>
      <c r="TD274" s="13"/>
      <c r="TE274" s="261"/>
      <c r="TF274" s="261"/>
      <c r="TG274" s="13"/>
      <c r="TO274" s="261"/>
      <c r="TP274" s="261"/>
      <c r="TQ274" s="261"/>
      <c r="TR274" s="261"/>
      <c r="TS274" s="261"/>
      <c r="TT274" s="261"/>
      <c r="TU274" s="261"/>
      <c r="TV274" s="261"/>
      <c r="TW274" s="261"/>
      <c r="TX274" s="261"/>
      <c r="TY274" s="261"/>
      <c r="TZ274" s="261"/>
      <c r="UA274" s="261"/>
      <c r="UB274" s="261"/>
      <c r="UC274" s="261"/>
      <c r="UD274" s="261"/>
      <c r="UE274" s="261"/>
      <c r="UF274" s="261"/>
      <c r="UG274" s="261"/>
      <c r="UH274" s="261"/>
      <c r="UI274" s="261"/>
      <c r="UJ274" s="261"/>
      <c r="UK274" s="261"/>
      <c r="UL274" s="261"/>
      <c r="UM274" s="261"/>
      <c r="UN274" s="261"/>
      <c r="UO274" s="261"/>
      <c r="UP274" s="261"/>
      <c r="UQ274" s="261"/>
      <c r="UR274" s="261"/>
      <c r="US274" s="261"/>
      <c r="UT274" s="261"/>
      <c r="UU274" s="261"/>
      <c r="UV274" s="261"/>
      <c r="UW274" s="261"/>
      <c r="UX274" s="261"/>
      <c r="UY274" s="261"/>
      <c r="UZ274" s="261"/>
      <c r="VA274" s="261"/>
      <c r="VB274" s="261"/>
      <c r="VC274" s="261"/>
      <c r="VD274" s="261"/>
      <c r="VE274" s="261"/>
      <c r="VF274" s="261"/>
      <c r="VG274" s="261"/>
      <c r="VH274" s="261"/>
      <c r="VI274" s="261"/>
    </row>
    <row r="275" spans="71:581" ht="10.75" customHeight="1" x14ac:dyDescent="0.2">
      <c r="BS275" s="12"/>
      <c r="BU275" s="13"/>
      <c r="DR275" s="12"/>
      <c r="DS275" s="13"/>
      <c r="EN275" s="12"/>
      <c r="EO275" s="13"/>
      <c r="EX275" s="14"/>
      <c r="EY275" s="15"/>
      <c r="EZ275" s="15"/>
      <c r="FA275" s="15"/>
      <c r="FB275" s="16"/>
      <c r="FE275" s="18"/>
      <c r="FJ275" s="18"/>
      <c r="FO275" s="18"/>
      <c r="FR275" s="12"/>
      <c r="FS275" s="12"/>
      <c r="FT275" s="18"/>
      <c r="FY275" s="12"/>
      <c r="GD275" s="13"/>
      <c r="GE275" s="13"/>
      <c r="GN275" s="12"/>
      <c r="GP275" s="13"/>
      <c r="IY275" s="12"/>
      <c r="IZ275" s="261"/>
      <c r="JA275" s="261"/>
      <c r="JB275" s="12"/>
      <c r="JC275" s="261"/>
      <c r="JD275" s="261"/>
      <c r="JE275" s="261"/>
      <c r="JF275" s="261"/>
      <c r="JG275" s="261"/>
      <c r="JH275" s="261"/>
      <c r="JI275" s="261"/>
      <c r="JJ275" s="261"/>
      <c r="JK275" s="261"/>
      <c r="JL275" s="261"/>
      <c r="JM275" s="261"/>
      <c r="JN275" s="261"/>
      <c r="JO275" s="261"/>
      <c r="JP275" s="261"/>
      <c r="JQ275" s="261"/>
      <c r="JR275" s="261"/>
      <c r="JS275" s="261"/>
      <c r="JT275" s="261"/>
      <c r="JU275" s="261"/>
      <c r="JV275" s="261"/>
      <c r="JW275" s="261"/>
      <c r="JX275" s="261"/>
      <c r="JY275" s="261"/>
      <c r="JZ275" s="261"/>
      <c r="KA275" s="261"/>
      <c r="KB275" s="261"/>
      <c r="KC275" s="261"/>
      <c r="KD275" s="261"/>
      <c r="KE275" s="261"/>
      <c r="KF275" s="261"/>
      <c r="KG275" s="13"/>
      <c r="KH275" s="12"/>
      <c r="KI275" s="261"/>
      <c r="KJ275" s="12"/>
      <c r="KK275" s="261"/>
      <c r="KL275" s="261"/>
      <c r="KM275" s="261"/>
      <c r="KN275" s="261"/>
      <c r="KO275" s="261"/>
      <c r="KP275" s="261"/>
      <c r="KQ275" s="261"/>
      <c r="KR275" s="261"/>
      <c r="KS275" s="261"/>
      <c r="KT275" s="261"/>
      <c r="KU275" s="261"/>
      <c r="KV275" s="261"/>
      <c r="KW275" s="261"/>
      <c r="KX275" s="261"/>
      <c r="KY275" s="261"/>
      <c r="KZ275" s="261"/>
      <c r="LA275" s="261"/>
      <c r="LB275" s="261"/>
      <c r="LC275" s="261"/>
      <c r="LD275" s="261"/>
      <c r="LE275" s="261"/>
      <c r="LF275" s="261"/>
      <c r="LG275" s="261"/>
      <c r="LH275" s="261"/>
      <c r="LI275" s="261"/>
      <c r="LJ275" s="261"/>
      <c r="LK275" s="261"/>
      <c r="LL275" s="261"/>
      <c r="LM275" s="261"/>
      <c r="LN275" s="261"/>
      <c r="LO275" s="261"/>
      <c r="LP275" s="12"/>
      <c r="LQ275" s="261"/>
      <c r="LR275" s="261"/>
      <c r="LS275" s="261"/>
      <c r="LT275" s="261"/>
      <c r="LU275" s="261"/>
      <c r="LV275" s="261"/>
      <c r="LW275" s="261"/>
      <c r="LX275" s="261"/>
      <c r="LY275" s="261"/>
      <c r="LZ275" s="261"/>
      <c r="MA275" s="13"/>
      <c r="MB275" s="261"/>
      <c r="MC275" s="261"/>
      <c r="MD275" s="261"/>
      <c r="ME275" s="261"/>
      <c r="MF275" s="261"/>
      <c r="MG275" s="261"/>
      <c r="MH275" s="261"/>
      <c r="MI275" s="261"/>
      <c r="MJ275" s="261"/>
      <c r="MK275" s="261"/>
      <c r="ML275" s="261"/>
      <c r="MM275" s="261"/>
      <c r="MN275" s="261"/>
      <c r="MO275" s="261"/>
      <c r="MP275" s="261"/>
      <c r="MQ275" s="261"/>
      <c r="MR275" s="261"/>
      <c r="MS275" s="261"/>
      <c r="MT275" s="261"/>
      <c r="MU275" s="261"/>
      <c r="MV275" s="261"/>
      <c r="MW275" s="261"/>
      <c r="MX275" s="261"/>
      <c r="MY275" s="261"/>
      <c r="MZ275" s="261"/>
      <c r="NA275" s="261"/>
      <c r="NB275" s="261"/>
      <c r="NC275" s="261"/>
      <c r="ND275" s="261"/>
      <c r="NE275" s="261"/>
      <c r="NF275" s="261"/>
      <c r="NG275" s="261"/>
      <c r="NH275" s="261"/>
      <c r="NI275" s="261"/>
      <c r="NJ275" s="261"/>
      <c r="NK275" s="13"/>
      <c r="NL275" s="261"/>
      <c r="NM275" s="261"/>
      <c r="NN275" s="13"/>
      <c r="OR275" s="12"/>
      <c r="OS275" s="261"/>
      <c r="OT275" s="261"/>
      <c r="OU275" s="12"/>
      <c r="OV275" s="261"/>
      <c r="OW275" s="261"/>
      <c r="OX275" s="261"/>
      <c r="OY275" s="261"/>
      <c r="OZ275" s="261"/>
      <c r="PA275" s="261"/>
      <c r="PB275" s="261"/>
      <c r="PC275" s="261"/>
      <c r="PD275" s="261"/>
      <c r="PE275" s="261"/>
      <c r="PF275" s="13"/>
      <c r="PG275" s="261"/>
      <c r="PH275" s="13"/>
      <c r="PI275" s="261"/>
      <c r="PJ275" s="261"/>
      <c r="PK275" s="261"/>
      <c r="PL275" s="261"/>
      <c r="PM275" s="261"/>
      <c r="PN275" s="261"/>
      <c r="PO275" s="261"/>
      <c r="PP275" s="261"/>
      <c r="PQ275" s="261"/>
      <c r="PR275" s="261"/>
      <c r="PS275" s="261"/>
      <c r="PT275" s="261"/>
      <c r="PU275" s="261"/>
      <c r="PV275" s="261"/>
      <c r="PW275" s="261"/>
      <c r="PX275" s="261"/>
      <c r="PY275" s="261"/>
      <c r="PZ275" s="261"/>
      <c r="QA275" s="261"/>
      <c r="QB275" s="261"/>
      <c r="QC275" s="261"/>
      <c r="QD275" s="261"/>
      <c r="QE275" s="261"/>
      <c r="QF275" s="261"/>
      <c r="QG275" s="261"/>
      <c r="QH275" s="261"/>
      <c r="QI275" s="261"/>
      <c r="QJ275" s="261"/>
      <c r="QK275" s="261"/>
      <c r="QL275" s="261"/>
      <c r="QM275" s="261"/>
      <c r="QN275" s="261"/>
      <c r="QO275" s="261"/>
      <c r="QP275" s="261"/>
      <c r="QQ275" s="261"/>
      <c r="QR275" s="261"/>
      <c r="QS275" s="261"/>
      <c r="QT275" s="261"/>
      <c r="QU275" s="261"/>
      <c r="QV275" s="261"/>
      <c r="QW275" s="261"/>
      <c r="QX275" s="13"/>
      <c r="QY275" s="12"/>
      <c r="QZ275" s="13"/>
      <c r="RA275" s="261"/>
      <c r="RB275" s="261"/>
      <c r="RC275" s="261"/>
      <c r="RD275" s="261"/>
      <c r="RE275" s="261"/>
      <c r="RF275" s="261"/>
      <c r="RG275" s="261"/>
      <c r="RH275" s="261"/>
      <c r="RI275" s="261"/>
      <c r="RJ275" s="261"/>
      <c r="RK275" s="261"/>
      <c r="RL275" s="261"/>
      <c r="RM275" s="261"/>
      <c r="RN275" s="261"/>
      <c r="RO275" s="261"/>
      <c r="RP275" s="261"/>
      <c r="RQ275" s="261"/>
      <c r="RR275" s="261"/>
      <c r="RS275" s="261"/>
      <c r="RT275" s="261"/>
      <c r="RU275" s="261"/>
      <c r="RV275" s="261"/>
      <c r="RW275" s="261"/>
      <c r="RX275" s="261"/>
      <c r="RY275" s="261"/>
      <c r="RZ275" s="261"/>
      <c r="SA275" s="261"/>
      <c r="SB275" s="261"/>
      <c r="SC275" s="261"/>
      <c r="SD275" s="261"/>
      <c r="SE275" s="261"/>
      <c r="SF275" s="261"/>
      <c r="SG275" s="261"/>
      <c r="SH275" s="261"/>
      <c r="SI275" s="261"/>
      <c r="SJ275" s="261"/>
      <c r="SK275" s="261"/>
      <c r="SL275" s="261"/>
      <c r="SM275" s="261"/>
      <c r="SN275" s="261"/>
      <c r="SO275" s="261"/>
      <c r="SP275" s="261"/>
      <c r="SQ275" s="261"/>
      <c r="SR275" s="261"/>
      <c r="SS275" s="261"/>
      <c r="ST275" s="261"/>
      <c r="SU275" s="261"/>
      <c r="SV275" s="261"/>
      <c r="SW275" s="261"/>
      <c r="SX275" s="261"/>
      <c r="SY275" s="261"/>
      <c r="SZ275" s="261"/>
      <c r="TA275" s="261"/>
      <c r="TB275" s="261"/>
      <c r="TC275" s="261"/>
      <c r="TD275" s="13"/>
      <c r="TE275" s="261"/>
      <c r="TF275" s="261"/>
      <c r="TG275" s="13"/>
      <c r="TO275" s="261"/>
      <c r="TP275" s="261"/>
      <c r="TQ275" s="261"/>
      <c r="TR275" s="261"/>
      <c r="TS275" s="261"/>
      <c r="TT275" s="261"/>
      <c r="TU275" s="261"/>
      <c r="TV275" s="261"/>
      <c r="TW275" s="261"/>
      <c r="TX275" s="261"/>
      <c r="TY275" s="261"/>
      <c r="TZ275" s="261"/>
      <c r="UA275" s="261"/>
      <c r="UB275" s="261"/>
      <c r="UC275" s="261"/>
      <c r="UD275" s="261"/>
      <c r="UE275" s="261"/>
      <c r="UF275" s="261"/>
      <c r="UG275" s="261"/>
      <c r="UH275" s="261"/>
      <c r="UI275" s="261"/>
      <c r="UJ275" s="261"/>
      <c r="UK275" s="261"/>
      <c r="UL275" s="261"/>
      <c r="UM275" s="261"/>
      <c r="UN275" s="261"/>
      <c r="UO275" s="261"/>
      <c r="UP275" s="261"/>
      <c r="UQ275" s="261"/>
      <c r="UR275" s="261"/>
      <c r="US275" s="261"/>
      <c r="UT275" s="261"/>
      <c r="UU275" s="261"/>
      <c r="UV275" s="261"/>
      <c r="UW275" s="261"/>
      <c r="UX275" s="261"/>
      <c r="UY275" s="261"/>
      <c r="UZ275" s="261"/>
      <c r="VA275" s="261"/>
      <c r="VB275" s="261"/>
      <c r="VC275" s="261"/>
      <c r="VD275" s="261"/>
      <c r="VE275" s="261"/>
      <c r="VF275" s="261"/>
      <c r="VG275" s="261"/>
      <c r="VH275" s="261"/>
      <c r="VI275" s="261"/>
    </row>
    <row r="276" spans="71:581" ht="10.75" customHeight="1" x14ac:dyDescent="0.2">
      <c r="BS276" s="12"/>
      <c r="BU276" s="13"/>
      <c r="DR276" s="12"/>
      <c r="DS276" s="13"/>
      <c r="EN276" s="12"/>
      <c r="EO276" s="13"/>
      <c r="FE276" s="19"/>
      <c r="FJ276" s="18"/>
      <c r="FO276" s="18"/>
      <c r="FR276" s="12"/>
      <c r="FS276" s="14"/>
      <c r="FT276" s="19"/>
      <c r="FU276" s="15"/>
      <c r="FV276" s="15"/>
      <c r="FW276" s="15"/>
      <c r="FX276" s="15"/>
      <c r="FY276" s="14"/>
      <c r="FZ276" s="15"/>
      <c r="GA276" s="15"/>
      <c r="GB276" s="15"/>
      <c r="GC276" s="15"/>
      <c r="GD276" s="16"/>
      <c r="GE276" s="13"/>
      <c r="GN276" s="12"/>
      <c r="GP276" s="13"/>
      <c r="IY276" s="12"/>
      <c r="IZ276" s="261"/>
      <c r="JA276" s="261"/>
      <c r="JB276" s="12"/>
      <c r="JC276" s="261"/>
      <c r="JD276" s="261"/>
      <c r="JE276" s="261"/>
      <c r="JF276" s="261"/>
      <c r="JG276" s="261"/>
      <c r="JH276" s="261"/>
      <c r="JI276" s="261"/>
      <c r="JJ276" s="261"/>
      <c r="JK276" s="261"/>
      <c r="JL276" s="261"/>
      <c r="JM276" s="261"/>
      <c r="JN276" s="261"/>
      <c r="JO276" s="261"/>
      <c r="JP276" s="261"/>
      <c r="JQ276" s="261"/>
      <c r="JR276" s="261"/>
      <c r="JS276" s="261"/>
      <c r="JT276" s="261"/>
      <c r="JU276" s="261"/>
      <c r="JV276" s="261"/>
      <c r="JW276" s="261"/>
      <c r="JX276" s="261"/>
      <c r="JY276" s="261"/>
      <c r="JZ276" s="261"/>
      <c r="KA276" s="261"/>
      <c r="KB276" s="261"/>
      <c r="KC276" s="261"/>
      <c r="KD276" s="261"/>
      <c r="KE276" s="261"/>
      <c r="KF276" s="261"/>
      <c r="KG276" s="13"/>
      <c r="KH276" s="12"/>
      <c r="KI276" s="261"/>
      <c r="KJ276" s="12"/>
      <c r="KK276" s="261"/>
      <c r="KL276" s="261"/>
      <c r="KM276" s="261"/>
      <c r="KN276" s="261"/>
      <c r="KO276" s="261"/>
      <c r="KP276" s="261"/>
      <c r="KQ276" s="261"/>
      <c r="KR276" s="261"/>
      <c r="KS276" s="261"/>
      <c r="KT276" s="261"/>
      <c r="KU276" s="261"/>
      <c r="KV276" s="261"/>
      <c r="KW276" s="261"/>
      <c r="KX276" s="261"/>
      <c r="KY276" s="261"/>
      <c r="KZ276" s="261"/>
      <c r="LA276" s="261"/>
      <c r="LB276" s="261"/>
      <c r="LC276" s="261"/>
      <c r="LD276" s="261"/>
      <c r="LE276" s="261"/>
      <c r="LF276" s="261"/>
      <c r="LG276" s="261"/>
      <c r="LH276" s="261"/>
      <c r="LI276" s="261"/>
      <c r="LJ276" s="261"/>
      <c r="LK276" s="261"/>
      <c r="LL276" s="261"/>
      <c r="LM276" s="261"/>
      <c r="LN276" s="261"/>
      <c r="LO276" s="261"/>
      <c r="LP276" s="12"/>
      <c r="LQ276" s="261"/>
      <c r="LR276" s="261"/>
      <c r="LS276" s="261"/>
      <c r="LT276" s="261"/>
      <c r="LU276" s="261"/>
      <c r="LV276" s="261"/>
      <c r="LW276" s="261"/>
      <c r="LX276" s="261"/>
      <c r="LY276" s="261"/>
      <c r="LZ276" s="261"/>
      <c r="MA276" s="13"/>
      <c r="MB276" s="261"/>
      <c r="MC276" s="261"/>
      <c r="MD276" s="261"/>
      <c r="ME276" s="261"/>
      <c r="MF276" s="261"/>
      <c r="MG276" s="261"/>
      <c r="MH276" s="261"/>
      <c r="MI276" s="261"/>
      <c r="MJ276" s="261"/>
      <c r="MK276" s="261"/>
      <c r="ML276" s="261"/>
      <c r="MM276" s="261"/>
      <c r="MN276" s="261"/>
      <c r="MO276" s="261"/>
      <c r="MP276" s="261"/>
      <c r="MQ276" s="261"/>
      <c r="MR276" s="261"/>
      <c r="MS276" s="261"/>
      <c r="MT276" s="261"/>
      <c r="MU276" s="261"/>
      <c r="MV276" s="261"/>
      <c r="MW276" s="261"/>
      <c r="MX276" s="261"/>
      <c r="MY276" s="261"/>
      <c r="MZ276" s="261"/>
      <c r="NA276" s="261"/>
      <c r="NB276" s="261"/>
      <c r="NC276" s="261"/>
      <c r="ND276" s="261"/>
      <c r="NE276" s="261"/>
      <c r="NF276" s="261"/>
      <c r="NG276" s="261"/>
      <c r="NH276" s="261"/>
      <c r="NI276" s="261"/>
      <c r="NJ276" s="261"/>
      <c r="NK276" s="13"/>
      <c r="NL276" s="261"/>
      <c r="NM276" s="261"/>
      <c r="NN276" s="13"/>
      <c r="OR276" s="12"/>
      <c r="OS276" s="261"/>
      <c r="OT276" s="261"/>
      <c r="OU276" s="14"/>
      <c r="OV276" s="15"/>
      <c r="OW276" s="15"/>
      <c r="OX276" s="15"/>
      <c r="OY276" s="15"/>
      <c r="OZ276" s="15"/>
      <c r="PA276" s="15"/>
      <c r="PB276" s="15"/>
      <c r="PC276" s="15"/>
      <c r="PD276" s="15"/>
      <c r="PE276" s="15"/>
      <c r="PF276" s="16"/>
      <c r="PG276" s="15"/>
      <c r="PH276" s="16"/>
      <c r="PI276" s="15"/>
      <c r="PJ276" s="15"/>
      <c r="PK276" s="15"/>
      <c r="PL276" s="15"/>
      <c r="PM276" s="15"/>
      <c r="PN276" s="15"/>
      <c r="PO276" s="15"/>
      <c r="PP276" s="15"/>
      <c r="PQ276" s="15"/>
      <c r="PR276" s="15"/>
      <c r="PS276" s="15"/>
      <c r="PT276" s="15"/>
      <c r="PU276" s="15"/>
      <c r="PV276" s="15"/>
      <c r="PW276" s="15"/>
      <c r="PX276" s="15"/>
      <c r="PY276" s="15"/>
      <c r="PZ276" s="15"/>
      <c r="QA276" s="15"/>
      <c r="QB276" s="15"/>
      <c r="QC276" s="15"/>
      <c r="QD276" s="15"/>
      <c r="QE276" s="15"/>
      <c r="QF276" s="15"/>
      <c r="QG276" s="15"/>
      <c r="QH276" s="15"/>
      <c r="QI276" s="15"/>
      <c r="QJ276" s="15"/>
      <c r="QK276" s="15"/>
      <c r="QL276" s="15"/>
      <c r="QM276" s="15"/>
      <c r="QN276" s="15"/>
      <c r="QO276" s="15"/>
      <c r="QP276" s="15"/>
      <c r="QQ276" s="15"/>
      <c r="QR276" s="15"/>
      <c r="QS276" s="15"/>
      <c r="QT276" s="15"/>
      <c r="QU276" s="15"/>
      <c r="QV276" s="15"/>
      <c r="QW276" s="15"/>
      <c r="QX276" s="16"/>
      <c r="QY276" s="12"/>
      <c r="QZ276" s="13"/>
      <c r="RA276" s="261"/>
      <c r="RB276" s="261"/>
      <c r="RC276" s="261"/>
      <c r="RD276" s="261"/>
      <c r="RE276" s="261"/>
      <c r="RF276" s="261"/>
      <c r="RG276" s="261"/>
      <c r="RH276" s="261"/>
      <c r="RI276" s="261"/>
      <c r="RJ276" s="261"/>
      <c r="RK276" s="261"/>
      <c r="RL276" s="261"/>
      <c r="RM276" s="261"/>
      <c r="RN276" s="261"/>
      <c r="RO276" s="261"/>
      <c r="RP276" s="261"/>
      <c r="RQ276" s="261"/>
      <c r="RR276" s="261"/>
      <c r="RS276" s="261"/>
      <c r="RT276" s="261"/>
      <c r="RU276" s="261"/>
      <c r="RV276" s="261"/>
      <c r="RW276" s="261"/>
      <c r="RX276" s="261"/>
      <c r="RY276" s="261"/>
      <c r="RZ276" s="261"/>
      <c r="SA276" s="261"/>
      <c r="SB276" s="261"/>
      <c r="SC276" s="261"/>
      <c r="SD276" s="261"/>
      <c r="SE276" s="261"/>
      <c r="SF276" s="261"/>
      <c r="SG276" s="261"/>
      <c r="SH276" s="261"/>
      <c r="SI276" s="261"/>
      <c r="SJ276" s="261"/>
      <c r="SK276" s="261"/>
      <c r="SL276" s="261"/>
      <c r="SM276" s="261"/>
      <c r="SN276" s="261"/>
      <c r="SO276" s="261"/>
      <c r="SP276" s="261"/>
      <c r="SQ276" s="261"/>
      <c r="SR276" s="261"/>
      <c r="SS276" s="261"/>
      <c r="ST276" s="261"/>
      <c r="SU276" s="261"/>
      <c r="SV276" s="261"/>
      <c r="SW276" s="261"/>
      <c r="SX276" s="261"/>
      <c r="SY276" s="261"/>
      <c r="SZ276" s="261"/>
      <c r="TA276" s="261"/>
      <c r="TB276" s="261"/>
      <c r="TC276" s="261"/>
      <c r="TD276" s="13"/>
      <c r="TE276" s="261"/>
      <c r="TF276" s="261"/>
      <c r="TG276" s="13"/>
      <c r="TO276" s="261"/>
      <c r="TP276" s="261"/>
      <c r="TQ276" s="261"/>
      <c r="TR276" s="261"/>
      <c r="TS276" s="261"/>
      <c r="TT276" s="261"/>
      <c r="TU276" s="261"/>
      <c r="TV276" s="261"/>
      <c r="TW276" s="261"/>
      <c r="TX276" s="261"/>
      <c r="TY276" s="261"/>
      <c r="TZ276" s="261"/>
      <c r="UA276" s="261"/>
      <c r="UB276" s="261"/>
      <c r="UC276" s="261"/>
      <c r="UD276" s="261"/>
      <c r="UE276" s="261"/>
      <c r="UF276" s="261"/>
      <c r="UG276" s="261"/>
      <c r="UH276" s="261"/>
      <c r="UI276" s="261"/>
      <c r="UJ276" s="261"/>
      <c r="UK276" s="261"/>
      <c r="UL276" s="261"/>
      <c r="UM276" s="261"/>
      <c r="UN276" s="261"/>
      <c r="UO276" s="261"/>
      <c r="UP276" s="261"/>
      <c r="UQ276" s="261"/>
      <c r="UR276" s="261"/>
      <c r="US276" s="261"/>
      <c r="UT276" s="261"/>
      <c r="UU276" s="261"/>
      <c r="UV276" s="261"/>
      <c r="UW276" s="261"/>
      <c r="UX276" s="261"/>
      <c r="UY276" s="261"/>
      <c r="UZ276" s="261"/>
      <c r="VA276" s="261"/>
      <c r="VB276" s="261"/>
      <c r="VC276" s="261"/>
      <c r="VD276" s="261"/>
      <c r="VE276" s="261"/>
      <c r="VF276" s="261"/>
      <c r="VG276" s="261"/>
      <c r="VH276" s="261"/>
      <c r="VI276" s="261"/>
    </row>
    <row r="277" spans="71:581" ht="10.75" customHeight="1" x14ac:dyDescent="0.2">
      <c r="BS277" s="12"/>
      <c r="BU277" s="13"/>
      <c r="DR277" s="12"/>
      <c r="DS277" s="13"/>
      <c r="EN277" s="12"/>
      <c r="EO277" s="13"/>
      <c r="FC277" s="9"/>
      <c r="FD277" s="10"/>
      <c r="FE277" s="10"/>
      <c r="FF277" s="10"/>
      <c r="FG277" s="11"/>
      <c r="FJ277" s="18"/>
      <c r="FO277" s="18"/>
      <c r="FR277" s="14"/>
      <c r="FS277" s="15"/>
      <c r="FT277" s="19"/>
      <c r="FU277" s="15"/>
      <c r="FV277" s="15"/>
      <c r="FW277" s="15"/>
      <c r="FX277" s="15"/>
      <c r="FY277" s="19"/>
      <c r="FZ277" s="15"/>
      <c r="GA277" s="15"/>
      <c r="GB277" s="15"/>
      <c r="GC277" s="15"/>
      <c r="GD277" s="15"/>
      <c r="GE277" s="16"/>
      <c r="GN277" s="12"/>
      <c r="GP277" s="13"/>
      <c r="IY277" s="12"/>
      <c r="IZ277" s="261"/>
      <c r="JA277" s="261"/>
      <c r="JB277" s="12"/>
      <c r="JC277" s="261"/>
      <c r="JD277" s="261"/>
      <c r="JE277" s="261"/>
      <c r="JF277" s="261"/>
      <c r="JG277" s="261"/>
      <c r="JH277" s="261"/>
      <c r="JI277" s="261"/>
      <c r="JJ277" s="261"/>
      <c r="JK277" s="261"/>
      <c r="JL277" s="261"/>
      <c r="JM277" s="261"/>
      <c r="JN277" s="261"/>
      <c r="JO277" s="261"/>
      <c r="JP277" s="261"/>
      <c r="JQ277" s="261"/>
      <c r="JR277" s="261"/>
      <c r="JS277" s="261"/>
      <c r="JT277" s="261"/>
      <c r="JU277" s="261"/>
      <c r="JV277" s="261"/>
      <c r="JW277" s="261"/>
      <c r="JX277" s="261"/>
      <c r="JY277" s="261"/>
      <c r="JZ277" s="261"/>
      <c r="KA277" s="261"/>
      <c r="KB277" s="261"/>
      <c r="KC277" s="261"/>
      <c r="KD277" s="261"/>
      <c r="KE277" s="261"/>
      <c r="KF277" s="261"/>
      <c r="KG277" s="13"/>
      <c r="KH277" s="12"/>
      <c r="KI277" s="261"/>
      <c r="KJ277" s="12"/>
      <c r="KK277" s="261"/>
      <c r="KL277" s="261"/>
      <c r="KM277" s="261"/>
      <c r="KN277" s="261"/>
      <c r="KO277" s="261"/>
      <c r="KP277" s="261"/>
      <c r="KQ277" s="261"/>
      <c r="KR277" s="261"/>
      <c r="KS277" s="261"/>
      <c r="KT277" s="261"/>
      <c r="KU277" s="261"/>
      <c r="KV277" s="261"/>
      <c r="KW277" s="261"/>
      <c r="KX277" s="261"/>
      <c r="KY277" s="261"/>
      <c r="KZ277" s="261"/>
      <c r="LA277" s="261"/>
      <c r="LB277" s="261"/>
      <c r="LC277" s="261"/>
      <c r="LD277" s="261"/>
      <c r="LE277" s="261"/>
      <c r="LF277" s="261"/>
      <c r="LG277" s="261"/>
      <c r="LH277" s="261"/>
      <c r="LI277" s="261"/>
      <c r="LJ277" s="261"/>
      <c r="LK277" s="261"/>
      <c r="LL277" s="261"/>
      <c r="LM277" s="261"/>
      <c r="LN277" s="261"/>
      <c r="LO277" s="261"/>
      <c r="LP277" s="12"/>
      <c r="LQ277" s="261"/>
      <c r="LR277" s="261"/>
      <c r="LS277" s="261"/>
      <c r="LT277" s="261"/>
      <c r="LU277" s="261"/>
      <c r="LV277" s="261"/>
      <c r="LW277" s="261"/>
      <c r="LX277" s="261"/>
      <c r="LY277" s="261"/>
      <c r="LZ277" s="261"/>
      <c r="MA277" s="13"/>
      <c r="MB277" s="261"/>
      <c r="MC277" s="261"/>
      <c r="MD277" s="261"/>
      <c r="ME277" s="261"/>
      <c r="MF277" s="261"/>
      <c r="MG277" s="261"/>
      <c r="MH277" s="261"/>
      <c r="MI277" s="261"/>
      <c r="MJ277" s="261"/>
      <c r="MK277" s="261"/>
      <c r="ML277" s="261"/>
      <c r="MM277" s="261"/>
      <c r="MN277" s="261"/>
      <c r="MO277" s="261"/>
      <c r="MP277" s="261"/>
      <c r="MQ277" s="261"/>
      <c r="MR277" s="261"/>
      <c r="MS277" s="261"/>
      <c r="MT277" s="261"/>
      <c r="MU277" s="261"/>
      <c r="MV277" s="261"/>
      <c r="MW277" s="261"/>
      <c r="MX277" s="261"/>
      <c r="MY277" s="261"/>
      <c r="MZ277" s="261"/>
      <c r="NA277" s="261"/>
      <c r="NB277" s="261"/>
      <c r="NC277" s="261"/>
      <c r="ND277" s="261"/>
      <c r="NE277" s="261"/>
      <c r="NF277" s="261"/>
      <c r="NG277" s="261"/>
      <c r="NH277" s="261"/>
      <c r="NI277" s="261"/>
      <c r="NJ277" s="261"/>
      <c r="NK277" s="13"/>
      <c r="NL277" s="261"/>
      <c r="NM277" s="261"/>
      <c r="NN277" s="13"/>
      <c r="OR277" s="12"/>
      <c r="OS277" s="261"/>
      <c r="OT277" s="261"/>
      <c r="OU277" s="12"/>
      <c r="OV277" s="261"/>
      <c r="OW277" s="261"/>
      <c r="OX277" s="261"/>
      <c r="OY277" s="261"/>
      <c r="OZ277" s="261"/>
      <c r="PA277" s="261"/>
      <c r="PB277" s="261"/>
      <c r="PC277" s="261"/>
      <c r="PD277" s="261"/>
      <c r="PE277" s="261"/>
      <c r="PF277" s="13"/>
      <c r="PG277" s="261"/>
      <c r="PH277" s="13"/>
      <c r="PI277" s="12"/>
      <c r="PJ277" s="261"/>
      <c r="PK277" s="261"/>
      <c r="PL277" s="261"/>
      <c r="PM277" s="261"/>
      <c r="PN277" s="261"/>
      <c r="PO277" s="261"/>
      <c r="PP277" s="261"/>
      <c r="PQ277" s="261"/>
      <c r="PR277" s="261"/>
      <c r="PS277" s="261"/>
      <c r="PT277" s="261"/>
      <c r="PU277" s="261"/>
      <c r="PV277" s="261"/>
      <c r="PW277" s="261"/>
      <c r="PX277" s="261"/>
      <c r="PY277" s="261"/>
      <c r="PZ277" s="261"/>
      <c r="QA277" s="261"/>
      <c r="QB277" s="261"/>
      <c r="QC277" s="261"/>
      <c r="QD277" s="261"/>
      <c r="QE277" s="261"/>
      <c r="QF277" s="261"/>
      <c r="QG277" s="261"/>
      <c r="QH277" s="261"/>
      <c r="QI277" s="261"/>
      <c r="QJ277" s="261"/>
      <c r="QK277" s="261"/>
      <c r="QL277" s="261"/>
      <c r="QM277" s="261"/>
      <c r="QN277" s="261"/>
      <c r="QO277" s="261"/>
      <c r="QP277" s="261"/>
      <c r="QQ277" s="261"/>
      <c r="QR277" s="261"/>
      <c r="QS277" s="261"/>
      <c r="QT277" s="261"/>
      <c r="QU277" s="261"/>
      <c r="QV277" s="261"/>
      <c r="QW277" s="261"/>
      <c r="QX277" s="13"/>
      <c r="QY277" s="12"/>
      <c r="QZ277" s="13"/>
      <c r="RA277" s="261"/>
      <c r="RB277" s="261"/>
      <c r="RC277" s="261"/>
      <c r="RD277" s="261"/>
      <c r="RE277" s="261"/>
      <c r="RF277" s="261"/>
      <c r="RG277" s="261"/>
      <c r="RH277" s="261"/>
      <c r="RI277" s="261"/>
      <c r="RJ277" s="261"/>
      <c r="RK277" s="261"/>
      <c r="RL277" s="261"/>
      <c r="RM277" s="261"/>
      <c r="RN277" s="261"/>
      <c r="RO277" s="261"/>
      <c r="RP277" s="261"/>
      <c r="RQ277" s="261"/>
      <c r="RR277" s="261"/>
      <c r="RS277" s="261"/>
      <c r="RT277" s="261"/>
      <c r="RU277" s="261"/>
      <c r="RV277" s="261"/>
      <c r="RW277" s="261"/>
      <c r="RX277" s="261"/>
      <c r="RY277" s="261"/>
      <c r="RZ277" s="261"/>
      <c r="SA277" s="261"/>
      <c r="SB277" s="261"/>
      <c r="SC277" s="261"/>
      <c r="SD277" s="261"/>
      <c r="SE277" s="261"/>
      <c r="SF277" s="261"/>
      <c r="SG277" s="261"/>
      <c r="SH277" s="261"/>
      <c r="SI277" s="261"/>
      <c r="SJ277" s="261"/>
      <c r="SK277" s="261"/>
      <c r="SL277" s="261"/>
      <c r="SM277" s="261"/>
      <c r="SN277" s="261"/>
      <c r="SO277" s="261"/>
      <c r="SP277" s="261"/>
      <c r="SQ277" s="261"/>
      <c r="SR277" s="261"/>
      <c r="SS277" s="261"/>
      <c r="ST277" s="261"/>
      <c r="SU277" s="261"/>
      <c r="SV277" s="261"/>
      <c r="SW277" s="261"/>
      <c r="SX277" s="261"/>
      <c r="SY277" s="261"/>
      <c r="SZ277" s="261"/>
      <c r="TA277" s="261"/>
      <c r="TB277" s="261"/>
      <c r="TC277" s="261"/>
      <c r="TD277" s="13"/>
      <c r="TE277" s="261"/>
      <c r="TF277" s="261"/>
      <c r="TG277" s="13"/>
      <c r="TO277" s="261"/>
      <c r="TP277" s="261"/>
      <c r="TQ277" s="261"/>
      <c r="TR277" s="261"/>
      <c r="TS277" s="261"/>
      <c r="TT277" s="261"/>
      <c r="TU277" s="261"/>
      <c r="TV277" s="261"/>
      <c r="TW277" s="261"/>
      <c r="TX277" s="261"/>
      <c r="TY277" s="261"/>
      <c r="TZ277" s="261"/>
      <c r="UA277" s="261"/>
      <c r="UB277" s="261"/>
      <c r="UC277" s="261"/>
      <c r="UD277" s="261"/>
      <c r="UE277" s="261"/>
      <c r="UF277" s="261"/>
      <c r="UG277" s="261"/>
      <c r="UH277" s="261"/>
      <c r="UI277" s="261"/>
      <c r="UJ277" s="261"/>
      <c r="UK277" s="261"/>
      <c r="UL277" s="261"/>
      <c r="UM277" s="261"/>
      <c r="UN277" s="261"/>
      <c r="UO277" s="261"/>
      <c r="UP277" s="261"/>
      <c r="UQ277" s="261"/>
      <c r="UR277" s="261"/>
      <c r="US277" s="261"/>
      <c r="UT277" s="261"/>
      <c r="UU277" s="261"/>
      <c r="UV277" s="261"/>
      <c r="UW277" s="261"/>
      <c r="UX277" s="261"/>
      <c r="UY277" s="261"/>
      <c r="UZ277" s="261"/>
      <c r="VA277" s="261"/>
      <c r="VB277" s="261"/>
      <c r="VC277" s="261"/>
      <c r="VD277" s="261"/>
      <c r="VE277" s="261"/>
      <c r="VF277" s="261"/>
      <c r="VG277" s="261"/>
      <c r="VH277" s="261"/>
      <c r="VI277" s="261"/>
    </row>
    <row r="278" spans="71:581" ht="10.75" customHeight="1" x14ac:dyDescent="0.2">
      <c r="BS278" s="12"/>
      <c r="BU278" s="13"/>
      <c r="DR278" s="12"/>
      <c r="DS278" s="13"/>
      <c r="EC278" s="12"/>
      <c r="EF278" s="13"/>
      <c r="EN278" s="12"/>
      <c r="EO278" s="13"/>
      <c r="FC278" s="14"/>
      <c r="FD278" s="15"/>
      <c r="FE278" s="15"/>
      <c r="FF278" s="15"/>
      <c r="FG278" s="16"/>
      <c r="FJ278" s="18"/>
      <c r="FO278" s="18"/>
      <c r="FT278" s="18"/>
      <c r="FY278" s="18"/>
      <c r="GN278" s="12"/>
      <c r="GP278" s="13"/>
      <c r="IY278" s="12"/>
      <c r="IZ278" s="261"/>
      <c r="JA278" s="261"/>
      <c r="JB278" s="14"/>
      <c r="JC278" s="15"/>
      <c r="JD278" s="15"/>
      <c r="JE278" s="15"/>
      <c r="JF278" s="15"/>
      <c r="JG278" s="15"/>
      <c r="JH278" s="15"/>
      <c r="JI278" s="15"/>
      <c r="JJ278" s="15"/>
      <c r="JK278" s="15"/>
      <c r="JL278" s="15"/>
      <c r="JM278" s="15"/>
      <c r="JN278" s="15"/>
      <c r="JO278" s="15"/>
      <c r="JP278" s="15"/>
      <c r="JQ278" s="15"/>
      <c r="JR278" s="15"/>
      <c r="JS278" s="15"/>
      <c r="JT278" s="15"/>
      <c r="JU278" s="15"/>
      <c r="JV278" s="15"/>
      <c r="JW278" s="15"/>
      <c r="JX278" s="15"/>
      <c r="JY278" s="15"/>
      <c r="JZ278" s="15"/>
      <c r="KA278" s="15"/>
      <c r="KB278" s="15"/>
      <c r="KC278" s="15"/>
      <c r="KD278" s="15"/>
      <c r="KE278" s="15"/>
      <c r="KF278" s="15"/>
      <c r="KG278" s="16"/>
      <c r="KH278" s="14"/>
      <c r="KI278" s="15"/>
      <c r="KJ278" s="12"/>
      <c r="KK278" s="261"/>
      <c r="KL278" s="261"/>
      <c r="KM278" s="261"/>
      <c r="KN278" s="261"/>
      <c r="KO278" s="261"/>
      <c r="KP278" s="261"/>
      <c r="KQ278" s="261"/>
      <c r="KR278" s="261"/>
      <c r="KS278" s="261"/>
      <c r="KT278" s="261"/>
      <c r="KU278" s="261"/>
      <c r="KV278" s="261"/>
      <c r="KW278" s="261"/>
      <c r="KX278" s="261"/>
      <c r="KY278" s="261"/>
      <c r="KZ278" s="261"/>
      <c r="LA278" s="261"/>
      <c r="LB278" s="261"/>
      <c r="LC278" s="261"/>
      <c r="LD278" s="261"/>
      <c r="LE278" s="261"/>
      <c r="LF278" s="261"/>
      <c r="LG278" s="261"/>
      <c r="LH278" s="261"/>
      <c r="LI278" s="261"/>
      <c r="LJ278" s="261"/>
      <c r="LK278" s="261"/>
      <c r="LL278" s="261"/>
      <c r="LM278" s="261"/>
      <c r="LN278" s="261"/>
      <c r="LO278" s="261"/>
      <c r="LP278" s="12"/>
      <c r="LQ278" s="261"/>
      <c r="LR278" s="261"/>
      <c r="LS278" s="261"/>
      <c r="LT278" s="261"/>
      <c r="LU278" s="261"/>
      <c r="LV278" s="261"/>
      <c r="LW278" s="261"/>
      <c r="LX278" s="261"/>
      <c r="LY278" s="261"/>
      <c r="LZ278" s="261"/>
      <c r="MA278" s="13"/>
      <c r="MB278" s="261"/>
      <c r="MC278" s="261"/>
      <c r="MD278" s="261"/>
      <c r="ME278" s="261"/>
      <c r="MF278" s="261"/>
      <c r="MG278" s="261"/>
      <c r="MH278" s="261"/>
      <c r="MI278" s="261"/>
      <c r="MJ278" s="261"/>
      <c r="MK278" s="261"/>
      <c r="ML278" s="261"/>
      <c r="MM278" s="261"/>
      <c r="MN278" s="261"/>
      <c r="MO278" s="261"/>
      <c r="MP278" s="261"/>
      <c r="MQ278" s="261"/>
      <c r="MR278" s="261"/>
      <c r="MS278" s="261"/>
      <c r="MT278" s="261"/>
      <c r="MU278" s="261"/>
      <c r="MV278" s="261"/>
      <c r="MW278" s="261"/>
      <c r="MX278" s="261"/>
      <c r="MY278" s="261"/>
      <c r="MZ278" s="261"/>
      <c r="NA278" s="261"/>
      <c r="NB278" s="261"/>
      <c r="NC278" s="261"/>
      <c r="ND278" s="261"/>
      <c r="NE278" s="261"/>
      <c r="NF278" s="261"/>
      <c r="NG278" s="261"/>
      <c r="NH278" s="261"/>
      <c r="NI278" s="261"/>
      <c r="NJ278" s="261"/>
      <c r="NK278" s="13"/>
      <c r="NL278" s="261"/>
      <c r="NM278" s="261"/>
      <c r="NN278" s="13"/>
      <c r="OR278" s="12"/>
      <c r="OS278" s="261"/>
      <c r="OT278" s="261"/>
      <c r="OU278" s="12"/>
      <c r="OV278" s="261"/>
      <c r="OW278" s="261"/>
      <c r="OX278" s="261"/>
      <c r="OY278" s="261"/>
      <c r="OZ278" s="261"/>
      <c r="PA278" s="261"/>
      <c r="PB278" s="261"/>
      <c r="PC278" s="261"/>
      <c r="PD278" s="261"/>
      <c r="PE278" s="261"/>
      <c r="PF278" s="13"/>
      <c r="PG278" s="261"/>
      <c r="PH278" s="13"/>
      <c r="PI278" s="12"/>
      <c r="PJ278" s="261"/>
      <c r="PK278" s="261"/>
      <c r="PL278" s="261"/>
      <c r="PM278" s="261"/>
      <c r="PN278" s="261"/>
      <c r="PO278" s="261"/>
      <c r="PP278" s="261"/>
      <c r="PQ278" s="261"/>
      <c r="PR278" s="261"/>
      <c r="PS278" s="261"/>
      <c r="PT278" s="261"/>
      <c r="PU278" s="261"/>
      <c r="PV278" s="261"/>
      <c r="PW278" s="261"/>
      <c r="PX278" s="261"/>
      <c r="PY278" s="261"/>
      <c r="PZ278" s="261"/>
      <c r="QA278" s="261"/>
      <c r="QB278" s="261"/>
      <c r="QC278" s="261"/>
      <c r="QD278" s="261"/>
      <c r="QE278" s="261"/>
      <c r="QF278" s="261"/>
      <c r="QG278" s="261"/>
      <c r="QH278" s="261"/>
      <c r="QI278" s="261"/>
      <c r="QJ278" s="261"/>
      <c r="QK278" s="261"/>
      <c r="QL278" s="261"/>
      <c r="QM278" s="261"/>
      <c r="QN278" s="261"/>
      <c r="QO278" s="261"/>
      <c r="QP278" s="261"/>
      <c r="QQ278" s="261"/>
      <c r="QR278" s="261"/>
      <c r="QS278" s="261"/>
      <c r="QT278" s="261"/>
      <c r="QU278" s="261"/>
      <c r="QV278" s="261"/>
      <c r="QW278" s="261"/>
      <c r="QX278" s="13"/>
      <c r="QY278" s="12"/>
      <c r="QZ278" s="13"/>
      <c r="RA278" s="261"/>
      <c r="RB278" s="261"/>
      <c r="RC278" s="261"/>
      <c r="RD278" s="261"/>
      <c r="RE278" s="261"/>
      <c r="RF278" s="261"/>
      <c r="RG278" s="261"/>
      <c r="RH278" s="261"/>
      <c r="RI278" s="261"/>
      <c r="RJ278" s="261"/>
      <c r="RK278" s="261"/>
      <c r="RL278" s="261"/>
      <c r="RM278" s="261"/>
      <c r="RN278" s="261"/>
      <c r="RO278" s="261"/>
      <c r="RP278" s="261"/>
      <c r="RQ278" s="261"/>
      <c r="RR278" s="261"/>
      <c r="RS278" s="261"/>
      <c r="RT278" s="261"/>
      <c r="RU278" s="261"/>
      <c r="RV278" s="261"/>
      <c r="RW278" s="261"/>
      <c r="RX278" s="261"/>
      <c r="RY278" s="261"/>
      <c r="RZ278" s="261"/>
      <c r="SA278" s="261"/>
      <c r="SB278" s="261"/>
      <c r="SC278" s="261"/>
      <c r="SD278" s="261"/>
      <c r="SE278" s="261"/>
      <c r="SF278" s="261"/>
      <c r="SG278" s="261"/>
      <c r="SH278" s="261"/>
      <c r="SI278" s="261"/>
      <c r="SJ278" s="261"/>
      <c r="SK278" s="261"/>
      <c r="SL278" s="261"/>
      <c r="SM278" s="261"/>
      <c r="SN278" s="261"/>
      <c r="SO278" s="261"/>
      <c r="SP278" s="261"/>
      <c r="SQ278" s="261"/>
      <c r="SR278" s="261"/>
      <c r="SS278" s="261"/>
      <c r="ST278" s="261"/>
      <c r="SU278" s="261"/>
      <c r="SV278" s="261"/>
      <c r="SW278" s="261"/>
      <c r="SX278" s="261"/>
      <c r="SY278" s="261"/>
      <c r="SZ278" s="261"/>
      <c r="TA278" s="261"/>
      <c r="TB278" s="261"/>
      <c r="TC278" s="261"/>
      <c r="TD278" s="13"/>
      <c r="TE278" s="261"/>
      <c r="TF278" s="261"/>
      <c r="TG278" s="13"/>
      <c r="TO278" s="261"/>
      <c r="TP278" s="261"/>
      <c r="TQ278" s="261"/>
      <c r="TR278" s="261"/>
      <c r="TS278" s="261"/>
      <c r="TT278" s="261"/>
      <c r="TU278" s="261"/>
      <c r="TV278" s="261"/>
      <c r="TW278" s="261"/>
      <c r="TX278" s="261"/>
      <c r="TY278" s="261"/>
      <c r="TZ278" s="261"/>
      <c r="UA278" s="261"/>
      <c r="UB278" s="261"/>
      <c r="UC278" s="261"/>
      <c r="UD278" s="261"/>
      <c r="UE278" s="261"/>
      <c r="UF278" s="261"/>
      <c r="UG278" s="261"/>
      <c r="UH278" s="261"/>
      <c r="UI278" s="261"/>
      <c r="UJ278" s="261"/>
      <c r="UK278" s="261"/>
      <c r="UL278" s="261"/>
      <c r="UM278" s="261"/>
      <c r="UN278" s="261"/>
      <c r="UO278" s="261"/>
      <c r="UP278" s="261"/>
      <c r="UQ278" s="261"/>
      <c r="UR278" s="261"/>
      <c r="US278" s="261"/>
      <c r="UT278" s="261"/>
      <c r="UU278" s="261"/>
      <c r="UV278" s="261"/>
      <c r="UW278" s="261"/>
      <c r="UX278" s="261"/>
      <c r="UY278" s="261"/>
      <c r="UZ278" s="261"/>
      <c r="VA278" s="261"/>
      <c r="VB278" s="261"/>
      <c r="VC278" s="261"/>
      <c r="VD278" s="261"/>
      <c r="VE278" s="261"/>
      <c r="VF278" s="261"/>
      <c r="VG278" s="261"/>
      <c r="VH278" s="261"/>
      <c r="VI278" s="261"/>
    </row>
    <row r="279" spans="71:581" ht="10.75" customHeight="1" x14ac:dyDescent="0.2">
      <c r="BS279" s="12"/>
      <c r="BU279" s="13"/>
      <c r="DR279" s="12"/>
      <c r="DS279" s="13"/>
      <c r="EC279" s="12"/>
      <c r="EF279" s="13"/>
      <c r="EN279" s="12"/>
      <c r="EO279" s="13"/>
      <c r="FJ279" s="19"/>
      <c r="FO279" s="18"/>
      <c r="FT279" s="18"/>
      <c r="FY279" s="18"/>
      <c r="GN279" s="12"/>
      <c r="GP279" s="13"/>
      <c r="IY279" s="12"/>
      <c r="IZ279" s="261"/>
      <c r="JA279" s="261"/>
      <c r="JB279" s="9"/>
      <c r="JC279" s="10"/>
      <c r="JD279" s="10"/>
      <c r="JE279" s="10"/>
      <c r="JF279" s="10"/>
      <c r="JG279" s="10"/>
      <c r="JH279" s="10"/>
      <c r="JI279" s="10"/>
      <c r="JJ279" s="10"/>
      <c r="JK279" s="10"/>
      <c r="JL279" s="10"/>
      <c r="JM279" s="10"/>
      <c r="JN279" s="10"/>
      <c r="JO279" s="10"/>
      <c r="JP279" s="10"/>
      <c r="JQ279" s="10"/>
      <c r="JR279" s="10"/>
      <c r="JS279" s="10"/>
      <c r="JT279" s="10"/>
      <c r="JU279" s="10"/>
      <c r="JV279" s="10"/>
      <c r="JW279" s="10"/>
      <c r="JX279" s="10"/>
      <c r="JY279" s="10"/>
      <c r="JZ279" s="10"/>
      <c r="KA279" s="10"/>
      <c r="KB279" s="10"/>
      <c r="KC279" s="10"/>
      <c r="KD279" s="10"/>
      <c r="KE279" s="10"/>
      <c r="KF279" s="10"/>
      <c r="KG279" s="10"/>
      <c r="KH279" s="10"/>
      <c r="KI279" s="10"/>
      <c r="KJ279" s="12"/>
      <c r="KK279" s="261"/>
      <c r="KL279" s="261"/>
      <c r="KM279" s="261"/>
      <c r="KN279" s="261"/>
      <c r="KO279" s="261"/>
      <c r="KP279" s="261"/>
      <c r="KQ279" s="261"/>
      <c r="KR279" s="261"/>
      <c r="KS279" s="261"/>
      <c r="KT279" s="261"/>
      <c r="KU279" s="261"/>
      <c r="KV279" s="261"/>
      <c r="KW279" s="261"/>
      <c r="KX279" s="261"/>
      <c r="KY279" s="261"/>
      <c r="KZ279" s="261"/>
      <c r="LA279" s="261"/>
      <c r="LB279" s="261"/>
      <c r="LC279" s="261"/>
      <c r="LD279" s="261"/>
      <c r="LE279" s="261"/>
      <c r="LF279" s="261"/>
      <c r="LG279" s="261"/>
      <c r="LH279" s="261"/>
      <c r="LI279" s="261"/>
      <c r="LJ279" s="261"/>
      <c r="LK279" s="261"/>
      <c r="LL279" s="261"/>
      <c r="LM279" s="261"/>
      <c r="LN279" s="261"/>
      <c r="LO279" s="261"/>
      <c r="LP279" s="12"/>
      <c r="LQ279" s="261"/>
      <c r="LR279" s="261"/>
      <c r="LS279" s="261"/>
      <c r="LT279" s="261"/>
      <c r="LU279" s="261"/>
      <c r="LV279" s="261"/>
      <c r="LW279" s="261"/>
      <c r="LX279" s="261"/>
      <c r="LY279" s="261"/>
      <c r="LZ279" s="261"/>
      <c r="MA279" s="13"/>
      <c r="MB279" s="261"/>
      <c r="MC279" s="261"/>
      <c r="MD279" s="261"/>
      <c r="ME279" s="261"/>
      <c r="MF279" s="261"/>
      <c r="MG279" s="261"/>
      <c r="MH279" s="261"/>
      <c r="MI279" s="261"/>
      <c r="MJ279" s="261"/>
      <c r="MK279" s="261"/>
      <c r="ML279" s="261"/>
      <c r="MM279" s="261"/>
      <c r="MN279" s="261"/>
      <c r="MO279" s="261"/>
      <c r="MP279" s="261"/>
      <c r="MQ279" s="261"/>
      <c r="MR279" s="261"/>
      <c r="MS279" s="261"/>
      <c r="MT279" s="261"/>
      <c r="MU279" s="261"/>
      <c r="MV279" s="261"/>
      <c r="MW279" s="261"/>
      <c r="MX279" s="261"/>
      <c r="MY279" s="261"/>
      <c r="MZ279" s="261"/>
      <c r="NA279" s="261"/>
      <c r="NB279" s="261"/>
      <c r="NC279" s="261"/>
      <c r="ND279" s="261"/>
      <c r="NE279" s="261"/>
      <c r="NF279" s="261"/>
      <c r="NG279" s="261"/>
      <c r="NH279" s="261"/>
      <c r="NI279" s="261"/>
      <c r="NJ279" s="261"/>
      <c r="NK279" s="13"/>
      <c r="NL279" s="261"/>
      <c r="NM279" s="261"/>
      <c r="NN279" s="13"/>
      <c r="OR279" s="12"/>
      <c r="OS279" s="261"/>
      <c r="OT279" s="261"/>
      <c r="OU279" s="12"/>
      <c r="OV279" s="261"/>
      <c r="OW279" s="261"/>
      <c r="OX279" s="261"/>
      <c r="OY279" s="261"/>
      <c r="OZ279" s="261"/>
      <c r="PA279" s="261"/>
      <c r="PB279" s="261"/>
      <c r="PC279" s="261"/>
      <c r="PD279" s="261"/>
      <c r="PE279" s="261"/>
      <c r="PF279" s="13"/>
      <c r="PG279" s="261"/>
      <c r="PH279" s="13"/>
      <c r="PI279" s="12"/>
      <c r="PJ279" s="261"/>
      <c r="PK279" s="261"/>
      <c r="PL279" s="261"/>
      <c r="PM279" s="261"/>
      <c r="PN279" s="261"/>
      <c r="PO279" s="261"/>
      <c r="PP279" s="261"/>
      <c r="PQ279" s="261"/>
      <c r="PR279" s="261"/>
      <c r="PS279" s="261"/>
      <c r="PT279" s="261"/>
      <c r="PU279" s="261"/>
      <c r="PV279" s="261"/>
      <c r="PW279" s="261"/>
      <c r="PX279" s="261"/>
      <c r="PY279" s="261"/>
      <c r="PZ279" s="261"/>
      <c r="QA279" s="261"/>
      <c r="QB279" s="261"/>
      <c r="QC279" s="261"/>
      <c r="QD279" s="261"/>
      <c r="QE279" s="261"/>
      <c r="QF279" s="261"/>
      <c r="QG279" s="261"/>
      <c r="QH279" s="261"/>
      <c r="QI279" s="261"/>
      <c r="QJ279" s="261"/>
      <c r="QK279" s="261"/>
      <c r="QL279" s="261"/>
      <c r="QM279" s="261"/>
      <c r="QN279" s="261"/>
      <c r="QO279" s="261"/>
      <c r="QP279" s="261"/>
      <c r="QQ279" s="261"/>
      <c r="QR279" s="261"/>
      <c r="QS279" s="261"/>
      <c r="QT279" s="261"/>
      <c r="QU279" s="261"/>
      <c r="QV279" s="261"/>
      <c r="QW279" s="261"/>
      <c r="QX279" s="13"/>
      <c r="QY279" s="12"/>
      <c r="QZ279" s="13"/>
      <c r="RA279" s="261"/>
      <c r="RB279" s="261"/>
      <c r="RC279" s="261"/>
      <c r="RD279" s="261"/>
      <c r="RE279" s="261"/>
      <c r="RF279" s="261"/>
      <c r="RG279" s="261"/>
      <c r="RH279" s="261"/>
      <c r="RI279" s="261"/>
      <c r="RJ279" s="261"/>
      <c r="RK279" s="261"/>
      <c r="RL279" s="261"/>
      <c r="RM279" s="261"/>
      <c r="RN279" s="261"/>
      <c r="RO279" s="261"/>
      <c r="RP279" s="261"/>
      <c r="RQ279" s="261"/>
      <c r="RR279" s="261"/>
      <c r="RS279" s="261"/>
      <c r="RT279" s="261"/>
      <c r="RU279" s="261"/>
      <c r="RV279" s="261"/>
      <c r="RW279" s="261"/>
      <c r="RX279" s="261"/>
      <c r="RY279" s="261"/>
      <c r="RZ279" s="261"/>
      <c r="SA279" s="261"/>
      <c r="SB279" s="261"/>
      <c r="SC279" s="261"/>
      <c r="SD279" s="261"/>
      <c r="SE279" s="261"/>
      <c r="SF279" s="261"/>
      <c r="SG279" s="261"/>
      <c r="SH279" s="261"/>
      <c r="SI279" s="261"/>
      <c r="SJ279" s="261"/>
      <c r="SK279" s="261"/>
      <c r="SL279" s="261"/>
      <c r="SM279" s="261"/>
      <c r="SN279" s="261"/>
      <c r="SO279" s="261"/>
      <c r="SP279" s="261"/>
      <c r="SQ279" s="261"/>
      <c r="SR279" s="261"/>
      <c r="SS279" s="261"/>
      <c r="ST279" s="261"/>
      <c r="SU279" s="261"/>
      <c r="SV279" s="261"/>
      <c r="SW279" s="261"/>
      <c r="SX279" s="261"/>
      <c r="SY279" s="261"/>
      <c r="SZ279" s="261"/>
      <c r="TA279" s="261"/>
      <c r="TB279" s="261"/>
      <c r="TC279" s="261"/>
      <c r="TD279" s="13"/>
      <c r="TE279" s="261"/>
      <c r="TF279" s="261"/>
      <c r="TG279" s="13"/>
      <c r="TO279" s="261"/>
      <c r="TP279" s="261"/>
      <c r="TQ279" s="261"/>
      <c r="TR279" s="261"/>
      <c r="TS279" s="261"/>
      <c r="TT279" s="261"/>
      <c r="TU279" s="261"/>
      <c r="TV279" s="261"/>
      <c r="TW279" s="261"/>
      <c r="TX279" s="261"/>
      <c r="TY279" s="261"/>
      <c r="TZ279" s="261"/>
      <c r="UA279" s="261"/>
      <c r="UB279" s="261"/>
      <c r="UC279" s="261"/>
      <c r="UD279" s="261"/>
      <c r="UE279" s="261"/>
      <c r="UF279" s="261"/>
      <c r="UG279" s="261"/>
      <c r="UH279" s="261"/>
      <c r="UI279" s="261"/>
      <c r="UJ279" s="261"/>
      <c r="UK279" s="261"/>
      <c r="UL279" s="261"/>
      <c r="UM279" s="261"/>
      <c r="UN279" s="261"/>
      <c r="UO279" s="261"/>
      <c r="UP279" s="261"/>
      <c r="UQ279" s="261"/>
      <c r="UR279" s="261"/>
      <c r="US279" s="261"/>
      <c r="UT279" s="261"/>
      <c r="UU279" s="261"/>
      <c r="UV279" s="261"/>
      <c r="UW279" s="261"/>
      <c r="UX279" s="261"/>
      <c r="UY279" s="261"/>
      <c r="UZ279" s="261"/>
      <c r="VA279" s="261"/>
      <c r="VB279" s="261"/>
      <c r="VC279" s="261"/>
      <c r="VD279" s="261"/>
      <c r="VE279" s="261"/>
      <c r="VF279" s="261"/>
      <c r="VG279" s="261"/>
      <c r="VH279" s="261"/>
      <c r="VI279" s="261"/>
    </row>
    <row r="280" spans="71:581" ht="10.75" customHeight="1" x14ac:dyDescent="0.2">
      <c r="BS280" s="12"/>
      <c r="BU280" s="13"/>
      <c r="DR280" s="12"/>
      <c r="DS280" s="13"/>
      <c r="EC280" s="12"/>
      <c r="EF280" s="13"/>
      <c r="EN280" s="12"/>
      <c r="EO280" s="13"/>
      <c r="FH280" s="9"/>
      <c r="FI280" s="10"/>
      <c r="FJ280" s="10"/>
      <c r="FK280" s="10"/>
      <c r="FL280" s="11"/>
      <c r="FO280" s="18"/>
      <c r="FT280" s="18"/>
      <c r="FY280" s="18"/>
      <c r="GN280" s="12"/>
      <c r="GP280" s="13"/>
      <c r="IY280" s="12"/>
      <c r="IZ280" s="261"/>
      <c r="JA280" s="261"/>
      <c r="JB280" s="14"/>
      <c r="JC280" s="15"/>
      <c r="JD280" s="15"/>
      <c r="JE280" s="15"/>
      <c r="JF280" s="15"/>
      <c r="JG280" s="15"/>
      <c r="JH280" s="15"/>
      <c r="JI280" s="15"/>
      <c r="JJ280" s="15"/>
      <c r="JK280" s="15"/>
      <c r="JL280" s="15"/>
      <c r="JM280" s="15"/>
      <c r="JN280" s="15"/>
      <c r="JO280" s="15"/>
      <c r="JP280" s="15"/>
      <c r="JQ280" s="15"/>
      <c r="JR280" s="15"/>
      <c r="JS280" s="15"/>
      <c r="JT280" s="15"/>
      <c r="JU280" s="15"/>
      <c r="JV280" s="15"/>
      <c r="JW280" s="15"/>
      <c r="JX280" s="15"/>
      <c r="JY280" s="15"/>
      <c r="JZ280" s="15"/>
      <c r="KA280" s="15"/>
      <c r="KB280" s="15"/>
      <c r="KC280" s="15"/>
      <c r="KD280" s="15"/>
      <c r="KE280" s="15"/>
      <c r="KF280" s="15"/>
      <c r="KG280" s="15"/>
      <c r="KH280" s="15"/>
      <c r="KI280" s="15"/>
      <c r="KJ280" s="12"/>
      <c r="KK280" s="261"/>
      <c r="KL280" s="261"/>
      <c r="KM280" s="261"/>
      <c r="KN280" s="261"/>
      <c r="KO280" s="261"/>
      <c r="KP280" s="261"/>
      <c r="KQ280" s="261"/>
      <c r="KR280" s="261"/>
      <c r="KS280" s="261"/>
      <c r="KT280" s="261"/>
      <c r="KU280" s="261"/>
      <c r="KV280" s="261"/>
      <c r="KW280" s="261"/>
      <c r="KX280" s="261"/>
      <c r="KY280" s="261"/>
      <c r="KZ280" s="261"/>
      <c r="LA280" s="261"/>
      <c r="LB280" s="261"/>
      <c r="LC280" s="261"/>
      <c r="LD280" s="261"/>
      <c r="LE280" s="261"/>
      <c r="LF280" s="261"/>
      <c r="LG280" s="261"/>
      <c r="LH280" s="261"/>
      <c r="LI280" s="261"/>
      <c r="LJ280" s="261"/>
      <c r="LK280" s="261"/>
      <c r="LL280" s="261"/>
      <c r="LM280" s="261"/>
      <c r="LN280" s="261"/>
      <c r="LO280" s="261"/>
      <c r="LP280" s="12"/>
      <c r="LQ280" s="261"/>
      <c r="LR280" s="261"/>
      <c r="LS280" s="261"/>
      <c r="LT280" s="261"/>
      <c r="LU280" s="261"/>
      <c r="LV280" s="261"/>
      <c r="LW280" s="261"/>
      <c r="LX280" s="261"/>
      <c r="LY280" s="261"/>
      <c r="LZ280" s="261"/>
      <c r="MA280" s="13"/>
      <c r="MB280" s="261"/>
      <c r="MC280" s="261"/>
      <c r="MD280" s="261"/>
      <c r="ME280" s="261"/>
      <c r="MF280" s="261"/>
      <c r="MG280" s="261"/>
      <c r="MH280" s="261"/>
      <c r="MI280" s="261"/>
      <c r="MJ280" s="261"/>
      <c r="MK280" s="261"/>
      <c r="ML280" s="261"/>
      <c r="MM280" s="261"/>
      <c r="MN280" s="261"/>
      <c r="MO280" s="261"/>
      <c r="MP280" s="261"/>
      <c r="MQ280" s="261"/>
      <c r="MR280" s="261"/>
      <c r="MS280" s="261"/>
      <c r="MT280" s="261"/>
      <c r="MU280" s="261"/>
      <c r="MV280" s="261"/>
      <c r="MW280" s="261"/>
      <c r="MX280" s="261"/>
      <c r="MY280" s="261"/>
      <c r="MZ280" s="261"/>
      <c r="NA280" s="261"/>
      <c r="NB280" s="261"/>
      <c r="NC280" s="261"/>
      <c r="ND280" s="261"/>
      <c r="NE280" s="261"/>
      <c r="NF280" s="261"/>
      <c r="NG280" s="261"/>
      <c r="NH280" s="261"/>
      <c r="NI280" s="261"/>
      <c r="NJ280" s="261"/>
      <c r="NK280" s="13"/>
      <c r="NL280" s="261"/>
      <c r="NM280" s="261"/>
      <c r="NN280" s="13"/>
      <c r="OR280" s="12"/>
      <c r="OS280" s="261"/>
      <c r="OT280" s="261"/>
      <c r="OU280" s="12"/>
      <c r="OV280" s="261"/>
      <c r="OW280" s="261"/>
      <c r="OX280" s="261"/>
      <c r="OY280" s="261"/>
      <c r="OZ280" s="261"/>
      <c r="PA280" s="261"/>
      <c r="PB280" s="261"/>
      <c r="PC280" s="261"/>
      <c r="PD280" s="261"/>
      <c r="PE280" s="261"/>
      <c r="PF280" s="13"/>
      <c r="PG280" s="261"/>
      <c r="PH280" s="13"/>
      <c r="PI280" s="12"/>
      <c r="PJ280" s="261"/>
      <c r="PK280" s="261"/>
      <c r="PL280" s="261"/>
      <c r="PM280" s="261"/>
      <c r="PN280" s="261"/>
      <c r="PO280" s="261"/>
      <c r="PP280" s="261"/>
      <c r="PQ280" s="261"/>
      <c r="PR280" s="261"/>
      <c r="PS280" s="261"/>
      <c r="PT280" s="261"/>
      <c r="PU280" s="261"/>
      <c r="PV280" s="261"/>
      <c r="PW280" s="261"/>
      <c r="PX280" s="261"/>
      <c r="PY280" s="261"/>
      <c r="PZ280" s="261"/>
      <c r="QA280" s="261"/>
      <c r="QB280" s="261"/>
      <c r="QC280" s="261"/>
      <c r="QD280" s="261"/>
      <c r="QE280" s="261"/>
      <c r="QF280" s="261"/>
      <c r="QG280" s="261"/>
      <c r="QH280" s="261"/>
      <c r="QI280" s="261"/>
      <c r="QJ280" s="261"/>
      <c r="QK280" s="261"/>
      <c r="QL280" s="261"/>
      <c r="QM280" s="261"/>
      <c r="QN280" s="261"/>
      <c r="QO280" s="261"/>
      <c r="QP280" s="261"/>
      <c r="QQ280" s="261"/>
      <c r="QR280" s="261"/>
      <c r="QS280" s="261"/>
      <c r="QT280" s="261"/>
      <c r="QU280" s="261"/>
      <c r="QV280" s="261"/>
      <c r="QW280" s="261"/>
      <c r="QX280" s="13"/>
      <c r="QY280" s="12"/>
      <c r="QZ280" s="13"/>
      <c r="RA280" s="261"/>
      <c r="RB280" s="261"/>
      <c r="RC280" s="261"/>
      <c r="RD280" s="261"/>
      <c r="RE280" s="261"/>
      <c r="RF280" s="261"/>
      <c r="RG280" s="261"/>
      <c r="RH280" s="261"/>
      <c r="RI280" s="261"/>
      <c r="RJ280" s="261"/>
      <c r="RK280" s="261"/>
      <c r="RL280" s="261"/>
      <c r="RM280" s="261"/>
      <c r="RN280" s="261"/>
      <c r="RO280" s="261"/>
      <c r="RP280" s="261"/>
      <c r="RQ280" s="261"/>
      <c r="RR280" s="261"/>
      <c r="RS280" s="261"/>
      <c r="RT280" s="261"/>
      <c r="RU280" s="261"/>
      <c r="RV280" s="261"/>
      <c r="RW280" s="261"/>
      <c r="RX280" s="261"/>
      <c r="RY280" s="261"/>
      <c r="RZ280" s="261"/>
      <c r="SA280" s="261"/>
      <c r="SB280" s="261"/>
      <c r="SC280" s="261"/>
      <c r="SD280" s="261"/>
      <c r="SE280" s="261"/>
      <c r="SF280" s="261"/>
      <c r="SG280" s="261"/>
      <c r="SH280" s="261"/>
      <c r="SI280" s="261"/>
      <c r="SJ280" s="261"/>
      <c r="SK280" s="261"/>
      <c r="SL280" s="261"/>
      <c r="SM280" s="261"/>
      <c r="SN280" s="261"/>
      <c r="SO280" s="261"/>
      <c r="SP280" s="261"/>
      <c r="SQ280" s="261"/>
      <c r="SR280" s="261"/>
      <c r="SS280" s="261"/>
      <c r="ST280" s="261"/>
      <c r="SU280" s="261"/>
      <c r="SV280" s="261"/>
      <c r="SW280" s="261"/>
      <c r="SX280" s="261"/>
      <c r="SY280" s="261"/>
      <c r="SZ280" s="261"/>
      <c r="TA280" s="261"/>
      <c r="TB280" s="261"/>
      <c r="TC280" s="261"/>
      <c r="TD280" s="13"/>
      <c r="TE280" s="261"/>
      <c r="TF280" s="261"/>
      <c r="TG280" s="13"/>
      <c r="TO280" s="261"/>
      <c r="TP280" s="261"/>
      <c r="TQ280" s="261"/>
      <c r="TR280" s="261"/>
      <c r="TS280" s="261"/>
      <c r="TT280" s="261"/>
      <c r="TU280" s="261"/>
      <c r="TV280" s="261"/>
      <c r="TW280" s="261"/>
      <c r="TX280" s="261"/>
      <c r="TY280" s="261"/>
      <c r="TZ280" s="261"/>
      <c r="UA280" s="261"/>
      <c r="UB280" s="261"/>
      <c r="UC280" s="261"/>
      <c r="UD280" s="261"/>
      <c r="UE280" s="261"/>
      <c r="UF280" s="261"/>
      <c r="UG280" s="261"/>
      <c r="UH280" s="261"/>
      <c r="UI280" s="261"/>
      <c r="UJ280" s="261"/>
      <c r="UK280" s="261"/>
      <c r="UL280" s="261"/>
      <c r="UM280" s="261"/>
      <c r="UN280" s="261"/>
      <c r="UO280" s="261"/>
      <c r="UP280" s="261"/>
      <c r="UQ280" s="261"/>
      <c r="UR280" s="261"/>
      <c r="US280" s="261"/>
      <c r="UT280" s="261"/>
      <c r="UU280" s="261"/>
      <c r="UV280" s="261"/>
      <c r="UW280" s="261"/>
      <c r="UX280" s="261"/>
      <c r="UY280" s="261"/>
      <c r="UZ280" s="261"/>
      <c r="VA280" s="261"/>
      <c r="VB280" s="261"/>
      <c r="VC280" s="261"/>
      <c r="VD280" s="261"/>
      <c r="VE280" s="261"/>
      <c r="VF280" s="261"/>
      <c r="VG280" s="261"/>
      <c r="VH280" s="261"/>
      <c r="VI280" s="261"/>
    </row>
    <row r="281" spans="71:581" ht="10.75" customHeight="1" x14ac:dyDescent="0.2">
      <c r="BS281" s="12"/>
      <c r="BU281" s="13"/>
      <c r="DR281" s="12"/>
      <c r="DS281" s="13"/>
      <c r="EC281" s="12"/>
      <c r="EF281" s="13"/>
      <c r="EN281" s="12"/>
      <c r="EO281" s="13"/>
      <c r="FH281" s="14"/>
      <c r="FI281" s="15"/>
      <c r="FJ281" s="15"/>
      <c r="FK281" s="15"/>
      <c r="FL281" s="16"/>
      <c r="FO281" s="18"/>
      <c r="FT281" s="18"/>
      <c r="FY281" s="18"/>
      <c r="GN281" s="12"/>
      <c r="GP281" s="13"/>
      <c r="IY281" s="12"/>
      <c r="IZ281" s="261"/>
      <c r="JA281" s="261"/>
      <c r="JB281" s="12"/>
      <c r="JC281" s="261"/>
      <c r="JD281" s="261"/>
      <c r="JE281" s="261"/>
      <c r="JF281" s="261"/>
      <c r="JG281" s="261"/>
      <c r="JH281" s="261"/>
      <c r="JI281" s="261"/>
      <c r="JJ281" s="261"/>
      <c r="JK281" s="261"/>
      <c r="JL281" s="261"/>
      <c r="JM281" s="261"/>
      <c r="JN281" s="261"/>
      <c r="JO281" s="261"/>
      <c r="JP281" s="261"/>
      <c r="JQ281" s="261"/>
      <c r="JR281" s="261"/>
      <c r="JS281" s="261"/>
      <c r="JT281" s="261"/>
      <c r="JU281" s="261"/>
      <c r="JV281" s="261"/>
      <c r="JW281" s="261"/>
      <c r="JX281" s="261"/>
      <c r="JY281" s="261"/>
      <c r="JZ281" s="261"/>
      <c r="KA281" s="261"/>
      <c r="KB281" s="261"/>
      <c r="KC281" s="261"/>
      <c r="KD281" s="261"/>
      <c r="KE281" s="261"/>
      <c r="KF281" s="261"/>
      <c r="KG281" s="261"/>
      <c r="KH281" s="9"/>
      <c r="KI281" s="10"/>
      <c r="KJ281" s="12"/>
      <c r="KK281" s="261"/>
      <c r="KL281" s="261"/>
      <c r="KM281" s="261"/>
      <c r="KN281" s="261"/>
      <c r="KO281" s="261"/>
      <c r="KP281" s="261"/>
      <c r="KQ281" s="261"/>
      <c r="KR281" s="261"/>
      <c r="KS281" s="261"/>
      <c r="KT281" s="261"/>
      <c r="KU281" s="261"/>
      <c r="KV281" s="261"/>
      <c r="KW281" s="261"/>
      <c r="KX281" s="261"/>
      <c r="KY281" s="261"/>
      <c r="KZ281" s="261"/>
      <c r="LA281" s="261"/>
      <c r="LB281" s="261"/>
      <c r="LC281" s="261"/>
      <c r="LD281" s="261"/>
      <c r="LE281" s="261"/>
      <c r="LF281" s="261"/>
      <c r="LG281" s="261"/>
      <c r="LH281" s="261"/>
      <c r="LI281" s="261"/>
      <c r="LJ281" s="261"/>
      <c r="LK281" s="261"/>
      <c r="LL281" s="261"/>
      <c r="LM281" s="261"/>
      <c r="LN281" s="261"/>
      <c r="LO281" s="261"/>
      <c r="LP281" s="12"/>
      <c r="LQ281" s="261"/>
      <c r="LR281" s="261"/>
      <c r="LS281" s="261"/>
      <c r="LT281" s="261"/>
      <c r="LU281" s="261"/>
      <c r="LV281" s="261"/>
      <c r="LW281" s="261"/>
      <c r="LX281" s="261"/>
      <c r="LY281" s="261"/>
      <c r="LZ281" s="261"/>
      <c r="MA281" s="13"/>
      <c r="MB281" s="261"/>
      <c r="MC281" s="261"/>
      <c r="MD281" s="261"/>
      <c r="ME281" s="261"/>
      <c r="MF281" s="261"/>
      <c r="MG281" s="261"/>
      <c r="MH281" s="261"/>
      <c r="MI281" s="261"/>
      <c r="MJ281" s="261"/>
      <c r="MK281" s="261"/>
      <c r="ML281" s="261"/>
      <c r="MM281" s="261"/>
      <c r="MN281" s="261"/>
      <c r="MO281" s="261"/>
      <c r="MP281" s="261"/>
      <c r="MQ281" s="261"/>
      <c r="MR281" s="261"/>
      <c r="MS281" s="261"/>
      <c r="MT281" s="261"/>
      <c r="MU281" s="261"/>
      <c r="MV281" s="261"/>
      <c r="MW281" s="261"/>
      <c r="MX281" s="261"/>
      <c r="MY281" s="261"/>
      <c r="MZ281" s="261"/>
      <c r="NA281" s="261"/>
      <c r="NB281" s="261"/>
      <c r="NC281" s="261"/>
      <c r="ND281" s="261"/>
      <c r="NE281" s="261"/>
      <c r="NF281" s="261"/>
      <c r="NG281" s="261"/>
      <c r="NH281" s="261"/>
      <c r="NI281" s="261"/>
      <c r="NJ281" s="261"/>
      <c r="NK281" s="13"/>
      <c r="NL281" s="261"/>
      <c r="NM281" s="261"/>
      <c r="NN281" s="13"/>
      <c r="OR281" s="12"/>
      <c r="OS281" s="261"/>
      <c r="OT281" s="261"/>
      <c r="OU281" s="12"/>
      <c r="OV281" s="261"/>
      <c r="OW281" s="261"/>
      <c r="OX281" s="261"/>
      <c r="OY281" s="261"/>
      <c r="OZ281" s="261"/>
      <c r="PA281" s="261"/>
      <c r="PB281" s="261"/>
      <c r="PC281" s="261"/>
      <c r="PD281" s="261"/>
      <c r="PE281" s="261"/>
      <c r="PF281" s="13"/>
      <c r="PG281" s="261"/>
      <c r="PH281" s="13"/>
      <c r="PI281" s="12"/>
      <c r="PJ281" s="261"/>
      <c r="PK281" s="261"/>
      <c r="PL281" s="261"/>
      <c r="PM281" s="261"/>
      <c r="PN281" s="261"/>
      <c r="PO281" s="261"/>
      <c r="PP281" s="261"/>
      <c r="PQ281" s="261"/>
      <c r="PR281" s="261"/>
      <c r="PS281" s="261"/>
      <c r="PT281" s="261"/>
      <c r="PU281" s="261"/>
      <c r="PV281" s="261"/>
      <c r="PW281" s="261"/>
      <c r="PX281" s="261"/>
      <c r="PY281" s="261"/>
      <c r="PZ281" s="261"/>
      <c r="QA281" s="261"/>
      <c r="QB281" s="261"/>
      <c r="QC281" s="261"/>
      <c r="QD281" s="261"/>
      <c r="QE281" s="261"/>
      <c r="QF281" s="261"/>
      <c r="QG281" s="261"/>
      <c r="QH281" s="261"/>
      <c r="QI281" s="261"/>
      <c r="QJ281" s="261"/>
      <c r="QK281" s="261"/>
      <c r="QL281" s="261"/>
      <c r="QM281" s="261"/>
      <c r="QN281" s="261"/>
      <c r="QO281" s="261"/>
      <c r="QP281" s="261"/>
      <c r="QQ281" s="261"/>
      <c r="QR281" s="261"/>
      <c r="QS281" s="261"/>
      <c r="QT281" s="261"/>
      <c r="QU281" s="261"/>
      <c r="QV281" s="261"/>
      <c r="QW281" s="261"/>
      <c r="QX281" s="13"/>
      <c r="QY281" s="12"/>
      <c r="QZ281" s="13"/>
      <c r="RA281" s="261"/>
      <c r="RB281" s="261"/>
      <c r="RC281" s="261"/>
      <c r="RD281" s="261"/>
      <c r="RE281" s="261"/>
      <c r="RF281" s="261"/>
      <c r="RG281" s="261"/>
      <c r="RH281" s="261"/>
      <c r="RI281" s="261"/>
      <c r="RJ281" s="261"/>
      <c r="RK281" s="261"/>
      <c r="RL281" s="261"/>
      <c r="RM281" s="261"/>
      <c r="RN281" s="261"/>
      <c r="RO281" s="261"/>
      <c r="RP281" s="261"/>
      <c r="RQ281" s="261"/>
      <c r="RR281" s="261"/>
      <c r="RS281" s="261"/>
      <c r="RT281" s="261"/>
      <c r="RU281" s="261"/>
      <c r="RV281" s="261"/>
      <c r="RW281" s="261"/>
      <c r="RX281" s="261"/>
      <c r="RY281" s="261"/>
      <c r="RZ281" s="261"/>
      <c r="SA281" s="261"/>
      <c r="SB281" s="261"/>
      <c r="SC281" s="261"/>
      <c r="SD281" s="261"/>
      <c r="SE281" s="261"/>
      <c r="SF281" s="261"/>
      <c r="SG281" s="261"/>
      <c r="SH281" s="261"/>
      <c r="SI281" s="261"/>
      <c r="SJ281" s="261"/>
      <c r="SK281" s="261"/>
      <c r="SL281" s="261"/>
      <c r="SM281" s="261"/>
      <c r="SN281" s="261"/>
      <c r="SO281" s="261"/>
      <c r="SP281" s="261"/>
      <c r="SQ281" s="261"/>
      <c r="SR281" s="261"/>
      <c r="SS281" s="261"/>
      <c r="ST281" s="261"/>
      <c r="SU281" s="261"/>
      <c r="SV281" s="261"/>
      <c r="SW281" s="261"/>
      <c r="SX281" s="261"/>
      <c r="SY281" s="261"/>
      <c r="SZ281" s="261"/>
      <c r="TA281" s="261"/>
      <c r="TB281" s="261"/>
      <c r="TC281" s="261"/>
      <c r="TD281" s="13"/>
      <c r="TE281" s="261"/>
      <c r="TF281" s="261"/>
      <c r="TG281" s="13"/>
      <c r="TO281" s="261"/>
      <c r="TP281" s="261"/>
      <c r="TQ281" s="261"/>
      <c r="TR281" s="261"/>
      <c r="TS281" s="261"/>
      <c r="TT281" s="261"/>
      <c r="TU281" s="261"/>
      <c r="TV281" s="261"/>
      <c r="TW281" s="261"/>
      <c r="TX281" s="261"/>
      <c r="TY281" s="261"/>
      <c r="TZ281" s="261"/>
      <c r="UA281" s="261"/>
      <c r="UB281" s="261"/>
      <c r="UC281" s="261"/>
      <c r="UD281" s="261"/>
      <c r="UE281" s="261"/>
      <c r="UF281" s="261"/>
      <c r="UG281" s="261"/>
      <c r="UH281" s="261"/>
      <c r="UI281" s="261"/>
      <c r="UJ281" s="261"/>
      <c r="UK281" s="261"/>
      <c r="UL281" s="261"/>
      <c r="UM281" s="261"/>
      <c r="UN281" s="261"/>
      <c r="UO281" s="261"/>
      <c r="UP281" s="261"/>
      <c r="UQ281" s="261"/>
      <c r="UR281" s="261"/>
      <c r="US281" s="261"/>
      <c r="UT281" s="261"/>
      <c r="UU281" s="261"/>
      <c r="UV281" s="261"/>
      <c r="UW281" s="261"/>
      <c r="UX281" s="261"/>
      <c r="UY281" s="261"/>
      <c r="UZ281" s="261"/>
      <c r="VA281" s="261"/>
      <c r="VB281" s="261"/>
      <c r="VC281" s="261"/>
      <c r="VD281" s="261"/>
      <c r="VE281" s="261"/>
      <c r="VF281" s="261"/>
      <c r="VG281" s="261"/>
      <c r="VH281" s="261"/>
      <c r="VI281" s="261"/>
    </row>
    <row r="282" spans="71:581" ht="10.75" customHeight="1" x14ac:dyDescent="0.2">
      <c r="BS282" s="12"/>
      <c r="BU282" s="13"/>
      <c r="DR282" s="12"/>
      <c r="DS282" s="13"/>
      <c r="EC282" s="12"/>
      <c r="EF282" s="13"/>
      <c r="EN282" s="12"/>
      <c r="EO282" s="13"/>
      <c r="FO282" s="19"/>
      <c r="FT282" s="18"/>
      <c r="FY282" s="18"/>
      <c r="GN282" s="12"/>
      <c r="GP282" s="13"/>
      <c r="IY282" s="12"/>
      <c r="IZ282" s="261"/>
      <c r="JA282" s="261"/>
      <c r="JB282" s="12"/>
      <c r="JC282" s="261"/>
      <c r="JD282" s="261"/>
      <c r="JE282" s="261"/>
      <c r="JF282" s="261"/>
      <c r="JG282" s="261"/>
      <c r="JH282" s="261"/>
      <c r="JI282" s="261"/>
      <c r="JJ282" s="261"/>
      <c r="JK282" s="261"/>
      <c r="JL282" s="261"/>
      <c r="JM282" s="261"/>
      <c r="JN282" s="261"/>
      <c r="JO282" s="261"/>
      <c r="JP282" s="261"/>
      <c r="JQ282" s="261"/>
      <c r="JR282" s="261"/>
      <c r="JS282" s="261"/>
      <c r="JT282" s="261"/>
      <c r="JU282" s="261"/>
      <c r="JV282" s="261"/>
      <c r="JW282" s="261"/>
      <c r="JX282" s="261"/>
      <c r="JY282" s="261"/>
      <c r="JZ282" s="261"/>
      <c r="KA282" s="261"/>
      <c r="KB282" s="261"/>
      <c r="KC282" s="261"/>
      <c r="KD282" s="261"/>
      <c r="KE282" s="261"/>
      <c r="KF282" s="261"/>
      <c r="KG282" s="261"/>
      <c r="KH282" s="12"/>
      <c r="KI282" s="261"/>
      <c r="KJ282" s="12"/>
      <c r="KK282" s="261"/>
      <c r="KL282" s="261"/>
      <c r="KM282" s="261"/>
      <c r="KN282" s="261"/>
      <c r="KO282" s="261"/>
      <c r="KP282" s="261"/>
      <c r="KQ282" s="261"/>
      <c r="KR282" s="261"/>
      <c r="KS282" s="261"/>
      <c r="KT282" s="261"/>
      <c r="KU282" s="261"/>
      <c r="KV282" s="261"/>
      <c r="KW282" s="261"/>
      <c r="KX282" s="261"/>
      <c r="KY282" s="261"/>
      <c r="KZ282" s="261"/>
      <c r="LA282" s="261"/>
      <c r="LB282" s="261"/>
      <c r="LC282" s="261"/>
      <c r="LD282" s="261"/>
      <c r="LE282" s="261"/>
      <c r="LF282" s="261"/>
      <c r="LG282" s="261"/>
      <c r="LH282" s="261"/>
      <c r="LI282" s="261"/>
      <c r="LJ282" s="261"/>
      <c r="LK282" s="261"/>
      <c r="LL282" s="261"/>
      <c r="LM282" s="261"/>
      <c r="LN282" s="261"/>
      <c r="LO282" s="261"/>
      <c r="LP282" s="12"/>
      <c r="LQ282" s="261"/>
      <c r="LR282" s="261"/>
      <c r="LS282" s="261"/>
      <c r="LT282" s="261"/>
      <c r="LU282" s="261"/>
      <c r="LV282" s="261"/>
      <c r="LW282" s="261"/>
      <c r="LX282" s="261"/>
      <c r="LY282" s="261"/>
      <c r="LZ282" s="261"/>
      <c r="MA282" s="13"/>
      <c r="MB282" s="261"/>
      <c r="MC282" s="261"/>
      <c r="MD282" s="261"/>
      <c r="ME282" s="261"/>
      <c r="MF282" s="261"/>
      <c r="MG282" s="261"/>
      <c r="MH282" s="261"/>
      <c r="MI282" s="261"/>
      <c r="MJ282" s="261"/>
      <c r="MK282" s="261"/>
      <c r="ML282" s="261"/>
      <c r="MM282" s="261"/>
      <c r="MN282" s="261"/>
      <c r="MO282" s="261"/>
      <c r="MP282" s="261"/>
      <c r="MQ282" s="261"/>
      <c r="MR282" s="261"/>
      <c r="MS282" s="261"/>
      <c r="MT282" s="261"/>
      <c r="MU282" s="261"/>
      <c r="MV282" s="261"/>
      <c r="MW282" s="261"/>
      <c r="MX282" s="261"/>
      <c r="MY282" s="261"/>
      <c r="MZ282" s="261"/>
      <c r="NA282" s="261"/>
      <c r="NB282" s="261"/>
      <c r="NC282" s="261"/>
      <c r="ND282" s="261"/>
      <c r="NE282" s="261"/>
      <c r="NF282" s="261"/>
      <c r="NG282" s="261"/>
      <c r="NH282" s="261"/>
      <c r="NI282" s="261"/>
      <c r="NJ282" s="261"/>
      <c r="NK282" s="13"/>
      <c r="NL282" s="261"/>
      <c r="NM282" s="261"/>
      <c r="NN282" s="13"/>
      <c r="OR282" s="12"/>
      <c r="OS282" s="261"/>
      <c r="OT282" s="261"/>
      <c r="OU282" s="12"/>
      <c r="OV282" s="261"/>
      <c r="OW282" s="261"/>
      <c r="OX282" s="261"/>
      <c r="OY282" s="261"/>
      <c r="OZ282" s="261"/>
      <c r="PA282" s="261"/>
      <c r="PB282" s="261"/>
      <c r="PC282" s="261"/>
      <c r="PD282" s="261"/>
      <c r="PE282" s="261"/>
      <c r="PF282" s="13"/>
      <c r="PG282" s="261"/>
      <c r="PH282" s="13"/>
      <c r="PI282" s="12"/>
      <c r="PJ282" s="261"/>
      <c r="PK282" s="261"/>
      <c r="PL282" s="261"/>
      <c r="PM282" s="261"/>
      <c r="PN282" s="261"/>
      <c r="PO282" s="261"/>
      <c r="PP282" s="261"/>
      <c r="PQ282" s="261"/>
      <c r="PR282" s="261"/>
      <c r="PS282" s="261"/>
      <c r="PT282" s="261"/>
      <c r="PU282" s="261"/>
      <c r="PV282" s="261"/>
      <c r="PW282" s="261"/>
      <c r="PX282" s="261"/>
      <c r="PY282" s="261"/>
      <c r="PZ282" s="261"/>
      <c r="QA282" s="261"/>
      <c r="QB282" s="261"/>
      <c r="QC282" s="261"/>
      <c r="QD282" s="261"/>
      <c r="QE282" s="261"/>
      <c r="QF282" s="261"/>
      <c r="QG282" s="261"/>
      <c r="QH282" s="261"/>
      <c r="QI282" s="261"/>
      <c r="QJ282" s="261"/>
      <c r="QK282" s="261"/>
      <c r="QL282" s="261"/>
      <c r="QM282" s="261"/>
      <c r="QN282" s="261"/>
      <c r="QO282" s="261"/>
      <c r="QP282" s="261"/>
      <c r="QQ282" s="261"/>
      <c r="QR282" s="261"/>
      <c r="QS282" s="261"/>
      <c r="QT282" s="261"/>
      <c r="QU282" s="261"/>
      <c r="QV282" s="261"/>
      <c r="QW282" s="261"/>
      <c r="QX282" s="13"/>
      <c r="QY282" s="12"/>
      <c r="QZ282" s="13"/>
      <c r="RA282" s="261"/>
      <c r="RB282" s="261"/>
      <c r="RC282" s="261"/>
      <c r="RD282" s="261"/>
      <c r="RE282" s="261"/>
      <c r="RF282" s="261"/>
      <c r="RG282" s="261"/>
      <c r="RH282" s="261"/>
      <c r="RI282" s="261"/>
      <c r="RJ282" s="261"/>
      <c r="RK282" s="261"/>
      <c r="RL282" s="261"/>
      <c r="RM282" s="261"/>
      <c r="RN282" s="261"/>
      <c r="RO282" s="261"/>
      <c r="RP282" s="261"/>
      <c r="RQ282" s="261"/>
      <c r="RR282" s="261"/>
      <c r="RS282" s="261"/>
      <c r="RT282" s="261"/>
      <c r="RU282" s="261"/>
      <c r="RV282" s="261"/>
      <c r="RW282" s="261"/>
      <c r="RX282" s="261"/>
      <c r="RY282" s="261"/>
      <c r="RZ282" s="261"/>
      <c r="SA282" s="261"/>
      <c r="SB282" s="261"/>
      <c r="SC282" s="261"/>
      <c r="SD282" s="261"/>
      <c r="SE282" s="261"/>
      <c r="SF282" s="261"/>
      <c r="SG282" s="261"/>
      <c r="SH282" s="261"/>
      <c r="SI282" s="261"/>
      <c r="SJ282" s="261"/>
      <c r="SK282" s="261"/>
      <c r="SL282" s="261"/>
      <c r="SM282" s="261"/>
      <c r="SN282" s="261"/>
      <c r="SO282" s="261"/>
      <c r="SP282" s="261"/>
      <c r="SQ282" s="261"/>
      <c r="SR282" s="261"/>
      <c r="SS282" s="261"/>
      <c r="ST282" s="261"/>
      <c r="SU282" s="261"/>
      <c r="SV282" s="261"/>
      <c r="SW282" s="261"/>
      <c r="SX282" s="261"/>
      <c r="SY282" s="261"/>
      <c r="SZ282" s="261"/>
      <c r="TA282" s="261"/>
      <c r="TB282" s="261"/>
      <c r="TC282" s="261"/>
      <c r="TD282" s="13"/>
      <c r="TE282" s="261"/>
      <c r="TF282" s="261"/>
      <c r="TG282" s="13"/>
      <c r="TO282" s="261"/>
      <c r="TP282" s="261"/>
      <c r="TQ282" s="261"/>
      <c r="TR282" s="261"/>
      <c r="TS282" s="261"/>
      <c r="TT282" s="261"/>
      <c r="TU282" s="261"/>
      <c r="TV282" s="261"/>
      <c r="TW282" s="261"/>
      <c r="TX282" s="261"/>
      <c r="TY282" s="261"/>
      <c r="TZ282" s="261"/>
      <c r="UA282" s="261"/>
      <c r="UB282" s="261"/>
      <c r="UC282" s="261"/>
      <c r="UD282" s="261"/>
      <c r="UE282" s="261"/>
      <c r="UF282" s="261"/>
      <c r="UG282" s="261"/>
      <c r="UH282" s="261"/>
      <c r="UI282" s="261"/>
      <c r="UJ282" s="261"/>
      <c r="UK282" s="261"/>
      <c r="UL282" s="261"/>
      <c r="UM282" s="261"/>
      <c r="UN282" s="261"/>
      <c r="UO282" s="261"/>
      <c r="UP282" s="261"/>
      <c r="UQ282" s="261"/>
      <c r="UR282" s="261"/>
      <c r="US282" s="261"/>
      <c r="UT282" s="261"/>
      <c r="UU282" s="261"/>
      <c r="UV282" s="261"/>
      <c r="UW282" s="261"/>
      <c r="UX282" s="261"/>
      <c r="UY282" s="261"/>
      <c r="UZ282" s="261"/>
      <c r="VA282" s="261"/>
      <c r="VB282" s="261"/>
      <c r="VC282" s="261"/>
      <c r="VD282" s="261"/>
      <c r="VE282" s="261"/>
      <c r="VF282" s="261"/>
      <c r="VG282" s="261"/>
      <c r="VH282" s="261"/>
      <c r="VI282" s="261"/>
    </row>
    <row r="283" spans="71:581" ht="10.75" customHeight="1" x14ac:dyDescent="0.2">
      <c r="BS283" s="12"/>
      <c r="BU283" s="13"/>
      <c r="DR283" s="12"/>
      <c r="DS283" s="13"/>
      <c r="EC283" s="12"/>
      <c r="EF283" s="13"/>
      <c r="EN283" s="12"/>
      <c r="EO283" s="13"/>
      <c r="FM283" s="9"/>
      <c r="FN283" s="10"/>
      <c r="FO283" s="10"/>
      <c r="FP283" s="10"/>
      <c r="FQ283" s="11"/>
      <c r="FT283" s="18"/>
      <c r="FY283" s="18"/>
      <c r="GN283" s="12"/>
      <c r="GP283" s="13"/>
      <c r="IY283" s="12"/>
      <c r="IZ283" s="261"/>
      <c r="JA283" s="261"/>
      <c r="JB283" s="12"/>
      <c r="JC283" s="261"/>
      <c r="JD283" s="261"/>
      <c r="JE283" s="261"/>
      <c r="JF283" s="261"/>
      <c r="JG283" s="261"/>
      <c r="JH283" s="261"/>
      <c r="JI283" s="261"/>
      <c r="JJ283" s="261"/>
      <c r="JK283" s="261"/>
      <c r="JL283" s="261"/>
      <c r="JM283" s="261"/>
      <c r="JN283" s="261"/>
      <c r="JO283" s="261"/>
      <c r="JP283" s="261"/>
      <c r="JQ283" s="261"/>
      <c r="JR283" s="261"/>
      <c r="JS283" s="261"/>
      <c r="JT283" s="261"/>
      <c r="JU283" s="261"/>
      <c r="JV283" s="261"/>
      <c r="JW283" s="261"/>
      <c r="JX283" s="261"/>
      <c r="JY283" s="261"/>
      <c r="JZ283" s="261"/>
      <c r="KA283" s="261"/>
      <c r="KB283" s="261"/>
      <c r="KC283" s="261"/>
      <c r="KD283" s="261"/>
      <c r="KE283" s="261"/>
      <c r="KF283" s="261"/>
      <c r="KG283" s="261"/>
      <c r="KH283" s="12"/>
      <c r="KI283" s="261"/>
      <c r="KJ283" s="12"/>
      <c r="KK283" s="261"/>
      <c r="KL283" s="261"/>
      <c r="KM283" s="261"/>
      <c r="KN283" s="261"/>
      <c r="KO283" s="261"/>
      <c r="KP283" s="261"/>
      <c r="KQ283" s="261"/>
      <c r="KR283" s="261"/>
      <c r="KS283" s="261"/>
      <c r="KT283" s="261"/>
      <c r="KU283" s="261"/>
      <c r="KV283" s="261"/>
      <c r="KW283" s="261"/>
      <c r="KX283" s="261"/>
      <c r="KY283" s="261"/>
      <c r="KZ283" s="261"/>
      <c r="LA283" s="261"/>
      <c r="LB283" s="261"/>
      <c r="LC283" s="261"/>
      <c r="LD283" s="261"/>
      <c r="LE283" s="261"/>
      <c r="LF283" s="261"/>
      <c r="LG283" s="261"/>
      <c r="LH283" s="261"/>
      <c r="LI283" s="261"/>
      <c r="LJ283" s="261"/>
      <c r="LK283" s="261"/>
      <c r="LL283" s="261"/>
      <c r="LM283" s="261"/>
      <c r="LN283" s="261"/>
      <c r="LO283" s="261"/>
      <c r="LP283" s="12"/>
      <c r="LQ283" s="261"/>
      <c r="LR283" s="261"/>
      <c r="LS283" s="261"/>
      <c r="LT283" s="261"/>
      <c r="LU283" s="261"/>
      <c r="LV283" s="261"/>
      <c r="LW283" s="261"/>
      <c r="LX283" s="261"/>
      <c r="LY283" s="261"/>
      <c r="LZ283" s="261"/>
      <c r="MA283" s="13"/>
      <c r="MB283" s="261"/>
      <c r="MC283" s="261"/>
      <c r="MD283" s="261"/>
      <c r="ME283" s="261"/>
      <c r="MF283" s="261"/>
      <c r="MG283" s="261"/>
      <c r="MH283" s="261"/>
      <c r="MI283" s="261"/>
      <c r="MJ283" s="261"/>
      <c r="MK283" s="261"/>
      <c r="ML283" s="261"/>
      <c r="MM283" s="261"/>
      <c r="MN283" s="261"/>
      <c r="MO283" s="261"/>
      <c r="MP283" s="261"/>
      <c r="MQ283" s="261"/>
      <c r="MR283" s="261"/>
      <c r="MS283" s="261"/>
      <c r="MT283" s="261"/>
      <c r="MU283" s="261"/>
      <c r="MV283" s="261"/>
      <c r="MW283" s="261"/>
      <c r="MX283" s="261"/>
      <c r="MY283" s="261"/>
      <c r="MZ283" s="261"/>
      <c r="NA283" s="261"/>
      <c r="NB283" s="261"/>
      <c r="NC283" s="261"/>
      <c r="ND283" s="261"/>
      <c r="NE283" s="261"/>
      <c r="NF283" s="261"/>
      <c r="NG283" s="261"/>
      <c r="NH283" s="261"/>
      <c r="NI283" s="261"/>
      <c r="NJ283" s="261"/>
      <c r="NK283" s="13"/>
      <c r="NL283" s="261"/>
      <c r="NM283" s="261"/>
      <c r="NN283" s="13"/>
      <c r="OR283" s="12"/>
      <c r="OS283" s="261"/>
      <c r="OT283" s="261"/>
      <c r="OU283" s="12"/>
      <c r="OV283" s="261"/>
      <c r="OW283" s="261"/>
      <c r="OX283" s="261"/>
      <c r="OY283" s="261"/>
      <c r="OZ283" s="261"/>
      <c r="PA283" s="261"/>
      <c r="PB283" s="261"/>
      <c r="PC283" s="261"/>
      <c r="PD283" s="261"/>
      <c r="PE283" s="261"/>
      <c r="PF283" s="13"/>
      <c r="PG283" s="261"/>
      <c r="PH283" s="13"/>
      <c r="PI283" s="12"/>
      <c r="PJ283" s="261"/>
      <c r="PK283" s="261"/>
      <c r="PL283" s="261"/>
      <c r="PM283" s="261"/>
      <c r="PN283" s="261"/>
      <c r="PO283" s="261"/>
      <c r="PP283" s="261"/>
      <c r="PQ283" s="261"/>
      <c r="PR283" s="261"/>
      <c r="PS283" s="261"/>
      <c r="PT283" s="261"/>
      <c r="PU283" s="261"/>
      <c r="PV283" s="261"/>
      <c r="PW283" s="261"/>
      <c r="PX283" s="261"/>
      <c r="PY283" s="261"/>
      <c r="PZ283" s="261"/>
      <c r="QA283" s="261"/>
      <c r="QB283" s="261"/>
      <c r="QC283" s="261"/>
      <c r="QD283" s="261"/>
      <c r="QE283" s="261"/>
      <c r="QF283" s="261"/>
      <c r="QG283" s="261"/>
      <c r="QH283" s="261"/>
      <c r="QI283" s="261"/>
      <c r="QJ283" s="261"/>
      <c r="QK283" s="261"/>
      <c r="QL283" s="261"/>
      <c r="QM283" s="261"/>
      <c r="QN283" s="261"/>
      <c r="QO283" s="261"/>
      <c r="QP283" s="261"/>
      <c r="QQ283" s="261"/>
      <c r="QR283" s="261"/>
      <c r="QS283" s="261"/>
      <c r="QT283" s="261"/>
      <c r="QU283" s="261"/>
      <c r="QV283" s="261"/>
      <c r="QW283" s="261"/>
      <c r="QX283" s="13"/>
      <c r="QY283" s="12"/>
      <c r="QZ283" s="13"/>
      <c r="RA283" s="261"/>
      <c r="RB283" s="261"/>
      <c r="RC283" s="261"/>
      <c r="RD283" s="261"/>
      <c r="RE283" s="261"/>
      <c r="RF283" s="261"/>
      <c r="RG283" s="261"/>
      <c r="RH283" s="261"/>
      <c r="RI283" s="261"/>
      <c r="RJ283" s="261"/>
      <c r="RK283" s="261"/>
      <c r="RL283" s="261"/>
      <c r="RM283" s="261"/>
      <c r="RN283" s="261"/>
      <c r="RO283" s="261"/>
      <c r="RP283" s="261"/>
      <c r="RQ283" s="261"/>
      <c r="RR283" s="261"/>
      <c r="RS283" s="261"/>
      <c r="RT283" s="261"/>
      <c r="RU283" s="261"/>
      <c r="RV283" s="261"/>
      <c r="RW283" s="261"/>
      <c r="RX283" s="261"/>
      <c r="RY283" s="261"/>
      <c r="RZ283" s="261"/>
      <c r="SA283" s="261"/>
      <c r="SB283" s="261"/>
      <c r="SC283" s="261"/>
      <c r="SD283" s="261"/>
      <c r="SE283" s="261"/>
      <c r="SF283" s="261"/>
      <c r="SG283" s="261"/>
      <c r="SH283" s="261"/>
      <c r="SI283" s="261"/>
      <c r="SJ283" s="261"/>
      <c r="SK283" s="261"/>
      <c r="SL283" s="261"/>
      <c r="SM283" s="261"/>
      <c r="SN283" s="261"/>
      <c r="SO283" s="261"/>
      <c r="SP283" s="261"/>
      <c r="SQ283" s="261"/>
      <c r="SR283" s="261"/>
      <c r="SS283" s="261"/>
      <c r="ST283" s="261"/>
      <c r="SU283" s="261"/>
      <c r="SV283" s="261"/>
      <c r="SW283" s="261"/>
      <c r="SX283" s="261"/>
      <c r="SY283" s="261"/>
      <c r="SZ283" s="261"/>
      <c r="TA283" s="261"/>
      <c r="TB283" s="261"/>
      <c r="TC283" s="261"/>
      <c r="TD283" s="13"/>
      <c r="TE283" s="261"/>
      <c r="TF283" s="261"/>
      <c r="TG283" s="13"/>
      <c r="TO283" s="261"/>
      <c r="TP283" s="261"/>
      <c r="TQ283" s="261"/>
      <c r="TR283" s="261"/>
      <c r="TS283" s="261"/>
      <c r="TT283" s="261"/>
      <c r="TU283" s="261"/>
      <c r="TV283" s="261"/>
      <c r="TW283" s="261"/>
      <c r="TX283" s="261"/>
      <c r="TY283" s="261"/>
      <c r="TZ283" s="261"/>
      <c r="UA283" s="261"/>
      <c r="UB283" s="261"/>
      <c r="UC283" s="261"/>
      <c r="UD283" s="261"/>
      <c r="UE283" s="261"/>
      <c r="UF283" s="261"/>
      <c r="UG283" s="261"/>
      <c r="UH283" s="261"/>
      <c r="UI283" s="261"/>
      <c r="UJ283" s="261"/>
      <c r="UK283" s="261"/>
      <c r="UL283" s="261"/>
      <c r="UM283" s="261"/>
      <c r="UN283" s="261"/>
      <c r="UO283" s="261"/>
      <c r="UP283" s="261"/>
      <c r="UQ283" s="261"/>
      <c r="UR283" s="261"/>
      <c r="US283" s="261"/>
      <c r="UT283" s="261"/>
      <c r="UU283" s="261"/>
      <c r="UV283" s="261"/>
      <c r="UW283" s="261"/>
      <c r="UX283" s="261"/>
      <c r="UY283" s="261"/>
      <c r="UZ283" s="261"/>
      <c r="VA283" s="261"/>
      <c r="VB283" s="261"/>
      <c r="VC283" s="261"/>
      <c r="VD283" s="261"/>
      <c r="VE283" s="261"/>
      <c r="VF283" s="261"/>
      <c r="VG283" s="261"/>
      <c r="VH283" s="261"/>
      <c r="VI283" s="261"/>
    </row>
    <row r="284" spans="71:581" ht="10.75" customHeight="1" x14ac:dyDescent="0.2">
      <c r="BS284" s="12"/>
      <c r="BU284" s="13"/>
      <c r="DR284" s="12"/>
      <c r="DS284" s="13"/>
      <c r="EC284" s="12"/>
      <c r="EF284" s="13"/>
      <c r="EN284" s="12"/>
      <c r="EO284" s="13"/>
      <c r="FM284" s="14"/>
      <c r="FN284" s="15"/>
      <c r="FO284" s="15"/>
      <c r="FP284" s="15"/>
      <c r="FQ284" s="16"/>
      <c r="FT284" s="18"/>
      <c r="FY284" s="18"/>
      <c r="GN284" s="12"/>
      <c r="GP284" s="13"/>
      <c r="IY284" s="12"/>
      <c r="IZ284" s="261"/>
      <c r="JA284" s="261"/>
      <c r="JB284" s="12"/>
      <c r="JC284" s="261"/>
      <c r="JD284" s="261"/>
      <c r="JE284" s="261"/>
      <c r="JF284" s="261"/>
      <c r="JG284" s="261"/>
      <c r="JH284" s="261"/>
      <c r="JI284" s="261"/>
      <c r="JJ284" s="261"/>
      <c r="JK284" s="261"/>
      <c r="JL284" s="261"/>
      <c r="JM284" s="261"/>
      <c r="JN284" s="261"/>
      <c r="JO284" s="261"/>
      <c r="JP284" s="261"/>
      <c r="JQ284" s="261"/>
      <c r="JR284" s="261"/>
      <c r="JS284" s="261"/>
      <c r="JT284" s="261"/>
      <c r="JU284" s="261"/>
      <c r="JV284" s="261"/>
      <c r="JW284" s="261"/>
      <c r="JX284" s="261"/>
      <c r="JY284" s="261"/>
      <c r="JZ284" s="261"/>
      <c r="KA284" s="261"/>
      <c r="KB284" s="261"/>
      <c r="KC284" s="261"/>
      <c r="KD284" s="261"/>
      <c r="KE284" s="261"/>
      <c r="KF284" s="261"/>
      <c r="KG284" s="261"/>
      <c r="KH284" s="12"/>
      <c r="KI284" s="261"/>
      <c r="KJ284" s="12"/>
      <c r="KK284" s="261"/>
      <c r="KL284" s="261"/>
      <c r="KM284" s="261"/>
      <c r="KN284" s="261"/>
      <c r="KO284" s="261"/>
      <c r="KP284" s="261"/>
      <c r="KQ284" s="261"/>
      <c r="KR284" s="261"/>
      <c r="KS284" s="261"/>
      <c r="KT284" s="261"/>
      <c r="KU284" s="261"/>
      <c r="KV284" s="261"/>
      <c r="KW284" s="261"/>
      <c r="KX284" s="261"/>
      <c r="KY284" s="261"/>
      <c r="KZ284" s="261"/>
      <c r="LA284" s="261"/>
      <c r="LB284" s="261"/>
      <c r="LC284" s="261"/>
      <c r="LD284" s="261"/>
      <c r="LE284" s="261"/>
      <c r="LF284" s="261"/>
      <c r="LG284" s="261"/>
      <c r="LH284" s="261"/>
      <c r="LI284" s="261"/>
      <c r="LJ284" s="261"/>
      <c r="LK284" s="261"/>
      <c r="LL284" s="261"/>
      <c r="LM284" s="261"/>
      <c r="LN284" s="261"/>
      <c r="LO284" s="261"/>
      <c r="LP284" s="12"/>
      <c r="LQ284" s="261"/>
      <c r="LR284" s="261"/>
      <c r="LS284" s="261"/>
      <c r="LT284" s="261"/>
      <c r="LU284" s="261"/>
      <c r="LV284" s="261"/>
      <c r="LW284" s="261"/>
      <c r="LX284" s="261"/>
      <c r="LY284" s="261"/>
      <c r="LZ284" s="261"/>
      <c r="MA284" s="13"/>
      <c r="MB284" s="261"/>
      <c r="MC284" s="261"/>
      <c r="MD284" s="261"/>
      <c r="ME284" s="261"/>
      <c r="MF284" s="261"/>
      <c r="MG284" s="261"/>
      <c r="MH284" s="261"/>
      <c r="MI284" s="261"/>
      <c r="MJ284" s="261"/>
      <c r="MK284" s="261"/>
      <c r="ML284" s="261"/>
      <c r="MM284" s="261"/>
      <c r="MN284" s="261"/>
      <c r="MO284" s="261"/>
      <c r="MP284" s="261"/>
      <c r="MQ284" s="261"/>
      <c r="MR284" s="261"/>
      <c r="MS284" s="261"/>
      <c r="MT284" s="261"/>
      <c r="MU284" s="261"/>
      <c r="MV284" s="261"/>
      <c r="MW284" s="261"/>
      <c r="MX284" s="261"/>
      <c r="MY284" s="261"/>
      <c r="MZ284" s="261"/>
      <c r="NA284" s="261"/>
      <c r="NB284" s="261"/>
      <c r="NC284" s="261"/>
      <c r="ND284" s="261"/>
      <c r="NE284" s="261"/>
      <c r="NF284" s="261"/>
      <c r="NG284" s="261"/>
      <c r="NH284" s="261"/>
      <c r="NI284" s="261"/>
      <c r="NJ284" s="261"/>
      <c r="NK284" s="13"/>
      <c r="NL284" s="261"/>
      <c r="NM284" s="261"/>
      <c r="NN284" s="13"/>
      <c r="OR284" s="12"/>
      <c r="OS284" s="261"/>
      <c r="OT284" s="261"/>
      <c r="OU284" s="12"/>
      <c r="OV284" s="261"/>
      <c r="OW284" s="261"/>
      <c r="OX284" s="261"/>
      <c r="OY284" s="261"/>
      <c r="OZ284" s="261"/>
      <c r="PA284" s="261"/>
      <c r="PB284" s="261"/>
      <c r="PC284" s="261"/>
      <c r="PD284" s="261"/>
      <c r="PE284" s="261"/>
      <c r="PF284" s="13"/>
      <c r="PG284" s="261"/>
      <c r="PH284" s="13"/>
      <c r="PI284" s="12"/>
      <c r="PJ284" s="261"/>
      <c r="PK284" s="261"/>
      <c r="PL284" s="261"/>
      <c r="PM284" s="261"/>
      <c r="PN284" s="261"/>
      <c r="PO284" s="261"/>
      <c r="PP284" s="261"/>
      <c r="PQ284" s="261"/>
      <c r="PR284" s="261"/>
      <c r="PS284" s="261"/>
      <c r="PT284" s="261"/>
      <c r="PU284" s="261"/>
      <c r="PV284" s="261"/>
      <c r="PW284" s="261"/>
      <c r="PX284" s="261"/>
      <c r="PY284" s="261"/>
      <c r="PZ284" s="261"/>
      <c r="QA284" s="261"/>
      <c r="QB284" s="261"/>
      <c r="QC284" s="261"/>
      <c r="QD284" s="261"/>
      <c r="QE284" s="261"/>
      <c r="QF284" s="261"/>
      <c r="QG284" s="261"/>
      <c r="QH284" s="261"/>
      <c r="QI284" s="261"/>
      <c r="QJ284" s="261"/>
      <c r="QK284" s="261"/>
      <c r="QL284" s="261"/>
      <c r="QM284" s="261"/>
      <c r="QN284" s="261"/>
      <c r="QO284" s="261"/>
      <c r="QP284" s="261"/>
      <c r="QQ284" s="261"/>
      <c r="QR284" s="261"/>
      <c r="QS284" s="261"/>
      <c r="QT284" s="261"/>
      <c r="QU284" s="261"/>
      <c r="QV284" s="261"/>
      <c r="QW284" s="261"/>
      <c r="QX284" s="13"/>
      <c r="QY284" s="12"/>
      <c r="QZ284" s="13"/>
      <c r="RA284" s="261"/>
      <c r="RB284" s="261"/>
      <c r="RC284" s="261"/>
      <c r="RD284" s="261"/>
      <c r="RE284" s="261"/>
      <c r="RF284" s="261"/>
      <c r="RG284" s="261"/>
      <c r="RH284" s="261"/>
      <c r="RI284" s="261"/>
      <c r="RJ284" s="261"/>
      <c r="RK284" s="261"/>
      <c r="RL284" s="261"/>
      <c r="RM284" s="261"/>
      <c r="RN284" s="261"/>
      <c r="RO284" s="261"/>
      <c r="RP284" s="261"/>
      <c r="RQ284" s="261"/>
      <c r="RR284" s="261"/>
      <c r="RS284" s="261"/>
      <c r="RT284" s="261"/>
      <c r="RU284" s="261"/>
      <c r="RV284" s="261"/>
      <c r="RW284" s="261"/>
      <c r="RX284" s="261"/>
      <c r="RY284" s="261"/>
      <c r="RZ284" s="261"/>
      <c r="SA284" s="261"/>
      <c r="SB284" s="261"/>
      <c r="SC284" s="261"/>
      <c r="SD284" s="261"/>
      <c r="SE284" s="261"/>
      <c r="SF284" s="261"/>
      <c r="SG284" s="261"/>
      <c r="SH284" s="261"/>
      <c r="SI284" s="261"/>
      <c r="SJ284" s="261"/>
      <c r="SK284" s="261"/>
      <c r="SL284" s="261"/>
      <c r="SM284" s="261"/>
      <c r="SN284" s="261"/>
      <c r="SO284" s="261"/>
      <c r="SP284" s="261"/>
      <c r="SQ284" s="261"/>
      <c r="SR284" s="261"/>
      <c r="SS284" s="261"/>
      <c r="ST284" s="261"/>
      <c r="SU284" s="261"/>
      <c r="SV284" s="261"/>
      <c r="SW284" s="261"/>
      <c r="SX284" s="261"/>
      <c r="SY284" s="261"/>
      <c r="SZ284" s="261"/>
      <c r="TA284" s="261"/>
      <c r="TB284" s="261"/>
      <c r="TC284" s="261"/>
      <c r="TD284" s="13"/>
      <c r="TE284" s="261"/>
      <c r="TF284" s="261"/>
      <c r="TG284" s="13"/>
      <c r="TO284" s="261"/>
      <c r="TP284" s="261"/>
      <c r="TQ284" s="261"/>
      <c r="TR284" s="261"/>
      <c r="TS284" s="261"/>
      <c r="TT284" s="261"/>
      <c r="TU284" s="261"/>
      <c r="TV284" s="261"/>
      <c r="TW284" s="261"/>
      <c r="TX284" s="261"/>
      <c r="TY284" s="261"/>
      <c r="TZ284" s="261"/>
      <c r="UA284" s="261"/>
      <c r="UB284" s="261"/>
      <c r="UC284" s="261"/>
      <c r="UD284" s="261"/>
      <c r="UE284" s="261"/>
      <c r="UF284" s="261"/>
      <c r="UG284" s="261"/>
      <c r="UH284" s="261"/>
      <c r="UI284" s="261"/>
      <c r="UJ284" s="261"/>
      <c r="UK284" s="261"/>
      <c r="UL284" s="261"/>
      <c r="UM284" s="261"/>
      <c r="UN284" s="261"/>
      <c r="UO284" s="261"/>
      <c r="UP284" s="261"/>
      <c r="UQ284" s="261"/>
      <c r="UR284" s="261"/>
      <c r="US284" s="261"/>
      <c r="UT284" s="261"/>
      <c r="UU284" s="261"/>
      <c r="UV284" s="261"/>
      <c r="UW284" s="261"/>
      <c r="UX284" s="261"/>
      <c r="UY284" s="261"/>
      <c r="UZ284" s="261"/>
      <c r="VA284" s="261"/>
      <c r="VB284" s="261"/>
      <c r="VC284" s="261"/>
      <c r="VD284" s="261"/>
      <c r="VE284" s="261"/>
      <c r="VF284" s="261"/>
      <c r="VG284" s="261"/>
      <c r="VH284" s="261"/>
      <c r="VI284" s="261"/>
    </row>
    <row r="285" spans="71:581" ht="10.75" customHeight="1" x14ac:dyDescent="0.2">
      <c r="BS285" s="12"/>
      <c r="BU285" s="13"/>
      <c r="DR285" s="12"/>
      <c r="DS285" s="13"/>
      <c r="EC285" s="12"/>
      <c r="EF285" s="13"/>
      <c r="EN285" s="12"/>
      <c r="EO285" s="13"/>
      <c r="FT285" s="19"/>
      <c r="FY285" s="18"/>
      <c r="GN285" s="12"/>
      <c r="GP285" s="13"/>
      <c r="IY285" s="12"/>
      <c r="IZ285" s="261"/>
      <c r="JA285" s="261"/>
      <c r="JB285" s="12"/>
      <c r="JC285" s="261"/>
      <c r="JD285" s="261"/>
      <c r="JE285" s="261"/>
      <c r="JF285" s="261"/>
      <c r="JG285" s="261"/>
      <c r="JH285" s="261"/>
      <c r="JI285" s="261"/>
      <c r="JJ285" s="261"/>
      <c r="JK285" s="261"/>
      <c r="JL285" s="261"/>
      <c r="JM285" s="261"/>
      <c r="JN285" s="261"/>
      <c r="JO285" s="261"/>
      <c r="JP285" s="261"/>
      <c r="JQ285" s="261"/>
      <c r="JR285" s="261"/>
      <c r="JS285" s="261"/>
      <c r="JT285" s="261"/>
      <c r="JU285" s="261"/>
      <c r="JV285" s="261"/>
      <c r="JW285" s="261"/>
      <c r="JX285" s="261"/>
      <c r="JY285" s="261"/>
      <c r="JZ285" s="261"/>
      <c r="KA285" s="261"/>
      <c r="KB285" s="261"/>
      <c r="KC285" s="261"/>
      <c r="KD285" s="261"/>
      <c r="KE285" s="261"/>
      <c r="KF285" s="261"/>
      <c r="KG285" s="261"/>
      <c r="KH285" s="12"/>
      <c r="KI285" s="261"/>
      <c r="KJ285" s="12"/>
      <c r="KK285" s="261"/>
      <c r="KL285" s="261"/>
      <c r="KM285" s="261"/>
      <c r="KN285" s="261"/>
      <c r="KO285" s="261"/>
      <c r="KP285" s="261"/>
      <c r="KQ285" s="261"/>
      <c r="KR285" s="261"/>
      <c r="KS285" s="261"/>
      <c r="KT285" s="261"/>
      <c r="KU285" s="261"/>
      <c r="KV285" s="261"/>
      <c r="KW285" s="261"/>
      <c r="KX285" s="261"/>
      <c r="KY285" s="261"/>
      <c r="KZ285" s="261"/>
      <c r="LA285" s="261"/>
      <c r="LB285" s="261"/>
      <c r="LC285" s="261"/>
      <c r="LD285" s="261"/>
      <c r="LE285" s="261"/>
      <c r="LF285" s="261"/>
      <c r="LG285" s="261"/>
      <c r="LH285" s="261"/>
      <c r="LI285" s="261"/>
      <c r="LJ285" s="261"/>
      <c r="LK285" s="261"/>
      <c r="LL285" s="261"/>
      <c r="LM285" s="261"/>
      <c r="LN285" s="261"/>
      <c r="LO285" s="261"/>
      <c r="LP285" s="12"/>
      <c r="LQ285" s="261"/>
      <c r="LR285" s="261"/>
      <c r="LS285" s="261"/>
      <c r="LT285" s="261"/>
      <c r="LU285" s="261"/>
      <c r="LV285" s="261"/>
      <c r="LW285" s="261"/>
      <c r="LX285" s="261"/>
      <c r="LY285" s="261"/>
      <c r="LZ285" s="261"/>
      <c r="MA285" s="13"/>
      <c r="MB285" s="261"/>
      <c r="MC285" s="261"/>
      <c r="MD285" s="261"/>
      <c r="ME285" s="261"/>
      <c r="MF285" s="261"/>
      <c r="MG285" s="261"/>
      <c r="MH285" s="261"/>
      <c r="MI285" s="261"/>
      <c r="MJ285" s="261"/>
      <c r="MK285" s="261"/>
      <c r="ML285" s="261"/>
      <c r="MM285" s="261"/>
      <c r="MN285" s="261"/>
      <c r="MO285" s="261"/>
      <c r="MP285" s="261"/>
      <c r="MQ285" s="261"/>
      <c r="MR285" s="261"/>
      <c r="MS285" s="261"/>
      <c r="MT285" s="261"/>
      <c r="MU285" s="261"/>
      <c r="MV285" s="261"/>
      <c r="MW285" s="261"/>
      <c r="MX285" s="261"/>
      <c r="MY285" s="261"/>
      <c r="MZ285" s="261"/>
      <c r="NA285" s="261"/>
      <c r="NB285" s="261"/>
      <c r="NC285" s="261"/>
      <c r="ND285" s="261"/>
      <c r="NE285" s="261"/>
      <c r="NF285" s="261"/>
      <c r="NG285" s="261"/>
      <c r="NH285" s="261"/>
      <c r="NI285" s="261"/>
      <c r="NJ285" s="261"/>
      <c r="NK285" s="13"/>
      <c r="NL285" s="261"/>
      <c r="NM285" s="261"/>
      <c r="NN285" s="13"/>
      <c r="OR285" s="12"/>
      <c r="OS285" s="261"/>
      <c r="OT285" s="261"/>
      <c r="OU285" s="12"/>
      <c r="OV285" s="261"/>
      <c r="OW285" s="261"/>
      <c r="OX285" s="261"/>
      <c r="OY285" s="261"/>
      <c r="OZ285" s="261"/>
      <c r="PA285" s="261"/>
      <c r="PB285" s="261"/>
      <c r="PC285" s="261"/>
      <c r="PD285" s="261"/>
      <c r="PE285" s="261"/>
      <c r="PF285" s="13"/>
      <c r="PG285" s="261"/>
      <c r="PH285" s="13"/>
      <c r="PI285" s="12"/>
      <c r="PJ285" s="261"/>
      <c r="PK285" s="261"/>
      <c r="PL285" s="261"/>
      <c r="PM285" s="261"/>
      <c r="PN285" s="261"/>
      <c r="PO285" s="261"/>
      <c r="PP285" s="261"/>
      <c r="PQ285" s="261"/>
      <c r="PR285" s="261"/>
      <c r="PS285" s="261"/>
      <c r="PT285" s="261"/>
      <c r="PU285" s="261"/>
      <c r="PV285" s="261"/>
      <c r="PW285" s="261"/>
      <c r="PX285" s="261"/>
      <c r="PY285" s="261"/>
      <c r="PZ285" s="261"/>
      <c r="QA285" s="261"/>
      <c r="QB285" s="261"/>
      <c r="QC285" s="261"/>
      <c r="QD285" s="261"/>
      <c r="QE285" s="261"/>
      <c r="QF285" s="261"/>
      <c r="QG285" s="261"/>
      <c r="QH285" s="261"/>
      <c r="QI285" s="261"/>
      <c r="QJ285" s="261"/>
      <c r="QK285" s="261"/>
      <c r="QL285" s="261"/>
      <c r="QM285" s="261"/>
      <c r="QN285" s="261"/>
      <c r="QO285" s="261"/>
      <c r="QP285" s="261"/>
      <c r="QQ285" s="261"/>
      <c r="QR285" s="261"/>
      <c r="QS285" s="261"/>
      <c r="QT285" s="261"/>
      <c r="QU285" s="261"/>
      <c r="QV285" s="261"/>
      <c r="QW285" s="261"/>
      <c r="QX285" s="13"/>
      <c r="QY285" s="12"/>
      <c r="QZ285" s="13"/>
      <c r="RA285" s="261"/>
      <c r="RB285" s="261"/>
      <c r="RC285" s="261"/>
      <c r="RD285" s="261"/>
      <c r="RE285" s="261"/>
      <c r="RF285" s="261"/>
      <c r="RG285" s="261"/>
      <c r="RH285" s="261"/>
      <c r="RI285" s="261"/>
      <c r="RJ285" s="261"/>
      <c r="RK285" s="261"/>
      <c r="RL285" s="261"/>
      <c r="RM285" s="261"/>
      <c r="RN285" s="261"/>
      <c r="RO285" s="261"/>
      <c r="RP285" s="261"/>
      <c r="RQ285" s="261"/>
      <c r="RR285" s="261"/>
      <c r="RS285" s="261"/>
      <c r="RT285" s="261"/>
      <c r="RU285" s="261"/>
      <c r="RV285" s="261"/>
      <c r="RW285" s="261"/>
      <c r="RX285" s="261"/>
      <c r="RY285" s="261"/>
      <c r="RZ285" s="261"/>
      <c r="SA285" s="261"/>
      <c r="SB285" s="261"/>
      <c r="SC285" s="261"/>
      <c r="SD285" s="261"/>
      <c r="SE285" s="261"/>
      <c r="SF285" s="261"/>
      <c r="SG285" s="261"/>
      <c r="SH285" s="261"/>
      <c r="SI285" s="261"/>
      <c r="SJ285" s="261"/>
      <c r="SK285" s="261"/>
      <c r="SL285" s="261"/>
      <c r="SM285" s="261"/>
      <c r="SN285" s="261"/>
      <c r="SO285" s="261"/>
      <c r="SP285" s="261"/>
      <c r="SQ285" s="261"/>
      <c r="SR285" s="261"/>
      <c r="SS285" s="261"/>
      <c r="ST285" s="261"/>
      <c r="SU285" s="261"/>
      <c r="SV285" s="261"/>
      <c r="SW285" s="261"/>
      <c r="SX285" s="261"/>
      <c r="SY285" s="261"/>
      <c r="SZ285" s="261"/>
      <c r="TA285" s="261"/>
      <c r="TB285" s="261"/>
      <c r="TC285" s="261"/>
      <c r="TD285" s="13"/>
      <c r="TE285" s="261"/>
      <c r="TF285" s="261"/>
      <c r="TG285" s="13"/>
      <c r="TO285" s="261"/>
      <c r="TP285" s="261"/>
      <c r="TQ285" s="261"/>
      <c r="TR285" s="261"/>
      <c r="TS285" s="261"/>
      <c r="TT285" s="261"/>
      <c r="TU285" s="261"/>
      <c r="TV285" s="261"/>
      <c r="TW285" s="261"/>
      <c r="TX285" s="261"/>
      <c r="TY285" s="261"/>
      <c r="TZ285" s="261"/>
      <c r="UA285" s="261"/>
      <c r="UB285" s="261"/>
      <c r="UC285" s="261"/>
      <c r="UD285" s="261"/>
      <c r="UE285" s="261"/>
      <c r="UF285" s="261"/>
      <c r="UG285" s="261"/>
      <c r="UH285" s="261"/>
      <c r="UI285" s="261"/>
      <c r="UJ285" s="261"/>
      <c r="UK285" s="261"/>
      <c r="UL285" s="261"/>
      <c r="UM285" s="261"/>
      <c r="UN285" s="261"/>
      <c r="UO285" s="261"/>
      <c r="UP285" s="261"/>
      <c r="UQ285" s="261"/>
      <c r="UR285" s="261"/>
      <c r="US285" s="261"/>
      <c r="UT285" s="261"/>
      <c r="UU285" s="261"/>
      <c r="UV285" s="261"/>
      <c r="UW285" s="261"/>
      <c r="UX285" s="261"/>
      <c r="UY285" s="261"/>
      <c r="UZ285" s="261"/>
      <c r="VA285" s="261"/>
      <c r="VB285" s="261"/>
      <c r="VC285" s="261"/>
      <c r="VD285" s="261"/>
      <c r="VE285" s="261"/>
      <c r="VF285" s="261"/>
      <c r="VG285" s="261"/>
      <c r="VH285" s="261"/>
      <c r="VI285" s="261"/>
    </row>
    <row r="286" spans="71:581" ht="10.75" customHeight="1" x14ac:dyDescent="0.2">
      <c r="BS286" s="12"/>
      <c r="BU286" s="13"/>
      <c r="DR286" s="12"/>
      <c r="DS286" s="13"/>
      <c r="EC286" s="12"/>
      <c r="EF286" s="13"/>
      <c r="EN286" s="12"/>
      <c r="EO286" s="13"/>
      <c r="FR286" s="9"/>
      <c r="FS286" s="10"/>
      <c r="FT286" s="10"/>
      <c r="FU286" s="10"/>
      <c r="FV286" s="11"/>
      <c r="FY286" s="18"/>
      <c r="GN286" s="12"/>
      <c r="GP286" s="13"/>
      <c r="IY286" s="12"/>
      <c r="IZ286" s="261"/>
      <c r="JA286" s="261"/>
      <c r="JB286" s="12"/>
      <c r="JC286" s="261"/>
      <c r="JD286" s="261"/>
      <c r="JE286" s="261"/>
      <c r="JF286" s="261"/>
      <c r="JG286" s="261"/>
      <c r="JH286" s="261"/>
      <c r="JI286" s="261"/>
      <c r="JJ286" s="261"/>
      <c r="JK286" s="261"/>
      <c r="JL286" s="261"/>
      <c r="JM286" s="261"/>
      <c r="JN286" s="261"/>
      <c r="JO286" s="261"/>
      <c r="JP286" s="261"/>
      <c r="JQ286" s="261"/>
      <c r="JR286" s="261"/>
      <c r="JS286" s="261"/>
      <c r="JT286" s="261"/>
      <c r="JU286" s="261"/>
      <c r="JV286" s="261"/>
      <c r="JW286" s="261"/>
      <c r="JX286" s="261"/>
      <c r="JY286" s="261"/>
      <c r="JZ286" s="261"/>
      <c r="KA286" s="261"/>
      <c r="KB286" s="261"/>
      <c r="KC286" s="261"/>
      <c r="KD286" s="261"/>
      <c r="KE286" s="261"/>
      <c r="KF286" s="261"/>
      <c r="KG286" s="261"/>
      <c r="KH286" s="12"/>
      <c r="KI286" s="261"/>
      <c r="KJ286" s="12"/>
      <c r="KK286" s="261"/>
      <c r="KL286" s="261"/>
      <c r="KM286" s="261"/>
      <c r="KN286" s="261"/>
      <c r="KO286" s="261"/>
      <c r="KP286" s="261"/>
      <c r="KQ286" s="261"/>
      <c r="KR286" s="261"/>
      <c r="KS286" s="261"/>
      <c r="KT286" s="261"/>
      <c r="KU286" s="261"/>
      <c r="KV286" s="261"/>
      <c r="KW286" s="261"/>
      <c r="KX286" s="261"/>
      <c r="KY286" s="261"/>
      <c r="KZ286" s="261"/>
      <c r="LA286" s="261"/>
      <c r="LB286" s="261"/>
      <c r="LC286" s="261"/>
      <c r="LD286" s="261"/>
      <c r="LE286" s="261"/>
      <c r="LF286" s="261"/>
      <c r="LG286" s="261"/>
      <c r="LH286" s="261"/>
      <c r="LI286" s="261"/>
      <c r="LJ286" s="261"/>
      <c r="LK286" s="261"/>
      <c r="LL286" s="261"/>
      <c r="LM286" s="261"/>
      <c r="LN286" s="261"/>
      <c r="LO286" s="261"/>
      <c r="LP286" s="12"/>
      <c r="LQ286" s="261"/>
      <c r="LR286" s="261"/>
      <c r="LS286" s="261"/>
      <c r="LT286" s="261"/>
      <c r="LU286" s="261"/>
      <c r="LV286" s="261"/>
      <c r="LW286" s="261"/>
      <c r="LX286" s="261"/>
      <c r="LY286" s="261"/>
      <c r="LZ286" s="261"/>
      <c r="MA286" s="13"/>
      <c r="MB286" s="261"/>
      <c r="MC286" s="261"/>
      <c r="MD286" s="261"/>
      <c r="ME286" s="261"/>
      <c r="MF286" s="261"/>
      <c r="MG286" s="261"/>
      <c r="MH286" s="261"/>
      <c r="MI286" s="261"/>
      <c r="MJ286" s="261"/>
      <c r="MK286" s="261"/>
      <c r="ML286" s="261"/>
      <c r="MM286" s="261"/>
      <c r="MN286" s="261"/>
      <c r="MO286" s="261"/>
      <c r="MP286" s="261"/>
      <c r="MQ286" s="261"/>
      <c r="MR286" s="261"/>
      <c r="MS286" s="261"/>
      <c r="MT286" s="261"/>
      <c r="MU286" s="261"/>
      <c r="MV286" s="261"/>
      <c r="MW286" s="261"/>
      <c r="MX286" s="261"/>
      <c r="MY286" s="261"/>
      <c r="MZ286" s="261"/>
      <c r="NA286" s="261"/>
      <c r="NB286" s="261"/>
      <c r="NC286" s="261"/>
      <c r="ND286" s="261"/>
      <c r="NE286" s="261"/>
      <c r="NF286" s="261"/>
      <c r="NG286" s="261"/>
      <c r="NH286" s="261"/>
      <c r="NI286" s="261"/>
      <c r="NJ286" s="261"/>
      <c r="NK286" s="13"/>
      <c r="NL286" s="261"/>
      <c r="NM286" s="261"/>
      <c r="NN286" s="13"/>
      <c r="OR286" s="12"/>
      <c r="OS286" s="261"/>
      <c r="OT286" s="261"/>
      <c r="OU286" s="12"/>
      <c r="OV286" s="261"/>
      <c r="OW286" s="261"/>
      <c r="OX286" s="261"/>
      <c r="OY286" s="261"/>
      <c r="OZ286" s="261"/>
      <c r="PA286" s="261"/>
      <c r="PB286" s="261"/>
      <c r="PC286" s="261"/>
      <c r="PD286" s="261"/>
      <c r="PE286" s="261"/>
      <c r="PF286" s="13"/>
      <c r="PG286" s="261"/>
      <c r="PH286" s="13"/>
      <c r="PI286" s="12"/>
      <c r="PJ286" s="261"/>
      <c r="PK286" s="261"/>
      <c r="PL286" s="261"/>
      <c r="PM286" s="261"/>
      <c r="PN286" s="261"/>
      <c r="PO286" s="261"/>
      <c r="PP286" s="261"/>
      <c r="PQ286" s="261"/>
      <c r="PR286" s="261"/>
      <c r="PS286" s="261"/>
      <c r="PT286" s="261"/>
      <c r="PU286" s="261"/>
      <c r="PV286" s="261"/>
      <c r="PW286" s="261"/>
      <c r="PX286" s="261"/>
      <c r="PY286" s="261"/>
      <c r="PZ286" s="261"/>
      <c r="QA286" s="261"/>
      <c r="QB286" s="261"/>
      <c r="QC286" s="261"/>
      <c r="QD286" s="261"/>
      <c r="QE286" s="261"/>
      <c r="QF286" s="261"/>
      <c r="QG286" s="261"/>
      <c r="QH286" s="261"/>
      <c r="QI286" s="261"/>
      <c r="QJ286" s="261"/>
      <c r="QK286" s="261"/>
      <c r="QL286" s="261"/>
      <c r="QM286" s="261"/>
      <c r="QN286" s="261"/>
      <c r="QO286" s="261"/>
      <c r="QP286" s="261"/>
      <c r="QQ286" s="261"/>
      <c r="QR286" s="261"/>
      <c r="QS286" s="261"/>
      <c r="QT286" s="261"/>
      <c r="QU286" s="261"/>
      <c r="QV286" s="261"/>
      <c r="QW286" s="261"/>
      <c r="QX286" s="13"/>
      <c r="QY286" s="12"/>
      <c r="QZ286" s="13"/>
      <c r="RA286" s="261"/>
      <c r="RB286" s="261"/>
      <c r="RC286" s="261"/>
      <c r="RD286" s="261"/>
      <c r="RE286" s="261"/>
      <c r="RF286" s="261"/>
      <c r="RG286" s="261"/>
      <c r="RH286" s="261"/>
      <c r="RI286" s="261"/>
      <c r="RJ286" s="261"/>
      <c r="RK286" s="261"/>
      <c r="RL286" s="261"/>
      <c r="RM286" s="261"/>
      <c r="RN286" s="261"/>
      <c r="RO286" s="261"/>
      <c r="RP286" s="261"/>
      <c r="RQ286" s="261"/>
      <c r="RR286" s="261"/>
      <c r="RS286" s="261"/>
      <c r="RT286" s="261"/>
      <c r="RU286" s="261"/>
      <c r="RV286" s="261"/>
      <c r="RW286" s="261"/>
      <c r="RX286" s="261"/>
      <c r="RY286" s="261"/>
      <c r="RZ286" s="261"/>
      <c r="SA286" s="261"/>
      <c r="SB286" s="261"/>
      <c r="SC286" s="261"/>
      <c r="SD286" s="261"/>
      <c r="SE286" s="261"/>
      <c r="SF286" s="261"/>
      <c r="SG286" s="261"/>
      <c r="SH286" s="261"/>
      <c r="SI286" s="261"/>
      <c r="SJ286" s="261"/>
      <c r="SK286" s="261"/>
      <c r="SL286" s="261"/>
      <c r="SM286" s="261"/>
      <c r="SN286" s="261"/>
      <c r="SO286" s="261"/>
      <c r="SP286" s="261"/>
      <c r="SQ286" s="261"/>
      <c r="SR286" s="261"/>
      <c r="SS286" s="261"/>
      <c r="ST286" s="261"/>
      <c r="SU286" s="261"/>
      <c r="SV286" s="261"/>
      <c r="SW286" s="261"/>
      <c r="SX286" s="261"/>
      <c r="SY286" s="261"/>
      <c r="SZ286" s="261"/>
      <c r="TA286" s="261"/>
      <c r="TB286" s="261"/>
      <c r="TC286" s="261"/>
      <c r="TD286" s="13"/>
      <c r="TE286" s="261"/>
      <c r="TF286" s="261"/>
      <c r="TG286" s="13"/>
      <c r="TO286" s="261"/>
      <c r="TP286" s="261"/>
      <c r="TQ286" s="261"/>
      <c r="TR286" s="261"/>
      <c r="TS286" s="261"/>
      <c r="TT286" s="261"/>
      <c r="TU286" s="261"/>
      <c r="TV286" s="261"/>
      <c r="TW286" s="261"/>
      <c r="TX286" s="261"/>
      <c r="TY286" s="261"/>
      <c r="TZ286" s="261"/>
      <c r="UA286" s="261"/>
      <c r="UB286" s="261"/>
      <c r="UC286" s="261"/>
      <c r="UD286" s="261"/>
      <c r="UE286" s="261"/>
      <c r="UF286" s="261"/>
      <c r="UG286" s="261"/>
      <c r="UH286" s="261"/>
      <c r="UI286" s="261"/>
      <c r="UJ286" s="261"/>
      <c r="UK286" s="261"/>
      <c r="UL286" s="261"/>
      <c r="UM286" s="261"/>
      <c r="UN286" s="261"/>
      <c r="UO286" s="261"/>
      <c r="UP286" s="261"/>
      <c r="UQ286" s="261"/>
      <c r="UR286" s="261"/>
      <c r="US286" s="261"/>
      <c r="UT286" s="261"/>
      <c r="UU286" s="261"/>
      <c r="UV286" s="261"/>
      <c r="UW286" s="261"/>
      <c r="UX286" s="261"/>
      <c r="UY286" s="261"/>
      <c r="UZ286" s="261"/>
      <c r="VA286" s="261"/>
      <c r="VB286" s="261"/>
      <c r="VC286" s="261"/>
      <c r="VD286" s="261"/>
      <c r="VE286" s="261"/>
      <c r="VF286" s="261"/>
      <c r="VG286" s="261"/>
      <c r="VH286" s="261"/>
      <c r="VI286" s="261"/>
    </row>
    <row r="287" spans="71:581" ht="10.75" customHeight="1" x14ac:dyDescent="0.2">
      <c r="BS287" s="12"/>
      <c r="BU287" s="13"/>
      <c r="DR287" s="12"/>
      <c r="DS287" s="13"/>
      <c r="EC287" s="12"/>
      <c r="EF287" s="13"/>
      <c r="EN287" s="12"/>
      <c r="EO287" s="13"/>
      <c r="FR287" s="14"/>
      <c r="FS287" s="15"/>
      <c r="FT287" s="15"/>
      <c r="FU287" s="15"/>
      <c r="FV287" s="16"/>
      <c r="FY287" s="18"/>
      <c r="GN287" s="12"/>
      <c r="GP287" s="13"/>
      <c r="IY287" s="12"/>
      <c r="IZ287" s="261"/>
      <c r="JA287" s="261"/>
      <c r="JB287" s="12"/>
      <c r="JC287" s="261"/>
      <c r="JD287" s="261"/>
      <c r="JE287" s="261"/>
      <c r="JF287" s="261"/>
      <c r="JG287" s="261"/>
      <c r="JH287" s="261"/>
      <c r="JI287" s="261"/>
      <c r="JJ287" s="261"/>
      <c r="JK287" s="261"/>
      <c r="JL287" s="261"/>
      <c r="JM287" s="261"/>
      <c r="JN287" s="261"/>
      <c r="JO287" s="261"/>
      <c r="JP287" s="261"/>
      <c r="JQ287" s="261"/>
      <c r="JR287" s="261"/>
      <c r="JS287" s="261"/>
      <c r="JT287" s="261"/>
      <c r="JU287" s="261"/>
      <c r="JV287" s="261"/>
      <c r="JW287" s="261"/>
      <c r="JX287" s="261"/>
      <c r="JY287" s="261"/>
      <c r="JZ287" s="261"/>
      <c r="KA287" s="261"/>
      <c r="KB287" s="261"/>
      <c r="KC287" s="261"/>
      <c r="KD287" s="261"/>
      <c r="KE287" s="261"/>
      <c r="KF287" s="261"/>
      <c r="KG287" s="261"/>
      <c r="KH287" s="12"/>
      <c r="KI287" s="261"/>
      <c r="KJ287" s="12"/>
      <c r="KK287" s="261"/>
      <c r="KL287" s="261"/>
      <c r="KM287" s="261"/>
      <c r="KN287" s="261"/>
      <c r="KO287" s="261"/>
      <c r="KP287" s="261"/>
      <c r="KQ287" s="261"/>
      <c r="KR287" s="261"/>
      <c r="KS287" s="261"/>
      <c r="KT287" s="261"/>
      <c r="KU287" s="261"/>
      <c r="KV287" s="261"/>
      <c r="KW287" s="261"/>
      <c r="KX287" s="261"/>
      <c r="KY287" s="261"/>
      <c r="KZ287" s="261"/>
      <c r="LA287" s="261"/>
      <c r="LB287" s="261"/>
      <c r="LC287" s="261"/>
      <c r="LD287" s="261"/>
      <c r="LE287" s="261"/>
      <c r="LF287" s="261"/>
      <c r="LG287" s="261"/>
      <c r="LH287" s="261"/>
      <c r="LI287" s="261"/>
      <c r="LJ287" s="261"/>
      <c r="LK287" s="261"/>
      <c r="LL287" s="261"/>
      <c r="LM287" s="261"/>
      <c r="LN287" s="261"/>
      <c r="LO287" s="261"/>
      <c r="LP287" s="12"/>
      <c r="LQ287" s="261"/>
      <c r="LR287" s="261"/>
      <c r="LS287" s="261"/>
      <c r="LT287" s="261"/>
      <c r="LU287" s="261"/>
      <c r="LV287" s="261"/>
      <c r="LW287" s="261"/>
      <c r="LX287" s="261"/>
      <c r="LY287" s="261"/>
      <c r="LZ287" s="261"/>
      <c r="MA287" s="13"/>
      <c r="MB287" s="261"/>
      <c r="MC287" s="261"/>
      <c r="MD287" s="261"/>
      <c r="ME287" s="261"/>
      <c r="MF287" s="261"/>
      <c r="MG287" s="261"/>
      <c r="MH287" s="261"/>
      <c r="MI287" s="261"/>
      <c r="MJ287" s="261"/>
      <c r="MK287" s="261"/>
      <c r="ML287" s="261"/>
      <c r="MM287" s="261"/>
      <c r="MN287" s="261"/>
      <c r="MO287" s="261"/>
      <c r="MP287" s="261"/>
      <c r="MQ287" s="261"/>
      <c r="MR287" s="261"/>
      <c r="MS287" s="261"/>
      <c r="MT287" s="261"/>
      <c r="MU287" s="261"/>
      <c r="MV287" s="261"/>
      <c r="MW287" s="261"/>
      <c r="MX287" s="261"/>
      <c r="MY287" s="261"/>
      <c r="MZ287" s="261"/>
      <c r="NA287" s="261"/>
      <c r="NB287" s="261"/>
      <c r="NC287" s="261"/>
      <c r="ND287" s="261"/>
      <c r="NE287" s="261"/>
      <c r="NF287" s="261"/>
      <c r="NG287" s="261"/>
      <c r="NH287" s="261"/>
      <c r="NI287" s="261"/>
      <c r="NJ287" s="261"/>
      <c r="NK287" s="13"/>
      <c r="NL287" s="261"/>
      <c r="NM287" s="261"/>
      <c r="NN287" s="13"/>
      <c r="OR287" s="12"/>
      <c r="OS287" s="261"/>
      <c r="OT287" s="261"/>
      <c r="OU287" s="12"/>
      <c r="OV287" s="261"/>
      <c r="OW287" s="261"/>
      <c r="OX287" s="261"/>
      <c r="OY287" s="261"/>
      <c r="OZ287" s="261"/>
      <c r="PA287" s="261"/>
      <c r="PB287" s="261"/>
      <c r="PC287" s="261"/>
      <c r="PD287" s="261"/>
      <c r="PE287" s="261"/>
      <c r="PF287" s="13"/>
      <c r="PG287" s="261"/>
      <c r="PH287" s="13"/>
      <c r="PI287" s="12"/>
      <c r="PJ287" s="261"/>
      <c r="PK287" s="261"/>
      <c r="PL287" s="261"/>
      <c r="PM287" s="261"/>
      <c r="PN287" s="261"/>
      <c r="PO287" s="261"/>
      <c r="PP287" s="261"/>
      <c r="PQ287" s="261"/>
      <c r="PR287" s="261"/>
      <c r="PS287" s="261"/>
      <c r="PT287" s="261"/>
      <c r="PU287" s="261"/>
      <c r="PV287" s="261"/>
      <c r="PW287" s="261"/>
      <c r="PX287" s="261"/>
      <c r="PY287" s="261"/>
      <c r="PZ287" s="261"/>
      <c r="QA287" s="261"/>
      <c r="QB287" s="261"/>
      <c r="QC287" s="261"/>
      <c r="QD287" s="261"/>
      <c r="QE287" s="261"/>
      <c r="QF287" s="261"/>
      <c r="QG287" s="261"/>
      <c r="QH287" s="261"/>
      <c r="QI287" s="261"/>
      <c r="QJ287" s="261"/>
      <c r="QK287" s="261"/>
      <c r="QL287" s="261"/>
      <c r="QM287" s="261"/>
      <c r="QN287" s="261"/>
      <c r="QO287" s="261"/>
      <c r="QP287" s="261"/>
      <c r="QQ287" s="261"/>
      <c r="QR287" s="261"/>
      <c r="QS287" s="261"/>
      <c r="QT287" s="261"/>
      <c r="QU287" s="261"/>
      <c r="QV287" s="261"/>
      <c r="QW287" s="261"/>
      <c r="QX287" s="13"/>
      <c r="QY287" s="12"/>
      <c r="QZ287" s="13"/>
      <c r="RA287" s="261"/>
      <c r="RB287" s="261"/>
      <c r="RC287" s="261"/>
      <c r="RD287" s="261"/>
      <c r="RE287" s="261"/>
      <c r="RF287" s="261"/>
      <c r="RG287" s="261"/>
      <c r="RH287" s="261"/>
      <c r="RI287" s="261"/>
      <c r="RJ287" s="261"/>
      <c r="RK287" s="261"/>
      <c r="RL287" s="261"/>
      <c r="RM287" s="261"/>
      <c r="RN287" s="261"/>
      <c r="RO287" s="261"/>
      <c r="RP287" s="261"/>
      <c r="RQ287" s="261"/>
      <c r="RR287" s="261"/>
      <c r="RS287" s="261"/>
      <c r="RT287" s="261"/>
      <c r="RU287" s="261"/>
      <c r="RV287" s="261"/>
      <c r="RW287" s="261"/>
      <c r="RX287" s="261"/>
      <c r="RY287" s="261"/>
      <c r="RZ287" s="261"/>
      <c r="SA287" s="261"/>
      <c r="SB287" s="261"/>
      <c r="SC287" s="261"/>
      <c r="SD287" s="261"/>
      <c r="SE287" s="261"/>
      <c r="SF287" s="261"/>
      <c r="SG287" s="261"/>
      <c r="SH287" s="261"/>
      <c r="SI287" s="261"/>
      <c r="SJ287" s="261"/>
      <c r="SK287" s="261"/>
      <c r="SL287" s="261"/>
      <c r="SM287" s="261"/>
      <c r="SN287" s="261"/>
      <c r="SO287" s="261"/>
      <c r="SP287" s="261"/>
      <c r="SQ287" s="261"/>
      <c r="SR287" s="261"/>
      <c r="SS287" s="261"/>
      <c r="ST287" s="261"/>
      <c r="SU287" s="261"/>
      <c r="SV287" s="261"/>
      <c r="SW287" s="261"/>
      <c r="SX287" s="261"/>
      <c r="SY287" s="261"/>
      <c r="SZ287" s="261"/>
      <c r="TA287" s="261"/>
      <c r="TB287" s="261"/>
      <c r="TC287" s="261"/>
      <c r="TD287" s="13"/>
      <c r="TE287" s="261"/>
      <c r="TF287" s="261"/>
      <c r="TG287" s="13"/>
      <c r="TO287" s="261"/>
      <c r="TP287" s="261"/>
      <c r="TQ287" s="261"/>
      <c r="TR287" s="261"/>
      <c r="TS287" s="261"/>
      <c r="TT287" s="261"/>
      <c r="TU287" s="261"/>
      <c r="TV287" s="261"/>
      <c r="TW287" s="261"/>
      <c r="TX287" s="261"/>
      <c r="TY287" s="261"/>
      <c r="TZ287" s="261"/>
      <c r="UA287" s="261"/>
      <c r="UB287" s="261"/>
      <c r="UC287" s="261"/>
      <c r="UD287" s="261"/>
      <c r="UE287" s="261"/>
      <c r="UF287" s="261"/>
      <c r="UG287" s="261"/>
      <c r="UH287" s="261"/>
      <c r="UI287" s="261"/>
      <c r="UJ287" s="261"/>
      <c r="UK287" s="261"/>
      <c r="UL287" s="261"/>
      <c r="UM287" s="261"/>
      <c r="UN287" s="261"/>
      <c r="UO287" s="261"/>
      <c r="UP287" s="261"/>
      <c r="UQ287" s="261"/>
      <c r="UR287" s="261"/>
      <c r="US287" s="261"/>
      <c r="UT287" s="261"/>
      <c r="UU287" s="261"/>
      <c r="UV287" s="261"/>
      <c r="UW287" s="261"/>
      <c r="UX287" s="261"/>
      <c r="UY287" s="261"/>
      <c r="UZ287" s="261"/>
      <c r="VA287" s="261"/>
      <c r="VB287" s="261"/>
      <c r="VC287" s="261"/>
      <c r="VD287" s="261"/>
      <c r="VE287" s="261"/>
      <c r="VF287" s="261"/>
      <c r="VG287" s="261"/>
      <c r="VH287" s="261"/>
      <c r="VI287" s="261"/>
    </row>
    <row r="288" spans="71:581" ht="10.75" customHeight="1" x14ac:dyDescent="0.2">
      <c r="BS288" s="12"/>
      <c r="BU288" s="13"/>
      <c r="DR288" s="12"/>
      <c r="DS288" s="13"/>
      <c r="EC288" s="12"/>
      <c r="EF288" s="13"/>
      <c r="EN288" s="12"/>
      <c r="EO288" s="13"/>
      <c r="FY288" s="19"/>
      <c r="GN288" s="12"/>
      <c r="GP288" s="13"/>
      <c r="IY288" s="12"/>
      <c r="IZ288" s="261"/>
      <c r="JA288" s="261"/>
      <c r="JB288" s="12"/>
      <c r="JC288" s="261"/>
      <c r="JD288" s="261"/>
      <c r="JE288" s="261"/>
      <c r="JF288" s="261"/>
      <c r="JG288" s="261"/>
      <c r="JH288" s="261"/>
      <c r="JI288" s="261"/>
      <c r="JJ288" s="261"/>
      <c r="JK288" s="261"/>
      <c r="JL288" s="261"/>
      <c r="JM288" s="261"/>
      <c r="JN288" s="261"/>
      <c r="JO288" s="261"/>
      <c r="JP288" s="261"/>
      <c r="JQ288" s="261"/>
      <c r="JR288" s="261"/>
      <c r="JS288" s="261"/>
      <c r="JT288" s="261"/>
      <c r="JU288" s="261"/>
      <c r="JV288" s="261"/>
      <c r="JW288" s="261"/>
      <c r="JX288" s="261"/>
      <c r="JY288" s="261"/>
      <c r="JZ288" s="261"/>
      <c r="KA288" s="261"/>
      <c r="KB288" s="261"/>
      <c r="KC288" s="261"/>
      <c r="KD288" s="261"/>
      <c r="KE288" s="261"/>
      <c r="KF288" s="261"/>
      <c r="KG288" s="261"/>
      <c r="KH288" s="14"/>
      <c r="KI288" s="15"/>
      <c r="KJ288" s="12"/>
      <c r="KK288" s="261"/>
      <c r="KL288" s="261"/>
      <c r="KM288" s="261"/>
      <c r="KN288" s="261"/>
      <c r="KO288" s="261"/>
      <c r="KP288" s="261"/>
      <c r="KQ288" s="261"/>
      <c r="KR288" s="261"/>
      <c r="KS288" s="261"/>
      <c r="KT288" s="261"/>
      <c r="KU288" s="261"/>
      <c r="KV288" s="261"/>
      <c r="KW288" s="261"/>
      <c r="KX288" s="261"/>
      <c r="KY288" s="261"/>
      <c r="KZ288" s="261"/>
      <c r="LA288" s="261"/>
      <c r="LB288" s="261"/>
      <c r="LC288" s="261"/>
      <c r="LD288" s="261"/>
      <c r="LE288" s="261"/>
      <c r="LF288" s="261"/>
      <c r="LG288" s="261"/>
      <c r="LH288" s="261"/>
      <c r="LI288" s="261"/>
      <c r="LJ288" s="261"/>
      <c r="LK288" s="261"/>
      <c r="LL288" s="261"/>
      <c r="LM288" s="261"/>
      <c r="LN288" s="261"/>
      <c r="LO288" s="261"/>
      <c r="LP288" s="14"/>
      <c r="LQ288" s="15"/>
      <c r="LR288" s="15"/>
      <c r="LS288" s="15"/>
      <c r="LT288" s="15"/>
      <c r="LU288" s="15"/>
      <c r="LV288" s="15"/>
      <c r="LW288" s="15"/>
      <c r="LX288" s="15"/>
      <c r="LY288" s="15"/>
      <c r="LZ288" s="15"/>
      <c r="MA288" s="16"/>
      <c r="MB288" s="15"/>
      <c r="MC288" s="15"/>
      <c r="MD288" s="15"/>
      <c r="ME288" s="15"/>
      <c r="MF288" s="15"/>
      <c r="MG288" s="15"/>
      <c r="MH288" s="15"/>
      <c r="MI288" s="15"/>
      <c r="MJ288" s="15"/>
      <c r="MK288" s="15"/>
      <c r="ML288" s="15"/>
      <c r="MM288" s="15"/>
      <c r="MN288" s="15"/>
      <c r="MO288" s="15"/>
      <c r="MP288" s="15"/>
      <c r="MQ288" s="15"/>
      <c r="MR288" s="15"/>
      <c r="MS288" s="15"/>
      <c r="MT288" s="15"/>
      <c r="MU288" s="15"/>
      <c r="MV288" s="15"/>
      <c r="MW288" s="15"/>
      <c r="MX288" s="15"/>
      <c r="MY288" s="15"/>
      <c r="MZ288" s="15"/>
      <c r="NA288" s="15"/>
      <c r="NB288" s="15"/>
      <c r="NC288" s="15"/>
      <c r="ND288" s="15"/>
      <c r="NE288" s="15"/>
      <c r="NF288" s="15"/>
      <c r="NG288" s="15"/>
      <c r="NH288" s="15"/>
      <c r="NI288" s="15"/>
      <c r="NJ288" s="15"/>
      <c r="NK288" s="16"/>
      <c r="NL288" s="261"/>
      <c r="NM288" s="261"/>
      <c r="NN288" s="13"/>
      <c r="OR288" s="12"/>
      <c r="OS288" s="261"/>
      <c r="OT288" s="261"/>
      <c r="OU288" s="12"/>
      <c r="OV288" s="261"/>
      <c r="OW288" s="261"/>
      <c r="OX288" s="261"/>
      <c r="OY288" s="261"/>
      <c r="OZ288" s="261"/>
      <c r="PA288" s="261"/>
      <c r="PB288" s="261"/>
      <c r="PC288" s="261"/>
      <c r="PD288" s="261"/>
      <c r="PE288" s="261"/>
      <c r="PF288" s="13"/>
      <c r="PG288" s="261"/>
      <c r="PH288" s="13"/>
      <c r="PI288" s="12"/>
      <c r="PJ288" s="261"/>
      <c r="PK288" s="261"/>
      <c r="PL288" s="261"/>
      <c r="PM288" s="261"/>
      <c r="PN288" s="261"/>
      <c r="PO288" s="261"/>
      <c r="PP288" s="261"/>
      <c r="PQ288" s="261"/>
      <c r="PR288" s="261"/>
      <c r="PS288" s="261"/>
      <c r="PT288" s="261"/>
      <c r="PU288" s="261"/>
      <c r="PV288" s="261"/>
      <c r="PW288" s="261"/>
      <c r="PX288" s="261"/>
      <c r="PY288" s="261"/>
      <c r="PZ288" s="261"/>
      <c r="QA288" s="261"/>
      <c r="QB288" s="261"/>
      <c r="QC288" s="261"/>
      <c r="QD288" s="261"/>
      <c r="QE288" s="261"/>
      <c r="QF288" s="261"/>
      <c r="QG288" s="261"/>
      <c r="QH288" s="261"/>
      <c r="QI288" s="261"/>
      <c r="QJ288" s="261"/>
      <c r="QK288" s="261"/>
      <c r="QL288" s="261"/>
      <c r="QM288" s="261"/>
      <c r="QN288" s="261"/>
      <c r="QO288" s="261"/>
      <c r="QP288" s="261"/>
      <c r="QQ288" s="261"/>
      <c r="QR288" s="261"/>
      <c r="QS288" s="261"/>
      <c r="QT288" s="261"/>
      <c r="QU288" s="261"/>
      <c r="QV288" s="261"/>
      <c r="QW288" s="261"/>
      <c r="QX288" s="13"/>
      <c r="QY288" s="12"/>
      <c r="QZ288" s="13"/>
      <c r="RA288" s="261"/>
      <c r="RB288" s="261"/>
      <c r="RC288" s="261"/>
      <c r="RD288" s="261"/>
      <c r="RE288" s="261"/>
      <c r="RF288" s="261"/>
      <c r="RG288" s="261"/>
      <c r="RH288" s="261"/>
      <c r="RI288" s="261"/>
      <c r="RJ288" s="261"/>
      <c r="RK288" s="261"/>
      <c r="RL288" s="261"/>
      <c r="RM288" s="261"/>
      <c r="RN288" s="261"/>
      <c r="RO288" s="261"/>
      <c r="RP288" s="261"/>
      <c r="RQ288" s="261"/>
      <c r="RR288" s="261"/>
      <c r="RS288" s="261"/>
      <c r="RT288" s="261"/>
      <c r="RU288" s="261"/>
      <c r="RV288" s="261"/>
      <c r="RW288" s="261"/>
      <c r="RX288" s="261"/>
      <c r="RY288" s="261"/>
      <c r="RZ288" s="261"/>
      <c r="SA288" s="261"/>
      <c r="SB288" s="261"/>
      <c r="SC288" s="261"/>
      <c r="SD288" s="261"/>
      <c r="SE288" s="261"/>
      <c r="SF288" s="261"/>
      <c r="SG288" s="261"/>
      <c r="SH288" s="261"/>
      <c r="SI288" s="261"/>
      <c r="SJ288" s="261"/>
      <c r="SK288" s="261"/>
      <c r="SL288" s="261"/>
      <c r="SM288" s="261"/>
      <c r="SN288" s="261"/>
      <c r="SO288" s="261"/>
      <c r="SP288" s="261"/>
      <c r="SQ288" s="261"/>
      <c r="SR288" s="261"/>
      <c r="SS288" s="261"/>
      <c r="ST288" s="261"/>
      <c r="SU288" s="261"/>
      <c r="SV288" s="261"/>
      <c r="SW288" s="261"/>
      <c r="SX288" s="261"/>
      <c r="SY288" s="261"/>
      <c r="SZ288" s="261"/>
      <c r="TA288" s="261"/>
      <c r="TB288" s="261"/>
      <c r="TC288" s="261"/>
      <c r="TD288" s="13"/>
      <c r="TE288" s="261"/>
      <c r="TF288" s="261"/>
      <c r="TG288" s="13"/>
      <c r="TO288" s="261"/>
      <c r="TP288" s="261"/>
      <c r="TQ288" s="261"/>
      <c r="TR288" s="261"/>
      <c r="TS288" s="261"/>
      <c r="TT288" s="261"/>
      <c r="TU288" s="261"/>
      <c r="TV288" s="261"/>
      <c r="TW288" s="261"/>
      <c r="TX288" s="261"/>
      <c r="TY288" s="261"/>
      <c r="TZ288" s="261"/>
      <c r="UA288" s="261"/>
      <c r="UB288" s="261"/>
      <c r="UC288" s="261"/>
      <c r="UD288" s="261"/>
      <c r="UE288" s="261"/>
      <c r="UF288" s="261"/>
      <c r="UG288" s="261"/>
      <c r="UH288" s="261"/>
      <c r="UI288" s="261"/>
      <c r="UJ288" s="261"/>
      <c r="UK288" s="261"/>
      <c r="UL288" s="261"/>
      <c r="UM288" s="261"/>
      <c r="UN288" s="261"/>
      <c r="UO288" s="261"/>
      <c r="UP288" s="261"/>
      <c r="UQ288" s="261"/>
      <c r="UR288" s="261"/>
      <c r="US288" s="261"/>
      <c r="UT288" s="261"/>
      <c r="UU288" s="261"/>
      <c r="UV288" s="261"/>
      <c r="UW288" s="261"/>
      <c r="UX288" s="261"/>
      <c r="UY288" s="261"/>
      <c r="UZ288" s="261"/>
      <c r="VA288" s="261"/>
      <c r="VB288" s="261"/>
      <c r="VC288" s="261"/>
      <c r="VD288" s="261"/>
      <c r="VE288" s="261"/>
      <c r="VF288" s="261"/>
      <c r="VG288" s="261"/>
      <c r="VH288" s="261"/>
      <c r="VI288" s="261"/>
    </row>
    <row r="289" spans="71:581" ht="10.75" customHeight="1" x14ac:dyDescent="0.2">
      <c r="BS289" s="12"/>
      <c r="BU289" s="13"/>
      <c r="DR289" s="12"/>
      <c r="DS289" s="13"/>
      <c r="EC289" s="12"/>
      <c r="EF289" s="13"/>
      <c r="EN289" s="12"/>
      <c r="EO289" s="13"/>
      <c r="FW289" s="9"/>
      <c r="FX289" s="10"/>
      <c r="FY289" s="10"/>
      <c r="FZ289" s="10"/>
      <c r="GA289" s="11"/>
      <c r="GB289" s="12"/>
      <c r="GN289" s="12"/>
      <c r="GP289" s="13"/>
      <c r="IY289" s="12"/>
      <c r="IZ289" s="261"/>
      <c r="JA289" s="261"/>
      <c r="JB289" s="12"/>
      <c r="JC289" s="261"/>
      <c r="JD289" s="261"/>
      <c r="JE289" s="261"/>
      <c r="JF289" s="261"/>
      <c r="JG289" s="261"/>
      <c r="JH289" s="261"/>
      <c r="JI289" s="261"/>
      <c r="JJ289" s="9"/>
      <c r="JK289" s="10"/>
      <c r="JL289" s="10"/>
      <c r="JM289" s="10"/>
      <c r="JN289" s="10"/>
      <c r="JO289" s="10"/>
      <c r="JP289" s="10"/>
      <c r="JQ289" s="10"/>
      <c r="JR289" s="10"/>
      <c r="JS289" s="10"/>
      <c r="JT289" s="10"/>
      <c r="JU289" s="10"/>
      <c r="JV289" s="10"/>
      <c r="JW289" s="10"/>
      <c r="JX289" s="10"/>
      <c r="JY289" s="10"/>
      <c r="JZ289" s="10"/>
      <c r="KA289" s="10"/>
      <c r="KB289" s="10"/>
      <c r="KC289" s="10"/>
      <c r="KD289" s="10"/>
      <c r="KE289" s="10"/>
      <c r="KF289" s="10"/>
      <c r="KG289" s="10"/>
      <c r="KH289" s="261"/>
      <c r="KI289" s="261"/>
      <c r="KJ289" s="261"/>
      <c r="KK289" s="261"/>
      <c r="KL289" s="261"/>
      <c r="KM289" s="261"/>
      <c r="KN289" s="261"/>
      <c r="KO289" s="261"/>
      <c r="KP289" s="261"/>
      <c r="KQ289" s="261"/>
      <c r="KR289" s="261"/>
      <c r="KS289" s="261"/>
      <c r="KT289" s="261"/>
      <c r="KU289" s="261"/>
      <c r="KV289" s="261"/>
      <c r="KW289" s="261"/>
      <c r="KX289" s="261"/>
      <c r="KY289" s="261"/>
      <c r="KZ289" s="261"/>
      <c r="LA289" s="261"/>
      <c r="LB289" s="261"/>
      <c r="LC289" s="261"/>
      <c r="LD289" s="261"/>
      <c r="LE289" s="261"/>
      <c r="LF289" s="261"/>
      <c r="LG289" s="261"/>
      <c r="LH289" s="261"/>
      <c r="LI289" s="261"/>
      <c r="LJ289" s="261"/>
      <c r="LK289" s="261"/>
      <c r="LL289" s="261"/>
      <c r="LM289" s="261"/>
      <c r="LN289" s="261"/>
      <c r="LO289" s="261"/>
      <c r="LP289" s="261"/>
      <c r="LQ289" s="261"/>
      <c r="LR289" s="261"/>
      <c r="LS289" s="261"/>
      <c r="LT289" s="261"/>
      <c r="LU289" s="261"/>
      <c r="LV289" s="261"/>
      <c r="LW289" s="261"/>
      <c r="LX289" s="261"/>
      <c r="LY289" s="261"/>
      <c r="LZ289" s="261"/>
      <c r="MA289" s="261"/>
      <c r="MB289" s="261"/>
      <c r="MC289" s="261"/>
      <c r="MD289" s="261"/>
      <c r="ME289" s="261"/>
      <c r="MF289" s="261"/>
      <c r="MG289" s="261"/>
      <c r="MH289" s="261"/>
      <c r="MI289" s="261"/>
      <c r="MJ289" s="261"/>
      <c r="MK289" s="261"/>
      <c r="ML289" s="261"/>
      <c r="MM289" s="261"/>
      <c r="MN289" s="261"/>
      <c r="MO289" s="261"/>
      <c r="MP289" s="261"/>
      <c r="MQ289" s="261"/>
      <c r="MR289" s="261"/>
      <c r="MS289" s="261"/>
      <c r="MT289" s="261"/>
      <c r="MU289" s="261"/>
      <c r="MV289" s="261"/>
      <c r="MW289" s="261"/>
      <c r="MX289" s="261"/>
      <c r="MY289" s="261"/>
      <c r="MZ289" s="261"/>
      <c r="NA289" s="261"/>
      <c r="NB289" s="261"/>
      <c r="NC289" s="261"/>
      <c r="ND289" s="261"/>
      <c r="NE289" s="261"/>
      <c r="NF289" s="261"/>
      <c r="NG289" s="261"/>
      <c r="NH289" s="261"/>
      <c r="NI289" s="261"/>
      <c r="NJ289" s="261"/>
      <c r="NK289" s="13"/>
      <c r="NL289" s="261"/>
      <c r="NM289" s="261"/>
      <c r="NN289" s="13"/>
      <c r="OR289" s="12"/>
      <c r="OS289" s="261"/>
      <c r="OT289" s="261"/>
      <c r="OU289" s="12"/>
      <c r="OV289" s="261"/>
      <c r="OW289" s="261"/>
      <c r="OX289" s="261"/>
      <c r="OY289" s="261"/>
      <c r="OZ289" s="261"/>
      <c r="PA289" s="261"/>
      <c r="PB289" s="261"/>
      <c r="PC289" s="261"/>
      <c r="PD289" s="261"/>
      <c r="PE289" s="261"/>
      <c r="PF289" s="13"/>
      <c r="PG289" s="261"/>
      <c r="PH289" s="13"/>
      <c r="PI289" s="12"/>
      <c r="PJ289" s="261"/>
      <c r="PK289" s="261"/>
      <c r="PL289" s="261"/>
      <c r="PM289" s="261"/>
      <c r="PN289" s="261"/>
      <c r="PO289" s="261"/>
      <c r="PP289" s="261"/>
      <c r="PQ289" s="261"/>
      <c r="PR289" s="261"/>
      <c r="PS289" s="261"/>
      <c r="PT289" s="261"/>
      <c r="PU289" s="261"/>
      <c r="PV289" s="261"/>
      <c r="PW289" s="261"/>
      <c r="PX289" s="261"/>
      <c r="PY289" s="261"/>
      <c r="PZ289" s="261"/>
      <c r="QA289" s="261"/>
      <c r="QB289" s="261"/>
      <c r="QC289" s="261"/>
      <c r="QD289" s="261"/>
      <c r="QE289" s="261"/>
      <c r="QF289" s="261"/>
      <c r="QG289" s="261"/>
      <c r="QH289" s="261"/>
      <c r="QI289" s="261"/>
      <c r="QJ289" s="261"/>
      <c r="QK289" s="261"/>
      <c r="QL289" s="261"/>
      <c r="QM289" s="261"/>
      <c r="QN289" s="261"/>
      <c r="QO289" s="261"/>
      <c r="QP289" s="261"/>
      <c r="QQ289" s="261"/>
      <c r="QR289" s="261"/>
      <c r="QS289" s="261"/>
      <c r="QT289" s="261"/>
      <c r="QU289" s="261"/>
      <c r="QV289" s="261"/>
      <c r="QW289" s="261"/>
      <c r="QX289" s="13"/>
      <c r="QY289" s="12"/>
      <c r="QZ289" s="13"/>
      <c r="RA289" s="261"/>
      <c r="RB289" s="261"/>
      <c r="RC289" s="261"/>
      <c r="RD289" s="261"/>
      <c r="RE289" s="261"/>
      <c r="RF289" s="261"/>
      <c r="RG289" s="261"/>
      <c r="RH289" s="261"/>
      <c r="RI289" s="261"/>
      <c r="RJ289" s="261"/>
      <c r="RK289" s="261"/>
      <c r="RL289" s="261"/>
      <c r="RM289" s="261"/>
      <c r="RN289" s="261"/>
      <c r="RO289" s="261"/>
      <c r="RP289" s="261"/>
      <c r="RQ289" s="261"/>
      <c r="RR289" s="261"/>
      <c r="RS289" s="261"/>
      <c r="RT289" s="261"/>
      <c r="RU289" s="261"/>
      <c r="RV289" s="261"/>
      <c r="RW289" s="261"/>
      <c r="RX289" s="261"/>
      <c r="RY289" s="261"/>
      <c r="RZ289" s="261"/>
      <c r="SA289" s="261"/>
      <c r="SB289" s="261"/>
      <c r="SC289" s="261"/>
      <c r="SD289" s="261"/>
      <c r="SE289" s="261"/>
      <c r="SF289" s="261"/>
      <c r="SG289" s="261"/>
      <c r="SH289" s="261"/>
      <c r="SI289" s="261"/>
      <c r="SJ289" s="261"/>
      <c r="SK289" s="261"/>
      <c r="SL289" s="261"/>
      <c r="SM289" s="261"/>
      <c r="SN289" s="261"/>
      <c r="SO289" s="261"/>
      <c r="SP289" s="261"/>
      <c r="SQ289" s="261"/>
      <c r="SR289" s="261"/>
      <c r="SS289" s="261"/>
      <c r="ST289" s="261"/>
      <c r="SU289" s="261"/>
      <c r="SV289" s="261"/>
      <c r="SW289" s="261"/>
      <c r="SX289" s="261"/>
      <c r="SY289" s="261"/>
      <c r="SZ289" s="261"/>
      <c r="TA289" s="261"/>
      <c r="TB289" s="261"/>
      <c r="TC289" s="261"/>
      <c r="TD289" s="13"/>
      <c r="TE289" s="261"/>
      <c r="TF289" s="261"/>
      <c r="TG289" s="13"/>
      <c r="TO289" s="261"/>
      <c r="TP289" s="261"/>
      <c r="TQ289" s="261"/>
      <c r="TR289" s="261"/>
      <c r="TS289" s="261"/>
      <c r="TT289" s="261"/>
      <c r="TU289" s="261"/>
      <c r="TV289" s="261"/>
      <c r="TW289" s="261"/>
      <c r="TX289" s="261"/>
      <c r="TY289" s="261"/>
      <c r="TZ289" s="261"/>
      <c r="UA289" s="261"/>
      <c r="UB289" s="261"/>
      <c r="UC289" s="261"/>
      <c r="UD289" s="261"/>
      <c r="UE289" s="261"/>
      <c r="UF289" s="261"/>
      <c r="UG289" s="261"/>
      <c r="UH289" s="261"/>
      <c r="UI289" s="261"/>
      <c r="UJ289" s="261"/>
      <c r="UK289" s="261"/>
      <c r="UL289" s="261"/>
      <c r="UM289" s="261"/>
      <c r="UN289" s="261"/>
      <c r="UO289" s="261"/>
      <c r="UP289" s="261"/>
      <c r="UQ289" s="261"/>
      <c r="UR289" s="261"/>
      <c r="US289" s="261"/>
      <c r="UT289" s="261"/>
      <c r="UU289" s="261"/>
      <c r="UV289" s="261"/>
      <c r="UW289" s="261"/>
      <c r="UX289" s="261"/>
      <c r="UY289" s="261"/>
      <c r="UZ289" s="261"/>
      <c r="VA289" s="261"/>
      <c r="VB289" s="261"/>
      <c r="VC289" s="261"/>
      <c r="VD289" s="261"/>
      <c r="VE289" s="261"/>
      <c r="VF289" s="261"/>
      <c r="VG289" s="261"/>
      <c r="VH289" s="261"/>
      <c r="VI289" s="261"/>
    </row>
    <row r="290" spans="71:581" ht="10.75" customHeight="1" x14ac:dyDescent="0.2">
      <c r="BS290" s="12"/>
      <c r="BU290" s="13"/>
      <c r="DR290" s="12"/>
      <c r="DS290" s="13"/>
      <c r="EC290" s="12"/>
      <c r="EF290" s="13"/>
      <c r="EN290" s="12"/>
      <c r="EO290" s="13"/>
      <c r="FW290" s="14"/>
      <c r="FX290" s="15"/>
      <c r="FY290" s="15"/>
      <c r="FZ290" s="15"/>
      <c r="GA290" s="16"/>
      <c r="GB290" s="12"/>
      <c r="GN290" s="12"/>
      <c r="GP290" s="13"/>
      <c r="IY290" s="12"/>
      <c r="IZ290" s="261"/>
      <c r="JA290" s="261"/>
      <c r="JB290" s="12"/>
      <c r="JC290" s="261"/>
      <c r="JD290" s="261"/>
      <c r="JE290" s="261"/>
      <c r="JF290" s="261"/>
      <c r="JG290" s="261"/>
      <c r="JH290" s="261"/>
      <c r="JI290" s="261"/>
      <c r="JJ290" s="12"/>
      <c r="JK290" s="261"/>
      <c r="JL290" s="261"/>
      <c r="JM290" s="261"/>
      <c r="JN290" s="261"/>
      <c r="JO290" s="261"/>
      <c r="JP290" s="261"/>
      <c r="JQ290" s="261"/>
      <c r="JR290" s="261"/>
      <c r="JS290" s="261"/>
      <c r="JT290" s="261"/>
      <c r="JU290" s="261"/>
      <c r="JV290" s="261"/>
      <c r="JW290" s="261"/>
      <c r="JX290" s="261"/>
      <c r="JY290" s="261"/>
      <c r="JZ290" s="261"/>
      <c r="KA290" s="261"/>
      <c r="KB290" s="261"/>
      <c r="KC290" s="261"/>
      <c r="KD290" s="261"/>
      <c r="KE290" s="261"/>
      <c r="KF290" s="261"/>
      <c r="KG290" s="261"/>
      <c r="KH290" s="261"/>
      <c r="KI290" s="261"/>
      <c r="KJ290" s="261"/>
      <c r="KK290" s="261"/>
      <c r="KL290" s="261"/>
      <c r="KM290" s="261"/>
      <c r="KN290" s="261"/>
      <c r="KO290" s="261"/>
      <c r="KP290" s="261"/>
      <c r="KQ290" s="261"/>
      <c r="KR290" s="261"/>
      <c r="KS290" s="261"/>
      <c r="KT290" s="261"/>
      <c r="KU290" s="261"/>
      <c r="KV290" s="261"/>
      <c r="KW290" s="261"/>
      <c r="KX290" s="261"/>
      <c r="KY290" s="261"/>
      <c r="KZ290" s="261"/>
      <c r="LA290" s="261"/>
      <c r="LB290" s="261"/>
      <c r="LC290" s="261"/>
      <c r="LD290" s="261"/>
      <c r="LE290" s="261"/>
      <c r="LF290" s="261"/>
      <c r="LG290" s="261"/>
      <c r="LH290" s="261"/>
      <c r="LI290" s="261"/>
      <c r="LJ290" s="261"/>
      <c r="LK290" s="261"/>
      <c r="LL290" s="261"/>
      <c r="LM290" s="261"/>
      <c r="LN290" s="261"/>
      <c r="LO290" s="261"/>
      <c r="LP290" s="261"/>
      <c r="LQ290" s="261"/>
      <c r="LR290" s="261"/>
      <c r="LS290" s="261"/>
      <c r="LT290" s="261"/>
      <c r="LU290" s="261"/>
      <c r="LV290" s="261"/>
      <c r="LW290" s="261"/>
      <c r="LX290" s="261"/>
      <c r="LY290" s="261"/>
      <c r="LZ290" s="261"/>
      <c r="MA290" s="261"/>
      <c r="MB290" s="261"/>
      <c r="MC290" s="261"/>
      <c r="MD290" s="261"/>
      <c r="ME290" s="261"/>
      <c r="MF290" s="261"/>
      <c r="MG290" s="261"/>
      <c r="MH290" s="261"/>
      <c r="MI290" s="261"/>
      <c r="MJ290" s="261"/>
      <c r="MK290" s="261"/>
      <c r="ML290" s="261"/>
      <c r="MM290" s="261"/>
      <c r="MN290" s="261"/>
      <c r="MO290" s="261"/>
      <c r="MP290" s="261"/>
      <c r="MQ290" s="261"/>
      <c r="MR290" s="261"/>
      <c r="MS290" s="261"/>
      <c r="MT290" s="261"/>
      <c r="MU290" s="261"/>
      <c r="MV290" s="261"/>
      <c r="MW290" s="261"/>
      <c r="MX290" s="261"/>
      <c r="MY290" s="261"/>
      <c r="MZ290" s="261"/>
      <c r="NA290" s="261"/>
      <c r="NB290" s="261"/>
      <c r="NC290" s="261"/>
      <c r="ND290" s="261"/>
      <c r="NE290" s="261"/>
      <c r="NF290" s="261"/>
      <c r="NG290" s="261"/>
      <c r="NH290" s="261"/>
      <c r="NI290" s="261"/>
      <c r="NJ290" s="261"/>
      <c r="NK290" s="13"/>
      <c r="NL290" s="261"/>
      <c r="NM290" s="261"/>
      <c r="NN290" s="13"/>
      <c r="OR290" s="12"/>
      <c r="OS290" s="261"/>
      <c r="OT290" s="261"/>
      <c r="OU290" s="12"/>
      <c r="OV290" s="261"/>
      <c r="OW290" s="261"/>
      <c r="OX290" s="261"/>
      <c r="OY290" s="261"/>
      <c r="OZ290" s="261"/>
      <c r="PA290" s="261"/>
      <c r="PB290" s="261"/>
      <c r="PC290" s="261"/>
      <c r="PD290" s="261"/>
      <c r="PE290" s="261"/>
      <c r="PF290" s="13"/>
      <c r="PG290" s="261"/>
      <c r="PH290" s="13"/>
      <c r="PI290" s="12"/>
      <c r="PJ290" s="261"/>
      <c r="PK290" s="261"/>
      <c r="PL290" s="261"/>
      <c r="PM290" s="261"/>
      <c r="PN290" s="261"/>
      <c r="PO290" s="261"/>
      <c r="PP290" s="261"/>
      <c r="PQ290" s="261"/>
      <c r="PR290" s="261"/>
      <c r="PS290" s="261"/>
      <c r="PT290" s="261"/>
      <c r="PU290" s="261"/>
      <c r="PV290" s="261"/>
      <c r="PW290" s="261"/>
      <c r="PX290" s="261"/>
      <c r="PY290" s="261"/>
      <c r="PZ290" s="261"/>
      <c r="QA290" s="261"/>
      <c r="QB290" s="261"/>
      <c r="QC290" s="261"/>
      <c r="QD290" s="261"/>
      <c r="QE290" s="261"/>
      <c r="QF290" s="261"/>
      <c r="QG290" s="261"/>
      <c r="QH290" s="261"/>
      <c r="QI290" s="261"/>
      <c r="QJ290" s="261"/>
      <c r="QK290" s="261"/>
      <c r="QL290" s="261"/>
      <c r="QM290" s="261"/>
      <c r="QN290" s="261"/>
      <c r="QO290" s="261"/>
      <c r="QP290" s="261"/>
      <c r="QQ290" s="261"/>
      <c r="QR290" s="261"/>
      <c r="QS290" s="261"/>
      <c r="QT290" s="261"/>
      <c r="QU290" s="261"/>
      <c r="QV290" s="261"/>
      <c r="QW290" s="261"/>
      <c r="QX290" s="13"/>
      <c r="QY290" s="12"/>
      <c r="QZ290" s="13"/>
      <c r="RA290" s="261"/>
      <c r="RB290" s="261"/>
      <c r="RC290" s="261"/>
      <c r="RD290" s="261"/>
      <c r="RE290" s="261"/>
      <c r="RF290" s="261"/>
      <c r="RG290" s="261"/>
      <c r="RH290" s="261"/>
      <c r="RI290" s="261"/>
      <c r="RJ290" s="261"/>
      <c r="RK290" s="261"/>
      <c r="RL290" s="261"/>
      <c r="RM290" s="261"/>
      <c r="RN290" s="261"/>
      <c r="RO290" s="261"/>
      <c r="RP290" s="261"/>
      <c r="RQ290" s="261"/>
      <c r="RR290" s="261"/>
      <c r="RS290" s="261"/>
      <c r="RT290" s="261"/>
      <c r="RU290" s="261"/>
      <c r="RV290" s="261"/>
      <c r="RW290" s="261"/>
      <c r="RX290" s="261"/>
      <c r="RY290" s="261"/>
      <c r="RZ290" s="261"/>
      <c r="SA290" s="261"/>
      <c r="SB290" s="261"/>
      <c r="SC290" s="261"/>
      <c r="SD290" s="261"/>
      <c r="SE290" s="261"/>
      <c r="SF290" s="261"/>
      <c r="SG290" s="261"/>
      <c r="SH290" s="261"/>
      <c r="SI290" s="261"/>
      <c r="SJ290" s="261"/>
      <c r="SK290" s="261"/>
      <c r="SL290" s="261"/>
      <c r="SM290" s="261"/>
      <c r="SN290" s="261"/>
      <c r="SO290" s="261"/>
      <c r="SP290" s="261"/>
      <c r="SQ290" s="261"/>
      <c r="SR290" s="261"/>
      <c r="SS290" s="261"/>
      <c r="ST290" s="261"/>
      <c r="SU290" s="261"/>
      <c r="SV290" s="261"/>
      <c r="SW290" s="261"/>
      <c r="SX290" s="261"/>
      <c r="SY290" s="261"/>
      <c r="SZ290" s="261"/>
      <c r="TA290" s="261"/>
      <c r="TB290" s="261"/>
      <c r="TC290" s="261"/>
      <c r="TD290" s="13"/>
      <c r="TE290" s="261"/>
      <c r="TF290" s="261"/>
      <c r="TG290" s="13"/>
      <c r="TO290" s="261"/>
      <c r="TP290" s="261"/>
      <c r="TQ290" s="261"/>
      <c r="TR290" s="261"/>
      <c r="TS290" s="261"/>
      <c r="TT290" s="261"/>
      <c r="TU290" s="261"/>
      <c r="TV290" s="261"/>
      <c r="TW290" s="261"/>
      <c r="TX290" s="261"/>
      <c r="TY290" s="261"/>
      <c r="TZ290" s="261"/>
      <c r="UA290" s="261"/>
      <c r="UB290" s="261"/>
      <c r="UC290" s="261"/>
      <c r="UD290" s="261"/>
      <c r="UE290" s="261"/>
      <c r="UF290" s="261"/>
      <c r="UG290" s="261"/>
      <c r="UH290" s="261"/>
      <c r="UI290" s="261"/>
      <c r="UJ290" s="261"/>
      <c r="UK290" s="261"/>
      <c r="UL290" s="261"/>
      <c r="UM290" s="261"/>
      <c r="UN290" s="261"/>
      <c r="UO290" s="261"/>
      <c r="UP290" s="261"/>
      <c r="UQ290" s="261"/>
      <c r="UR290" s="261"/>
      <c r="US290" s="261"/>
      <c r="UT290" s="261"/>
      <c r="UU290" s="261"/>
      <c r="UV290" s="261"/>
      <c r="UW290" s="261"/>
      <c r="UX290" s="261"/>
      <c r="UY290" s="261"/>
      <c r="UZ290" s="261"/>
      <c r="VA290" s="261"/>
      <c r="VB290" s="261"/>
      <c r="VC290" s="261"/>
      <c r="VD290" s="261"/>
      <c r="VE290" s="261"/>
      <c r="VF290" s="261"/>
      <c r="VG290" s="261"/>
      <c r="VH290" s="261"/>
      <c r="VI290" s="261"/>
    </row>
    <row r="291" spans="71:581" ht="10.75" customHeight="1" x14ac:dyDescent="0.2">
      <c r="BS291" s="14"/>
      <c r="BT291" s="15"/>
      <c r="BU291" s="16"/>
      <c r="BV291" s="15"/>
      <c r="BW291" s="15"/>
      <c r="BX291" s="15"/>
      <c r="BY291" s="15"/>
      <c r="BZ291" s="15"/>
      <c r="CA291" s="15"/>
      <c r="CB291" s="15"/>
      <c r="CC291" s="15"/>
      <c r="CD291" s="15"/>
      <c r="CE291" s="15"/>
      <c r="CF291" s="15"/>
      <c r="CG291" s="15"/>
      <c r="CH291" s="15"/>
      <c r="CI291" s="15"/>
      <c r="CJ291" s="15"/>
      <c r="CK291" s="15"/>
      <c r="CL291" s="15"/>
      <c r="CM291" s="15"/>
      <c r="CN291" s="15"/>
      <c r="CO291" s="15"/>
      <c r="CP291" s="15"/>
      <c r="CQ291" s="15"/>
      <c r="CR291" s="15"/>
      <c r="CS291" s="15"/>
      <c r="CT291" s="15"/>
      <c r="CU291" s="15"/>
      <c r="CV291" s="15"/>
      <c r="CW291" s="15"/>
      <c r="CX291" s="15"/>
      <c r="CY291" s="15"/>
      <c r="CZ291" s="15"/>
      <c r="DA291" s="15"/>
      <c r="DB291" s="15"/>
      <c r="DC291" s="15"/>
      <c r="DD291" s="15"/>
      <c r="DE291" s="15"/>
      <c r="DF291" s="15"/>
      <c r="DG291" s="15"/>
      <c r="DH291" s="15"/>
      <c r="DI291" s="15"/>
      <c r="DJ291" s="15"/>
      <c r="DK291" s="15"/>
      <c r="DL291" s="15"/>
      <c r="DM291" s="15"/>
      <c r="DN291" s="15"/>
      <c r="DO291" s="15"/>
      <c r="DP291" s="15"/>
      <c r="DQ291" s="15"/>
      <c r="DR291" s="14"/>
      <c r="DS291" s="16"/>
      <c r="DT291" s="15"/>
      <c r="DU291" s="15"/>
      <c r="DV291" s="15"/>
      <c r="DW291" s="15"/>
      <c r="DX291" s="15"/>
      <c r="DY291" s="15"/>
      <c r="DZ291" s="15"/>
      <c r="EA291" s="15"/>
      <c r="EB291" s="15"/>
      <c r="EC291" s="14"/>
      <c r="ED291" s="15"/>
      <c r="EE291" s="15"/>
      <c r="EF291" s="16"/>
      <c r="EG291" s="15"/>
      <c r="EH291" s="15"/>
      <c r="EI291" s="15"/>
      <c r="EJ291" s="15"/>
      <c r="EK291" s="15"/>
      <c r="EL291" s="15"/>
      <c r="EM291" s="15"/>
      <c r="EN291" s="14"/>
      <c r="EO291" s="16"/>
      <c r="EP291" s="15"/>
      <c r="EQ291" s="15"/>
      <c r="ER291" s="15"/>
      <c r="ES291" s="15"/>
      <c r="ET291" s="15"/>
      <c r="EU291" s="15"/>
      <c r="EV291" s="15"/>
      <c r="EW291" s="15"/>
      <c r="EX291" s="15"/>
      <c r="EY291" s="15"/>
      <c r="EZ291" s="15"/>
      <c r="FA291" s="15"/>
      <c r="FB291" s="15"/>
      <c r="FC291" s="15"/>
      <c r="FD291" s="15"/>
      <c r="FE291" s="15"/>
      <c r="FF291" s="15"/>
      <c r="FG291" s="15"/>
      <c r="FH291" s="15"/>
      <c r="FI291" s="15"/>
      <c r="FJ291" s="15"/>
      <c r="FK291" s="15"/>
      <c r="FL291" s="15"/>
      <c r="FM291" s="15"/>
      <c r="FN291" s="15"/>
      <c r="FO291" s="15"/>
      <c r="FP291" s="15"/>
      <c r="FQ291" s="15"/>
      <c r="FR291" s="15"/>
      <c r="FS291" s="15"/>
      <c r="FT291" s="15"/>
      <c r="FU291" s="15"/>
      <c r="FV291" s="15"/>
      <c r="FW291" s="15"/>
      <c r="FX291" s="15"/>
      <c r="FY291" s="15"/>
      <c r="FZ291" s="15"/>
      <c r="GA291" s="15"/>
      <c r="GB291" s="15"/>
      <c r="GC291" s="15"/>
      <c r="GD291" s="15"/>
      <c r="GE291" s="15"/>
      <c r="GF291" s="15"/>
      <c r="GG291" s="15"/>
      <c r="GH291" s="15"/>
      <c r="GI291" s="15"/>
      <c r="GJ291" s="15"/>
      <c r="GK291" s="15"/>
      <c r="GL291" s="15"/>
      <c r="GM291" s="15"/>
      <c r="GN291" s="14"/>
      <c r="GO291" s="15"/>
      <c r="GP291" s="16"/>
      <c r="IY291" s="12"/>
      <c r="IZ291" s="261"/>
      <c r="JA291" s="261"/>
      <c r="JB291" s="12"/>
      <c r="JC291" s="261"/>
      <c r="JD291" s="261"/>
      <c r="JE291" s="261"/>
      <c r="JF291" s="261"/>
      <c r="JG291" s="261"/>
      <c r="JH291" s="261"/>
      <c r="JI291" s="261"/>
      <c r="JJ291" s="12"/>
      <c r="JK291" s="261"/>
      <c r="JL291" s="261"/>
      <c r="JM291" s="261"/>
      <c r="JN291" s="261"/>
      <c r="JO291" s="261"/>
      <c r="JP291" s="261"/>
      <c r="JQ291" s="261"/>
      <c r="JR291" s="261"/>
      <c r="JS291" s="261"/>
      <c r="JT291" s="261"/>
      <c r="JU291" s="261"/>
      <c r="JV291" s="261"/>
      <c r="JW291" s="261"/>
      <c r="JX291" s="261"/>
      <c r="JY291" s="261"/>
      <c r="JZ291" s="261"/>
      <c r="KA291" s="261"/>
      <c r="KB291" s="261"/>
      <c r="KC291" s="261"/>
      <c r="KD291" s="261"/>
      <c r="KE291" s="261"/>
      <c r="KF291" s="261"/>
      <c r="KG291" s="261"/>
      <c r="KH291" s="261"/>
      <c r="KI291" s="261"/>
      <c r="KJ291" s="261"/>
      <c r="KK291" s="261"/>
      <c r="KL291" s="261"/>
      <c r="KM291" s="261"/>
      <c r="KN291" s="261"/>
      <c r="KO291" s="261"/>
      <c r="KP291" s="261"/>
      <c r="KQ291" s="261"/>
      <c r="KR291" s="261"/>
      <c r="KS291" s="261"/>
      <c r="KT291" s="261"/>
      <c r="KU291" s="261"/>
      <c r="KV291" s="261"/>
      <c r="KW291" s="261"/>
      <c r="KX291" s="261"/>
      <c r="KY291" s="261"/>
      <c r="KZ291" s="261"/>
      <c r="LA291" s="261"/>
      <c r="LB291" s="261"/>
      <c r="LC291" s="261"/>
      <c r="LD291" s="261"/>
      <c r="LE291" s="261"/>
      <c r="LF291" s="261"/>
      <c r="LG291" s="261"/>
      <c r="LH291" s="261"/>
      <c r="LI291" s="261"/>
      <c r="LJ291" s="261"/>
      <c r="LK291" s="261"/>
      <c r="LL291" s="261"/>
      <c r="LM291" s="261"/>
      <c r="LN291" s="261"/>
      <c r="LO291" s="261"/>
      <c r="LP291" s="261"/>
      <c r="LQ291" s="261"/>
      <c r="LR291" s="261"/>
      <c r="LS291" s="261"/>
      <c r="LT291" s="261"/>
      <c r="LU291" s="261"/>
      <c r="LV291" s="261"/>
      <c r="LW291" s="261"/>
      <c r="LX291" s="261"/>
      <c r="LY291" s="261"/>
      <c r="LZ291" s="261"/>
      <c r="MA291" s="261"/>
      <c r="MB291" s="261"/>
      <c r="MC291" s="261"/>
      <c r="MD291" s="261"/>
      <c r="ME291" s="261"/>
      <c r="MF291" s="261"/>
      <c r="MG291" s="261"/>
      <c r="MH291" s="261"/>
      <c r="MI291" s="261"/>
      <c r="MJ291" s="261"/>
      <c r="MK291" s="261"/>
      <c r="ML291" s="261"/>
      <c r="MM291" s="261"/>
      <c r="MN291" s="261"/>
      <c r="MO291" s="261"/>
      <c r="MP291" s="261"/>
      <c r="MQ291" s="261"/>
      <c r="MR291" s="261"/>
      <c r="MS291" s="261"/>
      <c r="MT291" s="261"/>
      <c r="MU291" s="261"/>
      <c r="MV291" s="261"/>
      <c r="MW291" s="261"/>
      <c r="MX291" s="261"/>
      <c r="MY291" s="261"/>
      <c r="MZ291" s="261"/>
      <c r="NA291" s="261"/>
      <c r="NB291" s="261"/>
      <c r="NC291" s="261"/>
      <c r="ND291" s="261"/>
      <c r="NE291" s="261"/>
      <c r="NF291" s="261"/>
      <c r="NG291" s="261"/>
      <c r="NH291" s="261"/>
      <c r="NI291" s="261"/>
      <c r="NJ291" s="261"/>
      <c r="NK291" s="13"/>
      <c r="NL291" s="261"/>
      <c r="NM291" s="261"/>
      <c r="NN291" s="13"/>
      <c r="OR291" s="12"/>
      <c r="OS291" s="261"/>
      <c r="OT291" s="261"/>
      <c r="OU291" s="12"/>
      <c r="OV291" s="261"/>
      <c r="OW291" s="261"/>
      <c r="OX291" s="261"/>
      <c r="OY291" s="261"/>
      <c r="OZ291" s="261"/>
      <c r="PA291" s="261"/>
      <c r="PB291" s="261"/>
      <c r="PC291" s="261"/>
      <c r="PD291" s="261"/>
      <c r="PE291" s="261"/>
      <c r="PF291" s="13"/>
      <c r="PG291" s="261"/>
      <c r="PH291" s="13"/>
      <c r="PI291" s="12"/>
      <c r="PJ291" s="261"/>
      <c r="PK291" s="261"/>
      <c r="PL291" s="261"/>
      <c r="PM291" s="261"/>
      <c r="PN291" s="261"/>
      <c r="PO291" s="261"/>
      <c r="PP291" s="261"/>
      <c r="PQ291" s="261"/>
      <c r="PR291" s="261"/>
      <c r="PS291" s="261"/>
      <c r="PT291" s="261"/>
      <c r="PU291" s="261"/>
      <c r="PV291" s="261"/>
      <c r="PW291" s="261"/>
      <c r="PX291" s="261"/>
      <c r="PY291" s="261"/>
      <c r="PZ291" s="261"/>
      <c r="QA291" s="261"/>
      <c r="QB291" s="261"/>
      <c r="QC291" s="261"/>
      <c r="QD291" s="261"/>
      <c r="QE291" s="261"/>
      <c r="QF291" s="261"/>
      <c r="QG291" s="261"/>
      <c r="QH291" s="261"/>
      <c r="QI291" s="261"/>
      <c r="QJ291" s="261"/>
      <c r="QK291" s="261"/>
      <c r="QL291" s="261"/>
      <c r="QM291" s="261"/>
      <c r="QN291" s="261"/>
      <c r="QO291" s="261"/>
      <c r="QP291" s="261"/>
      <c r="QQ291" s="261"/>
      <c r="QR291" s="261"/>
      <c r="QS291" s="261"/>
      <c r="QT291" s="261"/>
      <c r="QU291" s="261"/>
      <c r="QV291" s="261"/>
      <c r="QW291" s="261"/>
      <c r="QX291" s="13"/>
      <c r="QY291" s="12"/>
      <c r="QZ291" s="13"/>
      <c r="RA291" s="261"/>
      <c r="RB291" s="261"/>
      <c r="RC291" s="261"/>
      <c r="RD291" s="261"/>
      <c r="RE291" s="261"/>
      <c r="RF291" s="261"/>
      <c r="RG291" s="261"/>
      <c r="RH291" s="261"/>
      <c r="RI291" s="261"/>
      <c r="RJ291" s="261"/>
      <c r="RK291" s="261"/>
      <c r="RL291" s="261"/>
      <c r="RM291" s="261"/>
      <c r="RN291" s="261"/>
      <c r="RO291" s="261"/>
      <c r="RP291" s="261"/>
      <c r="RQ291" s="261"/>
      <c r="RR291" s="261"/>
      <c r="RS291" s="261"/>
      <c r="RT291" s="261"/>
      <c r="RU291" s="261"/>
      <c r="RV291" s="261"/>
      <c r="RW291" s="261"/>
      <c r="RX291" s="261"/>
      <c r="RY291" s="261"/>
      <c r="RZ291" s="261"/>
      <c r="SA291" s="261"/>
      <c r="SB291" s="261"/>
      <c r="SC291" s="261"/>
      <c r="SD291" s="261"/>
      <c r="SE291" s="261"/>
      <c r="SF291" s="261"/>
      <c r="SG291" s="261"/>
      <c r="SH291" s="261"/>
      <c r="SI291" s="261"/>
      <c r="SJ291" s="261"/>
      <c r="SK291" s="261"/>
      <c r="SL291" s="261"/>
      <c r="SM291" s="261"/>
      <c r="SN291" s="261"/>
      <c r="SO291" s="261"/>
      <c r="SP291" s="261"/>
      <c r="SQ291" s="261"/>
      <c r="SR291" s="261"/>
      <c r="SS291" s="261"/>
      <c r="ST291" s="261"/>
      <c r="SU291" s="261"/>
      <c r="SV291" s="261"/>
      <c r="SW291" s="261"/>
      <c r="SX291" s="261"/>
      <c r="SY291" s="261"/>
      <c r="SZ291" s="261"/>
      <c r="TA291" s="261"/>
      <c r="TB291" s="261"/>
      <c r="TC291" s="261"/>
      <c r="TD291" s="13"/>
      <c r="TE291" s="261"/>
      <c r="TF291" s="261"/>
      <c r="TG291" s="13"/>
      <c r="TO291" s="261"/>
      <c r="TP291" s="261"/>
      <c r="TQ291" s="261"/>
      <c r="TR291" s="261"/>
      <c r="TS291" s="261"/>
      <c r="TT291" s="261"/>
      <c r="TU291" s="261"/>
      <c r="TV291" s="261"/>
      <c r="TW291" s="261"/>
      <c r="TX291" s="261"/>
      <c r="TY291" s="261"/>
      <c r="TZ291" s="261"/>
      <c r="UA291" s="261"/>
      <c r="UB291" s="261"/>
      <c r="UC291" s="261"/>
      <c r="UD291" s="261"/>
      <c r="UE291" s="261"/>
      <c r="UF291" s="261"/>
      <c r="UG291" s="261"/>
      <c r="UH291" s="261"/>
      <c r="UI291" s="261"/>
      <c r="UJ291" s="261"/>
      <c r="UK291" s="261"/>
      <c r="UL291" s="261"/>
      <c r="UM291" s="261"/>
      <c r="UN291" s="261"/>
      <c r="UO291" s="261"/>
      <c r="UP291" s="261"/>
      <c r="UQ291" s="261"/>
      <c r="UR291" s="261"/>
      <c r="US291" s="261"/>
      <c r="UT291" s="261"/>
      <c r="UU291" s="261"/>
      <c r="UV291" s="261"/>
      <c r="UW291" s="261"/>
      <c r="UX291" s="261"/>
      <c r="UY291" s="261"/>
      <c r="UZ291" s="261"/>
      <c r="VA291" s="261"/>
      <c r="VB291" s="261"/>
      <c r="VC291" s="261"/>
      <c r="VD291" s="261"/>
      <c r="VE291" s="261"/>
      <c r="VF291" s="261"/>
      <c r="VG291" s="261"/>
      <c r="VH291" s="261"/>
      <c r="VI291" s="261"/>
    </row>
    <row r="292" spans="71:581" ht="10.75" customHeight="1" x14ac:dyDescent="0.2">
      <c r="BS292" s="9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  <c r="CP292" s="10"/>
      <c r="CQ292" s="10"/>
      <c r="CR292" s="10"/>
      <c r="CS292" s="10"/>
      <c r="CT292" s="10"/>
      <c r="CU292" s="10"/>
      <c r="CV292" s="10"/>
      <c r="CW292" s="10"/>
      <c r="CX292" s="10"/>
      <c r="CY292" s="10"/>
      <c r="CZ292" s="10"/>
      <c r="DA292" s="10"/>
      <c r="DB292" s="10"/>
      <c r="DC292" s="10"/>
      <c r="DD292" s="10"/>
      <c r="DE292" s="10"/>
      <c r="DF292" s="10"/>
      <c r="DG292" s="10"/>
      <c r="DH292" s="10"/>
      <c r="DI292" s="10"/>
      <c r="DJ292" s="10"/>
      <c r="DK292" s="10"/>
      <c r="DL292" s="10"/>
      <c r="DM292" s="10"/>
      <c r="DN292" s="10"/>
      <c r="DO292" s="10"/>
      <c r="DP292" s="10"/>
      <c r="DQ292" s="10"/>
      <c r="DR292" s="10"/>
      <c r="DS292" s="10"/>
      <c r="DT292" s="10"/>
      <c r="DU292" s="10"/>
      <c r="DV292" s="10"/>
      <c r="DW292" s="10"/>
      <c r="DX292" s="10"/>
      <c r="DY292" s="10"/>
      <c r="DZ292" s="10"/>
      <c r="EA292" s="10"/>
      <c r="EB292" s="10"/>
      <c r="EC292" s="10"/>
      <c r="ED292" s="10"/>
      <c r="EE292" s="10"/>
      <c r="EF292" s="10"/>
      <c r="EG292" s="10"/>
      <c r="EH292" s="10"/>
      <c r="EI292" s="10"/>
      <c r="EJ292" s="10"/>
      <c r="EK292" s="10"/>
      <c r="EL292" s="10"/>
      <c r="EM292" s="10"/>
      <c r="EN292" s="10"/>
      <c r="EO292" s="10"/>
      <c r="EP292" s="10"/>
      <c r="EQ292" s="10"/>
      <c r="ER292" s="10"/>
      <c r="ES292" s="10"/>
      <c r="ET292" s="10"/>
      <c r="EU292" s="10"/>
      <c r="EV292" s="10"/>
      <c r="EW292" s="10"/>
      <c r="EX292" s="10"/>
      <c r="EY292" s="10"/>
      <c r="EZ292" s="10"/>
      <c r="FA292" s="10"/>
      <c r="FB292" s="10"/>
      <c r="FC292" s="10"/>
      <c r="FD292" s="10"/>
      <c r="FE292" s="10"/>
      <c r="FF292" s="10"/>
      <c r="FG292" s="10"/>
      <c r="FH292" s="10"/>
      <c r="FI292" s="10"/>
      <c r="FJ292" s="10"/>
      <c r="FK292" s="10"/>
      <c r="FL292" s="10"/>
      <c r="FM292" s="10"/>
      <c r="FN292" s="10"/>
      <c r="FO292" s="10"/>
      <c r="FP292" s="10"/>
      <c r="FQ292" s="10"/>
      <c r="FR292" s="10"/>
      <c r="FS292" s="10"/>
      <c r="FT292" s="10"/>
      <c r="FU292" s="10"/>
      <c r="FV292" s="10"/>
      <c r="FW292" s="10"/>
      <c r="FX292" s="10"/>
      <c r="FY292" s="10"/>
      <c r="FZ292" s="10"/>
      <c r="GA292" s="10"/>
      <c r="GB292" s="10"/>
      <c r="GC292" s="10"/>
      <c r="GD292" s="10"/>
      <c r="GE292" s="10"/>
      <c r="GF292" s="10"/>
      <c r="GG292" s="10"/>
      <c r="GH292" s="10"/>
      <c r="GI292" s="10"/>
      <c r="GJ292" s="10"/>
      <c r="GK292" s="10"/>
      <c r="GL292" s="10"/>
      <c r="GM292" s="10"/>
      <c r="GN292" s="10"/>
      <c r="GO292" s="10"/>
      <c r="GP292" s="11"/>
      <c r="IY292" s="12"/>
      <c r="IZ292" s="261"/>
      <c r="JA292" s="261"/>
      <c r="JB292" s="12"/>
      <c r="JC292" s="261"/>
      <c r="JD292" s="261"/>
      <c r="JE292" s="261"/>
      <c r="JF292" s="261"/>
      <c r="JG292" s="261"/>
      <c r="JH292" s="261"/>
      <c r="JI292" s="261"/>
      <c r="JJ292" s="12"/>
      <c r="JK292" s="261"/>
      <c r="JL292" s="261"/>
      <c r="JM292" s="261"/>
      <c r="JN292" s="261"/>
      <c r="JO292" s="261"/>
      <c r="JP292" s="261"/>
      <c r="JQ292" s="261"/>
      <c r="JR292" s="261"/>
      <c r="JS292" s="261"/>
      <c r="JT292" s="261"/>
      <c r="JU292" s="261"/>
      <c r="JV292" s="261"/>
      <c r="JW292" s="261"/>
      <c r="JX292" s="261"/>
      <c r="JY292" s="261"/>
      <c r="JZ292" s="261"/>
      <c r="KA292" s="261"/>
      <c r="KB292" s="261"/>
      <c r="KC292" s="261"/>
      <c r="KD292" s="261"/>
      <c r="KE292" s="261"/>
      <c r="KF292" s="261"/>
      <c r="KG292" s="261"/>
      <c r="KH292" s="261"/>
      <c r="KI292" s="261"/>
      <c r="KJ292" s="261"/>
      <c r="KK292" s="261"/>
      <c r="KL292" s="261"/>
      <c r="KM292" s="261"/>
      <c r="KN292" s="261"/>
      <c r="KO292" s="261"/>
      <c r="KP292" s="261"/>
      <c r="KQ292" s="261"/>
      <c r="KR292" s="261"/>
      <c r="KS292" s="261"/>
      <c r="KT292" s="261"/>
      <c r="KU292" s="261"/>
      <c r="KV292" s="261"/>
      <c r="KW292" s="261"/>
      <c r="KX292" s="261"/>
      <c r="KY292" s="261"/>
      <c r="KZ292" s="261"/>
      <c r="LA292" s="261"/>
      <c r="LB292" s="261"/>
      <c r="LC292" s="261"/>
      <c r="LD292" s="261"/>
      <c r="LE292" s="261"/>
      <c r="LF292" s="261"/>
      <c r="LG292" s="261"/>
      <c r="LH292" s="261"/>
      <c r="LI292" s="261"/>
      <c r="LJ292" s="261"/>
      <c r="LK292" s="261"/>
      <c r="LL292" s="261"/>
      <c r="LM292" s="261"/>
      <c r="LN292" s="261"/>
      <c r="LO292" s="261"/>
      <c r="LP292" s="261"/>
      <c r="LQ292" s="261"/>
      <c r="LR292" s="261"/>
      <c r="LS292" s="261"/>
      <c r="LT292" s="261"/>
      <c r="LU292" s="261"/>
      <c r="LV292" s="261"/>
      <c r="LW292" s="261"/>
      <c r="LX292" s="261"/>
      <c r="LY292" s="261"/>
      <c r="LZ292" s="261"/>
      <c r="MA292" s="261"/>
      <c r="MB292" s="261"/>
      <c r="MC292" s="261"/>
      <c r="MD292" s="261"/>
      <c r="ME292" s="261"/>
      <c r="MF292" s="261"/>
      <c r="MG292" s="261"/>
      <c r="MH292" s="261"/>
      <c r="MI292" s="261"/>
      <c r="MJ292" s="261"/>
      <c r="MK292" s="261"/>
      <c r="ML292" s="261"/>
      <c r="MM292" s="261"/>
      <c r="MN292" s="261"/>
      <c r="MO292" s="261"/>
      <c r="MP292" s="261"/>
      <c r="MQ292" s="261"/>
      <c r="MR292" s="261"/>
      <c r="MS292" s="261"/>
      <c r="MT292" s="261"/>
      <c r="MU292" s="261"/>
      <c r="MV292" s="261"/>
      <c r="MW292" s="261"/>
      <c r="MX292" s="261"/>
      <c r="MY292" s="261"/>
      <c r="MZ292" s="261"/>
      <c r="NA292" s="261"/>
      <c r="NB292" s="261"/>
      <c r="NC292" s="261"/>
      <c r="ND292" s="261"/>
      <c r="NE292" s="261"/>
      <c r="NF292" s="261"/>
      <c r="NG292" s="261"/>
      <c r="NH292" s="261"/>
      <c r="NI292" s="261"/>
      <c r="NJ292" s="261"/>
      <c r="NK292" s="13"/>
      <c r="NL292" s="261"/>
      <c r="NM292" s="261"/>
      <c r="NN292" s="13"/>
      <c r="OR292" s="12"/>
      <c r="OS292" s="261"/>
      <c r="OT292" s="261"/>
      <c r="OU292" s="12"/>
      <c r="OV292" s="261"/>
      <c r="OW292" s="261"/>
      <c r="OX292" s="261"/>
      <c r="OY292" s="261"/>
      <c r="OZ292" s="261"/>
      <c r="PA292" s="261"/>
      <c r="PB292" s="261"/>
      <c r="PC292" s="261"/>
      <c r="PD292" s="261"/>
      <c r="PE292" s="261"/>
      <c r="PF292" s="13"/>
      <c r="PG292" s="261"/>
      <c r="PH292" s="13"/>
      <c r="PI292" s="12"/>
      <c r="PJ292" s="261"/>
      <c r="PK292" s="261"/>
      <c r="PL292" s="261"/>
      <c r="PM292" s="261"/>
      <c r="PN292" s="261"/>
      <c r="PO292" s="261"/>
      <c r="PP292" s="261"/>
      <c r="PQ292" s="261"/>
      <c r="PR292" s="261"/>
      <c r="PS292" s="261"/>
      <c r="PT292" s="261"/>
      <c r="PU292" s="261"/>
      <c r="PV292" s="261"/>
      <c r="PW292" s="261"/>
      <c r="PX292" s="261"/>
      <c r="PY292" s="261"/>
      <c r="PZ292" s="261"/>
      <c r="QA292" s="261"/>
      <c r="QB292" s="261"/>
      <c r="QC292" s="261"/>
      <c r="QD292" s="261"/>
      <c r="QE292" s="261"/>
      <c r="QF292" s="261"/>
      <c r="QG292" s="261"/>
      <c r="QH292" s="261"/>
      <c r="QI292" s="261"/>
      <c r="QJ292" s="261"/>
      <c r="QK292" s="261"/>
      <c r="QL292" s="261"/>
      <c r="QM292" s="261"/>
      <c r="QN292" s="261"/>
      <c r="QO292" s="261"/>
      <c r="QP292" s="261"/>
      <c r="QQ292" s="261"/>
      <c r="QR292" s="261"/>
      <c r="QS292" s="261"/>
      <c r="QT292" s="261"/>
      <c r="QU292" s="261"/>
      <c r="QV292" s="261"/>
      <c r="QW292" s="261"/>
      <c r="QX292" s="13"/>
      <c r="QY292" s="12"/>
      <c r="QZ292" s="13"/>
      <c r="RA292" s="261"/>
      <c r="RB292" s="261"/>
      <c r="RC292" s="261"/>
      <c r="RD292" s="261"/>
      <c r="RE292" s="261"/>
      <c r="RF292" s="261"/>
      <c r="RG292" s="261"/>
      <c r="RH292" s="261"/>
      <c r="RI292" s="261"/>
      <c r="RJ292" s="261"/>
      <c r="RK292" s="261"/>
      <c r="RL292" s="261"/>
      <c r="RM292" s="261"/>
      <c r="RN292" s="261"/>
      <c r="RO292" s="261"/>
      <c r="RP292" s="261"/>
      <c r="RQ292" s="261"/>
      <c r="RR292" s="261"/>
      <c r="RS292" s="261"/>
      <c r="RT292" s="261"/>
      <c r="RU292" s="261"/>
      <c r="RV292" s="261"/>
      <c r="RW292" s="261"/>
      <c r="RX292" s="261"/>
      <c r="RY292" s="261"/>
      <c r="RZ292" s="261"/>
      <c r="SA292" s="261"/>
      <c r="SB292" s="261"/>
      <c r="SC292" s="261"/>
      <c r="SD292" s="261"/>
      <c r="SE292" s="261"/>
      <c r="SF292" s="261"/>
      <c r="SG292" s="261"/>
      <c r="SH292" s="261"/>
      <c r="SI292" s="261"/>
      <c r="SJ292" s="261"/>
      <c r="SK292" s="261"/>
      <c r="SL292" s="261"/>
      <c r="SM292" s="261"/>
      <c r="SN292" s="261"/>
      <c r="SO292" s="261"/>
      <c r="SP292" s="261"/>
      <c r="SQ292" s="261"/>
      <c r="SR292" s="261"/>
      <c r="SS292" s="261"/>
      <c r="ST292" s="261"/>
      <c r="SU292" s="261"/>
      <c r="SV292" s="261"/>
      <c r="SW292" s="261"/>
      <c r="SX292" s="261"/>
      <c r="SY292" s="261"/>
      <c r="SZ292" s="261"/>
      <c r="TA292" s="261"/>
      <c r="TB292" s="261"/>
      <c r="TC292" s="261"/>
      <c r="TD292" s="13"/>
      <c r="TE292" s="261"/>
      <c r="TF292" s="261"/>
      <c r="TG292" s="13"/>
      <c r="TO292" s="261"/>
      <c r="TP292" s="261"/>
      <c r="TQ292" s="261"/>
      <c r="TR292" s="261"/>
      <c r="TS292" s="261"/>
      <c r="TT292" s="261"/>
      <c r="TU292" s="261"/>
      <c r="TV292" s="261"/>
      <c r="TW292" s="261"/>
      <c r="TX292" s="261"/>
      <c r="TY292" s="261"/>
      <c r="TZ292" s="261"/>
      <c r="UA292" s="261"/>
      <c r="UB292" s="261"/>
      <c r="UC292" s="261"/>
      <c r="UD292" s="261"/>
      <c r="UE292" s="261"/>
      <c r="UF292" s="261"/>
      <c r="UG292" s="261"/>
      <c r="UH292" s="261"/>
      <c r="UI292" s="261"/>
      <c r="UJ292" s="261"/>
      <c r="UK292" s="261"/>
      <c r="UL292" s="261"/>
      <c r="UM292" s="261"/>
      <c r="UN292" s="261"/>
      <c r="UO292" s="261"/>
      <c r="UP292" s="261"/>
      <c r="UQ292" s="261"/>
      <c r="UR292" s="261"/>
      <c r="US292" s="261"/>
      <c r="UT292" s="261"/>
      <c r="UU292" s="261"/>
      <c r="UV292" s="261"/>
      <c r="UW292" s="261"/>
      <c r="UX292" s="261"/>
      <c r="UY292" s="261"/>
      <c r="UZ292" s="261"/>
      <c r="VA292" s="261"/>
      <c r="VB292" s="261"/>
      <c r="VC292" s="261"/>
      <c r="VD292" s="261"/>
      <c r="VE292" s="261"/>
      <c r="VF292" s="261"/>
      <c r="VG292" s="261"/>
      <c r="VH292" s="261"/>
      <c r="VI292" s="261"/>
    </row>
    <row r="293" spans="71:581" ht="10.75" customHeight="1" x14ac:dyDescent="0.2">
      <c r="BS293" s="12"/>
      <c r="GP293" s="13"/>
      <c r="IY293" s="12"/>
      <c r="IZ293" s="261"/>
      <c r="JA293" s="261"/>
      <c r="JB293" s="12"/>
      <c r="JC293" s="261"/>
      <c r="JD293" s="261"/>
      <c r="JE293" s="261"/>
      <c r="JF293" s="261"/>
      <c r="JG293" s="261"/>
      <c r="JH293" s="261"/>
      <c r="JI293" s="261"/>
      <c r="JJ293" s="12"/>
      <c r="JK293" s="261"/>
      <c r="JL293" s="261"/>
      <c r="JM293" s="261"/>
      <c r="JN293" s="261"/>
      <c r="JO293" s="261"/>
      <c r="JP293" s="261"/>
      <c r="JQ293" s="261"/>
      <c r="JR293" s="261"/>
      <c r="JS293" s="261"/>
      <c r="JT293" s="261"/>
      <c r="JU293" s="261"/>
      <c r="JV293" s="261"/>
      <c r="JW293" s="261"/>
      <c r="JX293" s="261"/>
      <c r="JY293" s="261"/>
      <c r="JZ293" s="261"/>
      <c r="KA293" s="261"/>
      <c r="KB293" s="261"/>
      <c r="KC293" s="261"/>
      <c r="KD293" s="261"/>
      <c r="KE293" s="261"/>
      <c r="KF293" s="261"/>
      <c r="KG293" s="261"/>
      <c r="KH293" s="261"/>
      <c r="KI293" s="261"/>
      <c r="KJ293" s="261"/>
      <c r="KK293" s="261"/>
      <c r="KL293" s="261"/>
      <c r="KM293" s="261"/>
      <c r="KN293" s="261"/>
      <c r="KO293" s="261"/>
      <c r="KP293" s="261"/>
      <c r="KQ293" s="261"/>
      <c r="KR293" s="261"/>
      <c r="KS293" s="261"/>
      <c r="KT293" s="261"/>
      <c r="KU293" s="261"/>
      <c r="KV293" s="261"/>
      <c r="KW293" s="261"/>
      <c r="KX293" s="261"/>
      <c r="KY293" s="261"/>
      <c r="KZ293" s="261"/>
      <c r="LA293" s="261"/>
      <c r="LB293" s="261"/>
      <c r="LC293" s="261"/>
      <c r="LD293" s="261"/>
      <c r="LE293" s="261"/>
      <c r="LF293" s="261"/>
      <c r="LG293" s="261"/>
      <c r="LH293" s="261"/>
      <c r="LI293" s="261"/>
      <c r="LJ293" s="261"/>
      <c r="LK293" s="261"/>
      <c r="LL293" s="261"/>
      <c r="LM293" s="261"/>
      <c r="LN293" s="261"/>
      <c r="LO293" s="261"/>
      <c r="LP293" s="261"/>
      <c r="LQ293" s="261"/>
      <c r="LR293" s="261"/>
      <c r="LS293" s="261"/>
      <c r="LT293" s="261"/>
      <c r="LU293" s="261"/>
      <c r="LV293" s="261"/>
      <c r="LW293" s="261"/>
      <c r="LX293" s="261"/>
      <c r="LY293" s="261"/>
      <c r="LZ293" s="261"/>
      <c r="MA293" s="261"/>
      <c r="MB293" s="261"/>
      <c r="MC293" s="261"/>
      <c r="MD293" s="261"/>
      <c r="ME293" s="261"/>
      <c r="MF293" s="261"/>
      <c r="MG293" s="261"/>
      <c r="MH293" s="261"/>
      <c r="MI293" s="261"/>
      <c r="MJ293" s="261"/>
      <c r="MK293" s="261"/>
      <c r="ML293" s="261"/>
      <c r="MM293" s="261"/>
      <c r="MN293" s="261"/>
      <c r="MO293" s="261"/>
      <c r="MP293" s="261"/>
      <c r="MQ293" s="261"/>
      <c r="MR293" s="261"/>
      <c r="MS293" s="261"/>
      <c r="MT293" s="261"/>
      <c r="MU293" s="261"/>
      <c r="MV293" s="261"/>
      <c r="MW293" s="261"/>
      <c r="MX293" s="261"/>
      <c r="MY293" s="261"/>
      <c r="MZ293" s="261"/>
      <c r="NA293" s="261"/>
      <c r="NB293" s="261"/>
      <c r="NC293" s="261"/>
      <c r="ND293" s="261"/>
      <c r="NE293" s="261"/>
      <c r="NF293" s="261"/>
      <c r="NG293" s="261"/>
      <c r="NH293" s="261"/>
      <c r="NI293" s="261"/>
      <c r="NJ293" s="261"/>
      <c r="NK293" s="13"/>
      <c r="NL293" s="261"/>
      <c r="NM293" s="261"/>
      <c r="NN293" s="13"/>
      <c r="OR293" s="12"/>
      <c r="OS293" s="261"/>
      <c r="OT293" s="261"/>
      <c r="OU293" s="12"/>
      <c r="OV293" s="261"/>
      <c r="OW293" s="261"/>
      <c r="OX293" s="261"/>
      <c r="OY293" s="261"/>
      <c r="OZ293" s="261"/>
      <c r="PA293" s="261"/>
      <c r="PB293" s="261"/>
      <c r="PC293" s="261"/>
      <c r="PD293" s="261"/>
      <c r="PE293" s="261"/>
      <c r="PF293" s="13"/>
      <c r="PG293" s="261"/>
      <c r="PH293" s="13"/>
      <c r="PI293" s="12"/>
      <c r="PJ293" s="261"/>
      <c r="PK293" s="261"/>
      <c r="PL293" s="261"/>
      <c r="PM293" s="261"/>
      <c r="PN293" s="261"/>
      <c r="PO293" s="261"/>
      <c r="PP293" s="261"/>
      <c r="PQ293" s="261"/>
      <c r="PR293" s="261"/>
      <c r="PS293" s="261"/>
      <c r="PT293" s="261"/>
      <c r="PU293" s="261"/>
      <c r="PV293" s="261"/>
      <c r="PW293" s="261"/>
      <c r="PX293" s="261"/>
      <c r="PY293" s="261"/>
      <c r="PZ293" s="261"/>
      <c r="QA293" s="261"/>
      <c r="QB293" s="261"/>
      <c r="QC293" s="261"/>
      <c r="QD293" s="261"/>
      <c r="QE293" s="261"/>
      <c r="QF293" s="261"/>
      <c r="QG293" s="261"/>
      <c r="QH293" s="261"/>
      <c r="QI293" s="261"/>
      <c r="QJ293" s="261"/>
      <c r="QK293" s="261"/>
      <c r="QL293" s="261"/>
      <c r="QM293" s="261"/>
      <c r="QN293" s="261"/>
      <c r="QO293" s="261"/>
      <c r="QP293" s="261"/>
      <c r="QQ293" s="261"/>
      <c r="QR293" s="261"/>
      <c r="QS293" s="261"/>
      <c r="QT293" s="261"/>
      <c r="QU293" s="261"/>
      <c r="QV293" s="261"/>
      <c r="QW293" s="261"/>
      <c r="QX293" s="13"/>
      <c r="QY293" s="12"/>
      <c r="QZ293" s="13"/>
      <c r="RA293" s="261"/>
      <c r="RB293" s="261"/>
      <c r="RC293" s="261"/>
      <c r="RD293" s="261"/>
      <c r="RE293" s="261"/>
      <c r="RF293" s="261"/>
      <c r="RG293" s="261"/>
      <c r="RH293" s="261"/>
      <c r="RI293" s="261"/>
      <c r="RJ293" s="261"/>
      <c r="RK293" s="261"/>
      <c r="RL293" s="261"/>
      <c r="RM293" s="261"/>
      <c r="RN293" s="261"/>
      <c r="RO293" s="261"/>
      <c r="RP293" s="261"/>
      <c r="RQ293" s="261"/>
      <c r="RR293" s="261"/>
      <c r="RS293" s="261"/>
      <c r="RT293" s="261"/>
      <c r="RU293" s="261"/>
      <c r="RV293" s="261"/>
      <c r="RW293" s="261"/>
      <c r="RX293" s="261"/>
      <c r="RY293" s="261"/>
      <c r="RZ293" s="261"/>
      <c r="SA293" s="261"/>
      <c r="SB293" s="261"/>
      <c r="SC293" s="261"/>
      <c r="SD293" s="261"/>
      <c r="SE293" s="261"/>
      <c r="SF293" s="261"/>
      <c r="SG293" s="261"/>
      <c r="SH293" s="261"/>
      <c r="SI293" s="261"/>
      <c r="SJ293" s="261"/>
      <c r="SK293" s="261"/>
      <c r="SL293" s="261"/>
      <c r="SM293" s="261"/>
      <c r="SN293" s="261"/>
      <c r="SO293" s="261"/>
      <c r="SP293" s="261"/>
      <c r="SQ293" s="261"/>
      <c r="SR293" s="261"/>
      <c r="SS293" s="261"/>
      <c r="ST293" s="261"/>
      <c r="SU293" s="261"/>
      <c r="SV293" s="261"/>
      <c r="SW293" s="261"/>
      <c r="SX293" s="261"/>
      <c r="SY293" s="261"/>
      <c r="SZ293" s="261"/>
      <c r="TA293" s="261"/>
      <c r="TB293" s="261"/>
      <c r="TC293" s="261"/>
      <c r="TD293" s="13"/>
      <c r="TE293" s="261"/>
      <c r="TF293" s="261"/>
      <c r="TG293" s="13"/>
      <c r="TO293" s="261"/>
      <c r="TP293" s="261"/>
      <c r="TQ293" s="261"/>
      <c r="TR293" s="261"/>
      <c r="TS293" s="261"/>
      <c r="TT293" s="261"/>
      <c r="TU293" s="261"/>
      <c r="TV293" s="261"/>
      <c r="TW293" s="261"/>
      <c r="TX293" s="261"/>
      <c r="TY293" s="261"/>
      <c r="TZ293" s="261"/>
      <c r="UA293" s="261"/>
      <c r="UB293" s="261"/>
      <c r="UC293" s="261"/>
      <c r="UD293" s="261"/>
      <c r="UE293" s="261"/>
      <c r="UF293" s="261"/>
      <c r="UG293" s="261"/>
      <c r="UH293" s="261"/>
      <c r="UI293" s="261"/>
      <c r="UJ293" s="261"/>
      <c r="UK293" s="261"/>
      <c r="UL293" s="261"/>
      <c r="UM293" s="261"/>
      <c r="UN293" s="261"/>
      <c r="UO293" s="261"/>
      <c r="UP293" s="261"/>
      <c r="UQ293" s="261"/>
      <c r="UR293" s="261"/>
      <c r="US293" s="261"/>
      <c r="UT293" s="261"/>
      <c r="UU293" s="261"/>
      <c r="UV293" s="261"/>
      <c r="UW293" s="261"/>
      <c r="UX293" s="261"/>
      <c r="UY293" s="261"/>
      <c r="UZ293" s="261"/>
      <c r="VA293" s="261"/>
      <c r="VB293" s="261"/>
      <c r="VC293" s="261"/>
      <c r="VD293" s="261"/>
      <c r="VE293" s="261"/>
      <c r="VF293" s="261"/>
      <c r="VG293" s="261"/>
      <c r="VH293" s="261"/>
      <c r="VI293" s="261"/>
    </row>
    <row r="294" spans="71:581" ht="10.75" customHeight="1" x14ac:dyDescent="0.2">
      <c r="BS294" s="12"/>
      <c r="GP294" s="13"/>
      <c r="IY294" s="12"/>
      <c r="IZ294" s="261"/>
      <c r="JA294" s="261"/>
      <c r="JB294" s="12"/>
      <c r="JC294" s="261"/>
      <c r="JD294" s="261"/>
      <c r="JE294" s="261"/>
      <c r="JF294" s="261"/>
      <c r="JG294" s="261"/>
      <c r="JH294" s="261"/>
      <c r="JI294" s="261"/>
      <c r="JJ294" s="12"/>
      <c r="JK294" s="261"/>
      <c r="JL294" s="261"/>
      <c r="JM294" s="261"/>
      <c r="JN294" s="261"/>
      <c r="JO294" s="261"/>
      <c r="JP294" s="261"/>
      <c r="JQ294" s="261"/>
      <c r="JR294" s="261"/>
      <c r="JS294" s="261"/>
      <c r="JT294" s="261"/>
      <c r="JU294" s="261"/>
      <c r="JV294" s="261"/>
      <c r="JW294" s="261"/>
      <c r="JX294" s="261"/>
      <c r="JY294" s="261"/>
      <c r="JZ294" s="261"/>
      <c r="KA294" s="261"/>
      <c r="KB294" s="261"/>
      <c r="KC294" s="261"/>
      <c r="KD294" s="261"/>
      <c r="KE294" s="261"/>
      <c r="KF294" s="261"/>
      <c r="KG294" s="261"/>
      <c r="KH294" s="261"/>
      <c r="KI294" s="261"/>
      <c r="KJ294" s="261"/>
      <c r="KK294" s="261"/>
      <c r="KL294" s="261"/>
      <c r="KM294" s="261"/>
      <c r="KN294" s="261"/>
      <c r="KO294" s="261"/>
      <c r="KP294" s="261"/>
      <c r="KQ294" s="261"/>
      <c r="KR294" s="261"/>
      <c r="KS294" s="261"/>
      <c r="KT294" s="261"/>
      <c r="KU294" s="261"/>
      <c r="KV294" s="261"/>
      <c r="KW294" s="261"/>
      <c r="KX294" s="261"/>
      <c r="KY294" s="261"/>
      <c r="KZ294" s="261"/>
      <c r="LA294" s="261"/>
      <c r="LB294" s="261"/>
      <c r="LC294" s="261"/>
      <c r="LD294" s="261"/>
      <c r="LE294" s="261"/>
      <c r="LF294" s="261"/>
      <c r="LG294" s="261"/>
      <c r="LH294" s="261"/>
      <c r="LI294" s="261"/>
      <c r="LJ294" s="261"/>
      <c r="LK294" s="261"/>
      <c r="LL294" s="261"/>
      <c r="LM294" s="261"/>
      <c r="LN294" s="261"/>
      <c r="LO294" s="261"/>
      <c r="LP294" s="261"/>
      <c r="LQ294" s="261"/>
      <c r="LR294" s="261"/>
      <c r="LS294" s="261"/>
      <c r="LT294" s="261"/>
      <c r="LU294" s="261"/>
      <c r="LV294" s="261"/>
      <c r="LW294" s="261"/>
      <c r="LX294" s="261"/>
      <c r="LY294" s="261"/>
      <c r="LZ294" s="261"/>
      <c r="MA294" s="261"/>
      <c r="MB294" s="261"/>
      <c r="MC294" s="261"/>
      <c r="MD294" s="261"/>
      <c r="ME294" s="261"/>
      <c r="MF294" s="261"/>
      <c r="MG294" s="261"/>
      <c r="MH294" s="261"/>
      <c r="MI294" s="261"/>
      <c r="MJ294" s="261"/>
      <c r="MK294" s="261"/>
      <c r="ML294" s="261"/>
      <c r="MM294" s="261"/>
      <c r="MN294" s="261"/>
      <c r="MO294" s="261"/>
      <c r="MP294" s="261"/>
      <c r="MQ294" s="261"/>
      <c r="MR294" s="261"/>
      <c r="MS294" s="261"/>
      <c r="MT294" s="261"/>
      <c r="MU294" s="261"/>
      <c r="MV294" s="261"/>
      <c r="MW294" s="261"/>
      <c r="MX294" s="261"/>
      <c r="MY294" s="261"/>
      <c r="MZ294" s="261"/>
      <c r="NA294" s="261"/>
      <c r="NB294" s="261"/>
      <c r="NC294" s="261"/>
      <c r="ND294" s="261"/>
      <c r="NE294" s="261"/>
      <c r="NF294" s="261"/>
      <c r="NG294" s="261"/>
      <c r="NH294" s="261"/>
      <c r="NI294" s="261"/>
      <c r="NJ294" s="261"/>
      <c r="NK294" s="13"/>
      <c r="NL294" s="261"/>
      <c r="NM294" s="261"/>
      <c r="NN294" s="13"/>
      <c r="OR294" s="12"/>
      <c r="OS294" s="261"/>
      <c r="OT294" s="261"/>
      <c r="OU294" s="12"/>
      <c r="OV294" s="261"/>
      <c r="OW294" s="261"/>
      <c r="OX294" s="261"/>
      <c r="OY294" s="261"/>
      <c r="OZ294" s="261"/>
      <c r="PA294" s="261"/>
      <c r="PB294" s="261"/>
      <c r="PC294" s="261"/>
      <c r="PD294" s="261"/>
      <c r="PE294" s="261"/>
      <c r="PF294" s="13"/>
      <c r="PG294" s="261"/>
      <c r="PH294" s="13"/>
      <c r="PI294" s="12"/>
      <c r="PJ294" s="261"/>
      <c r="PK294" s="261"/>
      <c r="PL294" s="261"/>
      <c r="PM294" s="261"/>
      <c r="PN294" s="261"/>
      <c r="PO294" s="261"/>
      <c r="PP294" s="261"/>
      <c r="PQ294" s="261"/>
      <c r="PR294" s="261"/>
      <c r="PS294" s="261"/>
      <c r="PT294" s="261"/>
      <c r="PU294" s="261"/>
      <c r="PV294" s="261"/>
      <c r="PW294" s="261"/>
      <c r="PX294" s="261"/>
      <c r="PY294" s="261"/>
      <c r="PZ294" s="261"/>
      <c r="QA294" s="261"/>
      <c r="QB294" s="261"/>
      <c r="QC294" s="261"/>
      <c r="QD294" s="261"/>
      <c r="QE294" s="261"/>
      <c r="QF294" s="261"/>
      <c r="QG294" s="261"/>
      <c r="QH294" s="261"/>
      <c r="QI294" s="261"/>
      <c r="QJ294" s="261"/>
      <c r="QK294" s="261"/>
      <c r="QL294" s="261"/>
      <c r="QM294" s="261"/>
      <c r="QN294" s="261"/>
      <c r="QO294" s="261"/>
      <c r="QP294" s="261"/>
      <c r="QQ294" s="261"/>
      <c r="QR294" s="261"/>
      <c r="QS294" s="261"/>
      <c r="QT294" s="261"/>
      <c r="QU294" s="261"/>
      <c r="QV294" s="261"/>
      <c r="QW294" s="261"/>
      <c r="QX294" s="13"/>
      <c r="QY294" s="12"/>
      <c r="QZ294" s="13"/>
      <c r="RA294" s="261"/>
      <c r="RB294" s="261"/>
      <c r="RC294" s="261"/>
      <c r="RD294" s="261"/>
      <c r="RE294" s="261"/>
      <c r="RF294" s="261"/>
      <c r="RG294" s="261"/>
      <c r="RH294" s="261"/>
      <c r="RI294" s="261"/>
      <c r="RJ294" s="261"/>
      <c r="RK294" s="261"/>
      <c r="RL294" s="261"/>
      <c r="RM294" s="261"/>
      <c r="RN294" s="261"/>
      <c r="RO294" s="261"/>
      <c r="RP294" s="261"/>
      <c r="RQ294" s="261"/>
      <c r="RR294" s="261"/>
      <c r="RS294" s="261"/>
      <c r="RT294" s="261"/>
      <c r="RU294" s="261"/>
      <c r="RV294" s="261"/>
      <c r="RW294" s="261"/>
      <c r="RX294" s="261"/>
      <c r="RY294" s="261"/>
      <c r="RZ294" s="261"/>
      <c r="SA294" s="261"/>
      <c r="SB294" s="261"/>
      <c r="SC294" s="261"/>
      <c r="SD294" s="261"/>
      <c r="SE294" s="261"/>
      <c r="SF294" s="261"/>
      <c r="SG294" s="261"/>
      <c r="SH294" s="261"/>
      <c r="SI294" s="261"/>
      <c r="SJ294" s="261"/>
      <c r="SK294" s="261"/>
      <c r="SL294" s="261"/>
      <c r="SM294" s="261"/>
      <c r="SN294" s="261"/>
      <c r="SO294" s="261"/>
      <c r="SP294" s="261"/>
      <c r="SQ294" s="261"/>
      <c r="SR294" s="261"/>
      <c r="SS294" s="261"/>
      <c r="ST294" s="261"/>
      <c r="SU294" s="261"/>
      <c r="SV294" s="261"/>
      <c r="SW294" s="261"/>
      <c r="SX294" s="261"/>
      <c r="SY294" s="261"/>
      <c r="SZ294" s="261"/>
      <c r="TA294" s="261"/>
      <c r="TB294" s="261"/>
      <c r="TC294" s="261"/>
      <c r="TD294" s="13"/>
      <c r="TE294" s="261"/>
      <c r="TF294" s="261"/>
      <c r="TG294" s="13"/>
      <c r="TO294" s="261"/>
      <c r="TP294" s="261"/>
      <c r="TQ294" s="261"/>
      <c r="TR294" s="261"/>
      <c r="TS294" s="261"/>
      <c r="TT294" s="261"/>
      <c r="TU294" s="261"/>
      <c r="TV294" s="261"/>
      <c r="TW294" s="261"/>
      <c r="TX294" s="261"/>
      <c r="TY294" s="261"/>
      <c r="TZ294" s="261"/>
      <c r="UA294" s="261"/>
      <c r="UB294" s="261"/>
      <c r="UC294" s="261"/>
      <c r="UD294" s="261"/>
      <c r="UE294" s="261"/>
      <c r="UF294" s="261"/>
      <c r="UG294" s="261"/>
      <c r="UH294" s="261"/>
      <c r="UI294" s="261"/>
      <c r="UJ294" s="261"/>
      <c r="UK294" s="261"/>
      <c r="UL294" s="261"/>
      <c r="UM294" s="261"/>
      <c r="UN294" s="261"/>
      <c r="UO294" s="261"/>
      <c r="UP294" s="261"/>
      <c r="UQ294" s="261"/>
      <c r="UR294" s="261"/>
      <c r="US294" s="261"/>
      <c r="UT294" s="261"/>
      <c r="UU294" s="261"/>
      <c r="UV294" s="261"/>
      <c r="UW294" s="261"/>
      <c r="UX294" s="261"/>
      <c r="UY294" s="261"/>
      <c r="UZ294" s="261"/>
      <c r="VA294" s="261"/>
      <c r="VB294" s="261"/>
      <c r="VC294" s="261"/>
      <c r="VD294" s="261"/>
      <c r="VE294" s="261"/>
      <c r="VF294" s="261"/>
      <c r="VG294" s="261"/>
      <c r="VH294" s="261"/>
      <c r="VI294" s="261"/>
    </row>
    <row r="295" spans="71:581" ht="10.75" customHeight="1" x14ac:dyDescent="0.2">
      <c r="BS295" s="12"/>
      <c r="GP295" s="13"/>
      <c r="IY295" s="12"/>
      <c r="IZ295" s="261"/>
      <c r="JA295" s="261"/>
      <c r="JB295" s="12"/>
      <c r="JC295" s="261"/>
      <c r="JD295" s="261"/>
      <c r="JE295" s="261"/>
      <c r="JF295" s="261"/>
      <c r="JG295" s="261"/>
      <c r="JH295" s="261"/>
      <c r="JI295" s="261"/>
      <c r="JJ295" s="12"/>
      <c r="JK295" s="261"/>
      <c r="JL295" s="261"/>
      <c r="JM295" s="261"/>
      <c r="JN295" s="261"/>
      <c r="JO295" s="261"/>
      <c r="JP295" s="261"/>
      <c r="JQ295" s="261"/>
      <c r="JR295" s="261"/>
      <c r="JS295" s="261"/>
      <c r="JT295" s="261"/>
      <c r="JU295" s="261"/>
      <c r="JV295" s="261"/>
      <c r="JW295" s="261"/>
      <c r="JX295" s="261"/>
      <c r="JY295" s="261"/>
      <c r="JZ295" s="261"/>
      <c r="KA295" s="261"/>
      <c r="KB295" s="261"/>
      <c r="KC295" s="261"/>
      <c r="KD295" s="261"/>
      <c r="KE295" s="261"/>
      <c r="KF295" s="261"/>
      <c r="KG295" s="261"/>
      <c r="KH295" s="261"/>
      <c r="KI295" s="261"/>
      <c r="KJ295" s="261"/>
      <c r="KK295" s="261"/>
      <c r="KL295" s="261"/>
      <c r="KM295" s="261"/>
      <c r="KN295" s="261"/>
      <c r="KO295" s="261"/>
      <c r="KP295" s="261"/>
      <c r="KQ295" s="261"/>
      <c r="KR295" s="261"/>
      <c r="KS295" s="261"/>
      <c r="KT295" s="261"/>
      <c r="KU295" s="261"/>
      <c r="KV295" s="261"/>
      <c r="KW295" s="261"/>
      <c r="KX295" s="261"/>
      <c r="KY295" s="261"/>
      <c r="KZ295" s="261"/>
      <c r="LA295" s="261"/>
      <c r="LB295" s="261"/>
      <c r="LC295" s="261"/>
      <c r="LD295" s="261"/>
      <c r="LE295" s="261"/>
      <c r="LF295" s="261"/>
      <c r="LG295" s="261"/>
      <c r="LH295" s="261"/>
      <c r="LI295" s="261"/>
      <c r="LJ295" s="261"/>
      <c r="LK295" s="261"/>
      <c r="LL295" s="261"/>
      <c r="LM295" s="261"/>
      <c r="LN295" s="261"/>
      <c r="LO295" s="261"/>
      <c r="LP295" s="261"/>
      <c r="LQ295" s="261"/>
      <c r="LR295" s="261"/>
      <c r="LS295" s="261"/>
      <c r="LT295" s="261"/>
      <c r="LU295" s="261"/>
      <c r="LV295" s="261"/>
      <c r="LW295" s="261"/>
      <c r="LX295" s="261"/>
      <c r="LY295" s="261"/>
      <c r="LZ295" s="261"/>
      <c r="MA295" s="261"/>
      <c r="MB295" s="261"/>
      <c r="MC295" s="261"/>
      <c r="MD295" s="261"/>
      <c r="ME295" s="261"/>
      <c r="MF295" s="261"/>
      <c r="MG295" s="261"/>
      <c r="MH295" s="261"/>
      <c r="MI295" s="261"/>
      <c r="MJ295" s="261"/>
      <c r="MK295" s="261"/>
      <c r="ML295" s="261"/>
      <c r="MM295" s="261"/>
      <c r="MN295" s="261"/>
      <c r="MO295" s="261"/>
      <c r="MP295" s="261"/>
      <c r="MQ295" s="261"/>
      <c r="MR295" s="261"/>
      <c r="MS295" s="261"/>
      <c r="MT295" s="261"/>
      <c r="MU295" s="261"/>
      <c r="MV295" s="261"/>
      <c r="MW295" s="261"/>
      <c r="MX295" s="261"/>
      <c r="MY295" s="261"/>
      <c r="MZ295" s="261"/>
      <c r="NA295" s="261"/>
      <c r="NB295" s="261"/>
      <c r="NC295" s="261"/>
      <c r="ND295" s="261"/>
      <c r="NE295" s="261"/>
      <c r="NF295" s="261"/>
      <c r="NG295" s="261"/>
      <c r="NH295" s="261"/>
      <c r="NI295" s="261"/>
      <c r="NJ295" s="261"/>
      <c r="NK295" s="13"/>
      <c r="NL295" s="261"/>
      <c r="NM295" s="261"/>
      <c r="NN295" s="13"/>
      <c r="OR295" s="12"/>
      <c r="OS295" s="261"/>
      <c r="OT295" s="261"/>
      <c r="OU295" s="12"/>
      <c r="OV295" s="261"/>
      <c r="OW295" s="261"/>
      <c r="OX295" s="261"/>
      <c r="OY295" s="261"/>
      <c r="OZ295" s="261"/>
      <c r="PA295" s="261"/>
      <c r="PB295" s="261"/>
      <c r="PC295" s="261"/>
      <c r="PD295" s="261"/>
      <c r="PE295" s="261"/>
      <c r="PF295" s="13"/>
      <c r="PG295" s="261"/>
      <c r="PH295" s="13"/>
      <c r="PI295" s="12"/>
      <c r="PJ295" s="261"/>
      <c r="PK295" s="261"/>
      <c r="PL295" s="261"/>
      <c r="PM295" s="261"/>
      <c r="PN295" s="261"/>
      <c r="PO295" s="261"/>
      <c r="PP295" s="261"/>
      <c r="PQ295" s="261"/>
      <c r="PR295" s="261"/>
      <c r="PS295" s="261"/>
      <c r="PT295" s="261"/>
      <c r="PU295" s="261"/>
      <c r="PV295" s="261"/>
      <c r="PW295" s="261"/>
      <c r="PX295" s="261"/>
      <c r="PY295" s="261"/>
      <c r="PZ295" s="261"/>
      <c r="QA295" s="261"/>
      <c r="QB295" s="261"/>
      <c r="QC295" s="261"/>
      <c r="QD295" s="261"/>
      <c r="QE295" s="261"/>
      <c r="QF295" s="261"/>
      <c r="QG295" s="261"/>
      <c r="QH295" s="261"/>
      <c r="QI295" s="261"/>
      <c r="QJ295" s="261"/>
      <c r="QK295" s="261"/>
      <c r="QL295" s="261"/>
      <c r="QM295" s="261"/>
      <c r="QN295" s="261"/>
      <c r="QO295" s="261"/>
      <c r="QP295" s="261"/>
      <c r="QQ295" s="261"/>
      <c r="QR295" s="261"/>
      <c r="QS295" s="261"/>
      <c r="QT295" s="261"/>
      <c r="QU295" s="261"/>
      <c r="QV295" s="261"/>
      <c r="QW295" s="261"/>
      <c r="QX295" s="13"/>
      <c r="QY295" s="12"/>
      <c r="QZ295" s="13"/>
      <c r="RA295" s="261"/>
      <c r="RB295" s="261"/>
      <c r="RC295" s="261"/>
      <c r="RD295" s="261"/>
      <c r="RE295" s="261"/>
      <c r="RF295" s="261"/>
      <c r="RG295" s="261"/>
      <c r="RH295" s="261"/>
      <c r="RI295" s="261"/>
      <c r="RJ295" s="261"/>
      <c r="RK295" s="261"/>
      <c r="RL295" s="261"/>
      <c r="RM295" s="261"/>
      <c r="RN295" s="261"/>
      <c r="RO295" s="261"/>
      <c r="RP295" s="261"/>
      <c r="RQ295" s="261"/>
      <c r="RR295" s="261"/>
      <c r="RS295" s="261"/>
      <c r="RT295" s="261"/>
      <c r="RU295" s="261"/>
      <c r="RV295" s="261"/>
      <c r="RW295" s="261"/>
      <c r="RX295" s="261"/>
      <c r="RY295" s="261"/>
      <c r="RZ295" s="261"/>
      <c r="SA295" s="261"/>
      <c r="SB295" s="261"/>
      <c r="SC295" s="261"/>
      <c r="SD295" s="261"/>
      <c r="SE295" s="261"/>
      <c r="SF295" s="261"/>
      <c r="SG295" s="261"/>
      <c r="SH295" s="261"/>
      <c r="SI295" s="261"/>
      <c r="SJ295" s="261"/>
      <c r="SK295" s="261"/>
      <c r="SL295" s="261"/>
      <c r="SM295" s="261"/>
      <c r="SN295" s="261"/>
      <c r="SO295" s="261"/>
      <c r="SP295" s="261"/>
      <c r="SQ295" s="261"/>
      <c r="SR295" s="261"/>
      <c r="SS295" s="261"/>
      <c r="ST295" s="261"/>
      <c r="SU295" s="261"/>
      <c r="SV295" s="261"/>
      <c r="SW295" s="261"/>
      <c r="SX295" s="261"/>
      <c r="SY295" s="261"/>
      <c r="SZ295" s="261"/>
      <c r="TA295" s="261"/>
      <c r="TB295" s="261"/>
      <c r="TC295" s="261"/>
      <c r="TD295" s="13"/>
      <c r="TE295" s="261"/>
      <c r="TF295" s="261"/>
      <c r="TG295" s="13"/>
      <c r="TO295" s="261"/>
      <c r="TP295" s="261"/>
      <c r="TQ295" s="261"/>
      <c r="TR295" s="261"/>
      <c r="TS295" s="261"/>
      <c r="TT295" s="261"/>
      <c r="TU295" s="261"/>
      <c r="TV295" s="261"/>
      <c r="TW295" s="261"/>
      <c r="TX295" s="261"/>
      <c r="TY295" s="261"/>
      <c r="TZ295" s="261"/>
      <c r="UA295" s="261"/>
      <c r="UB295" s="261"/>
      <c r="UC295" s="261"/>
      <c r="UD295" s="261"/>
      <c r="UE295" s="261"/>
      <c r="UF295" s="261"/>
      <c r="UG295" s="261"/>
      <c r="UH295" s="261"/>
      <c r="UI295" s="261"/>
      <c r="UJ295" s="261"/>
      <c r="UK295" s="261"/>
      <c r="UL295" s="261"/>
      <c r="UM295" s="261"/>
      <c r="UN295" s="261"/>
      <c r="UO295" s="261"/>
      <c r="UP295" s="261"/>
      <c r="UQ295" s="261"/>
      <c r="UR295" s="261"/>
      <c r="US295" s="261"/>
      <c r="UT295" s="261"/>
      <c r="UU295" s="261"/>
      <c r="UV295" s="261"/>
      <c r="UW295" s="261"/>
      <c r="UX295" s="261"/>
      <c r="UY295" s="261"/>
      <c r="UZ295" s="261"/>
      <c r="VA295" s="261"/>
      <c r="VB295" s="261"/>
      <c r="VC295" s="261"/>
      <c r="VD295" s="261"/>
      <c r="VE295" s="261"/>
      <c r="VF295" s="261"/>
      <c r="VG295" s="261"/>
      <c r="VH295" s="261"/>
      <c r="VI295" s="261"/>
    </row>
    <row r="296" spans="71:581" ht="10.75" customHeight="1" x14ac:dyDescent="0.2">
      <c r="BS296" s="12"/>
      <c r="GP296" s="13"/>
      <c r="IY296" s="12"/>
      <c r="IZ296" s="261"/>
      <c r="JA296" s="261"/>
      <c r="JB296" s="12"/>
      <c r="JC296" s="261"/>
      <c r="JD296" s="261"/>
      <c r="JE296" s="261"/>
      <c r="JF296" s="261"/>
      <c r="JG296" s="261"/>
      <c r="JH296" s="261"/>
      <c r="JI296" s="261"/>
      <c r="JJ296" s="12"/>
      <c r="JK296" s="261"/>
      <c r="JL296" s="261"/>
      <c r="JM296" s="261"/>
      <c r="JN296" s="261"/>
      <c r="JO296" s="261"/>
      <c r="JP296" s="261"/>
      <c r="JQ296" s="261"/>
      <c r="JR296" s="261"/>
      <c r="JS296" s="261"/>
      <c r="JT296" s="261"/>
      <c r="JU296" s="261"/>
      <c r="JV296" s="261"/>
      <c r="JW296" s="261"/>
      <c r="JX296" s="261"/>
      <c r="JY296" s="261"/>
      <c r="JZ296" s="261"/>
      <c r="KA296" s="261"/>
      <c r="KB296" s="261"/>
      <c r="KC296" s="261"/>
      <c r="KD296" s="261"/>
      <c r="KE296" s="261"/>
      <c r="KF296" s="261"/>
      <c r="KG296" s="261"/>
      <c r="KH296" s="261"/>
      <c r="KI296" s="261"/>
      <c r="KJ296" s="261"/>
      <c r="KK296" s="261"/>
      <c r="KL296" s="261"/>
      <c r="KM296" s="261"/>
      <c r="KN296" s="261"/>
      <c r="KO296" s="261"/>
      <c r="KP296" s="261"/>
      <c r="KQ296" s="261"/>
      <c r="KR296" s="261"/>
      <c r="KS296" s="261"/>
      <c r="KT296" s="261"/>
      <c r="KU296" s="261"/>
      <c r="KV296" s="261"/>
      <c r="KW296" s="261"/>
      <c r="KX296" s="261"/>
      <c r="KY296" s="261"/>
      <c r="KZ296" s="261"/>
      <c r="LA296" s="261"/>
      <c r="LB296" s="261"/>
      <c r="LC296" s="261"/>
      <c r="LD296" s="261"/>
      <c r="LE296" s="261"/>
      <c r="LF296" s="261"/>
      <c r="LG296" s="261"/>
      <c r="LH296" s="261"/>
      <c r="LI296" s="261"/>
      <c r="LJ296" s="261"/>
      <c r="LK296" s="261"/>
      <c r="LL296" s="261"/>
      <c r="LM296" s="261"/>
      <c r="LN296" s="261"/>
      <c r="LO296" s="261"/>
      <c r="LP296" s="261"/>
      <c r="LQ296" s="261"/>
      <c r="LR296" s="261"/>
      <c r="LS296" s="261"/>
      <c r="LT296" s="261"/>
      <c r="LU296" s="261"/>
      <c r="LV296" s="261"/>
      <c r="LW296" s="261"/>
      <c r="LX296" s="261"/>
      <c r="LY296" s="261"/>
      <c r="LZ296" s="261"/>
      <c r="MA296" s="261"/>
      <c r="MB296" s="261"/>
      <c r="MC296" s="261"/>
      <c r="MD296" s="261"/>
      <c r="ME296" s="261"/>
      <c r="MF296" s="261"/>
      <c r="MG296" s="261"/>
      <c r="MH296" s="261"/>
      <c r="MI296" s="261"/>
      <c r="MJ296" s="261"/>
      <c r="MK296" s="261"/>
      <c r="ML296" s="261"/>
      <c r="MM296" s="261"/>
      <c r="MN296" s="261"/>
      <c r="MO296" s="261"/>
      <c r="MP296" s="261"/>
      <c r="MQ296" s="261"/>
      <c r="MR296" s="261"/>
      <c r="MS296" s="261"/>
      <c r="MT296" s="261"/>
      <c r="MU296" s="261"/>
      <c r="MV296" s="261"/>
      <c r="MW296" s="261"/>
      <c r="MX296" s="261"/>
      <c r="MY296" s="261"/>
      <c r="MZ296" s="261"/>
      <c r="NA296" s="261"/>
      <c r="NB296" s="261"/>
      <c r="NC296" s="261"/>
      <c r="ND296" s="261"/>
      <c r="NE296" s="261"/>
      <c r="NF296" s="261"/>
      <c r="NG296" s="261"/>
      <c r="NH296" s="261"/>
      <c r="NI296" s="261"/>
      <c r="NJ296" s="261"/>
      <c r="NK296" s="13"/>
      <c r="NL296" s="261"/>
      <c r="NM296" s="261"/>
      <c r="NN296" s="13"/>
      <c r="OR296" s="12"/>
      <c r="OS296" s="261"/>
      <c r="OT296" s="261"/>
      <c r="OU296" s="12"/>
      <c r="OV296" s="261"/>
      <c r="OW296" s="261"/>
      <c r="OX296" s="261"/>
      <c r="OY296" s="261"/>
      <c r="OZ296" s="261"/>
      <c r="PA296" s="261"/>
      <c r="PB296" s="261"/>
      <c r="PC296" s="261"/>
      <c r="PD296" s="261"/>
      <c r="PE296" s="261"/>
      <c r="PF296" s="13"/>
      <c r="PG296" s="261"/>
      <c r="PH296" s="13"/>
      <c r="PI296" s="12"/>
      <c r="PJ296" s="261"/>
      <c r="PK296" s="261"/>
      <c r="PL296" s="261"/>
      <c r="PM296" s="261"/>
      <c r="PN296" s="261"/>
      <c r="PO296" s="261"/>
      <c r="PP296" s="261"/>
      <c r="PQ296" s="261"/>
      <c r="PR296" s="261"/>
      <c r="PS296" s="261"/>
      <c r="PT296" s="261"/>
      <c r="PU296" s="261"/>
      <c r="PV296" s="261"/>
      <c r="PW296" s="261"/>
      <c r="PX296" s="261"/>
      <c r="PY296" s="261"/>
      <c r="PZ296" s="261"/>
      <c r="QA296" s="261"/>
      <c r="QB296" s="261"/>
      <c r="QC296" s="261"/>
      <c r="QD296" s="261"/>
      <c r="QE296" s="261"/>
      <c r="QF296" s="261"/>
      <c r="QG296" s="261"/>
      <c r="QH296" s="261"/>
      <c r="QI296" s="261"/>
      <c r="QJ296" s="261"/>
      <c r="QK296" s="261"/>
      <c r="QL296" s="261"/>
      <c r="QM296" s="261"/>
      <c r="QN296" s="261"/>
      <c r="QO296" s="261"/>
      <c r="QP296" s="261"/>
      <c r="QQ296" s="261"/>
      <c r="QR296" s="261"/>
      <c r="QS296" s="261"/>
      <c r="QT296" s="261"/>
      <c r="QU296" s="261"/>
      <c r="QV296" s="261"/>
      <c r="QW296" s="261"/>
      <c r="QX296" s="13"/>
      <c r="QY296" s="12"/>
      <c r="QZ296" s="13"/>
      <c r="RA296" s="261"/>
      <c r="RB296" s="261"/>
      <c r="RC296" s="261"/>
      <c r="RD296" s="261"/>
      <c r="RE296" s="261"/>
      <c r="RF296" s="261"/>
      <c r="RG296" s="261"/>
      <c r="RH296" s="261"/>
      <c r="RI296" s="261"/>
      <c r="RJ296" s="261"/>
      <c r="RK296" s="261"/>
      <c r="RL296" s="261"/>
      <c r="RM296" s="261"/>
      <c r="RN296" s="261"/>
      <c r="RO296" s="261"/>
      <c r="RP296" s="261"/>
      <c r="RQ296" s="261"/>
      <c r="RR296" s="261"/>
      <c r="RS296" s="261"/>
      <c r="RT296" s="261"/>
      <c r="RU296" s="261"/>
      <c r="RV296" s="261"/>
      <c r="RW296" s="261"/>
      <c r="RX296" s="261"/>
      <c r="RY296" s="261"/>
      <c r="RZ296" s="261"/>
      <c r="SA296" s="261"/>
      <c r="SB296" s="261"/>
      <c r="SC296" s="261"/>
      <c r="SD296" s="261"/>
      <c r="SE296" s="261"/>
      <c r="SF296" s="261"/>
      <c r="SG296" s="261"/>
      <c r="SH296" s="261"/>
      <c r="SI296" s="261"/>
      <c r="SJ296" s="261"/>
      <c r="SK296" s="261"/>
      <c r="SL296" s="261"/>
      <c r="SM296" s="261"/>
      <c r="SN296" s="261"/>
      <c r="SO296" s="261"/>
      <c r="SP296" s="261"/>
      <c r="SQ296" s="261"/>
      <c r="SR296" s="261"/>
      <c r="SS296" s="261"/>
      <c r="ST296" s="261"/>
      <c r="SU296" s="261"/>
      <c r="SV296" s="261"/>
      <c r="SW296" s="261"/>
      <c r="SX296" s="261"/>
      <c r="SY296" s="261"/>
      <c r="SZ296" s="261"/>
      <c r="TA296" s="261"/>
      <c r="TB296" s="261"/>
      <c r="TC296" s="261"/>
      <c r="TD296" s="13"/>
      <c r="TE296" s="261"/>
      <c r="TF296" s="261"/>
      <c r="TG296" s="13"/>
      <c r="TO296" s="261"/>
      <c r="TP296" s="261"/>
      <c r="TQ296" s="261"/>
      <c r="TR296" s="261"/>
      <c r="TS296" s="261"/>
      <c r="TT296" s="261"/>
      <c r="TU296" s="261"/>
      <c r="TV296" s="261"/>
      <c r="TW296" s="261"/>
      <c r="TX296" s="261"/>
      <c r="TY296" s="261"/>
      <c r="TZ296" s="261"/>
      <c r="UA296" s="261"/>
      <c r="UB296" s="261"/>
      <c r="UC296" s="261"/>
      <c r="UD296" s="261"/>
      <c r="UE296" s="261"/>
      <c r="UF296" s="261"/>
      <c r="UG296" s="261"/>
      <c r="UH296" s="261"/>
      <c r="UI296" s="261"/>
      <c r="UJ296" s="261"/>
      <c r="UK296" s="261"/>
      <c r="UL296" s="261"/>
      <c r="UM296" s="261"/>
      <c r="UN296" s="261"/>
      <c r="UO296" s="261"/>
      <c r="UP296" s="261"/>
      <c r="UQ296" s="261"/>
      <c r="UR296" s="261"/>
      <c r="US296" s="261"/>
      <c r="UT296" s="261"/>
      <c r="UU296" s="261"/>
      <c r="UV296" s="261"/>
      <c r="UW296" s="261"/>
      <c r="UX296" s="261"/>
      <c r="UY296" s="261"/>
      <c r="UZ296" s="261"/>
      <c r="VA296" s="261"/>
      <c r="VB296" s="261"/>
      <c r="VC296" s="261"/>
      <c r="VD296" s="261"/>
      <c r="VE296" s="261"/>
      <c r="VF296" s="261"/>
      <c r="VG296" s="261"/>
      <c r="VH296" s="261"/>
      <c r="VI296" s="261"/>
    </row>
    <row r="297" spans="71:581" ht="10.75" customHeight="1" x14ac:dyDescent="0.2">
      <c r="BS297" s="12"/>
      <c r="GP297" s="13"/>
      <c r="IY297" s="12"/>
      <c r="IZ297" s="261"/>
      <c r="JA297" s="261"/>
      <c r="JB297" s="12"/>
      <c r="JC297" s="261"/>
      <c r="JD297" s="261"/>
      <c r="JE297" s="261"/>
      <c r="JF297" s="261"/>
      <c r="JG297" s="261"/>
      <c r="JH297" s="261"/>
      <c r="JI297" s="261"/>
      <c r="JJ297" s="12"/>
      <c r="JK297" s="261"/>
      <c r="JL297" s="261"/>
      <c r="JM297" s="261"/>
      <c r="JN297" s="261"/>
      <c r="JO297" s="261"/>
      <c r="JP297" s="261"/>
      <c r="JQ297" s="261"/>
      <c r="JR297" s="261"/>
      <c r="JS297" s="261"/>
      <c r="JT297" s="261"/>
      <c r="JU297" s="261"/>
      <c r="JV297" s="261"/>
      <c r="JW297" s="261"/>
      <c r="JX297" s="261"/>
      <c r="JY297" s="261"/>
      <c r="JZ297" s="261"/>
      <c r="KA297" s="261"/>
      <c r="KB297" s="261"/>
      <c r="KC297" s="261"/>
      <c r="KD297" s="261"/>
      <c r="KE297" s="261"/>
      <c r="KF297" s="261"/>
      <c r="KG297" s="261"/>
      <c r="KH297" s="261"/>
      <c r="KI297" s="261"/>
      <c r="KJ297" s="261"/>
      <c r="KK297" s="261"/>
      <c r="KL297" s="261"/>
      <c r="KM297" s="261"/>
      <c r="KN297" s="261"/>
      <c r="KO297" s="261"/>
      <c r="KP297" s="261"/>
      <c r="KQ297" s="261"/>
      <c r="KR297" s="261"/>
      <c r="KS297" s="261"/>
      <c r="KT297" s="261"/>
      <c r="KU297" s="261"/>
      <c r="KV297" s="261"/>
      <c r="KW297" s="261"/>
      <c r="KX297" s="261"/>
      <c r="KY297" s="261"/>
      <c r="KZ297" s="261"/>
      <c r="LA297" s="261"/>
      <c r="LB297" s="261"/>
      <c r="LC297" s="261"/>
      <c r="LD297" s="261"/>
      <c r="LE297" s="261"/>
      <c r="LF297" s="261"/>
      <c r="LG297" s="261"/>
      <c r="LH297" s="261"/>
      <c r="LI297" s="261"/>
      <c r="LJ297" s="261"/>
      <c r="LK297" s="261"/>
      <c r="LL297" s="261"/>
      <c r="LM297" s="261"/>
      <c r="LN297" s="261"/>
      <c r="LO297" s="261"/>
      <c r="LP297" s="261"/>
      <c r="LQ297" s="261"/>
      <c r="LR297" s="261"/>
      <c r="LS297" s="261"/>
      <c r="LT297" s="261"/>
      <c r="LU297" s="261"/>
      <c r="LV297" s="261"/>
      <c r="LW297" s="261"/>
      <c r="LX297" s="261"/>
      <c r="LY297" s="261"/>
      <c r="LZ297" s="261"/>
      <c r="MA297" s="261"/>
      <c r="MB297" s="261"/>
      <c r="MC297" s="261"/>
      <c r="MD297" s="261"/>
      <c r="ME297" s="261"/>
      <c r="MF297" s="261"/>
      <c r="MG297" s="261"/>
      <c r="MH297" s="261"/>
      <c r="MI297" s="261"/>
      <c r="MJ297" s="261"/>
      <c r="MK297" s="261"/>
      <c r="ML297" s="261"/>
      <c r="MM297" s="261"/>
      <c r="MN297" s="261"/>
      <c r="MO297" s="261"/>
      <c r="MP297" s="261"/>
      <c r="MQ297" s="261"/>
      <c r="MR297" s="261"/>
      <c r="MS297" s="261"/>
      <c r="MT297" s="261"/>
      <c r="MU297" s="261"/>
      <c r="MV297" s="261"/>
      <c r="MW297" s="261"/>
      <c r="MX297" s="261"/>
      <c r="MY297" s="261"/>
      <c r="MZ297" s="261"/>
      <c r="NA297" s="261"/>
      <c r="NB297" s="261"/>
      <c r="NC297" s="261"/>
      <c r="ND297" s="261"/>
      <c r="NE297" s="261"/>
      <c r="NF297" s="261"/>
      <c r="NG297" s="261"/>
      <c r="NH297" s="261"/>
      <c r="NI297" s="261"/>
      <c r="NJ297" s="261"/>
      <c r="NK297" s="13"/>
      <c r="NL297" s="261"/>
      <c r="NM297" s="261"/>
      <c r="NN297" s="13"/>
      <c r="OR297" s="12"/>
      <c r="OS297" s="261"/>
      <c r="OT297" s="261"/>
      <c r="OU297" s="12"/>
      <c r="OV297" s="261"/>
      <c r="OW297" s="261"/>
      <c r="OX297" s="261"/>
      <c r="OY297" s="261"/>
      <c r="OZ297" s="261"/>
      <c r="PA297" s="261"/>
      <c r="PB297" s="261"/>
      <c r="PC297" s="261"/>
      <c r="PD297" s="261"/>
      <c r="PE297" s="261"/>
      <c r="PF297" s="13"/>
      <c r="PG297" s="261"/>
      <c r="PH297" s="13"/>
      <c r="PI297" s="12"/>
      <c r="PJ297" s="261"/>
      <c r="PK297" s="261"/>
      <c r="PL297" s="261"/>
      <c r="PM297" s="261"/>
      <c r="PN297" s="261"/>
      <c r="PO297" s="261"/>
      <c r="PP297" s="261"/>
      <c r="PQ297" s="261"/>
      <c r="PR297" s="261"/>
      <c r="PS297" s="261"/>
      <c r="PT297" s="261"/>
      <c r="PU297" s="261"/>
      <c r="PV297" s="261"/>
      <c r="PW297" s="261"/>
      <c r="PX297" s="261"/>
      <c r="PY297" s="261"/>
      <c r="PZ297" s="261"/>
      <c r="QA297" s="261"/>
      <c r="QB297" s="261"/>
      <c r="QC297" s="261"/>
      <c r="QD297" s="261"/>
      <c r="QE297" s="261"/>
      <c r="QF297" s="261"/>
      <c r="QG297" s="261"/>
      <c r="QH297" s="261"/>
      <c r="QI297" s="261"/>
      <c r="QJ297" s="261"/>
      <c r="QK297" s="261"/>
      <c r="QL297" s="261"/>
      <c r="QM297" s="261"/>
      <c r="QN297" s="261"/>
      <c r="QO297" s="261"/>
      <c r="QP297" s="261"/>
      <c r="QQ297" s="261"/>
      <c r="QR297" s="261"/>
      <c r="QS297" s="261"/>
      <c r="QT297" s="261"/>
      <c r="QU297" s="261"/>
      <c r="QV297" s="261"/>
      <c r="QW297" s="261"/>
      <c r="QX297" s="13"/>
      <c r="QY297" s="12"/>
      <c r="QZ297" s="13"/>
      <c r="RA297" s="261"/>
      <c r="RB297" s="261"/>
      <c r="RC297" s="261"/>
      <c r="RD297" s="261"/>
      <c r="RE297" s="261"/>
      <c r="RF297" s="261"/>
      <c r="RG297" s="261"/>
      <c r="RH297" s="261"/>
      <c r="RI297" s="261"/>
      <c r="RJ297" s="261"/>
      <c r="RK297" s="261"/>
      <c r="RL297" s="261"/>
      <c r="RM297" s="261"/>
      <c r="RN297" s="261"/>
      <c r="RO297" s="261"/>
      <c r="RP297" s="261"/>
      <c r="RQ297" s="261"/>
      <c r="RR297" s="261"/>
      <c r="RS297" s="261"/>
      <c r="RT297" s="261"/>
      <c r="RU297" s="261"/>
      <c r="RV297" s="261"/>
      <c r="RW297" s="261"/>
      <c r="RX297" s="261"/>
      <c r="RY297" s="261"/>
      <c r="RZ297" s="261"/>
      <c r="SA297" s="261"/>
      <c r="SB297" s="261"/>
      <c r="SC297" s="261"/>
      <c r="SD297" s="261"/>
      <c r="SE297" s="261"/>
      <c r="SF297" s="261"/>
      <c r="SG297" s="261"/>
      <c r="SH297" s="261"/>
      <c r="SI297" s="261"/>
      <c r="SJ297" s="261"/>
      <c r="SK297" s="261"/>
      <c r="SL297" s="261"/>
      <c r="SM297" s="261"/>
      <c r="SN297" s="261"/>
      <c r="SO297" s="261"/>
      <c r="SP297" s="261"/>
      <c r="SQ297" s="261"/>
      <c r="SR297" s="261"/>
      <c r="SS297" s="261"/>
      <c r="ST297" s="261"/>
      <c r="SU297" s="261"/>
      <c r="SV297" s="261"/>
      <c r="SW297" s="261"/>
      <c r="SX297" s="261"/>
      <c r="SY297" s="261"/>
      <c r="SZ297" s="261"/>
      <c r="TA297" s="261"/>
      <c r="TB297" s="261"/>
      <c r="TC297" s="261"/>
      <c r="TD297" s="13"/>
      <c r="TE297" s="261"/>
      <c r="TF297" s="261"/>
      <c r="TG297" s="13"/>
      <c r="TO297" s="261"/>
      <c r="TP297" s="261"/>
      <c r="TQ297" s="261"/>
      <c r="TR297" s="261"/>
      <c r="TS297" s="261"/>
      <c r="TT297" s="261"/>
      <c r="TU297" s="261"/>
      <c r="TV297" s="261"/>
      <c r="TW297" s="261"/>
      <c r="TX297" s="261"/>
      <c r="TY297" s="261"/>
      <c r="TZ297" s="261"/>
      <c r="UA297" s="261"/>
      <c r="UB297" s="261"/>
      <c r="UC297" s="261"/>
      <c r="UD297" s="261"/>
      <c r="UE297" s="261"/>
      <c r="UF297" s="261"/>
      <c r="UG297" s="261"/>
      <c r="UH297" s="261"/>
      <c r="UI297" s="261"/>
      <c r="UJ297" s="261"/>
      <c r="UK297" s="261"/>
      <c r="UL297" s="261"/>
      <c r="UM297" s="261"/>
      <c r="UN297" s="261"/>
      <c r="UO297" s="261"/>
      <c r="UP297" s="261"/>
      <c r="UQ297" s="261"/>
      <c r="UR297" s="261"/>
      <c r="US297" s="261"/>
      <c r="UT297" s="261"/>
      <c r="UU297" s="261"/>
      <c r="UV297" s="261"/>
      <c r="UW297" s="261"/>
      <c r="UX297" s="261"/>
      <c r="UY297" s="261"/>
      <c r="UZ297" s="261"/>
      <c r="VA297" s="261"/>
      <c r="VB297" s="261"/>
      <c r="VC297" s="261"/>
      <c r="VD297" s="261"/>
      <c r="VE297" s="261"/>
      <c r="VF297" s="261"/>
      <c r="VG297" s="261"/>
      <c r="VH297" s="261"/>
      <c r="VI297" s="261"/>
    </row>
    <row r="298" spans="71:581" ht="10.75" customHeight="1" x14ac:dyDescent="0.2">
      <c r="BS298" s="12"/>
      <c r="GP298" s="13"/>
      <c r="IY298" s="12"/>
      <c r="IZ298" s="261"/>
      <c r="JA298" s="261"/>
      <c r="JB298" s="12"/>
      <c r="JC298" s="261"/>
      <c r="JD298" s="261"/>
      <c r="JE298" s="261"/>
      <c r="JF298" s="261"/>
      <c r="JG298" s="261"/>
      <c r="JH298" s="261"/>
      <c r="JI298" s="261"/>
      <c r="JJ298" s="12"/>
      <c r="JK298" s="261"/>
      <c r="JL298" s="261"/>
      <c r="JM298" s="261"/>
      <c r="JN298" s="261"/>
      <c r="JO298" s="261"/>
      <c r="JP298" s="261"/>
      <c r="JQ298" s="261"/>
      <c r="JR298" s="261"/>
      <c r="JS298" s="261"/>
      <c r="JT298" s="261"/>
      <c r="JU298" s="261"/>
      <c r="JV298" s="261"/>
      <c r="JW298" s="261"/>
      <c r="JX298" s="261"/>
      <c r="JY298" s="261"/>
      <c r="JZ298" s="261"/>
      <c r="KA298" s="261"/>
      <c r="KB298" s="261"/>
      <c r="KC298" s="261"/>
      <c r="KD298" s="261"/>
      <c r="KE298" s="261"/>
      <c r="KF298" s="261"/>
      <c r="KG298" s="261"/>
      <c r="KH298" s="261"/>
      <c r="KI298" s="261"/>
      <c r="KJ298" s="261"/>
      <c r="KK298" s="261"/>
      <c r="KL298" s="261"/>
      <c r="KM298" s="261"/>
      <c r="KN298" s="261"/>
      <c r="KO298" s="261"/>
      <c r="KP298" s="261"/>
      <c r="KQ298" s="261"/>
      <c r="KR298" s="261"/>
      <c r="KS298" s="261"/>
      <c r="KT298" s="261"/>
      <c r="KU298" s="261"/>
      <c r="KV298" s="261"/>
      <c r="KW298" s="261"/>
      <c r="KX298" s="261"/>
      <c r="KY298" s="261"/>
      <c r="KZ298" s="261"/>
      <c r="LA298" s="261"/>
      <c r="LB298" s="261"/>
      <c r="LC298" s="261"/>
      <c r="LD298" s="261"/>
      <c r="LE298" s="261"/>
      <c r="LF298" s="261"/>
      <c r="LG298" s="261"/>
      <c r="LH298" s="261"/>
      <c r="LI298" s="261"/>
      <c r="LJ298" s="261"/>
      <c r="LK298" s="261"/>
      <c r="LL298" s="261"/>
      <c r="LM298" s="261"/>
      <c r="LN298" s="261"/>
      <c r="LO298" s="261"/>
      <c r="LP298" s="261"/>
      <c r="LQ298" s="261"/>
      <c r="LR298" s="261"/>
      <c r="LS298" s="261"/>
      <c r="LT298" s="261"/>
      <c r="LU298" s="261"/>
      <c r="LV298" s="261"/>
      <c r="LW298" s="261"/>
      <c r="LX298" s="261"/>
      <c r="LY298" s="261"/>
      <c r="LZ298" s="261"/>
      <c r="MA298" s="261"/>
      <c r="MB298" s="261"/>
      <c r="MC298" s="261"/>
      <c r="MD298" s="261"/>
      <c r="ME298" s="261"/>
      <c r="MF298" s="261"/>
      <c r="MG298" s="261"/>
      <c r="MH298" s="261"/>
      <c r="MI298" s="261"/>
      <c r="MJ298" s="261"/>
      <c r="MK298" s="261"/>
      <c r="ML298" s="261"/>
      <c r="MM298" s="261"/>
      <c r="MN298" s="261"/>
      <c r="MO298" s="261"/>
      <c r="MP298" s="261"/>
      <c r="MQ298" s="261"/>
      <c r="MR298" s="261"/>
      <c r="MS298" s="261"/>
      <c r="MT298" s="261"/>
      <c r="MU298" s="261"/>
      <c r="MV298" s="261"/>
      <c r="MW298" s="261"/>
      <c r="MX298" s="261"/>
      <c r="MY298" s="261"/>
      <c r="MZ298" s="261"/>
      <c r="NA298" s="261"/>
      <c r="NB298" s="261"/>
      <c r="NC298" s="261"/>
      <c r="ND298" s="261"/>
      <c r="NE298" s="261"/>
      <c r="NF298" s="261"/>
      <c r="NG298" s="261"/>
      <c r="NH298" s="261"/>
      <c r="NI298" s="261"/>
      <c r="NJ298" s="261"/>
      <c r="NK298" s="13"/>
      <c r="NL298" s="261"/>
      <c r="NM298" s="261"/>
      <c r="NN298" s="13"/>
      <c r="OR298" s="12"/>
      <c r="OS298" s="261"/>
      <c r="OT298" s="261"/>
      <c r="OU298" s="12"/>
      <c r="OV298" s="261"/>
      <c r="OW298" s="261"/>
      <c r="OX298" s="261"/>
      <c r="OY298" s="261"/>
      <c r="OZ298" s="261"/>
      <c r="PA298" s="261"/>
      <c r="PB298" s="261"/>
      <c r="PC298" s="261"/>
      <c r="PD298" s="261"/>
      <c r="PE298" s="261"/>
      <c r="PF298" s="13"/>
      <c r="PG298" s="261"/>
      <c r="PH298" s="13"/>
      <c r="PI298" s="12"/>
      <c r="PJ298" s="261"/>
      <c r="PK298" s="261"/>
      <c r="PL298" s="261"/>
      <c r="PM298" s="261"/>
      <c r="PN298" s="261"/>
      <c r="PO298" s="261"/>
      <c r="PP298" s="261"/>
      <c r="PQ298" s="261"/>
      <c r="PR298" s="261"/>
      <c r="PS298" s="261"/>
      <c r="PT298" s="261"/>
      <c r="PU298" s="261"/>
      <c r="PV298" s="261"/>
      <c r="PW298" s="261"/>
      <c r="PX298" s="261"/>
      <c r="PY298" s="261"/>
      <c r="PZ298" s="261"/>
      <c r="QA298" s="261"/>
      <c r="QB298" s="261"/>
      <c r="QC298" s="261"/>
      <c r="QD298" s="261"/>
      <c r="QE298" s="261"/>
      <c r="QF298" s="261"/>
      <c r="QG298" s="261"/>
      <c r="QH298" s="261"/>
      <c r="QI298" s="261"/>
      <c r="QJ298" s="261"/>
      <c r="QK298" s="261"/>
      <c r="QL298" s="261"/>
      <c r="QM298" s="261"/>
      <c r="QN298" s="261"/>
      <c r="QO298" s="261"/>
      <c r="QP298" s="261"/>
      <c r="QQ298" s="261"/>
      <c r="QR298" s="261"/>
      <c r="QS298" s="261"/>
      <c r="QT298" s="261"/>
      <c r="QU298" s="261"/>
      <c r="QV298" s="261"/>
      <c r="QW298" s="261"/>
      <c r="QX298" s="13"/>
      <c r="QY298" s="12"/>
      <c r="QZ298" s="13"/>
      <c r="RA298" s="261"/>
      <c r="RB298" s="261"/>
      <c r="RC298" s="261"/>
      <c r="RD298" s="261"/>
      <c r="RE298" s="261"/>
      <c r="RF298" s="261"/>
      <c r="RG298" s="261"/>
      <c r="RH298" s="261"/>
      <c r="RI298" s="261"/>
      <c r="RJ298" s="261"/>
      <c r="RK298" s="261"/>
      <c r="RL298" s="261"/>
      <c r="RM298" s="261"/>
      <c r="RN298" s="261"/>
      <c r="RO298" s="261"/>
      <c r="RP298" s="261"/>
      <c r="RQ298" s="261"/>
      <c r="RR298" s="261"/>
      <c r="RS298" s="261"/>
      <c r="RT298" s="261"/>
      <c r="RU298" s="261"/>
      <c r="RV298" s="261"/>
      <c r="RW298" s="261"/>
      <c r="RX298" s="261"/>
      <c r="RY298" s="261"/>
      <c r="RZ298" s="261"/>
      <c r="SA298" s="261"/>
      <c r="SB298" s="261"/>
      <c r="SC298" s="261"/>
      <c r="SD298" s="261"/>
      <c r="SE298" s="261"/>
      <c r="SF298" s="261"/>
      <c r="SG298" s="261"/>
      <c r="SH298" s="261"/>
      <c r="SI298" s="261"/>
      <c r="SJ298" s="261"/>
      <c r="SK298" s="261"/>
      <c r="SL298" s="261"/>
      <c r="SM298" s="261"/>
      <c r="SN298" s="261"/>
      <c r="SO298" s="261"/>
      <c r="SP298" s="261"/>
      <c r="SQ298" s="261"/>
      <c r="SR298" s="261"/>
      <c r="SS298" s="261"/>
      <c r="ST298" s="261"/>
      <c r="SU298" s="261"/>
      <c r="SV298" s="261"/>
      <c r="SW298" s="261"/>
      <c r="SX298" s="261"/>
      <c r="SY298" s="261"/>
      <c r="SZ298" s="261"/>
      <c r="TA298" s="261"/>
      <c r="TB298" s="261"/>
      <c r="TC298" s="261"/>
      <c r="TD298" s="13"/>
      <c r="TE298" s="261"/>
      <c r="TF298" s="261"/>
      <c r="TG298" s="13"/>
      <c r="TO298" s="261"/>
      <c r="TP298" s="261"/>
      <c r="TQ298" s="261"/>
      <c r="TR298" s="261"/>
      <c r="TS298" s="261"/>
      <c r="TT298" s="261"/>
      <c r="TU298" s="261"/>
      <c r="TV298" s="261"/>
      <c r="TW298" s="261"/>
      <c r="TX298" s="261"/>
      <c r="TY298" s="261"/>
      <c r="TZ298" s="261"/>
      <c r="UA298" s="261"/>
      <c r="UB298" s="261"/>
      <c r="UC298" s="261"/>
      <c r="UD298" s="261"/>
      <c r="UE298" s="261"/>
      <c r="UF298" s="261"/>
      <c r="UG298" s="261"/>
      <c r="UH298" s="261"/>
      <c r="UI298" s="261"/>
      <c r="UJ298" s="261"/>
      <c r="UK298" s="261"/>
      <c r="UL298" s="261"/>
      <c r="UM298" s="261"/>
      <c r="UN298" s="261"/>
      <c r="UO298" s="261"/>
      <c r="UP298" s="261"/>
      <c r="UQ298" s="261"/>
      <c r="UR298" s="261"/>
      <c r="US298" s="261"/>
      <c r="UT298" s="261"/>
      <c r="UU298" s="261"/>
      <c r="UV298" s="261"/>
      <c r="UW298" s="261"/>
      <c r="UX298" s="261"/>
      <c r="UY298" s="261"/>
      <c r="UZ298" s="261"/>
      <c r="VA298" s="261"/>
      <c r="VB298" s="261"/>
      <c r="VC298" s="261"/>
      <c r="VD298" s="261"/>
      <c r="VE298" s="261"/>
      <c r="VF298" s="261"/>
      <c r="VG298" s="261"/>
      <c r="VH298" s="261"/>
      <c r="VI298" s="261"/>
    </row>
    <row r="299" spans="71:581" ht="10.75" customHeight="1" x14ac:dyDescent="0.2">
      <c r="BS299" s="14"/>
      <c r="BT299" s="15"/>
      <c r="BU299" s="15"/>
      <c r="BV299" s="15"/>
      <c r="BW299" s="15"/>
      <c r="BX299" s="15"/>
      <c r="BY299" s="15"/>
      <c r="BZ299" s="15"/>
      <c r="CA299" s="15"/>
      <c r="CB299" s="15"/>
      <c r="CC299" s="15"/>
      <c r="CD299" s="15"/>
      <c r="CE299" s="15"/>
      <c r="CF299" s="15"/>
      <c r="CG299" s="15"/>
      <c r="CH299" s="15"/>
      <c r="CI299" s="15"/>
      <c r="CJ299" s="15"/>
      <c r="CK299" s="15"/>
      <c r="CL299" s="15"/>
      <c r="CM299" s="15"/>
      <c r="CN299" s="15"/>
      <c r="CO299" s="15"/>
      <c r="CP299" s="15"/>
      <c r="CQ299" s="15"/>
      <c r="CR299" s="15"/>
      <c r="CS299" s="15"/>
      <c r="CT299" s="15"/>
      <c r="CU299" s="15"/>
      <c r="CV299" s="15"/>
      <c r="CW299" s="15"/>
      <c r="CX299" s="15"/>
      <c r="CY299" s="15"/>
      <c r="CZ299" s="15"/>
      <c r="DA299" s="15"/>
      <c r="DB299" s="15"/>
      <c r="DC299" s="15"/>
      <c r="DD299" s="15"/>
      <c r="DE299" s="15"/>
      <c r="DF299" s="15"/>
      <c r="DG299" s="15"/>
      <c r="DH299" s="15"/>
      <c r="DI299" s="15"/>
      <c r="DJ299" s="15"/>
      <c r="DK299" s="15"/>
      <c r="DL299" s="15"/>
      <c r="DM299" s="15"/>
      <c r="DN299" s="15"/>
      <c r="DO299" s="15"/>
      <c r="DP299" s="15"/>
      <c r="DQ299" s="15"/>
      <c r="DR299" s="15"/>
      <c r="DS299" s="15"/>
      <c r="DT299" s="15"/>
      <c r="DU299" s="15"/>
      <c r="DV299" s="15"/>
      <c r="DW299" s="15"/>
      <c r="DX299" s="15"/>
      <c r="DY299" s="15"/>
      <c r="DZ299" s="15"/>
      <c r="EA299" s="15"/>
      <c r="EB299" s="15"/>
      <c r="EC299" s="15"/>
      <c r="ED299" s="15"/>
      <c r="EE299" s="15"/>
      <c r="EF299" s="15"/>
      <c r="EG299" s="15"/>
      <c r="EH299" s="15"/>
      <c r="EI299" s="15"/>
      <c r="EJ299" s="15"/>
      <c r="EK299" s="15"/>
      <c r="EL299" s="15"/>
      <c r="EM299" s="15"/>
      <c r="EN299" s="15"/>
      <c r="EO299" s="15"/>
      <c r="EP299" s="15"/>
      <c r="EQ299" s="15"/>
      <c r="ER299" s="15"/>
      <c r="ES299" s="15"/>
      <c r="ET299" s="15"/>
      <c r="EU299" s="15"/>
      <c r="EV299" s="15"/>
      <c r="EW299" s="15"/>
      <c r="EX299" s="15"/>
      <c r="EY299" s="15"/>
      <c r="EZ299" s="15"/>
      <c r="FA299" s="15"/>
      <c r="FB299" s="15"/>
      <c r="FC299" s="15"/>
      <c r="FD299" s="15"/>
      <c r="FE299" s="15"/>
      <c r="FF299" s="15"/>
      <c r="FG299" s="15"/>
      <c r="FH299" s="15"/>
      <c r="FI299" s="15"/>
      <c r="FJ299" s="15"/>
      <c r="FK299" s="15"/>
      <c r="FL299" s="15"/>
      <c r="FM299" s="15"/>
      <c r="FN299" s="15"/>
      <c r="FO299" s="15"/>
      <c r="FP299" s="15"/>
      <c r="FQ299" s="15"/>
      <c r="FR299" s="15"/>
      <c r="FS299" s="15"/>
      <c r="FT299" s="15"/>
      <c r="FU299" s="15"/>
      <c r="FV299" s="15"/>
      <c r="FW299" s="15"/>
      <c r="FX299" s="15"/>
      <c r="FY299" s="15"/>
      <c r="FZ299" s="15"/>
      <c r="GA299" s="15"/>
      <c r="GB299" s="15"/>
      <c r="GC299" s="15"/>
      <c r="GD299" s="15"/>
      <c r="GE299" s="15"/>
      <c r="GF299" s="15"/>
      <c r="GG299" s="15"/>
      <c r="GH299" s="15"/>
      <c r="GI299" s="15"/>
      <c r="GJ299" s="15"/>
      <c r="GK299" s="15"/>
      <c r="GL299" s="15"/>
      <c r="GM299" s="15"/>
      <c r="GN299" s="15"/>
      <c r="GO299" s="15"/>
      <c r="GP299" s="16"/>
      <c r="IY299" s="12"/>
      <c r="IZ299" s="261"/>
      <c r="JA299" s="261"/>
      <c r="JB299" s="12"/>
      <c r="JC299" s="261"/>
      <c r="JD299" s="261"/>
      <c r="JE299" s="261"/>
      <c r="JF299" s="261"/>
      <c r="JG299" s="261"/>
      <c r="JH299" s="261"/>
      <c r="JI299" s="261"/>
      <c r="JJ299" s="12"/>
      <c r="JK299" s="261"/>
      <c r="JL299" s="261"/>
      <c r="JM299" s="261"/>
      <c r="JN299" s="261"/>
      <c r="JO299" s="261"/>
      <c r="JP299" s="261"/>
      <c r="JQ299" s="261"/>
      <c r="JR299" s="261"/>
      <c r="JS299" s="261"/>
      <c r="JT299" s="261"/>
      <c r="JU299" s="261"/>
      <c r="JV299" s="261"/>
      <c r="JW299" s="261"/>
      <c r="JX299" s="261"/>
      <c r="JY299" s="261"/>
      <c r="JZ299" s="261"/>
      <c r="KA299" s="261"/>
      <c r="KB299" s="261"/>
      <c r="KC299" s="261"/>
      <c r="KD299" s="261"/>
      <c r="KE299" s="261"/>
      <c r="KF299" s="261"/>
      <c r="KG299" s="261"/>
      <c r="KH299" s="261"/>
      <c r="KI299" s="261"/>
      <c r="KJ299" s="261"/>
      <c r="KK299" s="261"/>
      <c r="KL299" s="261"/>
      <c r="KM299" s="261"/>
      <c r="KN299" s="261"/>
      <c r="KO299" s="261"/>
      <c r="KP299" s="261"/>
      <c r="KQ299" s="261"/>
      <c r="KR299" s="261"/>
      <c r="KS299" s="261"/>
      <c r="KT299" s="261"/>
      <c r="KU299" s="261"/>
      <c r="KV299" s="261"/>
      <c r="KW299" s="261"/>
      <c r="KX299" s="261"/>
      <c r="KY299" s="261"/>
      <c r="KZ299" s="261"/>
      <c r="LA299" s="261"/>
      <c r="LB299" s="261"/>
      <c r="LC299" s="261"/>
      <c r="LD299" s="261"/>
      <c r="LE299" s="261"/>
      <c r="LF299" s="261"/>
      <c r="LG299" s="261"/>
      <c r="LH299" s="261"/>
      <c r="LI299" s="261"/>
      <c r="LJ299" s="261"/>
      <c r="LK299" s="261"/>
      <c r="LL299" s="261"/>
      <c r="LM299" s="261"/>
      <c r="LN299" s="261"/>
      <c r="LO299" s="261"/>
      <c r="LP299" s="261"/>
      <c r="LQ299" s="261"/>
      <c r="LR299" s="261"/>
      <c r="LS299" s="261"/>
      <c r="LT299" s="261"/>
      <c r="LU299" s="261"/>
      <c r="LV299" s="261"/>
      <c r="LW299" s="261"/>
      <c r="LX299" s="261"/>
      <c r="LY299" s="261"/>
      <c r="LZ299" s="261"/>
      <c r="MA299" s="261"/>
      <c r="MB299" s="261"/>
      <c r="MC299" s="261"/>
      <c r="MD299" s="261"/>
      <c r="ME299" s="261"/>
      <c r="MF299" s="261"/>
      <c r="MG299" s="261"/>
      <c r="MH299" s="261"/>
      <c r="MI299" s="261"/>
      <c r="MJ299" s="261"/>
      <c r="MK299" s="261"/>
      <c r="ML299" s="261"/>
      <c r="MM299" s="261"/>
      <c r="MN299" s="261"/>
      <c r="MO299" s="261"/>
      <c r="MP299" s="261"/>
      <c r="MQ299" s="261"/>
      <c r="MR299" s="261"/>
      <c r="MS299" s="261"/>
      <c r="MT299" s="261"/>
      <c r="MU299" s="261"/>
      <c r="MV299" s="261"/>
      <c r="MW299" s="261"/>
      <c r="MX299" s="261"/>
      <c r="MY299" s="261"/>
      <c r="MZ299" s="261"/>
      <c r="NA299" s="261"/>
      <c r="NB299" s="261"/>
      <c r="NC299" s="261"/>
      <c r="ND299" s="261"/>
      <c r="NE299" s="261"/>
      <c r="NF299" s="261"/>
      <c r="NG299" s="261"/>
      <c r="NH299" s="261"/>
      <c r="NI299" s="261"/>
      <c r="NJ299" s="261"/>
      <c r="NK299" s="13"/>
      <c r="NL299" s="261"/>
      <c r="NM299" s="261"/>
      <c r="NN299" s="13"/>
      <c r="OR299" s="12"/>
      <c r="OS299" s="261"/>
      <c r="OT299" s="261"/>
      <c r="OU299" s="12"/>
      <c r="OV299" s="261"/>
      <c r="OW299" s="261"/>
      <c r="OX299" s="261"/>
      <c r="OY299" s="261"/>
      <c r="OZ299" s="261"/>
      <c r="PA299" s="261"/>
      <c r="PB299" s="261"/>
      <c r="PC299" s="261"/>
      <c r="PD299" s="261"/>
      <c r="PE299" s="261"/>
      <c r="PF299" s="13"/>
      <c r="PG299" s="261"/>
      <c r="PH299" s="13"/>
      <c r="PI299" s="12"/>
      <c r="PJ299" s="261"/>
      <c r="PK299" s="261"/>
      <c r="PL299" s="261"/>
      <c r="PM299" s="261"/>
      <c r="PN299" s="261"/>
      <c r="PO299" s="261"/>
      <c r="PP299" s="261"/>
      <c r="PQ299" s="261"/>
      <c r="PR299" s="261"/>
      <c r="PS299" s="261"/>
      <c r="PT299" s="261"/>
      <c r="PU299" s="261"/>
      <c r="PV299" s="261"/>
      <c r="PW299" s="261"/>
      <c r="PX299" s="261"/>
      <c r="PY299" s="261"/>
      <c r="PZ299" s="261"/>
      <c r="QA299" s="261"/>
      <c r="QB299" s="261"/>
      <c r="QC299" s="261"/>
      <c r="QD299" s="261"/>
      <c r="QE299" s="261"/>
      <c r="QF299" s="261"/>
      <c r="QG299" s="261"/>
      <c r="QH299" s="261"/>
      <c r="QI299" s="261"/>
      <c r="QJ299" s="261"/>
      <c r="QK299" s="261"/>
      <c r="QL299" s="261"/>
      <c r="QM299" s="261"/>
      <c r="QN299" s="261"/>
      <c r="QO299" s="261"/>
      <c r="QP299" s="261"/>
      <c r="QQ299" s="261"/>
      <c r="QR299" s="261"/>
      <c r="QS299" s="261"/>
      <c r="QT299" s="261"/>
      <c r="QU299" s="261"/>
      <c r="QV299" s="261"/>
      <c r="QW299" s="261"/>
      <c r="QX299" s="13"/>
      <c r="QY299" s="12"/>
      <c r="QZ299" s="13"/>
      <c r="RA299" s="261"/>
      <c r="RB299" s="261"/>
      <c r="RC299" s="261"/>
      <c r="RD299" s="261"/>
      <c r="RE299" s="261"/>
      <c r="RF299" s="261"/>
      <c r="RG299" s="261"/>
      <c r="RH299" s="261"/>
      <c r="RI299" s="261"/>
      <c r="RJ299" s="261"/>
      <c r="RK299" s="261"/>
      <c r="RL299" s="261"/>
      <c r="RM299" s="261"/>
      <c r="RN299" s="261"/>
      <c r="RO299" s="261"/>
      <c r="RP299" s="261"/>
      <c r="RQ299" s="261"/>
      <c r="RR299" s="261"/>
      <c r="RS299" s="261"/>
      <c r="RT299" s="261"/>
      <c r="RU299" s="261"/>
      <c r="RV299" s="261"/>
      <c r="RW299" s="261"/>
      <c r="RX299" s="261"/>
      <c r="RY299" s="261"/>
      <c r="RZ299" s="261"/>
      <c r="SA299" s="261"/>
      <c r="SB299" s="261"/>
      <c r="SC299" s="261"/>
      <c r="SD299" s="261"/>
      <c r="SE299" s="261"/>
      <c r="SF299" s="261"/>
      <c r="SG299" s="261"/>
      <c r="SH299" s="261"/>
      <c r="SI299" s="261"/>
      <c r="SJ299" s="261"/>
      <c r="SK299" s="261"/>
      <c r="SL299" s="261"/>
      <c r="SM299" s="261"/>
      <c r="SN299" s="261"/>
      <c r="SO299" s="261"/>
      <c r="SP299" s="261"/>
      <c r="SQ299" s="261"/>
      <c r="SR299" s="261"/>
      <c r="SS299" s="261"/>
      <c r="ST299" s="261"/>
      <c r="SU299" s="261"/>
      <c r="SV299" s="261"/>
      <c r="SW299" s="261"/>
      <c r="SX299" s="261"/>
      <c r="SY299" s="261"/>
      <c r="SZ299" s="261"/>
      <c r="TA299" s="261"/>
      <c r="TB299" s="261"/>
      <c r="TC299" s="261"/>
      <c r="TD299" s="13"/>
      <c r="TE299" s="261"/>
      <c r="TF299" s="261"/>
      <c r="TG299" s="13"/>
      <c r="TO299" s="261"/>
      <c r="TP299" s="261"/>
      <c r="TQ299" s="261"/>
      <c r="TR299" s="261"/>
      <c r="TS299" s="261"/>
      <c r="TT299" s="261"/>
      <c r="TU299" s="261"/>
      <c r="TV299" s="261"/>
      <c r="TW299" s="261"/>
      <c r="TX299" s="261"/>
      <c r="TY299" s="261"/>
      <c r="TZ299" s="261"/>
      <c r="UA299" s="261"/>
      <c r="UB299" s="261"/>
      <c r="UC299" s="261"/>
      <c r="UD299" s="261"/>
      <c r="UE299" s="261"/>
      <c r="UF299" s="261"/>
      <c r="UG299" s="261"/>
      <c r="UH299" s="261"/>
      <c r="UI299" s="261"/>
      <c r="UJ299" s="261"/>
      <c r="UK299" s="261"/>
      <c r="UL299" s="261"/>
      <c r="UM299" s="261"/>
      <c r="UN299" s="261"/>
      <c r="UO299" s="261"/>
      <c r="UP299" s="261"/>
      <c r="UQ299" s="261"/>
      <c r="UR299" s="261"/>
      <c r="US299" s="261"/>
      <c r="UT299" s="261"/>
      <c r="UU299" s="261"/>
      <c r="UV299" s="261"/>
      <c r="UW299" s="261"/>
      <c r="UX299" s="261"/>
      <c r="UY299" s="261"/>
      <c r="UZ299" s="261"/>
      <c r="VA299" s="261"/>
      <c r="VB299" s="261"/>
      <c r="VC299" s="261"/>
      <c r="VD299" s="261"/>
      <c r="VE299" s="261"/>
      <c r="VF299" s="261"/>
      <c r="VG299" s="261"/>
      <c r="VH299" s="261"/>
      <c r="VI299" s="261"/>
    </row>
    <row r="300" spans="71:581" ht="10.75" customHeight="1" x14ac:dyDescent="0.2">
      <c r="IY300" s="12"/>
      <c r="IZ300" s="261"/>
      <c r="JA300" s="261"/>
      <c r="JB300" s="12"/>
      <c r="JC300" s="261"/>
      <c r="JD300" s="261"/>
      <c r="JE300" s="261"/>
      <c r="JF300" s="261"/>
      <c r="JG300" s="261"/>
      <c r="JH300" s="261"/>
      <c r="JI300" s="261"/>
      <c r="JJ300" s="12"/>
      <c r="JK300" s="261"/>
      <c r="JL300" s="261"/>
      <c r="JM300" s="261"/>
      <c r="JN300" s="261"/>
      <c r="JO300" s="261"/>
      <c r="JP300" s="261"/>
      <c r="JQ300" s="261"/>
      <c r="JR300" s="261"/>
      <c r="JS300" s="261"/>
      <c r="JT300" s="261"/>
      <c r="JU300" s="261"/>
      <c r="JV300" s="261"/>
      <c r="JW300" s="261"/>
      <c r="JX300" s="261"/>
      <c r="JY300" s="261"/>
      <c r="JZ300" s="261"/>
      <c r="KA300" s="261"/>
      <c r="KB300" s="261"/>
      <c r="KC300" s="261"/>
      <c r="KD300" s="261"/>
      <c r="KE300" s="261"/>
      <c r="KF300" s="261"/>
      <c r="KG300" s="261"/>
      <c r="KH300" s="261"/>
      <c r="KI300" s="261"/>
      <c r="KJ300" s="261"/>
      <c r="KK300" s="261"/>
      <c r="KL300" s="261"/>
      <c r="KM300" s="261"/>
      <c r="KN300" s="261"/>
      <c r="KO300" s="261"/>
      <c r="KP300" s="261"/>
      <c r="KQ300" s="261"/>
      <c r="KR300" s="261"/>
      <c r="KS300" s="261"/>
      <c r="KT300" s="261"/>
      <c r="KU300" s="261"/>
      <c r="KV300" s="261"/>
      <c r="KW300" s="261"/>
      <c r="KX300" s="261"/>
      <c r="KY300" s="261"/>
      <c r="KZ300" s="261"/>
      <c r="LA300" s="261"/>
      <c r="LB300" s="261"/>
      <c r="LC300" s="261"/>
      <c r="LD300" s="261"/>
      <c r="LE300" s="261"/>
      <c r="LF300" s="261"/>
      <c r="LG300" s="261"/>
      <c r="LH300" s="261"/>
      <c r="LI300" s="261"/>
      <c r="LJ300" s="261"/>
      <c r="LK300" s="261"/>
      <c r="LL300" s="261"/>
      <c r="LM300" s="261"/>
      <c r="LN300" s="261"/>
      <c r="LO300" s="261"/>
      <c r="LP300" s="261"/>
      <c r="LQ300" s="261"/>
      <c r="LR300" s="261"/>
      <c r="LS300" s="261"/>
      <c r="LT300" s="261"/>
      <c r="LU300" s="261"/>
      <c r="LV300" s="261"/>
      <c r="LW300" s="261"/>
      <c r="LX300" s="261"/>
      <c r="LY300" s="261"/>
      <c r="LZ300" s="261"/>
      <c r="MA300" s="261"/>
      <c r="MB300" s="261"/>
      <c r="MC300" s="261"/>
      <c r="MD300" s="261"/>
      <c r="ME300" s="261"/>
      <c r="MF300" s="261"/>
      <c r="MG300" s="261"/>
      <c r="MH300" s="261"/>
      <c r="MI300" s="261"/>
      <c r="MJ300" s="261"/>
      <c r="MK300" s="261"/>
      <c r="ML300" s="261"/>
      <c r="MM300" s="261"/>
      <c r="MN300" s="261"/>
      <c r="MO300" s="261"/>
      <c r="MP300" s="261"/>
      <c r="MQ300" s="261"/>
      <c r="MR300" s="261"/>
      <c r="MS300" s="261"/>
      <c r="MT300" s="261"/>
      <c r="MU300" s="261"/>
      <c r="MV300" s="261"/>
      <c r="MW300" s="261"/>
      <c r="MX300" s="261"/>
      <c r="MY300" s="261"/>
      <c r="MZ300" s="261"/>
      <c r="NA300" s="261"/>
      <c r="NB300" s="261"/>
      <c r="NC300" s="261"/>
      <c r="ND300" s="261"/>
      <c r="NE300" s="261"/>
      <c r="NF300" s="261"/>
      <c r="NG300" s="261"/>
      <c r="NH300" s="261"/>
      <c r="NI300" s="261"/>
      <c r="NJ300" s="261"/>
      <c r="NK300" s="13"/>
      <c r="NL300" s="261"/>
      <c r="NM300" s="261"/>
      <c r="NN300" s="13"/>
      <c r="OR300" s="12"/>
      <c r="OS300" s="261"/>
      <c r="OT300" s="261"/>
      <c r="OU300" s="12"/>
      <c r="OV300" s="261"/>
      <c r="OW300" s="261"/>
      <c r="OX300" s="261"/>
      <c r="OY300" s="261"/>
      <c r="OZ300" s="261"/>
      <c r="PA300" s="261"/>
      <c r="PB300" s="261"/>
      <c r="PC300" s="261"/>
      <c r="PD300" s="261"/>
      <c r="PE300" s="261"/>
      <c r="PF300" s="13"/>
      <c r="PG300" s="261"/>
      <c r="PH300" s="13"/>
      <c r="PI300" s="14"/>
      <c r="PJ300" s="15"/>
      <c r="PK300" s="15"/>
      <c r="PL300" s="15"/>
      <c r="PM300" s="15"/>
      <c r="PN300" s="15"/>
      <c r="PO300" s="15"/>
      <c r="PP300" s="15"/>
      <c r="PQ300" s="15"/>
      <c r="PR300" s="15"/>
      <c r="PS300" s="15"/>
      <c r="PT300" s="15"/>
      <c r="PU300" s="15"/>
      <c r="PV300" s="15"/>
      <c r="PW300" s="15"/>
      <c r="PX300" s="15"/>
      <c r="PY300" s="15"/>
      <c r="PZ300" s="15"/>
      <c r="QA300" s="15"/>
      <c r="QB300" s="15"/>
      <c r="QC300" s="15"/>
      <c r="QD300" s="15"/>
      <c r="QE300" s="15"/>
      <c r="QF300" s="15"/>
      <c r="QG300" s="15"/>
      <c r="QH300" s="15"/>
      <c r="QI300" s="15"/>
      <c r="QJ300" s="15"/>
      <c r="QK300" s="15"/>
      <c r="QL300" s="15"/>
      <c r="QM300" s="15"/>
      <c r="QN300" s="15"/>
      <c r="QO300" s="15"/>
      <c r="QP300" s="15"/>
      <c r="QQ300" s="15"/>
      <c r="QR300" s="15"/>
      <c r="QS300" s="15"/>
      <c r="QT300" s="15"/>
      <c r="QU300" s="15"/>
      <c r="QV300" s="15"/>
      <c r="QW300" s="15"/>
      <c r="QX300" s="16"/>
      <c r="QY300" s="14"/>
      <c r="QZ300" s="16"/>
      <c r="RA300" s="261"/>
      <c r="RB300" s="261"/>
      <c r="RC300" s="261"/>
      <c r="RD300" s="261"/>
      <c r="RE300" s="261"/>
      <c r="RF300" s="261"/>
      <c r="RG300" s="261"/>
      <c r="RH300" s="261"/>
      <c r="RI300" s="261"/>
      <c r="RJ300" s="261"/>
      <c r="RK300" s="261"/>
      <c r="RL300" s="261"/>
      <c r="RM300" s="261"/>
      <c r="RN300" s="261"/>
      <c r="RO300" s="261"/>
      <c r="RP300" s="261"/>
      <c r="RQ300" s="261"/>
      <c r="RR300" s="261"/>
      <c r="RS300" s="261"/>
      <c r="RT300" s="261"/>
      <c r="RU300" s="261"/>
      <c r="RV300" s="261"/>
      <c r="RW300" s="261"/>
      <c r="RX300" s="261"/>
      <c r="RY300" s="261"/>
      <c r="RZ300" s="261"/>
      <c r="SA300" s="261"/>
      <c r="SB300" s="261"/>
      <c r="SC300" s="261"/>
      <c r="SD300" s="261"/>
      <c r="SE300" s="261"/>
      <c r="SF300" s="261"/>
      <c r="SG300" s="261"/>
      <c r="SH300" s="261"/>
      <c r="SI300" s="261"/>
      <c r="SJ300" s="261"/>
      <c r="SK300" s="261"/>
      <c r="SL300" s="261"/>
      <c r="SM300" s="261"/>
      <c r="SN300" s="261"/>
      <c r="SO300" s="261"/>
      <c r="SP300" s="261"/>
      <c r="SQ300" s="261"/>
      <c r="SR300" s="261"/>
      <c r="SS300" s="261"/>
      <c r="ST300" s="261"/>
      <c r="SU300" s="261"/>
      <c r="SV300" s="261"/>
      <c r="SW300" s="261"/>
      <c r="SX300" s="261"/>
      <c r="SY300" s="261"/>
      <c r="SZ300" s="261"/>
      <c r="TA300" s="261"/>
      <c r="TB300" s="261"/>
      <c r="TC300" s="261"/>
      <c r="TD300" s="13"/>
      <c r="TE300" s="261"/>
      <c r="TF300" s="261"/>
      <c r="TG300" s="13"/>
      <c r="TO300" s="261"/>
      <c r="TP300" s="261"/>
      <c r="TQ300" s="261"/>
      <c r="TR300" s="261"/>
      <c r="TS300" s="261"/>
      <c r="TT300" s="261"/>
      <c r="TU300" s="261"/>
      <c r="TV300" s="261"/>
      <c r="TW300" s="261"/>
      <c r="TX300" s="261"/>
      <c r="TY300" s="261"/>
      <c r="TZ300" s="261"/>
      <c r="UA300" s="261"/>
      <c r="UB300" s="261"/>
      <c r="UC300" s="261"/>
      <c r="UD300" s="261"/>
      <c r="UE300" s="261"/>
      <c r="UF300" s="261"/>
      <c r="UG300" s="261"/>
      <c r="UH300" s="261"/>
      <c r="UI300" s="261"/>
      <c r="UJ300" s="261"/>
      <c r="UK300" s="261"/>
      <c r="UL300" s="261"/>
      <c r="UM300" s="261"/>
      <c r="UN300" s="261"/>
      <c r="UO300" s="261"/>
      <c r="UP300" s="261"/>
      <c r="UQ300" s="261"/>
      <c r="UR300" s="261"/>
      <c r="US300" s="261"/>
      <c r="UT300" s="261"/>
      <c r="UU300" s="261"/>
      <c r="UV300" s="261"/>
      <c r="UW300" s="261"/>
      <c r="UX300" s="261"/>
      <c r="UY300" s="261"/>
      <c r="UZ300" s="261"/>
      <c r="VA300" s="261"/>
      <c r="VB300" s="261"/>
      <c r="VC300" s="261"/>
      <c r="VD300" s="261"/>
      <c r="VE300" s="261"/>
      <c r="VF300" s="261"/>
      <c r="VG300" s="261"/>
      <c r="VH300" s="261"/>
      <c r="VI300" s="261"/>
    </row>
    <row r="301" spans="71:581" ht="10.75" customHeight="1" x14ac:dyDescent="0.2">
      <c r="IY301" s="12"/>
      <c r="IZ301" s="261"/>
      <c r="JA301" s="261"/>
      <c r="JB301" s="12"/>
      <c r="JC301" s="261"/>
      <c r="JD301" s="261"/>
      <c r="JE301" s="261"/>
      <c r="JF301" s="261"/>
      <c r="JG301" s="261"/>
      <c r="JH301" s="261"/>
      <c r="JI301" s="261"/>
      <c r="JJ301" s="12"/>
      <c r="JK301" s="261"/>
      <c r="JL301" s="261"/>
      <c r="JM301" s="261"/>
      <c r="JN301" s="261"/>
      <c r="JO301" s="261"/>
      <c r="JP301" s="261"/>
      <c r="JQ301" s="261"/>
      <c r="JR301" s="261"/>
      <c r="JS301" s="261"/>
      <c r="JT301" s="261"/>
      <c r="JU301" s="261"/>
      <c r="JV301" s="261"/>
      <c r="JW301" s="261"/>
      <c r="JX301" s="261"/>
      <c r="JY301" s="261"/>
      <c r="JZ301" s="261"/>
      <c r="KA301" s="261"/>
      <c r="KB301" s="261"/>
      <c r="KC301" s="261"/>
      <c r="KD301" s="261"/>
      <c r="KE301" s="261"/>
      <c r="KF301" s="261"/>
      <c r="KG301" s="261"/>
      <c r="KH301" s="261"/>
      <c r="KI301" s="261"/>
      <c r="KJ301" s="261"/>
      <c r="KK301" s="261"/>
      <c r="KL301" s="261"/>
      <c r="KM301" s="261"/>
      <c r="KN301" s="261"/>
      <c r="KO301" s="261"/>
      <c r="KP301" s="261"/>
      <c r="KQ301" s="261"/>
      <c r="KR301" s="261"/>
      <c r="KS301" s="261"/>
      <c r="KT301" s="261"/>
      <c r="KU301" s="261"/>
      <c r="KV301" s="261"/>
      <c r="KW301" s="261"/>
      <c r="KX301" s="261"/>
      <c r="KY301" s="261"/>
      <c r="KZ301" s="261"/>
      <c r="LA301" s="261"/>
      <c r="LB301" s="261"/>
      <c r="LC301" s="261"/>
      <c r="LD301" s="261"/>
      <c r="LE301" s="261"/>
      <c r="LF301" s="261"/>
      <c r="LG301" s="261"/>
      <c r="LH301" s="261"/>
      <c r="LI301" s="261"/>
      <c r="LJ301" s="261"/>
      <c r="LK301" s="261"/>
      <c r="LL301" s="261"/>
      <c r="LM301" s="261"/>
      <c r="LN301" s="261"/>
      <c r="LO301" s="261"/>
      <c r="LP301" s="261"/>
      <c r="LQ301" s="261"/>
      <c r="LR301" s="261"/>
      <c r="LS301" s="261"/>
      <c r="LT301" s="261"/>
      <c r="LU301" s="261"/>
      <c r="LV301" s="261"/>
      <c r="LW301" s="261"/>
      <c r="LX301" s="261"/>
      <c r="LY301" s="261"/>
      <c r="LZ301" s="261"/>
      <c r="MA301" s="261"/>
      <c r="MB301" s="261"/>
      <c r="MC301" s="261"/>
      <c r="MD301" s="261"/>
      <c r="ME301" s="261"/>
      <c r="MF301" s="261"/>
      <c r="MG301" s="261"/>
      <c r="MH301" s="261"/>
      <c r="MI301" s="261"/>
      <c r="MJ301" s="261"/>
      <c r="MK301" s="261"/>
      <c r="ML301" s="261"/>
      <c r="MM301" s="261"/>
      <c r="MN301" s="261"/>
      <c r="MO301" s="261"/>
      <c r="MP301" s="261"/>
      <c r="MQ301" s="261"/>
      <c r="MR301" s="261"/>
      <c r="MS301" s="261"/>
      <c r="MT301" s="261"/>
      <c r="MU301" s="261"/>
      <c r="MV301" s="261"/>
      <c r="MW301" s="261"/>
      <c r="MX301" s="261"/>
      <c r="MY301" s="261"/>
      <c r="MZ301" s="261"/>
      <c r="NA301" s="261"/>
      <c r="NB301" s="261"/>
      <c r="NC301" s="261"/>
      <c r="ND301" s="261"/>
      <c r="NE301" s="261"/>
      <c r="NF301" s="261"/>
      <c r="NG301" s="261"/>
      <c r="NH301" s="261"/>
      <c r="NI301" s="261"/>
      <c r="NJ301" s="261"/>
      <c r="NK301" s="13"/>
      <c r="NL301" s="261"/>
      <c r="NM301" s="261"/>
      <c r="NN301" s="13"/>
      <c r="OR301" s="12"/>
      <c r="OS301" s="261"/>
      <c r="OT301" s="261"/>
      <c r="OU301" s="12"/>
      <c r="OV301" s="261"/>
      <c r="OW301" s="261"/>
      <c r="OX301" s="261"/>
      <c r="OY301" s="261"/>
      <c r="OZ301" s="261"/>
      <c r="PA301" s="261"/>
      <c r="PB301" s="261"/>
      <c r="PC301" s="261"/>
      <c r="PD301" s="261"/>
      <c r="PE301" s="261"/>
      <c r="PF301" s="13"/>
      <c r="PG301" s="261"/>
      <c r="PH301" s="13"/>
      <c r="PI301" s="9"/>
      <c r="PJ301" s="10"/>
      <c r="PK301" s="10"/>
      <c r="PL301" s="10"/>
      <c r="PM301" s="10"/>
      <c r="PN301" s="10"/>
      <c r="PO301" s="10"/>
      <c r="PP301" s="10"/>
      <c r="PQ301" s="10"/>
      <c r="PR301" s="10"/>
      <c r="PS301" s="10"/>
      <c r="PT301" s="10"/>
      <c r="PU301" s="10"/>
      <c r="PV301" s="10"/>
      <c r="PW301" s="10"/>
      <c r="PX301" s="10"/>
      <c r="PY301" s="10"/>
      <c r="PZ301" s="10"/>
      <c r="QA301" s="10"/>
      <c r="QB301" s="10"/>
      <c r="QC301" s="10"/>
      <c r="QD301" s="10"/>
      <c r="QE301" s="10"/>
      <c r="QF301" s="10"/>
      <c r="QG301" s="10"/>
      <c r="QH301" s="10"/>
      <c r="QI301" s="10"/>
      <c r="QJ301" s="10"/>
      <c r="QK301" s="10"/>
      <c r="QL301" s="10"/>
      <c r="QM301" s="10"/>
      <c r="QN301" s="10"/>
      <c r="QO301" s="10"/>
      <c r="QP301" s="10"/>
      <c r="QQ301" s="10"/>
      <c r="QR301" s="10"/>
      <c r="QS301" s="10"/>
      <c r="QT301" s="10"/>
      <c r="QU301" s="10"/>
      <c r="QV301" s="10"/>
      <c r="QW301" s="10"/>
      <c r="QX301" s="11"/>
      <c r="QY301" s="9"/>
      <c r="QZ301" s="11"/>
      <c r="RA301" s="261"/>
      <c r="RB301" s="261"/>
      <c r="RC301" s="261"/>
      <c r="RD301" s="261"/>
      <c r="RE301" s="261"/>
      <c r="RF301" s="261"/>
      <c r="RG301" s="261"/>
      <c r="RH301" s="261"/>
      <c r="RI301" s="261"/>
      <c r="RJ301" s="261"/>
      <c r="RK301" s="261"/>
      <c r="RL301" s="261"/>
      <c r="RM301" s="261"/>
      <c r="RN301" s="261"/>
      <c r="RO301" s="261"/>
      <c r="RP301" s="261"/>
      <c r="RQ301" s="261"/>
      <c r="RR301" s="261"/>
      <c r="RS301" s="261"/>
      <c r="RT301" s="261"/>
      <c r="RU301" s="261"/>
      <c r="RV301" s="261"/>
      <c r="RW301" s="261"/>
      <c r="RX301" s="261"/>
      <c r="RY301" s="261"/>
      <c r="RZ301" s="261"/>
      <c r="SA301" s="261"/>
      <c r="SB301" s="261"/>
      <c r="SC301" s="261"/>
      <c r="SD301" s="261"/>
      <c r="SE301" s="261"/>
      <c r="SF301" s="261"/>
      <c r="SG301" s="261"/>
      <c r="SH301" s="261"/>
      <c r="SI301" s="261"/>
      <c r="SJ301" s="261"/>
      <c r="SK301" s="261"/>
      <c r="SL301" s="261"/>
      <c r="SM301" s="261"/>
      <c r="SN301" s="261"/>
      <c r="SO301" s="261"/>
      <c r="SP301" s="261"/>
      <c r="SQ301" s="261"/>
      <c r="SR301" s="261"/>
      <c r="SS301" s="261"/>
      <c r="ST301" s="261"/>
      <c r="SU301" s="261"/>
      <c r="SV301" s="261"/>
      <c r="SW301" s="261"/>
      <c r="SX301" s="261"/>
      <c r="SY301" s="261"/>
      <c r="SZ301" s="261"/>
      <c r="TA301" s="261"/>
      <c r="TB301" s="261"/>
      <c r="TC301" s="261"/>
      <c r="TD301" s="13"/>
      <c r="TE301" s="261"/>
      <c r="TF301" s="261"/>
      <c r="TG301" s="13"/>
      <c r="TO301" s="261"/>
      <c r="TP301" s="261"/>
      <c r="TQ301" s="261"/>
      <c r="TR301" s="261"/>
      <c r="TS301" s="261"/>
      <c r="TT301" s="261"/>
      <c r="TU301" s="261"/>
      <c r="TV301" s="261"/>
      <c r="TW301" s="261"/>
      <c r="TX301" s="261"/>
      <c r="TY301" s="261"/>
      <c r="TZ301" s="261"/>
      <c r="UA301" s="261"/>
      <c r="UB301" s="261"/>
      <c r="UC301" s="261"/>
      <c r="UD301" s="261"/>
      <c r="UE301" s="261"/>
      <c r="UF301" s="261"/>
      <c r="UG301" s="261"/>
      <c r="UH301" s="261"/>
      <c r="UI301" s="261"/>
      <c r="UJ301" s="261"/>
      <c r="UK301" s="261"/>
      <c r="UL301" s="261"/>
      <c r="UM301" s="261"/>
      <c r="UN301" s="261"/>
      <c r="UO301" s="261"/>
      <c r="UP301" s="261"/>
      <c r="UQ301" s="261"/>
      <c r="UR301" s="261"/>
      <c r="US301" s="261"/>
      <c r="UT301" s="261"/>
      <c r="UU301" s="261"/>
      <c r="UV301" s="261"/>
      <c r="UW301" s="261"/>
      <c r="UX301" s="261"/>
      <c r="UY301" s="261"/>
      <c r="UZ301" s="261"/>
      <c r="VA301" s="261"/>
      <c r="VB301" s="261"/>
      <c r="VC301" s="261"/>
      <c r="VD301" s="261"/>
      <c r="VE301" s="261"/>
      <c r="VF301" s="261"/>
      <c r="VG301" s="261"/>
      <c r="VH301" s="261"/>
      <c r="VI301" s="261"/>
    </row>
    <row r="302" spans="71:581" ht="10.75" customHeight="1" x14ac:dyDescent="0.2">
      <c r="IY302" s="12"/>
      <c r="IZ302" s="261"/>
      <c r="JA302" s="261"/>
      <c r="JB302" s="12"/>
      <c r="JC302" s="261"/>
      <c r="JD302" s="261"/>
      <c r="JE302" s="261"/>
      <c r="JF302" s="261"/>
      <c r="JG302" s="261"/>
      <c r="JH302" s="261"/>
      <c r="JI302" s="261"/>
      <c r="JJ302" s="12"/>
      <c r="JK302" s="261"/>
      <c r="JL302" s="261"/>
      <c r="JM302" s="261"/>
      <c r="JN302" s="261"/>
      <c r="JO302" s="261"/>
      <c r="JP302" s="261"/>
      <c r="JQ302" s="261"/>
      <c r="JR302" s="261"/>
      <c r="JS302" s="261"/>
      <c r="JT302" s="261"/>
      <c r="JU302" s="261"/>
      <c r="JV302" s="261"/>
      <c r="JW302" s="261"/>
      <c r="JX302" s="261"/>
      <c r="JY302" s="261"/>
      <c r="JZ302" s="261"/>
      <c r="KA302" s="261"/>
      <c r="KB302" s="261"/>
      <c r="KC302" s="261"/>
      <c r="KD302" s="261"/>
      <c r="KE302" s="261"/>
      <c r="KF302" s="261"/>
      <c r="KG302" s="261"/>
      <c r="KH302" s="261"/>
      <c r="KI302" s="261"/>
      <c r="KJ302" s="261"/>
      <c r="KK302" s="261"/>
      <c r="KL302" s="261"/>
      <c r="KM302" s="261"/>
      <c r="KN302" s="261"/>
      <c r="KO302" s="261"/>
      <c r="KP302" s="261"/>
      <c r="KQ302" s="261"/>
      <c r="KR302" s="261"/>
      <c r="KS302" s="261"/>
      <c r="KT302" s="261"/>
      <c r="KU302" s="261"/>
      <c r="KV302" s="261"/>
      <c r="KW302" s="261"/>
      <c r="KX302" s="261"/>
      <c r="KY302" s="261"/>
      <c r="KZ302" s="261"/>
      <c r="LA302" s="261"/>
      <c r="LB302" s="261"/>
      <c r="LC302" s="261"/>
      <c r="LD302" s="261"/>
      <c r="LE302" s="261"/>
      <c r="LF302" s="261"/>
      <c r="LG302" s="261"/>
      <c r="LH302" s="261"/>
      <c r="LI302" s="261"/>
      <c r="LJ302" s="261"/>
      <c r="LK302" s="261"/>
      <c r="LL302" s="261"/>
      <c r="LM302" s="261"/>
      <c r="LN302" s="261"/>
      <c r="LO302" s="261"/>
      <c r="LP302" s="261"/>
      <c r="LQ302" s="261"/>
      <c r="LR302" s="261"/>
      <c r="LS302" s="261"/>
      <c r="LT302" s="261"/>
      <c r="LU302" s="261"/>
      <c r="LV302" s="261"/>
      <c r="LW302" s="261"/>
      <c r="LX302" s="261"/>
      <c r="LY302" s="261"/>
      <c r="LZ302" s="261"/>
      <c r="MA302" s="261"/>
      <c r="MB302" s="261"/>
      <c r="MC302" s="261"/>
      <c r="MD302" s="261"/>
      <c r="ME302" s="261"/>
      <c r="MF302" s="261"/>
      <c r="MG302" s="261"/>
      <c r="MH302" s="261"/>
      <c r="MI302" s="261"/>
      <c r="MJ302" s="261"/>
      <c r="MK302" s="261"/>
      <c r="ML302" s="261"/>
      <c r="MM302" s="261"/>
      <c r="MN302" s="261"/>
      <c r="MO302" s="261"/>
      <c r="MP302" s="261"/>
      <c r="MQ302" s="261"/>
      <c r="MR302" s="261"/>
      <c r="MS302" s="261"/>
      <c r="MT302" s="261"/>
      <c r="MU302" s="261"/>
      <c r="MV302" s="261"/>
      <c r="MW302" s="261"/>
      <c r="MX302" s="261"/>
      <c r="MY302" s="261"/>
      <c r="MZ302" s="261"/>
      <c r="NA302" s="261"/>
      <c r="NB302" s="261"/>
      <c r="NC302" s="261"/>
      <c r="ND302" s="261"/>
      <c r="NE302" s="261"/>
      <c r="NF302" s="261"/>
      <c r="NG302" s="261"/>
      <c r="NH302" s="261"/>
      <c r="NI302" s="261"/>
      <c r="NJ302" s="261"/>
      <c r="NK302" s="13"/>
      <c r="NL302" s="261"/>
      <c r="NM302" s="261"/>
      <c r="NN302" s="13"/>
      <c r="OR302" s="12"/>
      <c r="OS302" s="261"/>
      <c r="OT302" s="261"/>
      <c r="OU302" s="12"/>
      <c r="OV302" s="261"/>
      <c r="OW302" s="261"/>
      <c r="OX302" s="261"/>
      <c r="OY302" s="261"/>
      <c r="OZ302" s="261"/>
      <c r="PA302" s="261"/>
      <c r="PB302" s="261"/>
      <c r="PC302" s="261"/>
      <c r="PD302" s="261"/>
      <c r="PE302" s="261"/>
      <c r="PF302" s="13"/>
      <c r="PG302" s="261"/>
      <c r="PH302" s="13"/>
      <c r="PI302" s="14"/>
      <c r="PJ302" s="15"/>
      <c r="PK302" s="15"/>
      <c r="PL302" s="15"/>
      <c r="PM302" s="15"/>
      <c r="PN302" s="15"/>
      <c r="PO302" s="15"/>
      <c r="PP302" s="15"/>
      <c r="PQ302" s="15"/>
      <c r="PR302" s="15"/>
      <c r="PS302" s="15"/>
      <c r="PT302" s="15"/>
      <c r="PU302" s="15"/>
      <c r="PV302" s="15"/>
      <c r="PW302" s="15"/>
      <c r="PX302" s="15"/>
      <c r="PY302" s="15"/>
      <c r="PZ302" s="15"/>
      <c r="QA302" s="15"/>
      <c r="QB302" s="15"/>
      <c r="QC302" s="15"/>
      <c r="QD302" s="15"/>
      <c r="QE302" s="15"/>
      <c r="QF302" s="15"/>
      <c r="QG302" s="15"/>
      <c r="QH302" s="15"/>
      <c r="QI302" s="15"/>
      <c r="QJ302" s="15"/>
      <c r="QK302" s="15"/>
      <c r="QL302" s="15"/>
      <c r="QM302" s="15"/>
      <c r="QN302" s="15"/>
      <c r="QO302" s="15"/>
      <c r="QP302" s="15"/>
      <c r="QQ302" s="15"/>
      <c r="QR302" s="15"/>
      <c r="QS302" s="15"/>
      <c r="QT302" s="15"/>
      <c r="QU302" s="15"/>
      <c r="QV302" s="15"/>
      <c r="QW302" s="15"/>
      <c r="QX302" s="16"/>
      <c r="QY302" s="14"/>
      <c r="QZ302" s="16"/>
      <c r="RA302" s="261"/>
      <c r="RB302" s="261"/>
      <c r="RC302" s="261"/>
      <c r="RD302" s="261"/>
      <c r="RE302" s="261"/>
      <c r="RF302" s="261"/>
      <c r="RG302" s="261"/>
      <c r="RH302" s="261"/>
      <c r="RI302" s="261"/>
      <c r="RJ302" s="261"/>
      <c r="RK302" s="261"/>
      <c r="RL302" s="261"/>
      <c r="RM302" s="261"/>
      <c r="RN302" s="261"/>
      <c r="RO302" s="261"/>
      <c r="RP302" s="261"/>
      <c r="RQ302" s="261"/>
      <c r="RR302" s="261"/>
      <c r="RS302" s="261"/>
      <c r="RT302" s="261"/>
      <c r="RU302" s="261"/>
      <c r="RV302" s="261"/>
      <c r="RW302" s="261"/>
      <c r="RX302" s="261"/>
      <c r="RY302" s="261"/>
      <c r="RZ302" s="261"/>
      <c r="SA302" s="261"/>
      <c r="SB302" s="261"/>
      <c r="SC302" s="261"/>
      <c r="SD302" s="261"/>
      <c r="SE302" s="261"/>
      <c r="SF302" s="261"/>
      <c r="SG302" s="261"/>
      <c r="SH302" s="261"/>
      <c r="SI302" s="261"/>
      <c r="SJ302" s="261"/>
      <c r="SK302" s="261"/>
      <c r="SL302" s="261"/>
      <c r="SM302" s="261"/>
      <c r="SN302" s="261"/>
      <c r="SO302" s="261"/>
      <c r="SP302" s="261"/>
      <c r="SQ302" s="261"/>
      <c r="SR302" s="261"/>
      <c r="SS302" s="261"/>
      <c r="ST302" s="261"/>
      <c r="SU302" s="261"/>
      <c r="SV302" s="261"/>
      <c r="SW302" s="261"/>
      <c r="SX302" s="261"/>
      <c r="SY302" s="261"/>
      <c r="SZ302" s="261"/>
      <c r="TA302" s="261"/>
      <c r="TB302" s="261"/>
      <c r="TC302" s="261"/>
      <c r="TD302" s="13"/>
      <c r="TE302" s="261"/>
      <c r="TF302" s="261"/>
      <c r="TG302" s="13"/>
      <c r="TO302" s="261"/>
      <c r="TP302" s="261"/>
      <c r="TQ302" s="261"/>
      <c r="TR302" s="261"/>
      <c r="TS302" s="261"/>
      <c r="TT302" s="261"/>
      <c r="TU302" s="261"/>
      <c r="TV302" s="261"/>
      <c r="TW302" s="261"/>
      <c r="TX302" s="261"/>
      <c r="TY302" s="261"/>
      <c r="TZ302" s="261"/>
      <c r="UA302" s="261"/>
      <c r="UB302" s="261"/>
      <c r="UC302" s="261"/>
      <c r="UD302" s="261"/>
      <c r="UE302" s="261"/>
      <c r="UF302" s="261"/>
      <c r="UG302" s="261"/>
      <c r="UH302" s="261"/>
      <c r="UI302" s="261"/>
      <c r="UJ302" s="261"/>
      <c r="UK302" s="261"/>
      <c r="UL302" s="261"/>
      <c r="UM302" s="261"/>
      <c r="UN302" s="261"/>
      <c r="UO302" s="261"/>
      <c r="UP302" s="261"/>
      <c r="UQ302" s="261"/>
      <c r="UR302" s="261"/>
      <c r="US302" s="261"/>
      <c r="UT302" s="261"/>
      <c r="UU302" s="261"/>
      <c r="UV302" s="261"/>
      <c r="UW302" s="261"/>
      <c r="UX302" s="261"/>
      <c r="UY302" s="261"/>
      <c r="UZ302" s="261"/>
      <c r="VA302" s="261"/>
      <c r="VB302" s="261"/>
      <c r="VC302" s="261"/>
      <c r="VD302" s="261"/>
      <c r="VE302" s="261"/>
      <c r="VF302" s="261"/>
      <c r="VG302" s="261"/>
      <c r="VH302" s="261"/>
      <c r="VI302" s="261"/>
    </row>
    <row r="303" spans="71:581" ht="10.75" customHeight="1" x14ac:dyDescent="0.2">
      <c r="IY303" s="12"/>
      <c r="IZ303" s="261"/>
      <c r="JA303" s="261"/>
      <c r="JB303" s="12"/>
      <c r="JC303" s="261"/>
      <c r="JD303" s="261"/>
      <c r="JE303" s="261"/>
      <c r="JF303" s="261"/>
      <c r="JG303" s="261"/>
      <c r="JH303" s="261"/>
      <c r="JI303" s="261"/>
      <c r="JJ303" s="12"/>
      <c r="JK303" s="261"/>
      <c r="JL303" s="261"/>
      <c r="JM303" s="261"/>
      <c r="JN303" s="261"/>
      <c r="JO303" s="261"/>
      <c r="JP303" s="261"/>
      <c r="JQ303" s="261"/>
      <c r="JR303" s="261"/>
      <c r="JS303" s="261"/>
      <c r="JT303" s="261"/>
      <c r="JU303" s="261"/>
      <c r="JV303" s="261"/>
      <c r="JW303" s="261"/>
      <c r="JX303" s="261"/>
      <c r="JY303" s="261"/>
      <c r="JZ303" s="261"/>
      <c r="KA303" s="261"/>
      <c r="KB303" s="261"/>
      <c r="KC303" s="261"/>
      <c r="KD303" s="261"/>
      <c r="KE303" s="261"/>
      <c r="KF303" s="261"/>
      <c r="KG303" s="261"/>
      <c r="KH303" s="261"/>
      <c r="KI303" s="261"/>
      <c r="KJ303" s="261"/>
      <c r="KK303" s="261"/>
      <c r="KL303" s="261"/>
      <c r="KM303" s="261"/>
      <c r="KN303" s="261"/>
      <c r="KO303" s="261"/>
      <c r="KP303" s="261"/>
      <c r="KQ303" s="261"/>
      <c r="KR303" s="261"/>
      <c r="KS303" s="261"/>
      <c r="KT303" s="261"/>
      <c r="KU303" s="261"/>
      <c r="KV303" s="261"/>
      <c r="KW303" s="261"/>
      <c r="KX303" s="261"/>
      <c r="KY303" s="261"/>
      <c r="KZ303" s="261"/>
      <c r="LA303" s="261"/>
      <c r="LB303" s="261"/>
      <c r="LC303" s="261"/>
      <c r="LD303" s="261"/>
      <c r="LE303" s="261"/>
      <c r="LF303" s="261"/>
      <c r="LG303" s="261"/>
      <c r="LH303" s="261"/>
      <c r="LI303" s="261"/>
      <c r="LJ303" s="261"/>
      <c r="LK303" s="261"/>
      <c r="LL303" s="261"/>
      <c r="LM303" s="261"/>
      <c r="LN303" s="261"/>
      <c r="LO303" s="261"/>
      <c r="LP303" s="261"/>
      <c r="LQ303" s="261"/>
      <c r="LR303" s="261"/>
      <c r="LS303" s="261"/>
      <c r="LT303" s="261"/>
      <c r="LU303" s="261"/>
      <c r="LV303" s="261"/>
      <c r="LW303" s="261"/>
      <c r="LX303" s="261"/>
      <c r="LY303" s="261"/>
      <c r="LZ303" s="261"/>
      <c r="MA303" s="261"/>
      <c r="MB303" s="261"/>
      <c r="MC303" s="261"/>
      <c r="MD303" s="261"/>
      <c r="ME303" s="261"/>
      <c r="MF303" s="261"/>
      <c r="MG303" s="261"/>
      <c r="MH303" s="261"/>
      <c r="MI303" s="261"/>
      <c r="MJ303" s="261"/>
      <c r="MK303" s="261"/>
      <c r="ML303" s="261"/>
      <c r="MM303" s="261"/>
      <c r="MN303" s="261"/>
      <c r="MO303" s="261"/>
      <c r="MP303" s="261"/>
      <c r="MQ303" s="261"/>
      <c r="MR303" s="261"/>
      <c r="MS303" s="261"/>
      <c r="MT303" s="261"/>
      <c r="MU303" s="261"/>
      <c r="MV303" s="261"/>
      <c r="MW303" s="261"/>
      <c r="MX303" s="261"/>
      <c r="MY303" s="261"/>
      <c r="MZ303" s="261"/>
      <c r="NA303" s="261"/>
      <c r="NB303" s="261"/>
      <c r="NC303" s="261"/>
      <c r="ND303" s="261"/>
      <c r="NE303" s="261"/>
      <c r="NF303" s="261"/>
      <c r="NG303" s="261"/>
      <c r="NH303" s="261"/>
      <c r="NI303" s="261"/>
      <c r="NJ303" s="261"/>
      <c r="NK303" s="13"/>
      <c r="NL303" s="261"/>
      <c r="NM303" s="261"/>
      <c r="NN303" s="13"/>
      <c r="OR303" s="12"/>
      <c r="OS303" s="261"/>
      <c r="OT303" s="261"/>
      <c r="OU303" s="9"/>
      <c r="OV303" s="10"/>
      <c r="OW303" s="10"/>
      <c r="OX303" s="10"/>
      <c r="OY303" s="10"/>
      <c r="OZ303" s="10"/>
      <c r="PA303" s="10"/>
      <c r="PB303" s="10"/>
      <c r="PC303" s="10"/>
      <c r="PD303" s="10"/>
      <c r="PE303" s="10"/>
      <c r="PF303" s="11"/>
      <c r="PG303" s="10"/>
      <c r="PH303" s="11"/>
      <c r="PI303" s="10"/>
      <c r="PJ303" s="10"/>
      <c r="PK303" s="10"/>
      <c r="PL303" s="10"/>
      <c r="PM303" s="10"/>
      <c r="PN303" s="10"/>
      <c r="PO303" s="10"/>
      <c r="PP303" s="10"/>
      <c r="PQ303" s="10"/>
      <c r="PR303" s="10"/>
      <c r="PS303" s="10"/>
      <c r="PT303" s="10"/>
      <c r="PU303" s="10"/>
      <c r="PV303" s="10"/>
      <c r="PW303" s="10"/>
      <c r="PX303" s="10"/>
      <c r="PY303" s="10"/>
      <c r="PZ303" s="10"/>
      <c r="QA303" s="10"/>
      <c r="QB303" s="10"/>
      <c r="QC303" s="10"/>
      <c r="QD303" s="10"/>
      <c r="QE303" s="10"/>
      <c r="QF303" s="10"/>
      <c r="QG303" s="10"/>
      <c r="QH303" s="10"/>
      <c r="QI303" s="10"/>
      <c r="QJ303" s="10"/>
      <c r="QK303" s="10"/>
      <c r="QL303" s="10"/>
      <c r="QM303" s="10"/>
      <c r="QN303" s="10"/>
      <c r="QO303" s="10"/>
      <c r="QP303" s="10"/>
      <c r="QQ303" s="10"/>
      <c r="QR303" s="10"/>
      <c r="QS303" s="10"/>
      <c r="QT303" s="10"/>
      <c r="QU303" s="10"/>
      <c r="QV303" s="10"/>
      <c r="QW303" s="10"/>
      <c r="QX303" s="11"/>
      <c r="QY303" s="9"/>
      <c r="QZ303" s="11"/>
      <c r="RA303" s="261"/>
      <c r="RB303" s="261"/>
      <c r="RC303" s="261"/>
      <c r="RD303" s="261"/>
      <c r="RE303" s="261"/>
      <c r="RF303" s="261"/>
      <c r="RG303" s="261"/>
      <c r="RH303" s="261"/>
      <c r="RI303" s="261"/>
      <c r="RJ303" s="261"/>
      <c r="RK303" s="261"/>
      <c r="RL303" s="261"/>
      <c r="RM303" s="261"/>
      <c r="RN303" s="261"/>
      <c r="RO303" s="261"/>
      <c r="RP303" s="261"/>
      <c r="RQ303" s="261"/>
      <c r="RR303" s="261"/>
      <c r="RS303" s="261"/>
      <c r="RT303" s="261"/>
      <c r="RU303" s="261"/>
      <c r="RV303" s="261"/>
      <c r="RW303" s="261"/>
      <c r="RX303" s="261"/>
      <c r="RY303" s="261"/>
      <c r="RZ303" s="261"/>
      <c r="SA303" s="261"/>
      <c r="SB303" s="261"/>
      <c r="SC303" s="261"/>
      <c r="SD303" s="261"/>
      <c r="SE303" s="261"/>
      <c r="SF303" s="261"/>
      <c r="SG303" s="261"/>
      <c r="SH303" s="261"/>
      <c r="SI303" s="261"/>
      <c r="SJ303" s="261"/>
      <c r="SK303" s="261"/>
      <c r="SL303" s="261"/>
      <c r="SM303" s="261"/>
      <c r="SN303" s="261"/>
      <c r="SO303" s="261"/>
      <c r="SP303" s="261"/>
      <c r="SQ303" s="261"/>
      <c r="SR303" s="261"/>
      <c r="SS303" s="261"/>
      <c r="ST303" s="261"/>
      <c r="SU303" s="261"/>
      <c r="SV303" s="261"/>
      <c r="SW303" s="261"/>
      <c r="SX303" s="261"/>
      <c r="SY303" s="261"/>
      <c r="SZ303" s="261"/>
      <c r="TA303" s="261"/>
      <c r="TB303" s="261"/>
      <c r="TC303" s="261"/>
      <c r="TD303" s="13"/>
      <c r="TE303" s="261"/>
      <c r="TF303" s="261"/>
      <c r="TG303" s="13"/>
      <c r="TO303" s="261"/>
      <c r="TP303" s="261"/>
      <c r="TQ303" s="261"/>
      <c r="TR303" s="261"/>
      <c r="TS303" s="261"/>
      <c r="TT303" s="261"/>
      <c r="TU303" s="261"/>
      <c r="TV303" s="261"/>
      <c r="TW303" s="261"/>
      <c r="TX303" s="261"/>
      <c r="TY303" s="261"/>
      <c r="TZ303" s="261"/>
      <c r="UA303" s="261"/>
      <c r="UB303" s="261"/>
      <c r="UC303" s="261"/>
      <c r="UD303" s="261"/>
      <c r="UE303" s="261"/>
      <c r="UF303" s="261"/>
      <c r="UG303" s="261"/>
      <c r="UH303" s="261"/>
      <c r="UI303" s="261"/>
      <c r="UJ303" s="261"/>
      <c r="UK303" s="261"/>
      <c r="UL303" s="261"/>
      <c r="UM303" s="261"/>
      <c r="UN303" s="261"/>
      <c r="UO303" s="261"/>
      <c r="UP303" s="261"/>
      <c r="UQ303" s="261"/>
      <c r="UR303" s="261"/>
      <c r="US303" s="261"/>
      <c r="UT303" s="261"/>
      <c r="UU303" s="261"/>
      <c r="UV303" s="261"/>
      <c r="UW303" s="261"/>
      <c r="UX303" s="261"/>
      <c r="UY303" s="261"/>
      <c r="UZ303" s="261"/>
      <c r="VA303" s="261"/>
      <c r="VB303" s="261"/>
      <c r="VC303" s="261"/>
      <c r="VD303" s="261"/>
      <c r="VE303" s="261"/>
      <c r="VF303" s="261"/>
      <c r="VG303" s="261"/>
      <c r="VH303" s="261"/>
      <c r="VI303" s="261"/>
    </row>
    <row r="304" spans="71:581" ht="10.75" customHeight="1" x14ac:dyDescent="0.2">
      <c r="IY304" s="12"/>
      <c r="IZ304" s="261"/>
      <c r="JA304" s="261"/>
      <c r="JB304" s="12"/>
      <c r="JC304" s="261"/>
      <c r="JD304" s="261"/>
      <c r="JE304" s="261"/>
      <c r="JF304" s="261"/>
      <c r="JG304" s="261"/>
      <c r="JH304" s="261"/>
      <c r="JI304" s="261"/>
      <c r="JJ304" s="12"/>
      <c r="JK304" s="261"/>
      <c r="JL304" s="261"/>
      <c r="JM304" s="261"/>
      <c r="JN304" s="261"/>
      <c r="JO304" s="261"/>
      <c r="JP304" s="261"/>
      <c r="JQ304" s="261"/>
      <c r="JR304" s="261"/>
      <c r="JS304" s="261"/>
      <c r="JT304" s="261"/>
      <c r="JU304" s="261"/>
      <c r="JV304" s="261"/>
      <c r="JW304" s="261"/>
      <c r="JX304" s="261"/>
      <c r="JY304" s="261"/>
      <c r="JZ304" s="261"/>
      <c r="KA304" s="261"/>
      <c r="KB304" s="261"/>
      <c r="KC304" s="261"/>
      <c r="KD304" s="261"/>
      <c r="KE304" s="261"/>
      <c r="KF304" s="261"/>
      <c r="KG304" s="261"/>
      <c r="KH304" s="261"/>
      <c r="KI304" s="261"/>
      <c r="KJ304" s="261"/>
      <c r="KK304" s="261"/>
      <c r="KL304" s="261"/>
      <c r="KM304" s="261"/>
      <c r="KN304" s="261"/>
      <c r="KO304" s="261"/>
      <c r="KP304" s="261"/>
      <c r="KQ304" s="261"/>
      <c r="KR304" s="261"/>
      <c r="KS304" s="261"/>
      <c r="KT304" s="261"/>
      <c r="KU304" s="261"/>
      <c r="KV304" s="261"/>
      <c r="KW304" s="261"/>
      <c r="KX304" s="261"/>
      <c r="KY304" s="261"/>
      <c r="KZ304" s="261"/>
      <c r="LA304" s="261"/>
      <c r="LB304" s="261"/>
      <c r="LC304" s="261"/>
      <c r="LD304" s="261"/>
      <c r="LE304" s="261"/>
      <c r="LF304" s="261"/>
      <c r="LG304" s="261"/>
      <c r="LH304" s="261"/>
      <c r="LI304" s="261"/>
      <c r="LJ304" s="261"/>
      <c r="LK304" s="261"/>
      <c r="LL304" s="261"/>
      <c r="LM304" s="261"/>
      <c r="LN304" s="261"/>
      <c r="LO304" s="261"/>
      <c r="LP304" s="261"/>
      <c r="LQ304" s="261"/>
      <c r="LR304" s="261"/>
      <c r="LS304" s="261"/>
      <c r="LT304" s="261"/>
      <c r="LU304" s="261"/>
      <c r="LV304" s="261"/>
      <c r="LW304" s="261"/>
      <c r="LX304" s="261"/>
      <c r="LY304" s="261"/>
      <c r="LZ304" s="261"/>
      <c r="MA304" s="261"/>
      <c r="MB304" s="261"/>
      <c r="MC304" s="261"/>
      <c r="MD304" s="261"/>
      <c r="ME304" s="261"/>
      <c r="MF304" s="261"/>
      <c r="MG304" s="261"/>
      <c r="MH304" s="261"/>
      <c r="MI304" s="261"/>
      <c r="MJ304" s="261"/>
      <c r="MK304" s="261"/>
      <c r="ML304" s="261"/>
      <c r="MM304" s="261"/>
      <c r="MN304" s="261"/>
      <c r="MO304" s="261"/>
      <c r="MP304" s="261"/>
      <c r="MQ304" s="261"/>
      <c r="MR304" s="261"/>
      <c r="MS304" s="261"/>
      <c r="MT304" s="261"/>
      <c r="MU304" s="261"/>
      <c r="MV304" s="261"/>
      <c r="MW304" s="261"/>
      <c r="MX304" s="261"/>
      <c r="MY304" s="261"/>
      <c r="MZ304" s="261"/>
      <c r="NA304" s="261"/>
      <c r="NB304" s="261"/>
      <c r="NC304" s="261"/>
      <c r="ND304" s="261"/>
      <c r="NE304" s="261"/>
      <c r="NF304" s="261"/>
      <c r="NG304" s="261"/>
      <c r="NH304" s="261"/>
      <c r="NI304" s="261"/>
      <c r="NJ304" s="261"/>
      <c r="NK304" s="13"/>
      <c r="NL304" s="261"/>
      <c r="NM304" s="261"/>
      <c r="NN304" s="13"/>
      <c r="OR304" s="12"/>
      <c r="OS304" s="261"/>
      <c r="OT304" s="261"/>
      <c r="OU304" s="12"/>
      <c r="OV304" s="261"/>
      <c r="OW304" s="261"/>
      <c r="OX304" s="261"/>
      <c r="OY304" s="261"/>
      <c r="OZ304" s="261"/>
      <c r="PA304" s="261"/>
      <c r="PB304" s="261"/>
      <c r="PC304" s="261"/>
      <c r="PD304" s="261"/>
      <c r="PE304" s="261"/>
      <c r="PF304" s="13"/>
      <c r="PG304" s="261"/>
      <c r="PH304" s="13"/>
      <c r="PI304" s="261"/>
      <c r="PJ304" s="261"/>
      <c r="PK304" s="261"/>
      <c r="PL304" s="261"/>
      <c r="PM304" s="261"/>
      <c r="PN304" s="261"/>
      <c r="PO304" s="261"/>
      <c r="PP304" s="261"/>
      <c r="PQ304" s="261"/>
      <c r="PR304" s="261"/>
      <c r="PS304" s="261"/>
      <c r="PT304" s="261"/>
      <c r="PU304" s="261"/>
      <c r="PV304" s="261"/>
      <c r="PW304" s="261"/>
      <c r="PX304" s="261"/>
      <c r="PY304" s="261"/>
      <c r="PZ304" s="261"/>
      <c r="QA304" s="261"/>
      <c r="QB304" s="261"/>
      <c r="QC304" s="261"/>
      <c r="QD304" s="261"/>
      <c r="QE304" s="261"/>
      <c r="QF304" s="261"/>
      <c r="QG304" s="261"/>
      <c r="QH304" s="261"/>
      <c r="QI304" s="261"/>
      <c r="QJ304" s="261"/>
      <c r="QK304" s="261"/>
      <c r="QL304" s="261"/>
      <c r="QM304" s="261"/>
      <c r="QN304" s="261"/>
      <c r="QO304" s="261"/>
      <c r="QP304" s="261"/>
      <c r="QQ304" s="261"/>
      <c r="QR304" s="261"/>
      <c r="QS304" s="261"/>
      <c r="QT304" s="261"/>
      <c r="QU304" s="261"/>
      <c r="QV304" s="261"/>
      <c r="QW304" s="261"/>
      <c r="QX304" s="13"/>
      <c r="QY304" s="12"/>
      <c r="QZ304" s="13"/>
      <c r="RA304" s="261"/>
      <c r="RB304" s="261"/>
      <c r="RC304" s="261"/>
      <c r="RD304" s="261"/>
      <c r="RE304" s="261"/>
      <c r="RF304" s="261"/>
      <c r="RG304" s="261"/>
      <c r="RH304" s="261"/>
      <c r="RI304" s="261"/>
      <c r="RJ304" s="261"/>
      <c r="RK304" s="261"/>
      <c r="RL304" s="261"/>
      <c r="RM304" s="261"/>
      <c r="RN304" s="261"/>
      <c r="RO304" s="261"/>
      <c r="RP304" s="261"/>
      <c r="RQ304" s="261"/>
      <c r="RR304" s="261"/>
      <c r="RS304" s="261"/>
      <c r="RT304" s="261"/>
      <c r="RU304" s="261"/>
      <c r="RV304" s="261"/>
      <c r="RW304" s="261"/>
      <c r="RX304" s="261"/>
      <c r="RY304" s="261"/>
      <c r="RZ304" s="261"/>
      <c r="SA304" s="261"/>
      <c r="SB304" s="261"/>
      <c r="SC304" s="261"/>
      <c r="SD304" s="261"/>
      <c r="SE304" s="261"/>
      <c r="SF304" s="261"/>
      <c r="SG304" s="261"/>
      <c r="SH304" s="261"/>
      <c r="SI304" s="261"/>
      <c r="SJ304" s="261"/>
      <c r="SK304" s="261"/>
      <c r="SL304" s="261"/>
      <c r="SM304" s="261"/>
      <c r="SN304" s="261"/>
      <c r="SO304" s="261"/>
      <c r="SP304" s="261"/>
      <c r="SQ304" s="261"/>
      <c r="SR304" s="261"/>
      <c r="SS304" s="261"/>
      <c r="ST304" s="261"/>
      <c r="SU304" s="261"/>
      <c r="SV304" s="261"/>
      <c r="SW304" s="261"/>
      <c r="SX304" s="261"/>
      <c r="SY304" s="261"/>
      <c r="SZ304" s="261"/>
      <c r="TA304" s="261"/>
      <c r="TB304" s="261"/>
      <c r="TC304" s="261"/>
      <c r="TD304" s="13"/>
      <c r="TE304" s="261"/>
      <c r="TF304" s="261"/>
      <c r="TG304" s="13"/>
      <c r="TO304" s="261"/>
      <c r="TP304" s="261"/>
      <c r="TQ304" s="261"/>
      <c r="TR304" s="261"/>
      <c r="TS304" s="261"/>
      <c r="TT304" s="261"/>
      <c r="TU304" s="261"/>
      <c r="TV304" s="261"/>
      <c r="TW304" s="261"/>
      <c r="TX304" s="261"/>
      <c r="TY304" s="261"/>
      <c r="TZ304" s="261"/>
      <c r="UA304" s="261"/>
      <c r="UB304" s="261"/>
      <c r="UC304" s="261"/>
      <c r="UD304" s="261"/>
      <c r="UE304" s="261"/>
      <c r="UF304" s="261"/>
      <c r="UG304" s="261"/>
      <c r="UH304" s="261"/>
      <c r="UI304" s="261"/>
      <c r="UJ304" s="261"/>
      <c r="UK304" s="261"/>
      <c r="UL304" s="261"/>
      <c r="UM304" s="261"/>
      <c r="UN304" s="261"/>
      <c r="UO304" s="261"/>
      <c r="UP304" s="261"/>
      <c r="UQ304" s="261"/>
      <c r="UR304" s="261"/>
      <c r="US304" s="261"/>
      <c r="UT304" s="261"/>
      <c r="UU304" s="261"/>
      <c r="UV304" s="261"/>
      <c r="UW304" s="261"/>
      <c r="UX304" s="261"/>
      <c r="UY304" s="261"/>
      <c r="UZ304" s="261"/>
      <c r="VA304" s="261"/>
      <c r="VB304" s="261"/>
      <c r="VC304" s="261"/>
      <c r="VD304" s="261"/>
      <c r="VE304" s="261"/>
      <c r="VF304" s="261"/>
      <c r="VG304" s="261"/>
      <c r="VH304" s="261"/>
      <c r="VI304" s="261"/>
    </row>
    <row r="305" spans="259:581" ht="10.75" customHeight="1" x14ac:dyDescent="0.2">
      <c r="IY305" s="12"/>
      <c r="IZ305" s="261"/>
      <c r="JA305" s="261"/>
      <c r="JB305" s="12"/>
      <c r="JC305" s="261"/>
      <c r="JD305" s="261"/>
      <c r="JE305" s="261"/>
      <c r="JF305" s="261"/>
      <c r="JG305" s="261"/>
      <c r="JH305" s="261"/>
      <c r="JI305" s="261"/>
      <c r="JJ305" s="12"/>
      <c r="JK305" s="261"/>
      <c r="JL305" s="261"/>
      <c r="JM305" s="261"/>
      <c r="JN305" s="261"/>
      <c r="JO305" s="261"/>
      <c r="JP305" s="261"/>
      <c r="JQ305" s="261"/>
      <c r="JR305" s="261"/>
      <c r="JS305" s="261"/>
      <c r="JT305" s="261"/>
      <c r="JU305" s="261"/>
      <c r="JV305" s="261"/>
      <c r="JW305" s="261"/>
      <c r="JX305" s="261"/>
      <c r="JY305" s="261"/>
      <c r="JZ305" s="261"/>
      <c r="KA305" s="261"/>
      <c r="KB305" s="261"/>
      <c r="KC305" s="261"/>
      <c r="KD305" s="261"/>
      <c r="KE305" s="261"/>
      <c r="KF305" s="261"/>
      <c r="KG305" s="261"/>
      <c r="KH305" s="261"/>
      <c r="KI305" s="261"/>
      <c r="KJ305" s="261"/>
      <c r="KK305" s="261"/>
      <c r="KL305" s="261"/>
      <c r="KM305" s="261"/>
      <c r="KN305" s="261"/>
      <c r="KO305" s="261"/>
      <c r="KP305" s="261"/>
      <c r="KQ305" s="261"/>
      <c r="KR305" s="261"/>
      <c r="KS305" s="261"/>
      <c r="KT305" s="261"/>
      <c r="KU305" s="261"/>
      <c r="KV305" s="261"/>
      <c r="KW305" s="261"/>
      <c r="KX305" s="261"/>
      <c r="KY305" s="261"/>
      <c r="KZ305" s="261"/>
      <c r="LA305" s="261"/>
      <c r="LB305" s="261"/>
      <c r="LC305" s="261"/>
      <c r="LD305" s="261"/>
      <c r="LE305" s="261"/>
      <c r="LF305" s="261"/>
      <c r="LG305" s="261"/>
      <c r="LH305" s="261"/>
      <c r="LI305" s="261"/>
      <c r="LJ305" s="261"/>
      <c r="LK305" s="261"/>
      <c r="LL305" s="261"/>
      <c r="LM305" s="261"/>
      <c r="LN305" s="261"/>
      <c r="LO305" s="261"/>
      <c r="LP305" s="261"/>
      <c r="LQ305" s="261"/>
      <c r="LR305" s="261"/>
      <c r="LS305" s="261"/>
      <c r="LT305" s="261"/>
      <c r="LU305" s="261"/>
      <c r="LV305" s="261"/>
      <c r="LW305" s="261"/>
      <c r="LX305" s="261"/>
      <c r="LY305" s="261"/>
      <c r="LZ305" s="261"/>
      <c r="MA305" s="261"/>
      <c r="MB305" s="261"/>
      <c r="MC305" s="261"/>
      <c r="MD305" s="261"/>
      <c r="ME305" s="261"/>
      <c r="MF305" s="261"/>
      <c r="MG305" s="261"/>
      <c r="MH305" s="261"/>
      <c r="MI305" s="261"/>
      <c r="MJ305" s="261"/>
      <c r="MK305" s="261"/>
      <c r="ML305" s="261"/>
      <c r="MM305" s="261"/>
      <c r="MN305" s="261"/>
      <c r="MO305" s="261"/>
      <c r="MP305" s="261"/>
      <c r="MQ305" s="261"/>
      <c r="MR305" s="261"/>
      <c r="MS305" s="261"/>
      <c r="MT305" s="261"/>
      <c r="MU305" s="261"/>
      <c r="MV305" s="261"/>
      <c r="MW305" s="261"/>
      <c r="MX305" s="261"/>
      <c r="MY305" s="261"/>
      <c r="MZ305" s="261"/>
      <c r="NA305" s="261"/>
      <c r="NB305" s="261"/>
      <c r="NC305" s="261"/>
      <c r="ND305" s="261"/>
      <c r="NE305" s="261"/>
      <c r="NF305" s="261"/>
      <c r="NG305" s="261"/>
      <c r="NH305" s="261"/>
      <c r="NI305" s="261"/>
      <c r="NJ305" s="261"/>
      <c r="NK305" s="13"/>
      <c r="NL305" s="261"/>
      <c r="NM305" s="261"/>
      <c r="NN305" s="13"/>
      <c r="OR305" s="12"/>
      <c r="OS305" s="261"/>
      <c r="OT305" s="261"/>
      <c r="OU305" s="12"/>
      <c r="OV305" s="261"/>
      <c r="OW305" s="261"/>
      <c r="OX305" s="261"/>
      <c r="OY305" s="261"/>
      <c r="OZ305" s="261"/>
      <c r="PA305" s="261"/>
      <c r="PB305" s="261"/>
      <c r="PC305" s="261"/>
      <c r="PD305" s="261"/>
      <c r="PE305" s="261"/>
      <c r="PF305" s="13"/>
      <c r="PG305" s="261"/>
      <c r="PH305" s="13"/>
      <c r="PI305" s="261"/>
      <c r="PJ305" s="261"/>
      <c r="PK305" s="261"/>
      <c r="PL305" s="261"/>
      <c r="PM305" s="261"/>
      <c r="PN305" s="261"/>
      <c r="PO305" s="261"/>
      <c r="PP305" s="261"/>
      <c r="PQ305" s="261"/>
      <c r="PR305" s="261"/>
      <c r="PS305" s="261"/>
      <c r="PT305" s="261"/>
      <c r="PU305" s="261"/>
      <c r="PV305" s="261"/>
      <c r="PW305" s="261"/>
      <c r="PX305" s="261"/>
      <c r="PY305" s="261"/>
      <c r="PZ305" s="261"/>
      <c r="QA305" s="261"/>
      <c r="QB305" s="261"/>
      <c r="QC305" s="261"/>
      <c r="QD305" s="261"/>
      <c r="QE305" s="261"/>
      <c r="QF305" s="261"/>
      <c r="QG305" s="261"/>
      <c r="QH305" s="261"/>
      <c r="QI305" s="261"/>
      <c r="QJ305" s="261"/>
      <c r="QK305" s="261"/>
      <c r="QL305" s="261"/>
      <c r="QM305" s="261"/>
      <c r="QN305" s="261"/>
      <c r="QO305" s="261"/>
      <c r="QP305" s="261"/>
      <c r="QQ305" s="261"/>
      <c r="QR305" s="261"/>
      <c r="QS305" s="261"/>
      <c r="QT305" s="261"/>
      <c r="QU305" s="261"/>
      <c r="QV305" s="261"/>
      <c r="QW305" s="261"/>
      <c r="QX305" s="13"/>
      <c r="QY305" s="12"/>
      <c r="QZ305" s="13"/>
      <c r="RA305" s="261"/>
      <c r="RB305" s="261"/>
      <c r="RC305" s="261"/>
      <c r="RD305" s="261"/>
      <c r="RE305" s="261"/>
      <c r="RF305" s="261"/>
      <c r="RG305" s="261"/>
      <c r="RH305" s="261"/>
      <c r="RI305" s="261"/>
      <c r="RJ305" s="261"/>
      <c r="RK305" s="261"/>
      <c r="RL305" s="261"/>
      <c r="RM305" s="261"/>
      <c r="RN305" s="261"/>
      <c r="RO305" s="261"/>
      <c r="RP305" s="261"/>
      <c r="RQ305" s="261"/>
      <c r="RR305" s="261"/>
      <c r="RS305" s="261"/>
      <c r="RT305" s="261"/>
      <c r="RU305" s="261"/>
      <c r="RV305" s="261"/>
      <c r="RW305" s="261"/>
      <c r="RX305" s="261"/>
      <c r="RY305" s="261"/>
      <c r="RZ305" s="261"/>
      <c r="SA305" s="261"/>
      <c r="SB305" s="261"/>
      <c r="SC305" s="261"/>
      <c r="SD305" s="261"/>
      <c r="SE305" s="261"/>
      <c r="SF305" s="261"/>
      <c r="SG305" s="261"/>
      <c r="SH305" s="261"/>
      <c r="SI305" s="261"/>
      <c r="SJ305" s="261"/>
      <c r="SK305" s="261"/>
      <c r="SL305" s="261"/>
      <c r="SM305" s="261"/>
      <c r="SN305" s="261"/>
      <c r="SO305" s="261"/>
      <c r="SP305" s="261"/>
      <c r="SQ305" s="261"/>
      <c r="SR305" s="261"/>
      <c r="SS305" s="261"/>
      <c r="ST305" s="261"/>
      <c r="SU305" s="261"/>
      <c r="SV305" s="261"/>
      <c r="SW305" s="261"/>
      <c r="SX305" s="261"/>
      <c r="SY305" s="261"/>
      <c r="SZ305" s="261"/>
      <c r="TA305" s="261"/>
      <c r="TB305" s="261"/>
      <c r="TC305" s="261"/>
      <c r="TD305" s="13"/>
      <c r="TE305" s="261"/>
      <c r="TF305" s="261"/>
      <c r="TG305" s="13"/>
      <c r="TO305" s="261"/>
      <c r="TP305" s="261"/>
      <c r="TQ305" s="261"/>
      <c r="TR305" s="261"/>
      <c r="TS305" s="261"/>
      <c r="TT305" s="261"/>
      <c r="TU305" s="261"/>
      <c r="TV305" s="261"/>
      <c r="TW305" s="261"/>
      <c r="TX305" s="261"/>
      <c r="TY305" s="261"/>
      <c r="TZ305" s="261"/>
      <c r="UA305" s="261"/>
      <c r="UB305" s="261"/>
      <c r="UC305" s="261"/>
      <c r="UD305" s="261"/>
      <c r="UE305" s="261"/>
      <c r="UF305" s="261"/>
      <c r="UG305" s="261"/>
      <c r="UH305" s="261"/>
      <c r="UI305" s="261"/>
      <c r="UJ305" s="261"/>
      <c r="UK305" s="261"/>
      <c r="UL305" s="261"/>
      <c r="UM305" s="261"/>
      <c r="UN305" s="261"/>
      <c r="UO305" s="261"/>
      <c r="UP305" s="261"/>
      <c r="UQ305" s="261"/>
      <c r="UR305" s="261"/>
      <c r="US305" s="261"/>
      <c r="UT305" s="261"/>
      <c r="UU305" s="261"/>
      <c r="UV305" s="261"/>
      <c r="UW305" s="261"/>
      <c r="UX305" s="261"/>
      <c r="UY305" s="261"/>
      <c r="UZ305" s="261"/>
      <c r="VA305" s="261"/>
      <c r="VB305" s="261"/>
      <c r="VC305" s="261"/>
      <c r="VD305" s="261"/>
      <c r="VE305" s="261"/>
      <c r="VF305" s="261"/>
      <c r="VG305" s="261"/>
      <c r="VH305" s="261"/>
      <c r="VI305" s="261"/>
    </row>
    <row r="306" spans="259:581" ht="10.75" customHeight="1" x14ac:dyDescent="0.2">
      <c r="IY306" s="12"/>
      <c r="IZ306" s="261"/>
      <c r="JA306" s="261"/>
      <c r="JB306" s="12"/>
      <c r="JC306" s="261"/>
      <c r="JD306" s="261"/>
      <c r="JE306" s="261"/>
      <c r="JF306" s="261"/>
      <c r="JG306" s="261"/>
      <c r="JH306" s="261"/>
      <c r="JI306" s="261"/>
      <c r="JJ306" s="14"/>
      <c r="JK306" s="15"/>
      <c r="JL306" s="15"/>
      <c r="JM306" s="15"/>
      <c r="JN306" s="15"/>
      <c r="JO306" s="15"/>
      <c r="JP306" s="15"/>
      <c r="JQ306" s="15"/>
      <c r="JR306" s="15"/>
      <c r="JS306" s="15"/>
      <c r="JT306" s="15"/>
      <c r="JU306" s="15"/>
      <c r="JV306" s="15"/>
      <c r="JW306" s="15"/>
      <c r="JX306" s="15"/>
      <c r="JY306" s="15"/>
      <c r="JZ306" s="15"/>
      <c r="KA306" s="15"/>
      <c r="KB306" s="15"/>
      <c r="KC306" s="15"/>
      <c r="KD306" s="15"/>
      <c r="KE306" s="15"/>
      <c r="KF306" s="15"/>
      <c r="KG306" s="15"/>
      <c r="KH306" s="261"/>
      <c r="KI306" s="261"/>
      <c r="KJ306" s="261"/>
      <c r="KK306" s="261"/>
      <c r="KL306" s="261"/>
      <c r="KM306" s="261"/>
      <c r="KN306" s="261"/>
      <c r="KO306" s="261"/>
      <c r="KP306" s="261"/>
      <c r="KQ306" s="261"/>
      <c r="KR306" s="261"/>
      <c r="KS306" s="261"/>
      <c r="KT306" s="261"/>
      <c r="KU306" s="261"/>
      <c r="KV306" s="261"/>
      <c r="KW306" s="261"/>
      <c r="KX306" s="261"/>
      <c r="KY306" s="261"/>
      <c r="KZ306" s="261"/>
      <c r="LA306" s="261"/>
      <c r="LB306" s="261"/>
      <c r="LC306" s="261"/>
      <c r="LD306" s="261"/>
      <c r="LE306" s="261"/>
      <c r="LF306" s="261"/>
      <c r="LG306" s="261"/>
      <c r="LH306" s="261"/>
      <c r="LI306" s="261"/>
      <c r="LJ306" s="261"/>
      <c r="LK306" s="261"/>
      <c r="LL306" s="261"/>
      <c r="LM306" s="261"/>
      <c r="LN306" s="261"/>
      <c r="LO306" s="261"/>
      <c r="LP306" s="261"/>
      <c r="LQ306" s="261"/>
      <c r="LR306" s="261"/>
      <c r="LS306" s="261"/>
      <c r="LT306" s="261"/>
      <c r="LU306" s="261"/>
      <c r="LV306" s="261"/>
      <c r="LW306" s="261"/>
      <c r="LX306" s="261"/>
      <c r="LY306" s="261"/>
      <c r="LZ306" s="261"/>
      <c r="MA306" s="261"/>
      <c r="MB306" s="261"/>
      <c r="MC306" s="261"/>
      <c r="MD306" s="261"/>
      <c r="ME306" s="261"/>
      <c r="MF306" s="261"/>
      <c r="MG306" s="261"/>
      <c r="MH306" s="261"/>
      <c r="MI306" s="261"/>
      <c r="MJ306" s="261"/>
      <c r="MK306" s="261"/>
      <c r="ML306" s="261"/>
      <c r="MM306" s="261"/>
      <c r="MN306" s="261"/>
      <c r="MO306" s="261"/>
      <c r="MP306" s="261"/>
      <c r="MQ306" s="261"/>
      <c r="MR306" s="261"/>
      <c r="MS306" s="261"/>
      <c r="MT306" s="261"/>
      <c r="MU306" s="261"/>
      <c r="MV306" s="261"/>
      <c r="MW306" s="261"/>
      <c r="MX306" s="261"/>
      <c r="MY306" s="261"/>
      <c r="MZ306" s="261"/>
      <c r="NA306" s="261"/>
      <c r="NB306" s="261"/>
      <c r="NC306" s="261"/>
      <c r="ND306" s="261"/>
      <c r="NE306" s="261"/>
      <c r="NF306" s="261"/>
      <c r="NG306" s="261"/>
      <c r="NH306" s="261"/>
      <c r="NI306" s="261"/>
      <c r="NJ306" s="261"/>
      <c r="NK306" s="13"/>
      <c r="NL306" s="261"/>
      <c r="NM306" s="261"/>
      <c r="NN306" s="13"/>
      <c r="OR306" s="12"/>
      <c r="OS306" s="261"/>
      <c r="OT306" s="261"/>
      <c r="OU306" s="12"/>
      <c r="OV306" s="261"/>
      <c r="OW306" s="261"/>
      <c r="OX306" s="261"/>
      <c r="OY306" s="261"/>
      <c r="OZ306" s="261"/>
      <c r="PA306" s="261"/>
      <c r="PB306" s="261"/>
      <c r="PC306" s="261"/>
      <c r="PD306" s="261"/>
      <c r="PE306" s="261"/>
      <c r="PF306" s="13"/>
      <c r="PG306" s="261"/>
      <c r="PH306" s="13"/>
      <c r="PI306" s="261"/>
      <c r="PJ306" s="261"/>
      <c r="PK306" s="261"/>
      <c r="PL306" s="261"/>
      <c r="PM306" s="261"/>
      <c r="PN306" s="261"/>
      <c r="PO306" s="261"/>
      <c r="PP306" s="261"/>
      <c r="PQ306" s="261"/>
      <c r="PR306" s="261"/>
      <c r="PS306" s="261"/>
      <c r="PT306" s="261"/>
      <c r="PU306" s="261"/>
      <c r="PV306" s="261"/>
      <c r="PW306" s="261"/>
      <c r="PX306" s="261"/>
      <c r="PY306" s="261"/>
      <c r="PZ306" s="261"/>
      <c r="QA306" s="261"/>
      <c r="QB306" s="261"/>
      <c r="QC306" s="261"/>
      <c r="QD306" s="261"/>
      <c r="QE306" s="261"/>
      <c r="QF306" s="261"/>
      <c r="QG306" s="261"/>
      <c r="QH306" s="261"/>
      <c r="QI306" s="261"/>
      <c r="QJ306" s="261"/>
      <c r="QK306" s="261"/>
      <c r="QL306" s="261"/>
      <c r="QM306" s="261"/>
      <c r="QN306" s="261"/>
      <c r="QO306" s="261"/>
      <c r="QP306" s="261"/>
      <c r="QQ306" s="261"/>
      <c r="QR306" s="261"/>
      <c r="QS306" s="261"/>
      <c r="QT306" s="261"/>
      <c r="QU306" s="261"/>
      <c r="QV306" s="261"/>
      <c r="QW306" s="261"/>
      <c r="QX306" s="13"/>
      <c r="QY306" s="12"/>
      <c r="QZ306" s="13"/>
      <c r="RA306" s="261"/>
      <c r="RB306" s="261"/>
      <c r="RC306" s="261"/>
      <c r="RD306" s="261"/>
      <c r="RE306" s="261"/>
      <c r="RF306" s="261"/>
      <c r="RG306" s="261"/>
      <c r="RH306" s="261"/>
      <c r="RI306" s="261"/>
      <c r="RJ306" s="261"/>
      <c r="RK306" s="261"/>
      <c r="RL306" s="261"/>
      <c r="RM306" s="261"/>
      <c r="RN306" s="261"/>
      <c r="RO306" s="261"/>
      <c r="RP306" s="261"/>
      <c r="RQ306" s="261"/>
      <c r="RR306" s="261"/>
      <c r="RS306" s="261"/>
      <c r="RT306" s="261"/>
      <c r="RU306" s="261"/>
      <c r="RV306" s="261"/>
      <c r="RW306" s="261"/>
      <c r="RX306" s="261"/>
      <c r="RY306" s="261"/>
      <c r="RZ306" s="261"/>
      <c r="SA306" s="261"/>
      <c r="SB306" s="261"/>
      <c r="SC306" s="261"/>
      <c r="SD306" s="261"/>
      <c r="SE306" s="261"/>
      <c r="SF306" s="261"/>
      <c r="SG306" s="261"/>
      <c r="SH306" s="261"/>
      <c r="SI306" s="261"/>
      <c r="SJ306" s="261"/>
      <c r="SK306" s="261"/>
      <c r="SL306" s="261"/>
      <c r="SM306" s="261"/>
      <c r="SN306" s="261"/>
      <c r="SO306" s="261"/>
      <c r="SP306" s="261"/>
      <c r="SQ306" s="261"/>
      <c r="SR306" s="261"/>
      <c r="SS306" s="261"/>
      <c r="ST306" s="261"/>
      <c r="SU306" s="261"/>
      <c r="SV306" s="261"/>
      <c r="SW306" s="261"/>
      <c r="SX306" s="261"/>
      <c r="SY306" s="261"/>
      <c r="SZ306" s="261"/>
      <c r="TA306" s="261"/>
      <c r="TB306" s="261"/>
      <c r="TC306" s="261"/>
      <c r="TD306" s="13"/>
      <c r="TE306" s="261"/>
      <c r="TF306" s="261"/>
      <c r="TG306" s="13"/>
      <c r="TO306" s="261"/>
      <c r="TP306" s="261"/>
      <c r="TQ306" s="261"/>
      <c r="TR306" s="261"/>
      <c r="TS306" s="261"/>
      <c r="TT306" s="261"/>
      <c r="TU306" s="261"/>
      <c r="TV306" s="261"/>
      <c r="TW306" s="261"/>
      <c r="TX306" s="261"/>
      <c r="TY306" s="261"/>
      <c r="TZ306" s="261"/>
      <c r="UA306" s="261"/>
      <c r="UB306" s="261"/>
      <c r="UC306" s="261"/>
      <c r="UD306" s="261"/>
      <c r="UE306" s="261"/>
      <c r="UF306" s="261"/>
      <c r="UG306" s="261"/>
      <c r="UH306" s="261"/>
      <c r="UI306" s="261"/>
      <c r="UJ306" s="261"/>
      <c r="UK306" s="261"/>
      <c r="UL306" s="261"/>
      <c r="UM306" s="261"/>
      <c r="UN306" s="261"/>
      <c r="UO306" s="261"/>
      <c r="UP306" s="261"/>
      <c r="UQ306" s="261"/>
      <c r="UR306" s="261"/>
      <c r="US306" s="261"/>
      <c r="UT306" s="261"/>
      <c r="UU306" s="261"/>
      <c r="UV306" s="261"/>
      <c r="UW306" s="261"/>
      <c r="UX306" s="261"/>
      <c r="UY306" s="261"/>
      <c r="UZ306" s="261"/>
      <c r="VA306" s="261"/>
      <c r="VB306" s="261"/>
      <c r="VC306" s="261"/>
      <c r="VD306" s="261"/>
      <c r="VE306" s="261"/>
      <c r="VF306" s="261"/>
      <c r="VG306" s="261"/>
      <c r="VH306" s="261"/>
      <c r="VI306" s="261"/>
    </row>
    <row r="307" spans="259:581" ht="10.75" customHeight="1" x14ac:dyDescent="0.2">
      <c r="IY307" s="12"/>
      <c r="IZ307" s="261"/>
      <c r="JA307" s="261"/>
      <c r="JB307" s="12"/>
      <c r="JC307" s="261"/>
      <c r="JD307" s="261"/>
      <c r="JE307" s="261"/>
      <c r="JF307" s="261"/>
      <c r="JG307" s="261"/>
      <c r="JH307" s="261"/>
      <c r="JI307" s="261"/>
      <c r="JJ307" s="261"/>
      <c r="JK307" s="261"/>
      <c r="JL307" s="261"/>
      <c r="JM307" s="261"/>
      <c r="JN307" s="261"/>
      <c r="JO307" s="261"/>
      <c r="JP307" s="261"/>
      <c r="JQ307" s="261"/>
      <c r="JR307" s="261"/>
      <c r="JS307" s="261"/>
      <c r="JT307" s="261"/>
      <c r="JU307" s="261"/>
      <c r="JV307" s="261"/>
      <c r="JW307" s="261"/>
      <c r="JX307" s="261"/>
      <c r="JY307" s="261"/>
      <c r="JZ307" s="261"/>
      <c r="KA307" s="261"/>
      <c r="KB307" s="261"/>
      <c r="KC307" s="261"/>
      <c r="KD307" s="261"/>
      <c r="KE307" s="261"/>
      <c r="KF307" s="261"/>
      <c r="KG307" s="261"/>
      <c r="KH307" s="9"/>
      <c r="KI307" s="10"/>
      <c r="KJ307" s="12"/>
      <c r="KK307" s="261"/>
      <c r="KL307" s="261"/>
      <c r="KM307" s="261"/>
      <c r="KN307" s="261"/>
      <c r="KO307" s="261"/>
      <c r="KP307" s="261"/>
      <c r="KQ307" s="261"/>
      <c r="KR307" s="261"/>
      <c r="KS307" s="261"/>
      <c r="KT307" s="261"/>
      <c r="KU307" s="261"/>
      <c r="KV307" s="261"/>
      <c r="KW307" s="261"/>
      <c r="KX307" s="261"/>
      <c r="KY307" s="261"/>
      <c r="KZ307" s="261"/>
      <c r="LA307" s="261"/>
      <c r="LB307" s="261"/>
      <c r="LC307" s="261"/>
      <c r="LD307" s="261"/>
      <c r="LE307" s="261"/>
      <c r="LF307" s="261"/>
      <c r="LG307" s="261"/>
      <c r="LH307" s="261"/>
      <c r="LI307" s="261"/>
      <c r="LJ307" s="261"/>
      <c r="LK307" s="261"/>
      <c r="LL307" s="261"/>
      <c r="LM307" s="261"/>
      <c r="LN307" s="261"/>
      <c r="LO307" s="261"/>
      <c r="LP307" s="261"/>
      <c r="LQ307" s="261"/>
      <c r="LR307" s="261"/>
      <c r="LS307" s="261"/>
      <c r="LT307" s="261"/>
      <c r="LU307" s="261"/>
      <c r="LV307" s="261"/>
      <c r="LW307" s="261"/>
      <c r="LX307" s="261"/>
      <c r="LY307" s="261"/>
      <c r="LZ307" s="261"/>
      <c r="MA307" s="261"/>
      <c r="MB307" s="261"/>
      <c r="MC307" s="261"/>
      <c r="MD307" s="261"/>
      <c r="ME307" s="261"/>
      <c r="MF307" s="261"/>
      <c r="MG307" s="261"/>
      <c r="MH307" s="261"/>
      <c r="MI307" s="261"/>
      <c r="MJ307" s="261"/>
      <c r="MK307" s="261"/>
      <c r="ML307" s="261"/>
      <c r="MM307" s="261"/>
      <c r="MN307" s="261"/>
      <c r="MO307" s="261"/>
      <c r="MP307" s="261"/>
      <c r="MQ307" s="261"/>
      <c r="MR307" s="261"/>
      <c r="MS307" s="261"/>
      <c r="MT307" s="261"/>
      <c r="MU307" s="261"/>
      <c r="MV307" s="261"/>
      <c r="MW307" s="261"/>
      <c r="MX307" s="261"/>
      <c r="MY307" s="261"/>
      <c r="MZ307" s="261"/>
      <c r="NA307" s="261"/>
      <c r="NB307" s="261"/>
      <c r="NC307" s="261"/>
      <c r="ND307" s="261"/>
      <c r="NE307" s="261"/>
      <c r="NF307" s="261"/>
      <c r="NG307" s="261"/>
      <c r="NH307" s="261"/>
      <c r="NI307" s="261"/>
      <c r="NJ307" s="261"/>
      <c r="NK307" s="13"/>
      <c r="NL307" s="261"/>
      <c r="NM307" s="261"/>
      <c r="NN307" s="13"/>
      <c r="OR307" s="12"/>
      <c r="OS307" s="261"/>
      <c r="OT307" s="261"/>
      <c r="OU307" s="12"/>
      <c r="OV307" s="261"/>
      <c r="OW307" s="261"/>
      <c r="OX307" s="261"/>
      <c r="OY307" s="261"/>
      <c r="OZ307" s="261"/>
      <c r="PA307" s="261"/>
      <c r="PB307" s="261"/>
      <c r="PC307" s="261"/>
      <c r="PD307" s="261"/>
      <c r="PE307" s="261"/>
      <c r="PF307" s="13"/>
      <c r="PG307" s="261"/>
      <c r="PH307" s="13"/>
      <c r="PI307" s="261"/>
      <c r="PJ307" s="261"/>
      <c r="PK307" s="261"/>
      <c r="PL307" s="261"/>
      <c r="PM307" s="261"/>
      <c r="PN307" s="261"/>
      <c r="PO307" s="261"/>
      <c r="PP307" s="261"/>
      <c r="PQ307" s="261"/>
      <c r="PR307" s="261"/>
      <c r="PS307" s="261"/>
      <c r="PT307" s="261"/>
      <c r="PU307" s="261"/>
      <c r="PV307" s="261"/>
      <c r="PW307" s="261"/>
      <c r="PX307" s="261"/>
      <c r="PY307" s="261"/>
      <c r="PZ307" s="261"/>
      <c r="QA307" s="261"/>
      <c r="QB307" s="261"/>
      <c r="QC307" s="261"/>
      <c r="QD307" s="261"/>
      <c r="QE307" s="261"/>
      <c r="QF307" s="261"/>
      <c r="QG307" s="261"/>
      <c r="QH307" s="261"/>
      <c r="QI307" s="261"/>
      <c r="QJ307" s="261"/>
      <c r="QK307" s="261"/>
      <c r="QL307" s="261"/>
      <c r="QM307" s="261"/>
      <c r="QN307" s="261"/>
      <c r="QO307" s="261"/>
      <c r="QP307" s="261"/>
      <c r="QQ307" s="261"/>
      <c r="QR307" s="261"/>
      <c r="QS307" s="261"/>
      <c r="QT307" s="261"/>
      <c r="QU307" s="261"/>
      <c r="QV307" s="261"/>
      <c r="QW307" s="261"/>
      <c r="QX307" s="13"/>
      <c r="QY307" s="12"/>
      <c r="QZ307" s="13"/>
      <c r="RA307" s="261"/>
      <c r="RB307" s="261"/>
      <c r="RC307" s="261"/>
      <c r="RD307" s="261"/>
      <c r="RE307" s="261"/>
      <c r="RF307" s="261"/>
      <c r="RG307" s="261"/>
      <c r="RH307" s="261"/>
      <c r="RI307" s="261"/>
      <c r="RJ307" s="261"/>
      <c r="RK307" s="261"/>
      <c r="RL307" s="261"/>
      <c r="RM307" s="261"/>
      <c r="RN307" s="261"/>
      <c r="RO307" s="261"/>
      <c r="RP307" s="261"/>
      <c r="RQ307" s="261"/>
      <c r="RR307" s="261"/>
      <c r="RS307" s="261"/>
      <c r="RT307" s="261"/>
      <c r="RU307" s="261"/>
      <c r="RV307" s="261"/>
      <c r="RW307" s="261"/>
      <c r="RX307" s="261"/>
      <c r="RY307" s="261"/>
      <c r="RZ307" s="261"/>
      <c r="SA307" s="261"/>
      <c r="SB307" s="261"/>
      <c r="SC307" s="261"/>
      <c r="SD307" s="261"/>
      <c r="SE307" s="261"/>
      <c r="SF307" s="261"/>
      <c r="SG307" s="261"/>
      <c r="SH307" s="261"/>
      <c r="SI307" s="261"/>
      <c r="SJ307" s="261"/>
      <c r="SK307" s="261"/>
      <c r="SL307" s="261"/>
      <c r="SM307" s="261"/>
      <c r="SN307" s="261"/>
      <c r="SO307" s="261"/>
      <c r="SP307" s="261"/>
      <c r="SQ307" s="261"/>
      <c r="SR307" s="261"/>
      <c r="SS307" s="261"/>
      <c r="ST307" s="261"/>
      <c r="SU307" s="261"/>
      <c r="SV307" s="261"/>
      <c r="SW307" s="261"/>
      <c r="SX307" s="261"/>
      <c r="SY307" s="261"/>
      <c r="SZ307" s="261"/>
      <c r="TA307" s="261"/>
      <c r="TB307" s="261"/>
      <c r="TC307" s="261"/>
      <c r="TD307" s="13"/>
      <c r="TE307" s="261"/>
      <c r="TF307" s="261"/>
      <c r="TG307" s="13"/>
      <c r="TO307" s="261"/>
      <c r="TP307" s="261"/>
      <c r="TQ307" s="261"/>
      <c r="TR307" s="261"/>
      <c r="TS307" s="261"/>
      <c r="TT307" s="261"/>
      <c r="TU307" s="261"/>
      <c r="TV307" s="261"/>
      <c r="TW307" s="261"/>
      <c r="TX307" s="261"/>
      <c r="TY307" s="261"/>
      <c r="TZ307" s="261"/>
      <c r="UA307" s="261"/>
      <c r="UB307" s="261"/>
      <c r="UC307" s="261"/>
      <c r="UD307" s="261"/>
      <c r="UE307" s="261"/>
      <c r="UF307" s="261"/>
      <c r="UG307" s="261"/>
      <c r="UH307" s="261"/>
      <c r="UI307" s="261"/>
      <c r="UJ307" s="261"/>
      <c r="UK307" s="261"/>
      <c r="UL307" s="261"/>
      <c r="UM307" s="261"/>
      <c r="UN307" s="261"/>
      <c r="UO307" s="261"/>
      <c r="UP307" s="261"/>
      <c r="UQ307" s="261"/>
      <c r="UR307" s="261"/>
      <c r="US307" s="261"/>
      <c r="UT307" s="261"/>
      <c r="UU307" s="261"/>
      <c r="UV307" s="261"/>
      <c r="UW307" s="261"/>
      <c r="UX307" s="261"/>
      <c r="UY307" s="261"/>
      <c r="UZ307" s="261"/>
      <c r="VA307" s="261"/>
      <c r="VB307" s="261"/>
      <c r="VC307" s="261"/>
      <c r="VD307" s="261"/>
      <c r="VE307" s="261"/>
      <c r="VF307" s="261"/>
      <c r="VG307" s="261"/>
      <c r="VH307" s="261"/>
      <c r="VI307" s="261"/>
    </row>
    <row r="308" spans="259:581" ht="10.75" customHeight="1" x14ac:dyDescent="0.2">
      <c r="IY308" s="12"/>
      <c r="IZ308" s="261"/>
      <c r="JA308" s="261"/>
      <c r="JB308" s="12"/>
      <c r="JC308" s="261"/>
      <c r="JD308" s="261"/>
      <c r="JE308" s="261"/>
      <c r="JF308" s="261"/>
      <c r="JG308" s="261"/>
      <c r="JH308" s="261"/>
      <c r="JI308" s="261"/>
      <c r="JJ308" s="261"/>
      <c r="JK308" s="261"/>
      <c r="JL308" s="261"/>
      <c r="JM308" s="261"/>
      <c r="JN308" s="261"/>
      <c r="JO308" s="261"/>
      <c r="JP308" s="261"/>
      <c r="JQ308" s="261"/>
      <c r="JR308" s="261"/>
      <c r="JS308" s="261"/>
      <c r="JT308" s="261"/>
      <c r="JU308" s="261"/>
      <c r="JV308" s="261"/>
      <c r="JW308" s="261"/>
      <c r="JX308" s="261"/>
      <c r="JY308" s="261"/>
      <c r="JZ308" s="261"/>
      <c r="KA308" s="261"/>
      <c r="KB308" s="261"/>
      <c r="KC308" s="261"/>
      <c r="KD308" s="261"/>
      <c r="KE308" s="261"/>
      <c r="KF308" s="261"/>
      <c r="KG308" s="261"/>
      <c r="KH308" s="12"/>
      <c r="KI308" s="261"/>
      <c r="KJ308" s="12"/>
      <c r="KK308" s="261"/>
      <c r="KL308" s="261"/>
      <c r="KM308" s="261"/>
      <c r="KN308" s="261"/>
      <c r="KO308" s="261"/>
      <c r="KP308" s="261"/>
      <c r="KQ308" s="261"/>
      <c r="KR308" s="261"/>
      <c r="KS308" s="261"/>
      <c r="KT308" s="261"/>
      <c r="KU308" s="261"/>
      <c r="KV308" s="261"/>
      <c r="KW308" s="261"/>
      <c r="KX308" s="261"/>
      <c r="KY308" s="261"/>
      <c r="KZ308" s="261"/>
      <c r="LA308" s="261"/>
      <c r="LB308" s="261"/>
      <c r="LC308" s="261"/>
      <c r="LD308" s="261"/>
      <c r="LE308" s="261"/>
      <c r="LF308" s="261"/>
      <c r="LG308" s="261"/>
      <c r="LH308" s="261"/>
      <c r="LI308" s="261"/>
      <c r="LJ308" s="261"/>
      <c r="LK308" s="261"/>
      <c r="LL308" s="261"/>
      <c r="LM308" s="261"/>
      <c r="LN308" s="261"/>
      <c r="LO308" s="261"/>
      <c r="LP308" s="261"/>
      <c r="LQ308" s="261"/>
      <c r="LR308" s="261"/>
      <c r="LS308" s="261"/>
      <c r="LT308" s="261"/>
      <c r="LU308" s="261"/>
      <c r="LV308" s="261"/>
      <c r="LW308" s="261"/>
      <c r="LX308" s="261"/>
      <c r="LY308" s="261"/>
      <c r="LZ308" s="261"/>
      <c r="MA308" s="261"/>
      <c r="MB308" s="261"/>
      <c r="MC308" s="261"/>
      <c r="MD308" s="261"/>
      <c r="ME308" s="261"/>
      <c r="MF308" s="261"/>
      <c r="MG308" s="261"/>
      <c r="MH308" s="261"/>
      <c r="MI308" s="261"/>
      <c r="MJ308" s="261"/>
      <c r="MK308" s="261"/>
      <c r="ML308" s="261"/>
      <c r="MM308" s="261"/>
      <c r="MN308" s="261"/>
      <c r="MO308" s="261"/>
      <c r="MP308" s="261"/>
      <c r="MQ308" s="261"/>
      <c r="MR308" s="261"/>
      <c r="MS308" s="261"/>
      <c r="MT308" s="261"/>
      <c r="MU308" s="261"/>
      <c r="MV308" s="261"/>
      <c r="MW308" s="261"/>
      <c r="MX308" s="261"/>
      <c r="MY308" s="261"/>
      <c r="MZ308" s="261"/>
      <c r="NA308" s="261"/>
      <c r="NB308" s="261"/>
      <c r="NC308" s="261"/>
      <c r="ND308" s="261"/>
      <c r="NE308" s="261"/>
      <c r="NF308" s="261"/>
      <c r="NG308" s="261"/>
      <c r="NH308" s="261"/>
      <c r="NI308" s="261"/>
      <c r="NJ308" s="261"/>
      <c r="NK308" s="13"/>
      <c r="NL308" s="261"/>
      <c r="NM308" s="261"/>
      <c r="NN308" s="13"/>
      <c r="OR308" s="12"/>
      <c r="OS308" s="261"/>
      <c r="OT308" s="261"/>
      <c r="OU308" s="12"/>
      <c r="OV308" s="261"/>
      <c r="OW308" s="261"/>
      <c r="OX308" s="261"/>
      <c r="OY308" s="261"/>
      <c r="OZ308" s="261"/>
      <c r="PA308" s="261"/>
      <c r="PB308" s="261"/>
      <c r="PC308" s="261"/>
      <c r="PD308" s="261"/>
      <c r="PE308" s="261"/>
      <c r="PF308" s="13"/>
      <c r="PG308" s="261"/>
      <c r="PH308" s="13"/>
      <c r="PI308" s="261"/>
      <c r="PJ308" s="261"/>
      <c r="PK308" s="261"/>
      <c r="PL308" s="261"/>
      <c r="PM308" s="261"/>
      <c r="PN308" s="261"/>
      <c r="PO308" s="261"/>
      <c r="PP308" s="261"/>
      <c r="PQ308" s="261"/>
      <c r="PR308" s="261"/>
      <c r="PS308" s="261"/>
      <c r="PT308" s="261"/>
      <c r="PU308" s="261"/>
      <c r="PV308" s="261"/>
      <c r="PW308" s="261"/>
      <c r="PX308" s="261"/>
      <c r="PY308" s="261"/>
      <c r="PZ308" s="261"/>
      <c r="QA308" s="261"/>
      <c r="QB308" s="261"/>
      <c r="QC308" s="261"/>
      <c r="QD308" s="261"/>
      <c r="QE308" s="261"/>
      <c r="QF308" s="261"/>
      <c r="QG308" s="261"/>
      <c r="QH308" s="261"/>
      <c r="QI308" s="261"/>
      <c r="QJ308" s="261"/>
      <c r="QK308" s="261"/>
      <c r="QL308" s="261"/>
      <c r="QM308" s="261"/>
      <c r="QN308" s="261"/>
      <c r="QO308" s="261"/>
      <c r="QP308" s="261"/>
      <c r="QQ308" s="261"/>
      <c r="QR308" s="261"/>
      <c r="QS308" s="261"/>
      <c r="QT308" s="261"/>
      <c r="QU308" s="261"/>
      <c r="QV308" s="261"/>
      <c r="QW308" s="261"/>
      <c r="QX308" s="13"/>
      <c r="QY308" s="12"/>
      <c r="QZ308" s="13"/>
      <c r="RA308" s="261"/>
      <c r="RB308" s="261"/>
      <c r="RC308" s="261"/>
      <c r="RD308" s="261"/>
      <c r="RE308" s="261"/>
      <c r="RF308" s="261"/>
      <c r="RG308" s="261"/>
      <c r="RH308" s="261"/>
      <c r="RI308" s="261"/>
      <c r="RJ308" s="261"/>
      <c r="RK308" s="261"/>
      <c r="RL308" s="261"/>
      <c r="RM308" s="261"/>
      <c r="RN308" s="261"/>
      <c r="RO308" s="261"/>
      <c r="RP308" s="261"/>
      <c r="RQ308" s="261"/>
      <c r="RR308" s="261"/>
      <c r="RS308" s="261"/>
      <c r="RT308" s="261"/>
      <c r="RU308" s="261"/>
      <c r="RV308" s="261"/>
      <c r="RW308" s="261"/>
      <c r="RX308" s="261"/>
      <c r="RY308" s="261"/>
      <c r="RZ308" s="261"/>
      <c r="SA308" s="261"/>
      <c r="SB308" s="261"/>
      <c r="SC308" s="261"/>
      <c r="SD308" s="261"/>
      <c r="SE308" s="261"/>
      <c r="SF308" s="261"/>
      <c r="SG308" s="261"/>
      <c r="SH308" s="261"/>
      <c r="SI308" s="261"/>
      <c r="SJ308" s="261"/>
      <c r="SK308" s="261"/>
      <c r="SL308" s="261"/>
      <c r="SM308" s="261"/>
      <c r="SN308" s="261"/>
      <c r="SO308" s="261"/>
      <c r="SP308" s="261"/>
      <c r="SQ308" s="261"/>
      <c r="SR308" s="261"/>
      <c r="SS308" s="261"/>
      <c r="ST308" s="261"/>
      <c r="SU308" s="261"/>
      <c r="SV308" s="261"/>
      <c r="SW308" s="261"/>
      <c r="SX308" s="261"/>
      <c r="SY308" s="261"/>
      <c r="SZ308" s="261"/>
      <c r="TA308" s="261"/>
      <c r="TB308" s="261"/>
      <c r="TC308" s="261"/>
      <c r="TD308" s="13"/>
      <c r="TE308" s="261"/>
      <c r="TF308" s="261"/>
      <c r="TG308" s="13"/>
      <c r="TO308" s="261"/>
      <c r="TP308" s="261"/>
      <c r="TQ308" s="261"/>
      <c r="TR308" s="261"/>
      <c r="TS308" s="261"/>
      <c r="TT308" s="261"/>
      <c r="TU308" s="261"/>
      <c r="TV308" s="261"/>
      <c r="TW308" s="261"/>
      <c r="TX308" s="261"/>
      <c r="TY308" s="261"/>
      <c r="TZ308" s="261"/>
      <c r="UA308" s="261"/>
      <c r="UB308" s="261"/>
      <c r="UC308" s="261"/>
      <c r="UD308" s="261"/>
      <c r="UE308" s="261"/>
      <c r="UF308" s="261"/>
      <c r="UG308" s="261"/>
      <c r="UH308" s="261"/>
      <c r="UI308" s="261"/>
      <c r="UJ308" s="261"/>
      <c r="UK308" s="261"/>
      <c r="UL308" s="261"/>
      <c r="UM308" s="261"/>
      <c r="UN308" s="261"/>
      <c r="UO308" s="261"/>
      <c r="UP308" s="261"/>
      <c r="UQ308" s="261"/>
      <c r="UR308" s="261"/>
      <c r="US308" s="261"/>
      <c r="UT308" s="261"/>
      <c r="UU308" s="261"/>
      <c r="UV308" s="261"/>
      <c r="UW308" s="261"/>
      <c r="UX308" s="261"/>
      <c r="UY308" s="261"/>
      <c r="UZ308" s="261"/>
      <c r="VA308" s="261"/>
      <c r="VB308" s="261"/>
      <c r="VC308" s="261"/>
      <c r="VD308" s="261"/>
      <c r="VE308" s="261"/>
      <c r="VF308" s="261"/>
      <c r="VG308" s="261"/>
      <c r="VH308" s="261"/>
      <c r="VI308" s="261"/>
    </row>
    <row r="309" spans="259:581" ht="10.75" customHeight="1" x14ac:dyDescent="0.2">
      <c r="IY309" s="12"/>
      <c r="IZ309" s="261"/>
      <c r="JA309" s="261"/>
      <c r="JB309" s="12"/>
      <c r="JC309" s="261"/>
      <c r="JD309" s="261"/>
      <c r="JE309" s="261"/>
      <c r="JF309" s="261"/>
      <c r="JG309" s="261"/>
      <c r="JH309" s="261"/>
      <c r="JI309" s="261"/>
      <c r="JJ309" s="261"/>
      <c r="JK309" s="261"/>
      <c r="JL309" s="261"/>
      <c r="JM309" s="261"/>
      <c r="JN309" s="261"/>
      <c r="JO309" s="261"/>
      <c r="JP309" s="261"/>
      <c r="JQ309" s="261"/>
      <c r="JR309" s="261"/>
      <c r="JS309" s="261"/>
      <c r="JT309" s="261"/>
      <c r="JU309" s="261"/>
      <c r="JV309" s="261"/>
      <c r="JW309" s="261"/>
      <c r="JX309" s="261"/>
      <c r="JY309" s="261"/>
      <c r="JZ309" s="261"/>
      <c r="KA309" s="261"/>
      <c r="KB309" s="261"/>
      <c r="KC309" s="261"/>
      <c r="KD309" s="261"/>
      <c r="KE309" s="261"/>
      <c r="KF309" s="261"/>
      <c r="KG309" s="261"/>
      <c r="KH309" s="12"/>
      <c r="KI309" s="261"/>
      <c r="KJ309" s="12"/>
      <c r="KK309" s="261"/>
      <c r="KL309" s="261"/>
      <c r="KM309" s="261"/>
      <c r="KN309" s="261"/>
      <c r="KO309" s="261"/>
      <c r="KP309" s="261"/>
      <c r="KQ309" s="261"/>
      <c r="KR309" s="261"/>
      <c r="KS309" s="261"/>
      <c r="KT309" s="261"/>
      <c r="KU309" s="261"/>
      <c r="KV309" s="261"/>
      <c r="KW309" s="261"/>
      <c r="KX309" s="261"/>
      <c r="KY309" s="261"/>
      <c r="KZ309" s="261"/>
      <c r="LA309" s="261"/>
      <c r="LB309" s="261"/>
      <c r="LC309" s="261"/>
      <c r="LD309" s="261"/>
      <c r="LE309" s="261"/>
      <c r="LF309" s="261"/>
      <c r="LG309" s="261"/>
      <c r="LH309" s="261"/>
      <c r="LI309" s="261"/>
      <c r="LJ309" s="261"/>
      <c r="LK309" s="261"/>
      <c r="LL309" s="261"/>
      <c r="LM309" s="261"/>
      <c r="LN309" s="261"/>
      <c r="LO309" s="261"/>
      <c r="LP309" s="261"/>
      <c r="LQ309" s="261"/>
      <c r="LR309" s="261"/>
      <c r="LS309" s="261"/>
      <c r="LT309" s="261"/>
      <c r="LU309" s="261"/>
      <c r="LV309" s="261"/>
      <c r="LW309" s="261"/>
      <c r="LX309" s="261"/>
      <c r="LY309" s="261"/>
      <c r="LZ309" s="261"/>
      <c r="MA309" s="261"/>
      <c r="MB309" s="261"/>
      <c r="MC309" s="261"/>
      <c r="MD309" s="261"/>
      <c r="ME309" s="261"/>
      <c r="MF309" s="261"/>
      <c r="MG309" s="261"/>
      <c r="MH309" s="261"/>
      <c r="MI309" s="261"/>
      <c r="MJ309" s="261"/>
      <c r="MK309" s="261"/>
      <c r="ML309" s="261"/>
      <c r="MM309" s="261"/>
      <c r="MN309" s="261"/>
      <c r="MO309" s="261"/>
      <c r="MP309" s="261"/>
      <c r="MQ309" s="261"/>
      <c r="MR309" s="261"/>
      <c r="MS309" s="261"/>
      <c r="MT309" s="261"/>
      <c r="MU309" s="261"/>
      <c r="MV309" s="261"/>
      <c r="MW309" s="261"/>
      <c r="MX309" s="261"/>
      <c r="MY309" s="261"/>
      <c r="MZ309" s="261"/>
      <c r="NA309" s="261"/>
      <c r="NB309" s="261"/>
      <c r="NC309" s="261"/>
      <c r="ND309" s="261"/>
      <c r="NE309" s="261"/>
      <c r="NF309" s="261"/>
      <c r="NG309" s="261"/>
      <c r="NH309" s="261"/>
      <c r="NI309" s="261"/>
      <c r="NJ309" s="261"/>
      <c r="NK309" s="13"/>
      <c r="NL309" s="261"/>
      <c r="NM309" s="261"/>
      <c r="NN309" s="13"/>
      <c r="OR309" s="12"/>
      <c r="OS309" s="261"/>
      <c r="OT309" s="261"/>
      <c r="OU309" s="12"/>
      <c r="OV309" s="261"/>
      <c r="OW309" s="261"/>
      <c r="OX309" s="261"/>
      <c r="OY309" s="261"/>
      <c r="OZ309" s="261"/>
      <c r="PA309" s="261"/>
      <c r="PB309" s="261"/>
      <c r="PC309" s="261"/>
      <c r="PD309" s="261"/>
      <c r="PE309" s="261"/>
      <c r="PF309" s="13"/>
      <c r="PG309" s="261"/>
      <c r="PH309" s="13"/>
      <c r="PI309" s="261"/>
      <c r="PJ309" s="261"/>
      <c r="PK309" s="261"/>
      <c r="PL309" s="261"/>
      <c r="PM309" s="261"/>
      <c r="PN309" s="261"/>
      <c r="PO309" s="261"/>
      <c r="PP309" s="261"/>
      <c r="PQ309" s="261"/>
      <c r="PR309" s="261"/>
      <c r="PS309" s="261"/>
      <c r="PT309" s="261"/>
      <c r="PU309" s="261"/>
      <c r="PV309" s="261"/>
      <c r="PW309" s="261"/>
      <c r="PX309" s="261"/>
      <c r="PY309" s="261"/>
      <c r="PZ309" s="261"/>
      <c r="QA309" s="261"/>
      <c r="QB309" s="261"/>
      <c r="QC309" s="261"/>
      <c r="QD309" s="261"/>
      <c r="QE309" s="261"/>
      <c r="QF309" s="261"/>
      <c r="QG309" s="261"/>
      <c r="QH309" s="261"/>
      <c r="QI309" s="261"/>
      <c r="QJ309" s="261"/>
      <c r="QK309" s="261"/>
      <c r="QL309" s="261"/>
      <c r="QM309" s="261"/>
      <c r="QN309" s="261"/>
      <c r="QO309" s="261"/>
      <c r="QP309" s="261"/>
      <c r="QQ309" s="261"/>
      <c r="QR309" s="261"/>
      <c r="QS309" s="261"/>
      <c r="QT309" s="261"/>
      <c r="QU309" s="261"/>
      <c r="QV309" s="261"/>
      <c r="QW309" s="261"/>
      <c r="QX309" s="13"/>
      <c r="QY309" s="12"/>
      <c r="QZ309" s="13"/>
      <c r="RA309" s="261"/>
      <c r="RB309" s="261"/>
      <c r="RC309" s="261"/>
      <c r="RD309" s="261"/>
      <c r="RE309" s="261"/>
      <c r="RF309" s="261"/>
      <c r="RG309" s="261"/>
      <c r="RH309" s="261"/>
      <c r="RI309" s="261"/>
      <c r="RJ309" s="261"/>
      <c r="RK309" s="261"/>
      <c r="RL309" s="261"/>
      <c r="RM309" s="261"/>
      <c r="RN309" s="261"/>
      <c r="RO309" s="261"/>
      <c r="RP309" s="261"/>
      <c r="RQ309" s="261"/>
      <c r="RR309" s="261"/>
      <c r="RS309" s="261"/>
      <c r="RT309" s="261"/>
      <c r="RU309" s="261"/>
      <c r="RV309" s="261"/>
      <c r="RW309" s="261"/>
      <c r="RX309" s="261"/>
      <c r="RY309" s="261"/>
      <c r="RZ309" s="261"/>
      <c r="SA309" s="261"/>
      <c r="SB309" s="261"/>
      <c r="SC309" s="261"/>
      <c r="SD309" s="261"/>
      <c r="SE309" s="261"/>
      <c r="SF309" s="261"/>
      <c r="SG309" s="261"/>
      <c r="SH309" s="261"/>
      <c r="SI309" s="261"/>
      <c r="SJ309" s="261"/>
      <c r="SK309" s="261"/>
      <c r="SL309" s="261"/>
      <c r="SM309" s="261"/>
      <c r="SN309" s="261"/>
      <c r="SO309" s="261"/>
      <c r="SP309" s="261"/>
      <c r="SQ309" s="261"/>
      <c r="SR309" s="261"/>
      <c r="SS309" s="261"/>
      <c r="ST309" s="261"/>
      <c r="SU309" s="261"/>
      <c r="SV309" s="261"/>
      <c r="SW309" s="261"/>
      <c r="SX309" s="261"/>
      <c r="SY309" s="261"/>
      <c r="SZ309" s="261"/>
      <c r="TA309" s="261"/>
      <c r="TB309" s="261"/>
      <c r="TC309" s="261"/>
      <c r="TD309" s="13"/>
      <c r="TE309" s="261"/>
      <c r="TF309" s="261"/>
      <c r="TG309" s="13"/>
      <c r="TO309" s="261"/>
      <c r="TP309" s="261"/>
      <c r="TQ309" s="261"/>
      <c r="TR309" s="261"/>
      <c r="TS309" s="261"/>
      <c r="TT309" s="261"/>
      <c r="TU309" s="261"/>
      <c r="TV309" s="261"/>
      <c r="TW309" s="261"/>
      <c r="TX309" s="261"/>
      <c r="TY309" s="261"/>
      <c r="TZ309" s="261"/>
      <c r="UA309" s="261"/>
      <c r="UB309" s="261"/>
      <c r="UC309" s="261"/>
      <c r="UD309" s="261"/>
      <c r="UE309" s="261"/>
      <c r="UF309" s="261"/>
      <c r="UG309" s="261"/>
      <c r="UH309" s="261"/>
      <c r="UI309" s="261"/>
      <c r="UJ309" s="261"/>
      <c r="UK309" s="261"/>
      <c r="UL309" s="261"/>
      <c r="UM309" s="261"/>
      <c r="UN309" s="261"/>
      <c r="UO309" s="261"/>
      <c r="UP309" s="261"/>
      <c r="UQ309" s="261"/>
      <c r="UR309" s="261"/>
      <c r="US309" s="261"/>
      <c r="UT309" s="261"/>
      <c r="UU309" s="261"/>
      <c r="UV309" s="261"/>
      <c r="UW309" s="261"/>
      <c r="UX309" s="261"/>
      <c r="UY309" s="261"/>
      <c r="UZ309" s="261"/>
      <c r="VA309" s="261"/>
      <c r="VB309" s="261"/>
      <c r="VC309" s="261"/>
      <c r="VD309" s="261"/>
      <c r="VE309" s="261"/>
      <c r="VF309" s="261"/>
      <c r="VG309" s="261"/>
      <c r="VH309" s="261"/>
      <c r="VI309" s="261"/>
    </row>
    <row r="310" spans="259:581" ht="10.75" customHeight="1" x14ac:dyDescent="0.2">
      <c r="IY310" s="12"/>
      <c r="IZ310" s="261"/>
      <c r="JA310" s="261"/>
      <c r="JB310" s="12"/>
      <c r="JC310" s="261"/>
      <c r="JD310" s="261"/>
      <c r="JE310" s="261"/>
      <c r="JF310" s="261"/>
      <c r="JG310" s="261"/>
      <c r="JH310" s="261"/>
      <c r="JI310" s="261"/>
      <c r="JJ310" s="261"/>
      <c r="JK310" s="261"/>
      <c r="JL310" s="261"/>
      <c r="JM310" s="261"/>
      <c r="JN310" s="261"/>
      <c r="JO310" s="261"/>
      <c r="JP310" s="261"/>
      <c r="JQ310" s="261"/>
      <c r="JR310" s="261"/>
      <c r="JS310" s="261"/>
      <c r="JT310" s="261"/>
      <c r="JU310" s="261"/>
      <c r="JV310" s="261"/>
      <c r="JW310" s="261"/>
      <c r="JX310" s="261"/>
      <c r="JY310" s="261"/>
      <c r="JZ310" s="261"/>
      <c r="KA310" s="261"/>
      <c r="KB310" s="261"/>
      <c r="KC310" s="261"/>
      <c r="KD310" s="261"/>
      <c r="KE310" s="261"/>
      <c r="KF310" s="261"/>
      <c r="KG310" s="261"/>
      <c r="KH310" s="12"/>
      <c r="KI310" s="261"/>
      <c r="KJ310" s="12"/>
      <c r="KK310" s="261"/>
      <c r="KL310" s="261"/>
      <c r="KM310" s="261"/>
      <c r="KN310" s="261"/>
      <c r="KO310" s="261"/>
      <c r="KP310" s="261"/>
      <c r="KQ310" s="261"/>
      <c r="KR310" s="261"/>
      <c r="KS310" s="261"/>
      <c r="KT310" s="261"/>
      <c r="KU310" s="261"/>
      <c r="KV310" s="261"/>
      <c r="KW310" s="261"/>
      <c r="KX310" s="261"/>
      <c r="KY310" s="261"/>
      <c r="KZ310" s="261"/>
      <c r="LA310" s="261"/>
      <c r="LB310" s="261"/>
      <c r="LC310" s="261"/>
      <c r="LD310" s="261"/>
      <c r="LE310" s="261"/>
      <c r="LF310" s="261"/>
      <c r="LG310" s="261"/>
      <c r="LH310" s="261"/>
      <c r="LI310" s="261"/>
      <c r="LJ310" s="261"/>
      <c r="LK310" s="261"/>
      <c r="LL310" s="261"/>
      <c r="LM310" s="261"/>
      <c r="LN310" s="261"/>
      <c r="LO310" s="261"/>
      <c r="LP310" s="261"/>
      <c r="LQ310" s="261"/>
      <c r="LR310" s="261"/>
      <c r="LS310" s="261"/>
      <c r="LT310" s="261"/>
      <c r="LU310" s="261"/>
      <c r="LV310" s="261"/>
      <c r="LW310" s="261"/>
      <c r="LX310" s="261"/>
      <c r="LY310" s="261"/>
      <c r="LZ310" s="261"/>
      <c r="MA310" s="261"/>
      <c r="MB310" s="261"/>
      <c r="MC310" s="261"/>
      <c r="MD310" s="261"/>
      <c r="ME310" s="261"/>
      <c r="MF310" s="261"/>
      <c r="MG310" s="261"/>
      <c r="MH310" s="261"/>
      <c r="MI310" s="261"/>
      <c r="MJ310" s="261"/>
      <c r="MK310" s="261"/>
      <c r="ML310" s="261"/>
      <c r="MM310" s="261"/>
      <c r="MN310" s="261"/>
      <c r="MO310" s="261"/>
      <c r="MP310" s="261"/>
      <c r="MQ310" s="261"/>
      <c r="MR310" s="261"/>
      <c r="MS310" s="261"/>
      <c r="MT310" s="261"/>
      <c r="MU310" s="261"/>
      <c r="MV310" s="261"/>
      <c r="MW310" s="261"/>
      <c r="MX310" s="261"/>
      <c r="MY310" s="261"/>
      <c r="MZ310" s="261"/>
      <c r="NA310" s="261"/>
      <c r="NB310" s="261"/>
      <c r="NC310" s="261"/>
      <c r="ND310" s="261"/>
      <c r="NE310" s="261"/>
      <c r="NF310" s="261"/>
      <c r="NG310" s="261"/>
      <c r="NH310" s="261"/>
      <c r="NI310" s="261"/>
      <c r="NJ310" s="261"/>
      <c r="NK310" s="13"/>
      <c r="NL310" s="261"/>
      <c r="NM310" s="261"/>
      <c r="NN310" s="13"/>
      <c r="OR310" s="12"/>
      <c r="OS310" s="261"/>
      <c r="OT310" s="261"/>
      <c r="OU310" s="12"/>
      <c r="OV310" s="261"/>
      <c r="OW310" s="261"/>
      <c r="OX310" s="261"/>
      <c r="OY310" s="261"/>
      <c r="OZ310" s="261"/>
      <c r="PA310" s="261"/>
      <c r="PB310" s="261"/>
      <c r="PC310" s="261"/>
      <c r="PD310" s="261"/>
      <c r="PE310" s="261"/>
      <c r="PF310" s="13"/>
      <c r="PG310" s="261"/>
      <c r="PH310" s="13"/>
      <c r="PI310" s="261"/>
      <c r="PJ310" s="261"/>
      <c r="PK310" s="261"/>
      <c r="PL310" s="261"/>
      <c r="PM310" s="261"/>
      <c r="PN310" s="261"/>
      <c r="PO310" s="261"/>
      <c r="PP310" s="261"/>
      <c r="PQ310" s="261"/>
      <c r="PR310" s="261"/>
      <c r="PS310" s="261"/>
      <c r="PT310" s="261"/>
      <c r="PU310" s="261"/>
      <c r="PV310" s="261"/>
      <c r="PW310" s="261"/>
      <c r="PX310" s="261"/>
      <c r="PY310" s="261"/>
      <c r="PZ310" s="261"/>
      <c r="QA310" s="261"/>
      <c r="QB310" s="261"/>
      <c r="QC310" s="261"/>
      <c r="QD310" s="261"/>
      <c r="QE310" s="261"/>
      <c r="QF310" s="261"/>
      <c r="QG310" s="261"/>
      <c r="QH310" s="261"/>
      <c r="QI310" s="261"/>
      <c r="QJ310" s="261"/>
      <c r="QK310" s="261"/>
      <c r="QL310" s="261"/>
      <c r="QM310" s="261"/>
      <c r="QN310" s="261"/>
      <c r="QO310" s="261"/>
      <c r="QP310" s="261"/>
      <c r="QQ310" s="261"/>
      <c r="QR310" s="261"/>
      <c r="QS310" s="261"/>
      <c r="QT310" s="261"/>
      <c r="QU310" s="261"/>
      <c r="QV310" s="261"/>
      <c r="QW310" s="261"/>
      <c r="QX310" s="13"/>
      <c r="QY310" s="12"/>
      <c r="QZ310" s="13"/>
      <c r="RA310" s="261"/>
      <c r="RB310" s="261"/>
      <c r="RC310" s="261"/>
      <c r="RD310" s="261"/>
      <c r="RE310" s="261"/>
      <c r="RF310" s="261"/>
      <c r="RG310" s="261"/>
      <c r="RH310" s="261"/>
      <c r="RI310" s="261"/>
      <c r="RJ310" s="261"/>
      <c r="RK310" s="261"/>
      <c r="RL310" s="261"/>
      <c r="RM310" s="261"/>
      <c r="RN310" s="261"/>
      <c r="RO310" s="261"/>
      <c r="RP310" s="261"/>
      <c r="RQ310" s="261"/>
      <c r="RR310" s="261"/>
      <c r="RS310" s="261"/>
      <c r="RT310" s="261"/>
      <c r="RU310" s="261"/>
      <c r="RV310" s="261"/>
      <c r="RW310" s="261"/>
      <c r="RX310" s="261"/>
      <c r="RY310" s="261"/>
      <c r="RZ310" s="261"/>
      <c r="SA310" s="261"/>
      <c r="SB310" s="261"/>
      <c r="SC310" s="261"/>
      <c r="SD310" s="261"/>
      <c r="SE310" s="261"/>
      <c r="SF310" s="261"/>
      <c r="SG310" s="261"/>
      <c r="SH310" s="261"/>
      <c r="SI310" s="261"/>
      <c r="SJ310" s="261"/>
      <c r="SK310" s="261"/>
      <c r="SL310" s="261"/>
      <c r="SM310" s="261"/>
      <c r="SN310" s="261"/>
      <c r="SO310" s="261"/>
      <c r="SP310" s="261"/>
      <c r="SQ310" s="261"/>
      <c r="SR310" s="261"/>
      <c r="SS310" s="261"/>
      <c r="ST310" s="261"/>
      <c r="SU310" s="261"/>
      <c r="SV310" s="261"/>
      <c r="SW310" s="261"/>
      <c r="SX310" s="261"/>
      <c r="SY310" s="261"/>
      <c r="SZ310" s="261"/>
      <c r="TA310" s="261"/>
      <c r="TB310" s="261"/>
      <c r="TC310" s="261"/>
      <c r="TD310" s="13"/>
      <c r="TE310" s="261"/>
      <c r="TF310" s="261"/>
      <c r="TG310" s="13"/>
      <c r="TO310" s="261"/>
      <c r="TP310" s="261"/>
      <c r="TQ310" s="261"/>
      <c r="TR310" s="261"/>
      <c r="TS310" s="261"/>
      <c r="TT310" s="261"/>
      <c r="TU310" s="261"/>
      <c r="TV310" s="261"/>
      <c r="TW310" s="261"/>
      <c r="TX310" s="261"/>
      <c r="TY310" s="261"/>
      <c r="TZ310" s="261"/>
      <c r="UA310" s="261"/>
      <c r="UB310" s="261"/>
      <c r="UC310" s="261"/>
      <c r="UD310" s="261"/>
      <c r="UE310" s="261"/>
      <c r="UF310" s="261"/>
      <c r="UG310" s="261"/>
      <c r="UH310" s="261"/>
      <c r="UI310" s="261"/>
      <c r="UJ310" s="261"/>
      <c r="UK310" s="261"/>
      <c r="UL310" s="261"/>
      <c r="UM310" s="261"/>
      <c r="UN310" s="261"/>
      <c r="UO310" s="261"/>
      <c r="UP310" s="261"/>
      <c r="UQ310" s="261"/>
      <c r="UR310" s="261"/>
      <c r="US310" s="261"/>
      <c r="UT310" s="261"/>
      <c r="UU310" s="261"/>
      <c r="UV310" s="261"/>
      <c r="UW310" s="261"/>
      <c r="UX310" s="261"/>
      <c r="UY310" s="261"/>
      <c r="UZ310" s="261"/>
      <c r="VA310" s="261"/>
      <c r="VB310" s="261"/>
      <c r="VC310" s="261"/>
      <c r="VD310" s="261"/>
      <c r="VE310" s="261"/>
      <c r="VF310" s="261"/>
      <c r="VG310" s="261"/>
      <c r="VH310" s="261"/>
      <c r="VI310" s="261"/>
    </row>
    <row r="311" spans="259:581" ht="10.75" customHeight="1" x14ac:dyDescent="0.2">
      <c r="IY311" s="12"/>
      <c r="IZ311" s="261"/>
      <c r="JA311" s="261"/>
      <c r="JB311" s="12"/>
      <c r="JC311" s="261"/>
      <c r="JD311" s="261"/>
      <c r="JE311" s="261"/>
      <c r="JF311" s="261"/>
      <c r="JG311" s="261"/>
      <c r="JH311" s="261"/>
      <c r="JI311" s="261"/>
      <c r="JJ311" s="261"/>
      <c r="JK311" s="261"/>
      <c r="JL311" s="261"/>
      <c r="JM311" s="261"/>
      <c r="JN311" s="261"/>
      <c r="JO311" s="261"/>
      <c r="JP311" s="261"/>
      <c r="JQ311" s="261"/>
      <c r="JR311" s="261"/>
      <c r="JS311" s="261"/>
      <c r="JT311" s="261"/>
      <c r="JU311" s="261"/>
      <c r="JV311" s="261"/>
      <c r="JW311" s="261"/>
      <c r="JX311" s="261"/>
      <c r="JY311" s="261"/>
      <c r="JZ311" s="261"/>
      <c r="KA311" s="261"/>
      <c r="KB311" s="261"/>
      <c r="KC311" s="261"/>
      <c r="KD311" s="261"/>
      <c r="KE311" s="261"/>
      <c r="KF311" s="261"/>
      <c r="KG311" s="261"/>
      <c r="KH311" s="12"/>
      <c r="KI311" s="261"/>
      <c r="KJ311" s="12"/>
      <c r="KK311" s="261"/>
      <c r="KL311" s="261"/>
      <c r="KM311" s="261"/>
      <c r="KN311" s="261"/>
      <c r="KO311" s="261"/>
      <c r="KP311" s="261"/>
      <c r="KQ311" s="261"/>
      <c r="KR311" s="261"/>
      <c r="KS311" s="261"/>
      <c r="KT311" s="261"/>
      <c r="KU311" s="261"/>
      <c r="KV311" s="261"/>
      <c r="KW311" s="261"/>
      <c r="KX311" s="261"/>
      <c r="KY311" s="261"/>
      <c r="KZ311" s="261"/>
      <c r="LA311" s="261"/>
      <c r="LB311" s="261"/>
      <c r="LC311" s="261"/>
      <c r="LD311" s="261"/>
      <c r="LE311" s="261"/>
      <c r="LF311" s="261"/>
      <c r="LG311" s="261"/>
      <c r="LH311" s="261"/>
      <c r="LI311" s="261"/>
      <c r="LJ311" s="261"/>
      <c r="LK311" s="261"/>
      <c r="LL311" s="261"/>
      <c r="LM311" s="261"/>
      <c r="LN311" s="261"/>
      <c r="LO311" s="261"/>
      <c r="LP311" s="261"/>
      <c r="LQ311" s="261"/>
      <c r="LR311" s="261"/>
      <c r="LS311" s="261"/>
      <c r="LT311" s="261"/>
      <c r="LU311" s="261"/>
      <c r="LV311" s="261"/>
      <c r="LW311" s="261"/>
      <c r="LX311" s="261"/>
      <c r="LY311" s="261"/>
      <c r="LZ311" s="261"/>
      <c r="MA311" s="261"/>
      <c r="MB311" s="261"/>
      <c r="MC311" s="261"/>
      <c r="MD311" s="261"/>
      <c r="ME311" s="261"/>
      <c r="MF311" s="261"/>
      <c r="MG311" s="261"/>
      <c r="MH311" s="261"/>
      <c r="MI311" s="261"/>
      <c r="MJ311" s="261"/>
      <c r="MK311" s="261"/>
      <c r="ML311" s="261"/>
      <c r="MM311" s="261"/>
      <c r="MN311" s="261"/>
      <c r="MO311" s="261"/>
      <c r="MP311" s="261"/>
      <c r="MQ311" s="261"/>
      <c r="MR311" s="261"/>
      <c r="MS311" s="261"/>
      <c r="MT311" s="261"/>
      <c r="MU311" s="261"/>
      <c r="MV311" s="261"/>
      <c r="MW311" s="261"/>
      <c r="MX311" s="261"/>
      <c r="MY311" s="261"/>
      <c r="MZ311" s="261"/>
      <c r="NA311" s="261"/>
      <c r="NB311" s="261"/>
      <c r="NC311" s="261"/>
      <c r="ND311" s="261"/>
      <c r="NE311" s="261"/>
      <c r="NF311" s="261"/>
      <c r="NG311" s="261"/>
      <c r="NH311" s="261"/>
      <c r="NI311" s="261"/>
      <c r="NJ311" s="261"/>
      <c r="NK311" s="13"/>
      <c r="NL311" s="261"/>
      <c r="NM311" s="261"/>
      <c r="NN311" s="13"/>
      <c r="OR311" s="12"/>
      <c r="OS311" s="261"/>
      <c r="OT311" s="261"/>
      <c r="OU311" s="12"/>
      <c r="OV311" s="261"/>
      <c r="OW311" s="261"/>
      <c r="OX311" s="261"/>
      <c r="OY311" s="261"/>
      <c r="OZ311" s="261"/>
      <c r="PA311" s="261"/>
      <c r="PB311" s="261"/>
      <c r="PC311" s="261"/>
      <c r="PD311" s="261"/>
      <c r="PE311" s="261"/>
      <c r="PF311" s="13"/>
      <c r="PG311" s="261"/>
      <c r="PH311" s="13"/>
      <c r="PI311" s="261"/>
      <c r="PJ311" s="261"/>
      <c r="PK311" s="261"/>
      <c r="PL311" s="261"/>
      <c r="PM311" s="261"/>
      <c r="PN311" s="261"/>
      <c r="PO311" s="261"/>
      <c r="PP311" s="261"/>
      <c r="PQ311" s="261"/>
      <c r="PR311" s="261"/>
      <c r="PS311" s="261"/>
      <c r="PT311" s="261"/>
      <c r="PU311" s="261"/>
      <c r="PV311" s="261"/>
      <c r="PW311" s="261"/>
      <c r="PX311" s="261"/>
      <c r="PY311" s="261"/>
      <c r="PZ311" s="261"/>
      <c r="QA311" s="261"/>
      <c r="QB311" s="261"/>
      <c r="QC311" s="261"/>
      <c r="QD311" s="261"/>
      <c r="QE311" s="261"/>
      <c r="QF311" s="261"/>
      <c r="QG311" s="261"/>
      <c r="QH311" s="261"/>
      <c r="QI311" s="261"/>
      <c r="QJ311" s="261"/>
      <c r="QK311" s="261"/>
      <c r="QL311" s="261"/>
      <c r="QM311" s="261"/>
      <c r="QN311" s="261"/>
      <c r="QO311" s="261"/>
      <c r="QP311" s="261"/>
      <c r="QQ311" s="261"/>
      <c r="QR311" s="261"/>
      <c r="QS311" s="261"/>
      <c r="QT311" s="261"/>
      <c r="QU311" s="261"/>
      <c r="QV311" s="261"/>
      <c r="QW311" s="261"/>
      <c r="QX311" s="13"/>
      <c r="QY311" s="12"/>
      <c r="QZ311" s="13"/>
      <c r="RA311" s="261"/>
      <c r="RB311" s="261"/>
      <c r="RC311" s="261"/>
      <c r="RD311" s="261"/>
      <c r="RE311" s="261"/>
      <c r="RF311" s="261"/>
      <c r="RG311" s="261"/>
      <c r="RH311" s="261"/>
      <c r="RI311" s="261"/>
      <c r="RJ311" s="261"/>
      <c r="RK311" s="261"/>
      <c r="RL311" s="261"/>
      <c r="RM311" s="261"/>
      <c r="RN311" s="261"/>
      <c r="RO311" s="261"/>
      <c r="RP311" s="261"/>
      <c r="RQ311" s="261"/>
      <c r="RR311" s="261"/>
      <c r="RS311" s="261"/>
      <c r="RT311" s="261"/>
      <c r="RU311" s="261"/>
      <c r="RV311" s="261"/>
      <c r="RW311" s="261"/>
      <c r="RX311" s="261"/>
      <c r="RY311" s="261"/>
      <c r="RZ311" s="261"/>
      <c r="SA311" s="261"/>
      <c r="SB311" s="261"/>
      <c r="SC311" s="261"/>
      <c r="SD311" s="261"/>
      <c r="SE311" s="261"/>
      <c r="SF311" s="261"/>
      <c r="SG311" s="261"/>
      <c r="SH311" s="261"/>
      <c r="SI311" s="261"/>
      <c r="SJ311" s="261"/>
      <c r="SK311" s="261"/>
      <c r="SL311" s="261"/>
      <c r="SM311" s="261"/>
      <c r="SN311" s="261"/>
      <c r="SO311" s="261"/>
      <c r="SP311" s="261"/>
      <c r="SQ311" s="261"/>
      <c r="SR311" s="261"/>
      <c r="SS311" s="261"/>
      <c r="ST311" s="261"/>
      <c r="SU311" s="261"/>
      <c r="SV311" s="261"/>
      <c r="SW311" s="261"/>
      <c r="SX311" s="261"/>
      <c r="SY311" s="261"/>
      <c r="SZ311" s="261"/>
      <c r="TA311" s="261"/>
      <c r="TB311" s="261"/>
      <c r="TC311" s="261"/>
      <c r="TD311" s="13"/>
      <c r="TE311" s="261"/>
      <c r="TF311" s="261"/>
      <c r="TG311" s="13"/>
      <c r="TO311" s="261"/>
      <c r="TP311" s="261"/>
      <c r="TQ311" s="261"/>
      <c r="TR311" s="261"/>
      <c r="TS311" s="261"/>
      <c r="TT311" s="261"/>
      <c r="TU311" s="261"/>
      <c r="TV311" s="261"/>
      <c r="TW311" s="261"/>
      <c r="TX311" s="261"/>
      <c r="TY311" s="261"/>
      <c r="TZ311" s="261"/>
      <c r="UA311" s="261"/>
      <c r="UB311" s="261"/>
      <c r="UC311" s="261"/>
      <c r="UD311" s="261"/>
      <c r="UE311" s="261"/>
      <c r="UF311" s="261"/>
      <c r="UG311" s="261"/>
      <c r="UH311" s="261"/>
      <c r="UI311" s="261"/>
      <c r="UJ311" s="261"/>
      <c r="UK311" s="261"/>
      <c r="UL311" s="261"/>
      <c r="UM311" s="261"/>
      <c r="UN311" s="261"/>
      <c r="UO311" s="261"/>
      <c r="UP311" s="261"/>
      <c r="UQ311" s="261"/>
      <c r="UR311" s="261"/>
      <c r="US311" s="261"/>
      <c r="UT311" s="261"/>
      <c r="UU311" s="261"/>
      <c r="UV311" s="261"/>
      <c r="UW311" s="261"/>
      <c r="UX311" s="261"/>
      <c r="UY311" s="261"/>
      <c r="UZ311" s="261"/>
      <c r="VA311" s="261"/>
      <c r="VB311" s="261"/>
      <c r="VC311" s="261"/>
      <c r="VD311" s="261"/>
      <c r="VE311" s="261"/>
      <c r="VF311" s="261"/>
      <c r="VG311" s="261"/>
      <c r="VH311" s="261"/>
      <c r="VI311" s="261"/>
    </row>
    <row r="312" spans="259:581" ht="10.75" customHeight="1" x14ac:dyDescent="0.2">
      <c r="IY312" s="12"/>
      <c r="IZ312" s="261"/>
      <c r="JA312" s="261"/>
      <c r="JB312" s="12"/>
      <c r="JC312" s="261"/>
      <c r="JD312" s="261"/>
      <c r="JE312" s="261"/>
      <c r="JF312" s="261"/>
      <c r="JG312" s="261"/>
      <c r="JH312" s="261"/>
      <c r="JI312" s="261"/>
      <c r="JJ312" s="261"/>
      <c r="JK312" s="261"/>
      <c r="JL312" s="261"/>
      <c r="JM312" s="261"/>
      <c r="JN312" s="261"/>
      <c r="JO312" s="261"/>
      <c r="JP312" s="261"/>
      <c r="JQ312" s="261"/>
      <c r="JR312" s="261"/>
      <c r="JS312" s="261"/>
      <c r="JT312" s="261"/>
      <c r="JU312" s="261"/>
      <c r="JV312" s="261"/>
      <c r="JW312" s="261"/>
      <c r="JX312" s="261"/>
      <c r="JY312" s="261"/>
      <c r="JZ312" s="261"/>
      <c r="KA312" s="261"/>
      <c r="KB312" s="261"/>
      <c r="KC312" s="261"/>
      <c r="KD312" s="261"/>
      <c r="KE312" s="261"/>
      <c r="KF312" s="261"/>
      <c r="KG312" s="261"/>
      <c r="KH312" s="12"/>
      <c r="KI312" s="261"/>
      <c r="KJ312" s="12"/>
      <c r="KK312" s="261"/>
      <c r="KL312" s="261"/>
      <c r="KM312" s="261"/>
      <c r="KN312" s="261"/>
      <c r="KO312" s="261"/>
      <c r="KP312" s="261"/>
      <c r="KQ312" s="261"/>
      <c r="KR312" s="261"/>
      <c r="KS312" s="261"/>
      <c r="KT312" s="261"/>
      <c r="KU312" s="261"/>
      <c r="KV312" s="261"/>
      <c r="KW312" s="261"/>
      <c r="KX312" s="261"/>
      <c r="KY312" s="261"/>
      <c r="KZ312" s="261"/>
      <c r="LA312" s="261"/>
      <c r="LB312" s="261"/>
      <c r="LC312" s="261"/>
      <c r="LD312" s="261"/>
      <c r="LE312" s="261"/>
      <c r="LF312" s="261"/>
      <c r="LG312" s="261"/>
      <c r="LH312" s="261"/>
      <c r="LI312" s="261"/>
      <c r="LJ312" s="261"/>
      <c r="LK312" s="261"/>
      <c r="LL312" s="261"/>
      <c r="LM312" s="261"/>
      <c r="LN312" s="261"/>
      <c r="LO312" s="261"/>
      <c r="LP312" s="261"/>
      <c r="LQ312" s="261"/>
      <c r="LR312" s="261"/>
      <c r="LS312" s="261"/>
      <c r="LT312" s="261"/>
      <c r="LU312" s="261"/>
      <c r="LV312" s="261"/>
      <c r="LW312" s="261"/>
      <c r="LX312" s="261"/>
      <c r="LY312" s="261"/>
      <c r="LZ312" s="261"/>
      <c r="MA312" s="261"/>
      <c r="MB312" s="261"/>
      <c r="MC312" s="261"/>
      <c r="MD312" s="261"/>
      <c r="ME312" s="261"/>
      <c r="MF312" s="261"/>
      <c r="MG312" s="261"/>
      <c r="MH312" s="261"/>
      <c r="MI312" s="261"/>
      <c r="MJ312" s="261"/>
      <c r="MK312" s="261"/>
      <c r="ML312" s="261"/>
      <c r="MM312" s="261"/>
      <c r="MN312" s="261"/>
      <c r="MO312" s="261"/>
      <c r="MP312" s="261"/>
      <c r="MQ312" s="261"/>
      <c r="MR312" s="261"/>
      <c r="MS312" s="261"/>
      <c r="MT312" s="261"/>
      <c r="MU312" s="261"/>
      <c r="MV312" s="261"/>
      <c r="MW312" s="261"/>
      <c r="MX312" s="261"/>
      <c r="MY312" s="261"/>
      <c r="MZ312" s="261"/>
      <c r="NA312" s="261"/>
      <c r="NB312" s="261"/>
      <c r="NC312" s="261"/>
      <c r="ND312" s="261"/>
      <c r="NE312" s="261"/>
      <c r="NF312" s="261"/>
      <c r="NG312" s="261"/>
      <c r="NH312" s="261"/>
      <c r="NI312" s="261"/>
      <c r="NJ312" s="261"/>
      <c r="NK312" s="13"/>
      <c r="NL312" s="261"/>
      <c r="NM312" s="261"/>
      <c r="NN312" s="13"/>
      <c r="OR312" s="12"/>
      <c r="OS312" s="261"/>
      <c r="OT312" s="261"/>
      <c r="OU312" s="12"/>
      <c r="OV312" s="261"/>
      <c r="OW312" s="261"/>
      <c r="OX312" s="261"/>
      <c r="OY312" s="261"/>
      <c r="OZ312" s="261"/>
      <c r="PA312" s="261"/>
      <c r="PB312" s="261"/>
      <c r="PC312" s="261"/>
      <c r="PD312" s="261"/>
      <c r="PE312" s="261"/>
      <c r="PF312" s="13"/>
      <c r="PG312" s="261"/>
      <c r="PH312" s="13"/>
      <c r="PI312" s="261"/>
      <c r="PJ312" s="261"/>
      <c r="PK312" s="261"/>
      <c r="PL312" s="261"/>
      <c r="PM312" s="261"/>
      <c r="PN312" s="261"/>
      <c r="PO312" s="261"/>
      <c r="PP312" s="261"/>
      <c r="PQ312" s="261"/>
      <c r="PR312" s="261"/>
      <c r="PS312" s="261"/>
      <c r="PT312" s="261"/>
      <c r="PU312" s="261"/>
      <c r="PV312" s="261"/>
      <c r="PW312" s="261"/>
      <c r="PX312" s="261"/>
      <c r="PY312" s="261"/>
      <c r="PZ312" s="261"/>
      <c r="QA312" s="261"/>
      <c r="QB312" s="261"/>
      <c r="QC312" s="261"/>
      <c r="QD312" s="261"/>
      <c r="QE312" s="261"/>
      <c r="QF312" s="261"/>
      <c r="QG312" s="261"/>
      <c r="QH312" s="261"/>
      <c r="QI312" s="261"/>
      <c r="QJ312" s="261"/>
      <c r="QK312" s="261"/>
      <c r="QL312" s="261"/>
      <c r="QM312" s="261"/>
      <c r="QN312" s="261"/>
      <c r="QO312" s="261"/>
      <c r="QP312" s="261"/>
      <c r="QQ312" s="261"/>
      <c r="QR312" s="261"/>
      <c r="QS312" s="261"/>
      <c r="QT312" s="261"/>
      <c r="QU312" s="261"/>
      <c r="QV312" s="261"/>
      <c r="QW312" s="261"/>
      <c r="QX312" s="13"/>
      <c r="QY312" s="12"/>
      <c r="QZ312" s="13"/>
      <c r="RA312" s="261"/>
      <c r="RB312" s="261"/>
      <c r="RC312" s="261"/>
      <c r="RD312" s="261"/>
      <c r="RE312" s="261"/>
      <c r="RF312" s="261"/>
      <c r="RG312" s="261"/>
      <c r="RH312" s="261"/>
      <c r="RI312" s="261"/>
      <c r="RJ312" s="261"/>
      <c r="RK312" s="261"/>
      <c r="RL312" s="261"/>
      <c r="RM312" s="261"/>
      <c r="RN312" s="261"/>
      <c r="RO312" s="261"/>
      <c r="RP312" s="261"/>
      <c r="RQ312" s="261"/>
      <c r="RR312" s="261"/>
      <c r="RS312" s="261"/>
      <c r="RT312" s="261"/>
      <c r="RU312" s="261"/>
      <c r="RV312" s="261"/>
      <c r="RW312" s="261"/>
      <c r="RX312" s="261"/>
      <c r="RY312" s="261"/>
      <c r="RZ312" s="261"/>
      <c r="SA312" s="261"/>
      <c r="SB312" s="261"/>
      <c r="SC312" s="261"/>
      <c r="SD312" s="261"/>
      <c r="SE312" s="261"/>
      <c r="SF312" s="261"/>
      <c r="SG312" s="261"/>
      <c r="SH312" s="261"/>
      <c r="SI312" s="261"/>
      <c r="SJ312" s="261"/>
      <c r="SK312" s="261"/>
      <c r="SL312" s="261"/>
      <c r="SM312" s="261"/>
      <c r="SN312" s="261"/>
      <c r="SO312" s="261"/>
      <c r="SP312" s="261"/>
      <c r="SQ312" s="261"/>
      <c r="SR312" s="261"/>
      <c r="SS312" s="261"/>
      <c r="ST312" s="261"/>
      <c r="SU312" s="261"/>
      <c r="SV312" s="261"/>
      <c r="SW312" s="261"/>
      <c r="SX312" s="261"/>
      <c r="SY312" s="261"/>
      <c r="SZ312" s="261"/>
      <c r="TA312" s="261"/>
      <c r="TB312" s="261"/>
      <c r="TC312" s="261"/>
      <c r="TD312" s="13"/>
      <c r="TE312" s="261"/>
      <c r="TF312" s="261"/>
      <c r="TG312" s="13"/>
      <c r="TO312" s="261"/>
      <c r="TP312" s="261"/>
      <c r="TQ312" s="261"/>
      <c r="TR312" s="261"/>
      <c r="TS312" s="261"/>
      <c r="TT312" s="261"/>
      <c r="TU312" s="261"/>
      <c r="TV312" s="261"/>
      <c r="TW312" s="261"/>
      <c r="TX312" s="261"/>
      <c r="TY312" s="261"/>
      <c r="TZ312" s="261"/>
      <c r="UA312" s="261"/>
      <c r="UB312" s="261"/>
      <c r="UC312" s="261"/>
      <c r="UD312" s="261"/>
      <c r="UE312" s="261"/>
      <c r="UF312" s="261"/>
      <c r="UG312" s="261"/>
      <c r="UH312" s="261"/>
      <c r="UI312" s="261"/>
      <c r="UJ312" s="261"/>
      <c r="UK312" s="261"/>
      <c r="UL312" s="261"/>
      <c r="UM312" s="261"/>
      <c r="UN312" s="261"/>
      <c r="UO312" s="261"/>
      <c r="UP312" s="261"/>
      <c r="UQ312" s="261"/>
      <c r="UR312" s="261"/>
      <c r="US312" s="261"/>
      <c r="UT312" s="261"/>
      <c r="UU312" s="261"/>
      <c r="UV312" s="261"/>
      <c r="UW312" s="261"/>
      <c r="UX312" s="261"/>
      <c r="UY312" s="261"/>
      <c r="UZ312" s="261"/>
      <c r="VA312" s="261"/>
      <c r="VB312" s="261"/>
      <c r="VC312" s="261"/>
      <c r="VD312" s="261"/>
      <c r="VE312" s="261"/>
      <c r="VF312" s="261"/>
      <c r="VG312" s="261"/>
      <c r="VH312" s="261"/>
      <c r="VI312" s="261"/>
    </row>
    <row r="313" spans="259:581" ht="10.75" customHeight="1" x14ac:dyDescent="0.2">
      <c r="IY313" s="12"/>
      <c r="IZ313" s="261"/>
      <c r="JA313" s="261"/>
      <c r="JB313" s="12"/>
      <c r="JC313" s="261"/>
      <c r="JD313" s="261"/>
      <c r="JE313" s="261"/>
      <c r="JF313" s="261"/>
      <c r="JG313" s="261"/>
      <c r="JH313" s="261"/>
      <c r="JI313" s="261"/>
      <c r="JJ313" s="261"/>
      <c r="JK313" s="261"/>
      <c r="JL313" s="261"/>
      <c r="JM313" s="261"/>
      <c r="JN313" s="261"/>
      <c r="JO313" s="261"/>
      <c r="JP313" s="261"/>
      <c r="JQ313" s="261"/>
      <c r="JR313" s="261"/>
      <c r="JS313" s="261"/>
      <c r="JT313" s="261"/>
      <c r="JU313" s="261"/>
      <c r="JV313" s="261"/>
      <c r="JW313" s="261"/>
      <c r="JX313" s="261"/>
      <c r="JY313" s="261"/>
      <c r="JZ313" s="261"/>
      <c r="KA313" s="261"/>
      <c r="KB313" s="261"/>
      <c r="KC313" s="261"/>
      <c r="KD313" s="261"/>
      <c r="KE313" s="261"/>
      <c r="KF313" s="261"/>
      <c r="KG313" s="261"/>
      <c r="KH313" s="12"/>
      <c r="KI313" s="261"/>
      <c r="KJ313" s="12"/>
      <c r="KK313" s="261"/>
      <c r="KL313" s="261"/>
      <c r="KM313" s="261"/>
      <c r="KN313" s="261"/>
      <c r="KO313" s="261"/>
      <c r="KP313" s="261"/>
      <c r="KQ313" s="261"/>
      <c r="KR313" s="261"/>
      <c r="KS313" s="261"/>
      <c r="KT313" s="261"/>
      <c r="KU313" s="261"/>
      <c r="KV313" s="261"/>
      <c r="KW313" s="261"/>
      <c r="KX313" s="261"/>
      <c r="KY313" s="261"/>
      <c r="KZ313" s="261"/>
      <c r="LA313" s="261"/>
      <c r="LB313" s="261"/>
      <c r="LC313" s="261"/>
      <c r="LD313" s="261"/>
      <c r="LE313" s="261"/>
      <c r="LF313" s="261"/>
      <c r="LG313" s="261"/>
      <c r="LH313" s="261"/>
      <c r="LI313" s="261"/>
      <c r="LJ313" s="261"/>
      <c r="LK313" s="261"/>
      <c r="LL313" s="261"/>
      <c r="LM313" s="261"/>
      <c r="LN313" s="261"/>
      <c r="LO313" s="261"/>
      <c r="LP313" s="261"/>
      <c r="LQ313" s="261"/>
      <c r="LR313" s="261"/>
      <c r="LS313" s="261"/>
      <c r="LT313" s="261"/>
      <c r="LU313" s="261"/>
      <c r="LV313" s="261"/>
      <c r="LW313" s="261"/>
      <c r="LX313" s="261"/>
      <c r="LY313" s="261"/>
      <c r="LZ313" s="261"/>
      <c r="MA313" s="261"/>
      <c r="MB313" s="261"/>
      <c r="MC313" s="261"/>
      <c r="MD313" s="261"/>
      <c r="ME313" s="261"/>
      <c r="MF313" s="261"/>
      <c r="MG313" s="261"/>
      <c r="MH313" s="261"/>
      <c r="MI313" s="261"/>
      <c r="MJ313" s="261"/>
      <c r="MK313" s="261"/>
      <c r="ML313" s="261"/>
      <c r="MM313" s="261"/>
      <c r="MN313" s="261"/>
      <c r="MO313" s="261"/>
      <c r="MP313" s="261"/>
      <c r="MQ313" s="261"/>
      <c r="MR313" s="261"/>
      <c r="MS313" s="261"/>
      <c r="MT313" s="261"/>
      <c r="MU313" s="261"/>
      <c r="MV313" s="261"/>
      <c r="MW313" s="261"/>
      <c r="MX313" s="261"/>
      <c r="MY313" s="261"/>
      <c r="MZ313" s="261"/>
      <c r="NA313" s="261"/>
      <c r="NB313" s="261"/>
      <c r="NC313" s="261"/>
      <c r="ND313" s="261"/>
      <c r="NE313" s="261"/>
      <c r="NF313" s="261"/>
      <c r="NG313" s="261"/>
      <c r="NH313" s="261"/>
      <c r="NI313" s="261"/>
      <c r="NJ313" s="261"/>
      <c r="NK313" s="13"/>
      <c r="NL313" s="261"/>
      <c r="NM313" s="261"/>
      <c r="NN313" s="13"/>
      <c r="OR313" s="12"/>
      <c r="OS313" s="261"/>
      <c r="OT313" s="261"/>
      <c r="OU313" s="12"/>
      <c r="OV313" s="261"/>
      <c r="OW313" s="261"/>
      <c r="OX313" s="261"/>
      <c r="OY313" s="261"/>
      <c r="OZ313" s="261"/>
      <c r="PA313" s="261"/>
      <c r="PB313" s="261"/>
      <c r="PC313" s="261"/>
      <c r="PD313" s="261"/>
      <c r="PE313" s="261"/>
      <c r="PF313" s="13"/>
      <c r="PG313" s="261"/>
      <c r="PH313" s="13"/>
      <c r="PI313" s="261"/>
      <c r="PJ313" s="261"/>
      <c r="PK313" s="261"/>
      <c r="PL313" s="261"/>
      <c r="PM313" s="261"/>
      <c r="PN313" s="261"/>
      <c r="PO313" s="261"/>
      <c r="PP313" s="261"/>
      <c r="PQ313" s="261"/>
      <c r="PR313" s="261"/>
      <c r="PS313" s="261"/>
      <c r="PT313" s="261"/>
      <c r="PU313" s="261"/>
      <c r="PV313" s="261"/>
      <c r="PW313" s="261"/>
      <c r="PX313" s="261"/>
      <c r="PY313" s="261"/>
      <c r="PZ313" s="261"/>
      <c r="QA313" s="261"/>
      <c r="QB313" s="261"/>
      <c r="QC313" s="261"/>
      <c r="QD313" s="261"/>
      <c r="QE313" s="261"/>
      <c r="QF313" s="261"/>
      <c r="QG313" s="261"/>
      <c r="QH313" s="261"/>
      <c r="QI313" s="261"/>
      <c r="QJ313" s="261"/>
      <c r="QK313" s="261"/>
      <c r="QL313" s="261"/>
      <c r="QM313" s="261"/>
      <c r="QN313" s="261"/>
      <c r="QO313" s="261"/>
      <c r="QP313" s="261"/>
      <c r="QQ313" s="261"/>
      <c r="QR313" s="261"/>
      <c r="QS313" s="261"/>
      <c r="QT313" s="261"/>
      <c r="QU313" s="261"/>
      <c r="QV313" s="261"/>
      <c r="QW313" s="261"/>
      <c r="QX313" s="13"/>
      <c r="QY313" s="12"/>
      <c r="QZ313" s="13"/>
      <c r="RA313" s="261"/>
      <c r="RB313" s="261"/>
      <c r="RC313" s="261"/>
      <c r="RD313" s="261"/>
      <c r="RE313" s="261"/>
      <c r="RF313" s="261"/>
      <c r="RG313" s="261"/>
      <c r="RH313" s="261"/>
      <c r="RI313" s="261"/>
      <c r="RJ313" s="261"/>
      <c r="RK313" s="261"/>
      <c r="RL313" s="261"/>
      <c r="RM313" s="261"/>
      <c r="RN313" s="261"/>
      <c r="RO313" s="261"/>
      <c r="RP313" s="261"/>
      <c r="RQ313" s="261"/>
      <c r="RR313" s="261"/>
      <c r="RS313" s="261"/>
      <c r="RT313" s="261"/>
      <c r="RU313" s="261"/>
      <c r="RV313" s="261"/>
      <c r="RW313" s="261"/>
      <c r="RX313" s="261"/>
      <c r="RY313" s="261"/>
      <c r="RZ313" s="261"/>
      <c r="SA313" s="261"/>
      <c r="SB313" s="261"/>
      <c r="SC313" s="261"/>
      <c r="SD313" s="261"/>
      <c r="SE313" s="261"/>
      <c r="SF313" s="261"/>
      <c r="SG313" s="261"/>
      <c r="SH313" s="261"/>
      <c r="SI313" s="261"/>
      <c r="SJ313" s="261"/>
      <c r="SK313" s="261"/>
      <c r="SL313" s="261"/>
      <c r="SM313" s="261"/>
      <c r="SN313" s="261"/>
      <c r="SO313" s="261"/>
      <c r="SP313" s="261"/>
      <c r="SQ313" s="261"/>
      <c r="SR313" s="261"/>
      <c r="SS313" s="261"/>
      <c r="ST313" s="261"/>
      <c r="SU313" s="261"/>
      <c r="SV313" s="261"/>
      <c r="SW313" s="261"/>
      <c r="SX313" s="261"/>
      <c r="SY313" s="261"/>
      <c r="SZ313" s="261"/>
      <c r="TA313" s="261"/>
      <c r="TB313" s="261"/>
      <c r="TC313" s="261"/>
      <c r="TD313" s="13"/>
      <c r="TE313" s="261"/>
      <c r="TF313" s="261"/>
      <c r="TG313" s="13"/>
      <c r="TO313" s="261"/>
      <c r="TP313" s="261"/>
      <c r="TQ313" s="261"/>
      <c r="TR313" s="261"/>
      <c r="TS313" s="261"/>
      <c r="TT313" s="261"/>
      <c r="TU313" s="261"/>
      <c r="TV313" s="261"/>
      <c r="TW313" s="261"/>
      <c r="TX313" s="261"/>
      <c r="TY313" s="261"/>
      <c r="TZ313" s="261"/>
      <c r="UA313" s="261"/>
      <c r="UB313" s="261"/>
      <c r="UC313" s="261"/>
      <c r="UD313" s="261"/>
      <c r="UE313" s="261"/>
      <c r="UF313" s="261"/>
      <c r="UG313" s="261"/>
      <c r="UH313" s="261"/>
      <c r="UI313" s="261"/>
      <c r="UJ313" s="261"/>
      <c r="UK313" s="261"/>
      <c r="UL313" s="261"/>
      <c r="UM313" s="261"/>
      <c r="UN313" s="261"/>
      <c r="UO313" s="261"/>
      <c r="UP313" s="261"/>
      <c r="UQ313" s="261"/>
      <c r="UR313" s="261"/>
      <c r="US313" s="261"/>
      <c r="UT313" s="261"/>
      <c r="UU313" s="261"/>
      <c r="UV313" s="261"/>
      <c r="UW313" s="261"/>
      <c r="UX313" s="261"/>
      <c r="UY313" s="261"/>
      <c r="UZ313" s="261"/>
      <c r="VA313" s="261"/>
      <c r="VB313" s="261"/>
      <c r="VC313" s="261"/>
      <c r="VD313" s="261"/>
      <c r="VE313" s="261"/>
      <c r="VF313" s="261"/>
      <c r="VG313" s="261"/>
      <c r="VH313" s="261"/>
      <c r="VI313" s="261"/>
    </row>
    <row r="314" spans="259:581" ht="10.75" customHeight="1" x14ac:dyDescent="0.2">
      <c r="IY314" s="96"/>
      <c r="IZ314" s="262"/>
      <c r="JA314" s="262"/>
      <c r="JB314" s="14"/>
      <c r="JC314" s="15"/>
      <c r="JD314" s="15"/>
      <c r="JE314" s="15"/>
      <c r="JF314" s="15"/>
      <c r="JG314" s="15"/>
      <c r="JH314" s="15"/>
      <c r="JI314" s="15"/>
      <c r="JJ314" s="15"/>
      <c r="JK314" s="15"/>
      <c r="JL314" s="15"/>
      <c r="JM314" s="15"/>
      <c r="JN314" s="15"/>
      <c r="JO314" s="15"/>
      <c r="JP314" s="15"/>
      <c r="JQ314" s="15"/>
      <c r="JR314" s="15"/>
      <c r="JS314" s="15"/>
      <c r="JT314" s="15"/>
      <c r="JU314" s="15"/>
      <c r="JV314" s="15"/>
      <c r="JW314" s="15"/>
      <c r="JX314" s="15"/>
      <c r="JY314" s="15"/>
      <c r="JZ314" s="15"/>
      <c r="KA314" s="15"/>
      <c r="KB314" s="15"/>
      <c r="KC314" s="15"/>
      <c r="KD314" s="15"/>
      <c r="KE314" s="15"/>
      <c r="KF314" s="15"/>
      <c r="KG314" s="15"/>
      <c r="KH314" s="14"/>
      <c r="KI314" s="15"/>
      <c r="KJ314" s="14"/>
      <c r="KK314" s="15"/>
      <c r="KL314" s="15"/>
      <c r="KM314" s="15"/>
      <c r="KN314" s="15"/>
      <c r="KO314" s="15"/>
      <c r="KP314" s="15"/>
      <c r="KQ314" s="15"/>
      <c r="KR314" s="15"/>
      <c r="KS314" s="15"/>
      <c r="KT314" s="15"/>
      <c r="KU314" s="15"/>
      <c r="KV314" s="15"/>
      <c r="KW314" s="15"/>
      <c r="KX314" s="15"/>
      <c r="KY314" s="15"/>
      <c r="KZ314" s="15"/>
      <c r="LA314" s="15"/>
      <c r="LB314" s="15"/>
      <c r="LC314" s="15"/>
      <c r="LD314" s="15"/>
      <c r="LE314" s="15"/>
      <c r="LF314" s="15"/>
      <c r="LG314" s="15"/>
      <c r="LH314" s="15"/>
      <c r="LI314" s="15"/>
      <c r="LJ314" s="15"/>
      <c r="LK314" s="15"/>
      <c r="LL314" s="15"/>
      <c r="LM314" s="15"/>
      <c r="LN314" s="15"/>
      <c r="LO314" s="15"/>
      <c r="LP314" s="15"/>
      <c r="LQ314" s="15"/>
      <c r="LR314" s="15"/>
      <c r="LS314" s="15"/>
      <c r="LT314" s="15"/>
      <c r="LU314" s="15"/>
      <c r="LV314" s="15"/>
      <c r="LW314" s="15"/>
      <c r="LX314" s="15"/>
      <c r="LY314" s="15"/>
      <c r="LZ314" s="15"/>
      <c r="MA314" s="15"/>
      <c r="MB314" s="15"/>
      <c r="MC314" s="15"/>
      <c r="MD314" s="15"/>
      <c r="ME314" s="15"/>
      <c r="MF314" s="15"/>
      <c r="MG314" s="15"/>
      <c r="MH314" s="15"/>
      <c r="MI314" s="15"/>
      <c r="MJ314" s="15"/>
      <c r="MK314" s="15"/>
      <c r="ML314" s="15"/>
      <c r="MM314" s="15"/>
      <c r="MN314" s="15"/>
      <c r="MO314" s="15"/>
      <c r="MP314" s="15"/>
      <c r="MQ314" s="15"/>
      <c r="MR314" s="15"/>
      <c r="MS314" s="15"/>
      <c r="MT314" s="15"/>
      <c r="MU314" s="15"/>
      <c r="MV314" s="15"/>
      <c r="MW314" s="15"/>
      <c r="MX314" s="15"/>
      <c r="MY314" s="15"/>
      <c r="MZ314" s="15"/>
      <c r="NA314" s="15"/>
      <c r="NB314" s="15"/>
      <c r="NC314" s="15"/>
      <c r="ND314" s="15"/>
      <c r="NE314" s="15"/>
      <c r="NF314" s="15"/>
      <c r="NG314" s="15"/>
      <c r="NH314" s="15"/>
      <c r="NI314" s="15"/>
      <c r="NJ314" s="15"/>
      <c r="NK314" s="16"/>
      <c r="NL314" s="262"/>
      <c r="NM314" s="262"/>
      <c r="NN314" s="98"/>
      <c r="OR314" s="96"/>
      <c r="OS314" s="262"/>
      <c r="OT314" s="262"/>
      <c r="OU314" s="14"/>
      <c r="OV314" s="15"/>
      <c r="OW314" s="15"/>
      <c r="OX314" s="15"/>
      <c r="OY314" s="15"/>
      <c r="OZ314" s="15"/>
      <c r="PA314" s="15"/>
      <c r="PB314" s="15"/>
      <c r="PC314" s="15"/>
      <c r="PD314" s="15"/>
      <c r="PE314" s="15"/>
      <c r="PF314" s="16"/>
      <c r="PG314" s="15"/>
      <c r="PH314" s="16"/>
      <c r="PI314" s="15"/>
      <c r="PJ314" s="15"/>
      <c r="PK314" s="15"/>
      <c r="PL314" s="15"/>
      <c r="PM314" s="15"/>
      <c r="PN314" s="15"/>
      <c r="PO314" s="15"/>
      <c r="PP314" s="15"/>
      <c r="PQ314" s="15"/>
      <c r="PR314" s="15"/>
      <c r="PS314" s="15"/>
      <c r="PT314" s="15"/>
      <c r="PU314" s="15"/>
      <c r="PV314" s="15"/>
      <c r="PW314" s="15"/>
      <c r="PX314" s="15"/>
      <c r="PY314" s="15"/>
      <c r="PZ314" s="15"/>
      <c r="QA314" s="15"/>
      <c r="QB314" s="15"/>
      <c r="QC314" s="15"/>
      <c r="QD314" s="15"/>
      <c r="QE314" s="15"/>
      <c r="QF314" s="15"/>
      <c r="QG314" s="15"/>
      <c r="QH314" s="15"/>
      <c r="QI314" s="15"/>
      <c r="QJ314" s="15"/>
      <c r="QK314" s="15"/>
      <c r="QL314" s="15"/>
      <c r="QM314" s="15"/>
      <c r="QN314" s="15"/>
      <c r="QO314" s="15"/>
      <c r="QP314" s="15"/>
      <c r="QQ314" s="15"/>
      <c r="QR314" s="15"/>
      <c r="QS314" s="15"/>
      <c r="QT314" s="15"/>
      <c r="QU314" s="15"/>
      <c r="QV314" s="15"/>
      <c r="QW314" s="15"/>
      <c r="QX314" s="16"/>
      <c r="QY314" s="14"/>
      <c r="QZ314" s="16"/>
      <c r="RA314" s="15"/>
      <c r="RB314" s="15"/>
      <c r="RC314" s="15"/>
      <c r="RD314" s="15"/>
      <c r="RE314" s="15"/>
      <c r="RF314" s="15"/>
      <c r="RG314" s="15"/>
      <c r="RH314" s="15"/>
      <c r="RI314" s="15"/>
      <c r="RJ314" s="15"/>
      <c r="RK314" s="15"/>
      <c r="RL314" s="15"/>
      <c r="RM314" s="15"/>
      <c r="RN314" s="15"/>
      <c r="RO314" s="15"/>
      <c r="RP314" s="15"/>
      <c r="RQ314" s="15"/>
      <c r="RR314" s="15"/>
      <c r="RS314" s="15"/>
      <c r="RT314" s="15"/>
      <c r="RU314" s="15"/>
      <c r="RV314" s="15"/>
      <c r="RW314" s="15"/>
      <c r="RX314" s="15"/>
      <c r="RY314" s="15"/>
      <c r="RZ314" s="15"/>
      <c r="SA314" s="15"/>
      <c r="SB314" s="15"/>
      <c r="SC314" s="15"/>
      <c r="SD314" s="15"/>
      <c r="SE314" s="15"/>
      <c r="SF314" s="15"/>
      <c r="SG314" s="15"/>
      <c r="SH314" s="15"/>
      <c r="SI314" s="15"/>
      <c r="SJ314" s="15"/>
      <c r="SK314" s="15"/>
      <c r="SL314" s="15"/>
      <c r="SM314" s="15"/>
      <c r="SN314" s="15"/>
      <c r="SO314" s="15"/>
      <c r="SP314" s="15"/>
      <c r="SQ314" s="15"/>
      <c r="SR314" s="15"/>
      <c r="SS314" s="15"/>
      <c r="ST314" s="15"/>
      <c r="SU314" s="15"/>
      <c r="SV314" s="15"/>
      <c r="SW314" s="15"/>
      <c r="SX314" s="15"/>
      <c r="SY314" s="15"/>
      <c r="SZ314" s="15"/>
      <c r="TA314" s="15"/>
      <c r="TB314" s="15"/>
      <c r="TC314" s="15"/>
      <c r="TD314" s="16"/>
      <c r="TE314" s="262"/>
      <c r="TF314" s="262"/>
      <c r="TG314" s="98"/>
      <c r="TO314" s="261"/>
      <c r="TP314" s="261"/>
      <c r="TQ314" s="261"/>
      <c r="TR314" s="261"/>
      <c r="TS314" s="261"/>
      <c r="TT314" s="261"/>
      <c r="TU314" s="261"/>
      <c r="TV314" s="261"/>
      <c r="TW314" s="261"/>
      <c r="TX314" s="261"/>
      <c r="TY314" s="261"/>
      <c r="TZ314" s="261"/>
      <c r="UA314" s="261"/>
      <c r="UB314" s="261"/>
      <c r="UC314" s="261"/>
      <c r="UD314" s="261"/>
      <c r="UE314" s="261"/>
      <c r="UF314" s="261"/>
      <c r="UG314" s="261"/>
      <c r="UH314" s="261"/>
      <c r="UI314" s="261"/>
      <c r="UJ314" s="261"/>
      <c r="UK314" s="261"/>
      <c r="UL314" s="261"/>
      <c r="UM314" s="261"/>
      <c r="UN314" s="261"/>
      <c r="UO314" s="261"/>
      <c r="UP314" s="261"/>
      <c r="UQ314" s="261"/>
      <c r="UR314" s="261"/>
      <c r="US314" s="261"/>
      <c r="UT314" s="261"/>
      <c r="UU314" s="261"/>
      <c r="UV314" s="261"/>
      <c r="UW314" s="261"/>
      <c r="UX314" s="261"/>
      <c r="UY314" s="261"/>
      <c r="UZ314" s="261"/>
      <c r="VA314" s="261"/>
      <c r="VB314" s="261"/>
      <c r="VC314" s="261"/>
      <c r="VD314" s="261"/>
      <c r="VE314" s="261"/>
      <c r="VF314" s="261"/>
      <c r="VG314" s="261"/>
      <c r="VH314" s="261"/>
      <c r="VI314" s="261"/>
    </row>
    <row r="315" spans="259:581" ht="10.75" customHeight="1" x14ac:dyDescent="0.2">
      <c r="IY315" s="96"/>
      <c r="IZ315" s="262"/>
      <c r="JA315" s="262"/>
      <c r="JB315" s="12"/>
      <c r="JC315" s="261"/>
      <c r="JD315" s="261"/>
      <c r="JE315" s="261"/>
      <c r="JF315" s="261"/>
      <c r="JG315" s="261"/>
      <c r="JH315" s="261"/>
      <c r="JI315" s="261"/>
      <c r="JJ315" s="261"/>
      <c r="JK315" s="261"/>
      <c r="JL315" s="261"/>
      <c r="JM315" s="261"/>
      <c r="JN315" s="261"/>
      <c r="JO315" s="261"/>
      <c r="JP315" s="261"/>
      <c r="JQ315" s="261"/>
      <c r="JR315" s="261"/>
      <c r="JS315" s="261"/>
      <c r="JT315" s="261"/>
      <c r="JU315" s="261"/>
      <c r="JV315" s="261"/>
      <c r="JW315" s="261"/>
      <c r="JX315" s="261"/>
      <c r="JY315" s="261"/>
      <c r="JZ315" s="261"/>
      <c r="KA315" s="261"/>
      <c r="KB315" s="261"/>
      <c r="KC315" s="261"/>
      <c r="KD315" s="261"/>
      <c r="KE315" s="261"/>
      <c r="KF315" s="261"/>
      <c r="KG315" s="261"/>
      <c r="KH315" s="261"/>
      <c r="KI315" s="261"/>
      <c r="KJ315" s="261"/>
      <c r="KK315" s="261"/>
      <c r="KL315" s="261"/>
      <c r="KM315" s="261"/>
      <c r="KN315" s="261"/>
      <c r="KO315" s="261"/>
      <c r="KP315" s="261"/>
      <c r="KQ315" s="261"/>
      <c r="KR315" s="261"/>
      <c r="KS315" s="261"/>
      <c r="KT315" s="261"/>
      <c r="KU315" s="261"/>
      <c r="KV315" s="261"/>
      <c r="KW315" s="261"/>
      <c r="KX315" s="261"/>
      <c r="KY315" s="261"/>
      <c r="KZ315" s="261"/>
      <c r="LA315" s="261"/>
      <c r="LB315" s="261"/>
      <c r="LC315" s="261"/>
      <c r="LD315" s="262"/>
      <c r="LE315" s="98"/>
      <c r="LF315" s="96"/>
      <c r="LG315" s="98"/>
      <c r="LH315" s="261"/>
      <c r="LI315" s="261"/>
      <c r="LJ315" s="261"/>
      <c r="LK315" s="261"/>
      <c r="LL315" s="261"/>
      <c r="LM315" s="261"/>
      <c r="LN315" s="261"/>
      <c r="LO315" s="261"/>
      <c r="LP315" s="261"/>
      <c r="LQ315" s="261"/>
      <c r="LR315" s="261"/>
      <c r="LS315" s="261"/>
      <c r="LT315" s="261"/>
      <c r="LU315" s="261"/>
      <c r="LV315" s="261"/>
      <c r="LW315" s="261"/>
      <c r="LX315" s="261"/>
      <c r="LY315" s="261"/>
      <c r="LZ315" s="261"/>
      <c r="MA315" s="261"/>
      <c r="MB315" s="261"/>
      <c r="MC315" s="261"/>
      <c r="MD315" s="261"/>
      <c r="ME315" s="261"/>
      <c r="MF315" s="261"/>
      <c r="MG315" s="261"/>
      <c r="MH315" s="261"/>
      <c r="MI315" s="261"/>
      <c r="MJ315" s="261"/>
      <c r="MK315" s="261"/>
      <c r="ML315" s="261"/>
      <c r="MM315" s="261"/>
      <c r="MN315" s="261"/>
      <c r="MO315" s="261"/>
      <c r="MP315" s="261"/>
      <c r="MQ315" s="261"/>
      <c r="MR315" s="261"/>
      <c r="MS315" s="261"/>
      <c r="MT315" s="261"/>
      <c r="MU315" s="261"/>
      <c r="MV315" s="261"/>
      <c r="MW315" s="261"/>
      <c r="MX315" s="261"/>
      <c r="MY315" s="261"/>
      <c r="MZ315" s="261"/>
      <c r="NA315" s="261"/>
      <c r="NB315" s="261"/>
      <c r="NC315" s="261"/>
      <c r="ND315" s="261"/>
      <c r="NE315" s="261"/>
      <c r="NF315" s="261"/>
      <c r="NG315" s="261"/>
      <c r="NH315" s="261"/>
      <c r="NI315" s="261"/>
      <c r="NJ315" s="261"/>
      <c r="NK315" s="261"/>
      <c r="NL315" s="262"/>
      <c r="NM315" s="262"/>
      <c r="NN315" s="98"/>
      <c r="OR315" s="96"/>
      <c r="OS315" s="262"/>
      <c r="OT315" s="262"/>
      <c r="OU315" s="12"/>
      <c r="OV315" s="261"/>
      <c r="OW315" s="261"/>
      <c r="OX315" s="261"/>
      <c r="OY315" s="261"/>
      <c r="OZ315" s="261"/>
      <c r="PA315" s="261"/>
      <c r="PB315" s="261"/>
      <c r="PC315" s="261"/>
      <c r="PD315" s="261"/>
      <c r="PE315" s="261"/>
      <c r="PF315" s="261"/>
      <c r="PG315" s="261"/>
      <c r="PH315" s="261"/>
      <c r="PI315" s="261"/>
      <c r="PJ315" s="261"/>
      <c r="PK315" s="261"/>
      <c r="PL315" s="261"/>
      <c r="PM315" s="261"/>
      <c r="PN315" s="261"/>
      <c r="PO315" s="261"/>
      <c r="PP315" s="261"/>
      <c r="PQ315" s="261"/>
      <c r="PR315" s="261"/>
      <c r="PS315" s="261"/>
      <c r="PT315" s="261"/>
      <c r="PU315" s="261"/>
      <c r="PV315" s="261"/>
      <c r="PW315" s="261"/>
      <c r="PX315" s="261"/>
      <c r="PY315" s="261"/>
      <c r="PZ315" s="261"/>
      <c r="QA315" s="261"/>
      <c r="QB315" s="261"/>
      <c r="QC315" s="261"/>
      <c r="QD315" s="261"/>
      <c r="QE315" s="261"/>
      <c r="QF315" s="261"/>
      <c r="QG315" s="261"/>
      <c r="QH315" s="261"/>
      <c r="QI315" s="261"/>
      <c r="QJ315" s="261"/>
      <c r="QK315" s="261"/>
      <c r="QL315" s="261"/>
      <c r="QM315" s="261"/>
      <c r="QN315" s="261"/>
      <c r="QO315" s="261"/>
      <c r="QP315" s="261"/>
      <c r="QQ315" s="261"/>
      <c r="QR315" s="261"/>
      <c r="QS315" s="261"/>
      <c r="QT315" s="261"/>
      <c r="QU315" s="261"/>
      <c r="QV315" s="261"/>
      <c r="QW315" s="262"/>
      <c r="QX315" s="98"/>
      <c r="QY315" s="96"/>
      <c r="QZ315" s="98"/>
      <c r="RA315" s="261"/>
      <c r="RB315" s="261"/>
      <c r="RC315" s="261"/>
      <c r="RD315" s="261"/>
      <c r="RE315" s="261"/>
      <c r="RF315" s="261"/>
      <c r="RG315" s="261"/>
      <c r="RH315" s="261"/>
      <c r="RI315" s="261"/>
      <c r="RJ315" s="261"/>
      <c r="RK315" s="261"/>
      <c r="RL315" s="261"/>
      <c r="RM315" s="261"/>
      <c r="RN315" s="261"/>
      <c r="RO315" s="261"/>
      <c r="RP315" s="261"/>
      <c r="RQ315" s="261"/>
      <c r="RR315" s="261"/>
      <c r="RS315" s="261"/>
      <c r="RT315" s="261"/>
      <c r="RU315" s="261"/>
      <c r="RV315" s="261"/>
      <c r="RW315" s="261"/>
      <c r="RX315" s="261"/>
      <c r="RY315" s="261"/>
      <c r="RZ315" s="261"/>
      <c r="SA315" s="261"/>
      <c r="SB315" s="261"/>
      <c r="SC315" s="261"/>
      <c r="SD315" s="261"/>
      <c r="SE315" s="261"/>
      <c r="SF315" s="261"/>
      <c r="SG315" s="261"/>
      <c r="SH315" s="261"/>
      <c r="SI315" s="261"/>
      <c r="SJ315" s="261"/>
      <c r="SK315" s="261"/>
      <c r="SL315" s="261"/>
      <c r="SM315" s="261"/>
      <c r="SN315" s="261"/>
      <c r="SO315" s="261"/>
      <c r="SP315" s="261"/>
      <c r="SQ315" s="261"/>
      <c r="SR315" s="261"/>
      <c r="SS315" s="261"/>
      <c r="ST315" s="261"/>
      <c r="SU315" s="261"/>
      <c r="SV315" s="261"/>
      <c r="SW315" s="261"/>
      <c r="SX315" s="261"/>
      <c r="SY315" s="261"/>
      <c r="SZ315" s="261"/>
      <c r="TA315" s="261"/>
      <c r="TB315" s="261"/>
      <c r="TC315" s="261"/>
      <c r="TD315" s="261"/>
      <c r="TE315" s="262"/>
      <c r="TF315" s="262"/>
      <c r="TG315" s="98"/>
      <c r="TO315" s="261"/>
      <c r="TP315" s="261"/>
      <c r="TQ315" s="261"/>
      <c r="TR315" s="261"/>
      <c r="TS315" s="261"/>
      <c r="TT315" s="261"/>
      <c r="TU315" s="261"/>
      <c r="TV315" s="261"/>
      <c r="TW315" s="261"/>
      <c r="TX315" s="261"/>
      <c r="TY315" s="261"/>
      <c r="TZ315" s="261"/>
      <c r="UA315" s="261"/>
      <c r="UB315" s="261"/>
      <c r="UC315" s="261"/>
      <c r="UD315" s="261"/>
      <c r="UE315" s="261"/>
      <c r="UF315" s="261"/>
      <c r="UG315" s="261"/>
      <c r="UH315" s="261"/>
      <c r="UI315" s="261"/>
      <c r="UJ315" s="261"/>
      <c r="UK315" s="261"/>
      <c r="UL315" s="261"/>
      <c r="UM315" s="261"/>
      <c r="UN315" s="261"/>
      <c r="UO315" s="261"/>
      <c r="UP315" s="261"/>
      <c r="UQ315" s="261"/>
      <c r="UR315" s="261"/>
      <c r="US315" s="261"/>
      <c r="UT315" s="261"/>
      <c r="UU315" s="261"/>
      <c r="UV315" s="261"/>
      <c r="UW315" s="261"/>
      <c r="UX315" s="261"/>
      <c r="UY315" s="261"/>
      <c r="UZ315" s="261"/>
      <c r="VA315" s="261"/>
      <c r="VB315" s="261"/>
      <c r="VC315" s="261"/>
      <c r="VD315" s="261"/>
      <c r="VE315" s="261"/>
      <c r="VF315" s="261"/>
      <c r="VG315" s="261"/>
      <c r="VH315" s="261"/>
      <c r="VI315" s="261"/>
    </row>
    <row r="316" spans="259:581" ht="10.75" customHeight="1" x14ac:dyDescent="0.2">
      <c r="IY316" s="96"/>
      <c r="IZ316" s="262"/>
      <c r="JA316" s="262"/>
      <c r="JB316" s="12"/>
      <c r="JC316" s="261"/>
      <c r="JD316" s="261"/>
      <c r="JE316" s="261"/>
      <c r="JF316" s="261"/>
      <c r="JG316" s="261"/>
      <c r="JH316" s="261"/>
      <c r="JI316" s="261"/>
      <c r="JJ316" s="261"/>
      <c r="JK316" s="261"/>
      <c r="JL316" s="261"/>
      <c r="JM316" s="261"/>
      <c r="JN316" s="261"/>
      <c r="JO316" s="261"/>
      <c r="JP316" s="261"/>
      <c r="JQ316" s="261"/>
      <c r="JR316" s="261"/>
      <c r="JS316" s="261"/>
      <c r="JT316" s="261"/>
      <c r="JU316" s="261"/>
      <c r="JV316" s="261"/>
      <c r="JW316" s="261"/>
      <c r="JX316" s="261"/>
      <c r="JY316" s="261"/>
      <c r="JZ316" s="261"/>
      <c r="KA316" s="261"/>
      <c r="KB316" s="261"/>
      <c r="KC316" s="261"/>
      <c r="KD316" s="261"/>
      <c r="KE316" s="261"/>
      <c r="KF316" s="261"/>
      <c r="KG316" s="261"/>
      <c r="KH316" s="261"/>
      <c r="KI316" s="261"/>
      <c r="KJ316" s="261"/>
      <c r="KK316" s="261"/>
      <c r="KL316" s="261"/>
      <c r="KM316" s="261"/>
      <c r="KN316" s="261"/>
      <c r="KO316" s="261"/>
      <c r="KP316" s="261"/>
      <c r="KQ316" s="261"/>
      <c r="KR316" s="261"/>
      <c r="KS316" s="261"/>
      <c r="KT316" s="261"/>
      <c r="KU316" s="261"/>
      <c r="KV316" s="261"/>
      <c r="KW316" s="261"/>
      <c r="KX316" s="261"/>
      <c r="KY316" s="261"/>
      <c r="KZ316" s="261"/>
      <c r="LA316" s="261"/>
      <c r="LB316" s="261"/>
      <c r="LC316" s="261"/>
      <c r="LD316" s="262"/>
      <c r="LE316" s="98"/>
      <c r="LF316" s="96"/>
      <c r="LG316" s="98"/>
      <c r="LH316" s="261"/>
      <c r="LI316" s="261"/>
      <c r="LJ316" s="261"/>
      <c r="LK316" s="261"/>
      <c r="LL316" s="261"/>
      <c r="LM316" s="261"/>
      <c r="LN316" s="261"/>
      <c r="LO316" s="261"/>
      <c r="LP316" s="261"/>
      <c r="LQ316" s="261"/>
      <c r="LR316" s="261"/>
      <c r="LS316" s="261"/>
      <c r="LT316" s="261"/>
      <c r="LU316" s="261"/>
      <c r="LV316" s="261"/>
      <c r="LW316" s="261"/>
      <c r="LX316" s="261"/>
      <c r="LY316" s="261"/>
      <c r="LZ316" s="261"/>
      <c r="MA316" s="261"/>
      <c r="MB316" s="261"/>
      <c r="MC316" s="261"/>
      <c r="MD316" s="261"/>
      <c r="ME316" s="261"/>
      <c r="MF316" s="261"/>
      <c r="MG316" s="261"/>
      <c r="MH316" s="261"/>
      <c r="MI316" s="261"/>
      <c r="MJ316" s="261"/>
      <c r="MK316" s="261"/>
      <c r="ML316" s="261"/>
      <c r="MM316" s="261"/>
      <c r="MN316" s="261"/>
      <c r="MO316" s="261"/>
      <c r="MP316" s="261"/>
      <c r="MQ316" s="261"/>
      <c r="MR316" s="261"/>
      <c r="MS316" s="261"/>
      <c r="MT316" s="261"/>
      <c r="MU316" s="261"/>
      <c r="MV316" s="261"/>
      <c r="MW316" s="261"/>
      <c r="MX316" s="261"/>
      <c r="MY316" s="261"/>
      <c r="MZ316" s="261"/>
      <c r="NA316" s="261"/>
      <c r="NB316" s="261"/>
      <c r="NC316" s="261"/>
      <c r="ND316" s="261"/>
      <c r="NE316" s="261"/>
      <c r="NF316" s="261"/>
      <c r="NG316" s="261"/>
      <c r="NH316" s="261"/>
      <c r="NI316" s="261"/>
      <c r="NJ316" s="261"/>
      <c r="NK316" s="261"/>
      <c r="NL316" s="262"/>
      <c r="NM316" s="262"/>
      <c r="NN316" s="98"/>
      <c r="OR316" s="96"/>
      <c r="OS316" s="262"/>
      <c r="OT316" s="262"/>
      <c r="OU316" s="12"/>
      <c r="OV316" s="261"/>
      <c r="OW316" s="261"/>
      <c r="OX316" s="261"/>
      <c r="OY316" s="261"/>
      <c r="OZ316" s="261"/>
      <c r="PA316" s="261"/>
      <c r="PB316" s="261"/>
      <c r="PC316" s="261"/>
      <c r="PD316" s="261"/>
      <c r="PE316" s="261"/>
      <c r="PF316" s="261"/>
      <c r="PG316" s="261"/>
      <c r="PH316" s="261"/>
      <c r="PI316" s="261"/>
      <c r="PJ316" s="261"/>
      <c r="PK316" s="261"/>
      <c r="PL316" s="261"/>
      <c r="PM316" s="261"/>
      <c r="PN316" s="261"/>
      <c r="PO316" s="261"/>
      <c r="PP316" s="261"/>
      <c r="PQ316" s="261"/>
      <c r="PR316" s="261"/>
      <c r="PS316" s="261"/>
      <c r="PT316" s="261"/>
      <c r="PU316" s="261"/>
      <c r="PV316" s="261"/>
      <c r="PW316" s="261"/>
      <c r="PX316" s="261"/>
      <c r="PY316" s="261"/>
      <c r="PZ316" s="261"/>
      <c r="QA316" s="261"/>
      <c r="QB316" s="261"/>
      <c r="QC316" s="261"/>
      <c r="QD316" s="261"/>
      <c r="QE316" s="261"/>
      <c r="QF316" s="261"/>
      <c r="QG316" s="261"/>
      <c r="QH316" s="261"/>
      <c r="QI316" s="261"/>
      <c r="QJ316" s="261"/>
      <c r="QK316" s="261"/>
      <c r="QL316" s="261"/>
      <c r="QM316" s="261"/>
      <c r="QN316" s="261"/>
      <c r="QO316" s="261"/>
      <c r="QP316" s="261"/>
      <c r="QQ316" s="261"/>
      <c r="QR316" s="261"/>
      <c r="QS316" s="261"/>
      <c r="QT316" s="261"/>
      <c r="QU316" s="261"/>
      <c r="QV316" s="261"/>
      <c r="QW316" s="262"/>
      <c r="QX316" s="98"/>
      <c r="QY316" s="96"/>
      <c r="QZ316" s="98"/>
      <c r="RA316" s="261"/>
      <c r="RB316" s="261"/>
      <c r="RC316" s="261"/>
      <c r="RD316" s="261"/>
      <c r="RE316" s="261"/>
      <c r="RF316" s="261"/>
      <c r="RG316" s="261"/>
      <c r="RH316" s="261"/>
      <c r="RI316" s="261"/>
      <c r="RJ316" s="261"/>
      <c r="RK316" s="261"/>
      <c r="RL316" s="261"/>
      <c r="RM316" s="261"/>
      <c r="RN316" s="261"/>
      <c r="RO316" s="261"/>
      <c r="RP316" s="261"/>
      <c r="RQ316" s="261"/>
      <c r="RR316" s="261"/>
      <c r="RS316" s="261"/>
      <c r="RT316" s="261"/>
      <c r="RU316" s="261"/>
      <c r="RV316" s="261"/>
      <c r="RW316" s="261"/>
      <c r="RX316" s="261"/>
      <c r="RY316" s="261"/>
      <c r="RZ316" s="261"/>
      <c r="SA316" s="261"/>
      <c r="SB316" s="261"/>
      <c r="SC316" s="261"/>
      <c r="SD316" s="261"/>
      <c r="SE316" s="261"/>
      <c r="SF316" s="261"/>
      <c r="SG316" s="261"/>
      <c r="SH316" s="261"/>
      <c r="SI316" s="261"/>
      <c r="SJ316" s="261"/>
      <c r="SK316" s="261"/>
      <c r="SL316" s="261"/>
      <c r="SM316" s="261"/>
      <c r="SN316" s="261"/>
      <c r="SO316" s="261"/>
      <c r="SP316" s="261"/>
      <c r="SQ316" s="261"/>
      <c r="SR316" s="261"/>
      <c r="SS316" s="261"/>
      <c r="ST316" s="261"/>
      <c r="SU316" s="261"/>
      <c r="SV316" s="261"/>
      <c r="SW316" s="261"/>
      <c r="SX316" s="261"/>
      <c r="SY316" s="261"/>
      <c r="SZ316" s="261"/>
      <c r="TA316" s="261"/>
      <c r="TB316" s="261"/>
      <c r="TC316" s="261"/>
      <c r="TD316" s="261"/>
      <c r="TE316" s="262"/>
      <c r="TF316" s="262"/>
      <c r="TG316" s="98"/>
      <c r="TO316" s="261"/>
      <c r="TP316" s="261"/>
      <c r="TQ316" s="261"/>
      <c r="TR316" s="261"/>
      <c r="TS316" s="261"/>
      <c r="TT316" s="261"/>
      <c r="TU316" s="261"/>
      <c r="TV316" s="261"/>
      <c r="TW316" s="261"/>
      <c r="TX316" s="261"/>
      <c r="TY316" s="261"/>
      <c r="TZ316" s="261"/>
      <c r="UA316" s="261"/>
      <c r="UB316" s="261"/>
      <c r="UC316" s="261"/>
      <c r="UD316" s="261"/>
      <c r="UE316" s="261"/>
      <c r="UF316" s="261"/>
      <c r="UG316" s="261"/>
      <c r="UH316" s="261"/>
      <c r="UI316" s="261"/>
      <c r="UJ316" s="261"/>
      <c r="UK316" s="261"/>
      <c r="UL316" s="261"/>
      <c r="UM316" s="261"/>
      <c r="UN316" s="261"/>
      <c r="UO316" s="261"/>
      <c r="UP316" s="261"/>
      <c r="UQ316" s="261"/>
      <c r="UR316" s="261"/>
      <c r="US316" s="261"/>
      <c r="UT316" s="261"/>
      <c r="UU316" s="261"/>
      <c r="UV316" s="261"/>
      <c r="UW316" s="261"/>
      <c r="UX316" s="261"/>
      <c r="UY316" s="261"/>
      <c r="UZ316" s="261"/>
      <c r="VA316" s="261"/>
      <c r="VB316" s="261"/>
      <c r="VC316" s="261"/>
      <c r="VD316" s="261"/>
      <c r="VE316" s="261"/>
      <c r="VF316" s="261"/>
      <c r="VG316" s="261"/>
      <c r="VH316" s="261"/>
      <c r="VI316" s="261"/>
    </row>
    <row r="317" spans="259:581" ht="10.75" customHeight="1" x14ac:dyDescent="0.2">
      <c r="IY317" s="59"/>
      <c r="IZ317" s="60"/>
      <c r="JA317" s="60"/>
      <c r="JB317" s="14"/>
      <c r="JC317" s="15"/>
      <c r="JD317" s="15"/>
      <c r="JE317" s="15"/>
      <c r="JF317" s="15"/>
      <c r="JG317" s="15"/>
      <c r="JH317" s="15"/>
      <c r="JI317" s="15"/>
      <c r="JJ317" s="15"/>
      <c r="JK317" s="15"/>
      <c r="JL317" s="15"/>
      <c r="JM317" s="15"/>
      <c r="JN317" s="15"/>
      <c r="JO317" s="15"/>
      <c r="JP317" s="15"/>
      <c r="JQ317" s="15"/>
      <c r="JR317" s="15"/>
      <c r="JS317" s="15"/>
      <c r="JT317" s="15"/>
      <c r="JU317" s="15"/>
      <c r="JV317" s="15"/>
      <c r="JW317" s="15"/>
      <c r="JX317" s="15"/>
      <c r="JY317" s="15"/>
      <c r="JZ317" s="15"/>
      <c r="KA317" s="15"/>
      <c r="KB317" s="15"/>
      <c r="KC317" s="15"/>
      <c r="KD317" s="15"/>
      <c r="KE317" s="15"/>
      <c r="KF317" s="15"/>
      <c r="KG317" s="15"/>
      <c r="KH317" s="15"/>
      <c r="KI317" s="15"/>
      <c r="KJ317" s="15"/>
      <c r="KK317" s="15"/>
      <c r="KL317" s="15"/>
      <c r="KM317" s="15"/>
      <c r="KN317" s="15"/>
      <c r="KO317" s="15"/>
      <c r="KP317" s="15"/>
      <c r="KQ317" s="15"/>
      <c r="KR317" s="15"/>
      <c r="KS317" s="15"/>
      <c r="KT317" s="15"/>
      <c r="KU317" s="15"/>
      <c r="KV317" s="15"/>
      <c r="KW317" s="15"/>
      <c r="KX317" s="15"/>
      <c r="KY317" s="15"/>
      <c r="KZ317" s="15"/>
      <c r="LA317" s="15"/>
      <c r="LB317" s="15"/>
      <c r="LC317" s="15"/>
      <c r="LD317" s="60"/>
      <c r="LE317" s="61"/>
      <c r="LF317" s="59"/>
      <c r="LG317" s="61"/>
      <c r="LH317" s="15"/>
      <c r="LI317" s="15"/>
      <c r="LJ317" s="15"/>
      <c r="LK317" s="15"/>
      <c r="LL317" s="15"/>
      <c r="LM317" s="15"/>
      <c r="LN317" s="15"/>
      <c r="LO317" s="15"/>
      <c r="LP317" s="15"/>
      <c r="LQ317" s="15"/>
      <c r="LR317" s="15"/>
      <c r="LS317" s="15"/>
      <c r="LT317" s="15"/>
      <c r="LU317" s="15"/>
      <c r="LV317" s="15"/>
      <c r="LW317" s="15"/>
      <c r="LX317" s="15"/>
      <c r="LY317" s="15"/>
      <c r="LZ317" s="15"/>
      <c r="MA317" s="15"/>
      <c r="MB317" s="15"/>
      <c r="MC317" s="15"/>
      <c r="MD317" s="15"/>
      <c r="ME317" s="15"/>
      <c r="MF317" s="15"/>
      <c r="MG317" s="15"/>
      <c r="MH317" s="15"/>
      <c r="MI317" s="15"/>
      <c r="MJ317" s="15"/>
      <c r="MK317" s="15"/>
      <c r="ML317" s="15"/>
      <c r="MM317" s="15"/>
      <c r="MN317" s="15"/>
      <c r="MO317" s="15"/>
      <c r="MP317" s="15"/>
      <c r="MQ317" s="15"/>
      <c r="MR317" s="15"/>
      <c r="MS317" s="15"/>
      <c r="MT317" s="15"/>
      <c r="MU317" s="15"/>
      <c r="MV317" s="15"/>
      <c r="MW317" s="15"/>
      <c r="MX317" s="15"/>
      <c r="MY317" s="15"/>
      <c r="MZ317" s="15"/>
      <c r="NA317" s="15"/>
      <c r="NB317" s="15"/>
      <c r="NC317" s="15"/>
      <c r="ND317" s="15"/>
      <c r="NE317" s="15"/>
      <c r="NF317" s="15"/>
      <c r="NG317" s="15"/>
      <c r="NH317" s="15"/>
      <c r="NI317" s="15"/>
      <c r="NJ317" s="15"/>
      <c r="NK317" s="15"/>
      <c r="NL317" s="60"/>
      <c r="NM317" s="60"/>
      <c r="NN317" s="61"/>
      <c r="OR317" s="59"/>
      <c r="OS317" s="60"/>
      <c r="OT317" s="60"/>
      <c r="OU317" s="14"/>
      <c r="OV317" s="15"/>
      <c r="OW317" s="15"/>
      <c r="OX317" s="15"/>
      <c r="OY317" s="15"/>
      <c r="OZ317" s="15"/>
      <c r="PA317" s="15"/>
      <c r="PB317" s="15"/>
      <c r="PC317" s="15"/>
      <c r="PD317" s="15"/>
      <c r="PE317" s="15"/>
      <c r="PF317" s="15"/>
      <c r="PG317" s="15"/>
      <c r="PH317" s="15"/>
      <c r="PI317" s="15"/>
      <c r="PJ317" s="15"/>
      <c r="PK317" s="15"/>
      <c r="PL317" s="15"/>
      <c r="PM317" s="15"/>
      <c r="PN317" s="15"/>
      <c r="PO317" s="15"/>
      <c r="PP317" s="15"/>
      <c r="PQ317" s="15"/>
      <c r="PR317" s="15"/>
      <c r="PS317" s="15"/>
      <c r="PT317" s="15"/>
      <c r="PU317" s="15"/>
      <c r="PV317" s="15"/>
      <c r="PW317" s="15"/>
      <c r="PX317" s="15"/>
      <c r="PY317" s="15"/>
      <c r="PZ317" s="15"/>
      <c r="QA317" s="15"/>
      <c r="QB317" s="15"/>
      <c r="QC317" s="15"/>
      <c r="QD317" s="15"/>
      <c r="QE317" s="15"/>
      <c r="QF317" s="15"/>
      <c r="QG317" s="15"/>
      <c r="QH317" s="15"/>
      <c r="QI317" s="15"/>
      <c r="QJ317" s="15"/>
      <c r="QK317" s="15"/>
      <c r="QL317" s="15"/>
      <c r="QM317" s="15"/>
      <c r="QN317" s="15"/>
      <c r="QO317" s="15"/>
      <c r="QP317" s="15"/>
      <c r="QQ317" s="15"/>
      <c r="QR317" s="15"/>
      <c r="QS317" s="15"/>
      <c r="QT317" s="15"/>
      <c r="QU317" s="15"/>
      <c r="QV317" s="15"/>
      <c r="QW317" s="60"/>
      <c r="QX317" s="61"/>
      <c r="QY317" s="59"/>
      <c r="QZ317" s="61"/>
      <c r="RA317" s="15"/>
      <c r="RB317" s="15"/>
      <c r="RC317" s="15"/>
      <c r="RD317" s="15"/>
      <c r="RE317" s="15"/>
      <c r="RF317" s="15"/>
      <c r="RG317" s="15"/>
      <c r="RH317" s="15"/>
      <c r="RI317" s="15"/>
      <c r="RJ317" s="15"/>
      <c r="RK317" s="15"/>
      <c r="RL317" s="15"/>
      <c r="RM317" s="15"/>
      <c r="RN317" s="15"/>
      <c r="RO317" s="15"/>
      <c r="RP317" s="15"/>
      <c r="RQ317" s="15"/>
      <c r="RR317" s="15"/>
      <c r="RS317" s="15"/>
      <c r="RT317" s="15"/>
      <c r="RU317" s="15"/>
      <c r="RV317" s="15"/>
      <c r="RW317" s="15"/>
      <c r="RX317" s="15"/>
      <c r="RY317" s="15"/>
      <c r="RZ317" s="15"/>
      <c r="SA317" s="15"/>
      <c r="SB317" s="15"/>
      <c r="SC317" s="15"/>
      <c r="SD317" s="15"/>
      <c r="SE317" s="15"/>
      <c r="SF317" s="15"/>
      <c r="SG317" s="15"/>
      <c r="SH317" s="15"/>
      <c r="SI317" s="15"/>
      <c r="SJ317" s="15"/>
      <c r="SK317" s="15"/>
      <c r="SL317" s="15"/>
      <c r="SM317" s="15"/>
      <c r="SN317" s="15"/>
      <c r="SO317" s="15"/>
      <c r="SP317" s="15"/>
      <c r="SQ317" s="15"/>
      <c r="SR317" s="15"/>
      <c r="SS317" s="15"/>
      <c r="ST317" s="15"/>
      <c r="SU317" s="15"/>
      <c r="SV317" s="15"/>
      <c r="SW317" s="15"/>
      <c r="SX317" s="15"/>
      <c r="SY317" s="15"/>
      <c r="SZ317" s="15"/>
      <c r="TA317" s="15"/>
      <c r="TB317" s="15"/>
      <c r="TC317" s="15"/>
      <c r="TD317" s="15"/>
      <c r="TE317" s="60"/>
      <c r="TF317" s="60"/>
      <c r="TG317" s="61"/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Sheet4</vt:lpstr>
      <vt:lpstr>Sheet1 (3)</vt:lpstr>
      <vt:lpstr>Sheet1 (4)</vt:lpstr>
      <vt:lpstr>Sheet1 (5)</vt:lpstr>
      <vt:lpstr>Calc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 Reddy</dc:creator>
  <cp:lastModifiedBy>Venkat Reddy</cp:lastModifiedBy>
  <dcterms:created xsi:type="dcterms:W3CDTF">2023-12-29T23:55:15Z</dcterms:created>
  <dcterms:modified xsi:type="dcterms:W3CDTF">2024-01-19T07:15:38Z</dcterms:modified>
</cp:coreProperties>
</file>