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r/Desktop/"/>
    </mc:Choice>
  </mc:AlternateContent>
  <xr:revisionPtr revIDLastSave="0" documentId="13_ncr:1_{3C4DEE1C-8E76-4B42-8EC3-81735F0BD35C}" xr6:coauthVersionLast="47" xr6:coauthVersionMax="47" xr10:uidLastSave="{00000000-0000-0000-0000-000000000000}"/>
  <bookViews>
    <workbookView xWindow="0" yWindow="0" windowWidth="25600" windowHeight="16000" activeTab="6" xr2:uid="{4F2C5078-D8A4-B340-A780-D2C59BF3A328}"/>
  </bookViews>
  <sheets>
    <sheet name="Sheet4" sheetId="4" r:id="rId1"/>
    <sheet name="Calc-2" sheetId="11" r:id="rId2"/>
    <sheet name="Sheet1 (3)" sheetId="5" r:id="rId3"/>
    <sheet name="Sheet1 (4)" sheetId="6" r:id="rId4"/>
    <sheet name="Sheet1 (5)" sheetId="7" r:id="rId5"/>
    <sheet name="Calc" sheetId="9" r:id="rId6"/>
    <sheet name="Sheet2" sheetId="10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1" i="9" l="1"/>
  <c r="X11" i="9" s="1"/>
  <c r="X13" i="9"/>
  <c r="X12" i="9"/>
  <c r="X10" i="9"/>
  <c r="X9" i="9"/>
  <c r="X8" i="9"/>
  <c r="X7" i="9"/>
  <c r="X6" i="9"/>
  <c r="X5" i="9"/>
  <c r="X4" i="9"/>
  <c r="U18" i="9"/>
  <c r="U19" i="9" s="1"/>
  <c r="U20" i="9" s="1"/>
  <c r="U21" i="9" s="1"/>
  <c r="T19" i="9"/>
  <c r="T18" i="9"/>
  <c r="O37" i="4"/>
  <c r="N37" i="4"/>
  <c r="N36" i="4"/>
  <c r="N34" i="4"/>
  <c r="O35" i="4" s="1"/>
  <c r="E25" i="11"/>
  <c r="F25" i="11" s="1"/>
  <c r="F24" i="11"/>
  <c r="E24" i="11"/>
  <c r="F22" i="11"/>
  <c r="F23" i="11" s="1"/>
  <c r="F26" i="11" s="1"/>
  <c r="F27" i="11" s="1"/>
  <c r="F21" i="11"/>
  <c r="F16" i="11"/>
  <c r="F15" i="11"/>
  <c r="F14" i="11"/>
  <c r="F19" i="11" s="1"/>
  <c r="F13" i="11"/>
  <c r="F17" i="11" s="1"/>
  <c r="E13" i="11"/>
  <c r="D13" i="11"/>
  <c r="F12" i="11"/>
  <c r="F18" i="11" s="1"/>
  <c r="E12" i="11"/>
  <c r="D12" i="11"/>
  <c r="F11" i="11"/>
  <c r="U22" i="4"/>
  <c r="U20" i="4"/>
  <c r="U17" i="4"/>
  <c r="Q25" i="4"/>
  <c r="Q15" i="4"/>
  <c r="Q16" i="4"/>
  <c r="Q17" i="4" s="1"/>
  <c r="S13" i="4"/>
  <c r="S12" i="4"/>
  <c r="S11" i="4"/>
  <c r="S10" i="4"/>
  <c r="S9" i="4"/>
  <c r="N15" i="4"/>
  <c r="N14" i="4"/>
  <c r="N12" i="4"/>
  <c r="N7" i="4"/>
  <c r="N8" i="4"/>
  <c r="N5" i="4"/>
  <c r="R32" i="9"/>
  <c r="R31" i="9"/>
  <c r="I5" i="4"/>
  <c r="I4" i="4"/>
  <c r="H5" i="4"/>
  <c r="H4" i="4"/>
  <c r="R12" i="9"/>
  <c r="R13" i="9" s="1"/>
  <c r="R15" i="9" s="1"/>
  <c r="R16" i="9" s="1"/>
  <c r="S6" i="9"/>
  <c r="T6" i="9"/>
  <c r="T7" i="9" s="1"/>
  <c r="C10" i="9"/>
  <c r="C9" i="9"/>
  <c r="R8" i="9"/>
  <c r="Q7" i="9"/>
  <c r="Q6" i="9"/>
  <c r="P22" i="9"/>
  <c r="R52" i="4"/>
  <c r="Q52" i="4"/>
  <c r="F26" i="9"/>
  <c r="F27" i="9" s="1"/>
  <c r="D37" i="9"/>
  <c r="B35" i="9"/>
  <c r="D35" i="9" s="1"/>
  <c r="I16" i="9"/>
  <c r="C27" i="9"/>
  <c r="C28" i="9"/>
  <c r="C29" i="9"/>
  <c r="I8" i="9"/>
  <c r="F13" i="9"/>
  <c r="F14" i="9" s="1"/>
  <c r="Q5" i="9"/>
  <c r="F8" i="9"/>
  <c r="I24" i="9"/>
  <c r="I25" i="9" s="1"/>
  <c r="F7" i="9"/>
  <c r="C5" i="9"/>
  <c r="P14" i="9" s="1"/>
  <c r="S62" i="4"/>
  <c r="S54" i="4"/>
  <c r="S55" i="4" s="1"/>
  <c r="S56" i="4" s="1"/>
  <c r="S57" i="4" s="1"/>
  <c r="S61" i="4" s="1"/>
  <c r="N30" i="4"/>
  <c r="O30" i="4" s="1"/>
  <c r="N29" i="4"/>
  <c r="N27" i="4"/>
  <c r="N26" i="4"/>
  <c r="N24" i="4"/>
  <c r="N23" i="4"/>
  <c r="P54" i="4"/>
  <c r="P53" i="4"/>
  <c r="P52" i="4"/>
  <c r="P50" i="4"/>
  <c r="R48" i="4"/>
  <c r="Q48" i="4"/>
  <c r="P48" i="4"/>
  <c r="P47" i="4"/>
  <c r="P45" i="4"/>
  <c r="P44" i="4"/>
  <c r="P43" i="4"/>
  <c r="J66" i="4"/>
  <c r="J65" i="4"/>
  <c r="K66" i="4" s="1"/>
  <c r="J63" i="4"/>
  <c r="K63" i="4" s="1"/>
  <c r="J62" i="4"/>
  <c r="J60" i="4"/>
  <c r="J59" i="4"/>
  <c r="K60" i="4" s="1"/>
  <c r="L58" i="4"/>
  <c r="L55" i="4"/>
  <c r="L49" i="4"/>
  <c r="J57" i="4"/>
  <c r="K57" i="4" s="1"/>
  <c r="J56" i="4"/>
  <c r="J55" i="4"/>
  <c r="K55" i="4" s="1"/>
  <c r="J54" i="4"/>
  <c r="J53" i="4"/>
  <c r="J52" i="4"/>
  <c r="K53" i="4" s="1"/>
  <c r="J51" i="4"/>
  <c r="K51" i="4" s="1"/>
  <c r="J50" i="4"/>
  <c r="J49" i="4"/>
  <c r="K49" i="4" s="1"/>
  <c r="J48" i="4"/>
  <c r="J46" i="4"/>
  <c r="J45" i="4"/>
  <c r="J43" i="4"/>
  <c r="K43" i="4" s="1"/>
  <c r="J42" i="4"/>
  <c r="J39" i="4"/>
  <c r="K39" i="4" s="1"/>
  <c r="J38" i="4"/>
  <c r="J37" i="4"/>
  <c r="K37" i="4" s="1"/>
  <c r="J36" i="4"/>
  <c r="E12" i="4"/>
  <c r="H16" i="4"/>
  <c r="J34" i="4"/>
  <c r="J33" i="4"/>
  <c r="J31" i="4"/>
  <c r="J30" i="4"/>
  <c r="J26" i="4"/>
  <c r="K26" i="4" s="1"/>
  <c r="K28" i="4" s="1"/>
  <c r="J25" i="4"/>
  <c r="J24" i="4"/>
  <c r="J23" i="4"/>
  <c r="K24" i="4" s="1"/>
  <c r="J19" i="4"/>
  <c r="J17" i="4"/>
  <c r="J9" i="4"/>
  <c r="I9" i="4"/>
  <c r="I11" i="4"/>
  <c r="N35" i="4" l="1"/>
  <c r="F20" i="11"/>
  <c r="Q18" i="4"/>
  <c r="Q20" i="4" s="1"/>
  <c r="R17" i="4"/>
  <c r="R7" i="9"/>
  <c r="I26" i="9" s="1"/>
  <c r="P23" i="9"/>
  <c r="P24" i="9" s="1"/>
  <c r="I18" i="9" s="1"/>
  <c r="I17" i="9"/>
  <c r="C30" i="9"/>
  <c r="C31" i="9" s="1"/>
  <c r="C32" i="9" s="1"/>
  <c r="L5" i="9"/>
  <c r="I6" i="9" s="1"/>
  <c r="I7" i="9" s="1"/>
  <c r="I11" i="9" s="1"/>
  <c r="P10" i="9"/>
  <c r="P15" i="9"/>
  <c r="P11" i="9"/>
  <c r="P16" i="9"/>
  <c r="P12" i="9"/>
  <c r="P17" i="9"/>
  <c r="S63" i="4"/>
  <c r="S64" i="4" s="1"/>
  <c r="Q54" i="4"/>
  <c r="Q45" i="4"/>
  <c r="K46" i="4"/>
  <c r="K31" i="4"/>
  <c r="K34" i="4"/>
  <c r="R20" i="4" l="1"/>
  <c r="Q21" i="4"/>
  <c r="Q23" i="4" s="1"/>
  <c r="R18" i="4"/>
  <c r="I9" i="9"/>
  <c r="I27" i="9"/>
  <c r="I29" i="9" s="1"/>
  <c r="F24" i="9" s="1"/>
  <c r="F25" i="9" s="1"/>
  <c r="F28" i="9" s="1"/>
  <c r="P19" i="9"/>
  <c r="I19" i="9" s="1"/>
  <c r="I32" i="9" l="1"/>
  <c r="I33" i="9" s="1"/>
  <c r="I34" i="9" l="1"/>
  <c r="I35" i="9" s="1"/>
  <c r="I38" i="9" s="1"/>
  <c r="I39" i="9" s="1"/>
  <c r="I40" i="9" s="1"/>
  <c r="I41" i="9" s="1"/>
  <c r="L32" i="9"/>
  <c r="L33" i="9" s="1"/>
</calcChain>
</file>

<file path=xl/sharedStrings.xml><?xml version="1.0" encoding="utf-8"?>
<sst xmlns="http://schemas.openxmlformats.org/spreadsheetml/2006/main" count="313" uniqueCount="244">
  <si>
    <t>n - 140</t>
  </si>
  <si>
    <t>e - 90</t>
  </si>
  <si>
    <t>s - 157</t>
  </si>
  <si>
    <t>w - 121</t>
  </si>
  <si>
    <t>nw-se-186</t>
  </si>
  <si>
    <t>ne-sw-174</t>
  </si>
  <si>
    <t xml:space="preserve"> </t>
  </si>
  <si>
    <t>MW</t>
  </si>
  <si>
    <t>Wash</t>
  </si>
  <si>
    <t>hob</t>
  </si>
  <si>
    <t>fridge</t>
  </si>
  <si>
    <t>grill</t>
  </si>
  <si>
    <t>Pot</t>
  </si>
  <si>
    <t>Kettle</t>
  </si>
  <si>
    <t>Mixer</t>
  </si>
  <si>
    <t>Other</t>
  </si>
  <si>
    <t>fridge - small one</t>
  </si>
  <si>
    <t>no hob</t>
  </si>
  <si>
    <t>no dish washer</t>
  </si>
  <si>
    <t>no washing mc</t>
  </si>
  <si>
    <t>micro wave - small</t>
  </si>
  <si>
    <t>oven/grill - portable</t>
  </si>
  <si>
    <t>instant pot</t>
  </si>
  <si>
    <t>kettle</t>
  </si>
  <si>
    <t>mixie/grinder</t>
  </si>
  <si>
    <t>pans, plates, cups, bowls</t>
  </si>
  <si>
    <t>cutlery, boxes, jars</t>
  </si>
  <si>
    <t>groceries</t>
  </si>
  <si>
    <t>tape cots</t>
  </si>
  <si>
    <t>plastic chairs</t>
  </si>
  <si>
    <t>tables - 2</t>
  </si>
  <si>
    <t>tea poy</t>
  </si>
  <si>
    <t>sofa 2-seater</t>
  </si>
  <si>
    <t>swing chair</t>
  </si>
  <si>
    <t>baths - fully fitted</t>
  </si>
  <si>
    <t>water heaters</t>
  </si>
  <si>
    <t>showers</t>
  </si>
  <si>
    <t>shower curtains</t>
  </si>
  <si>
    <t>small TV and deck</t>
  </si>
  <si>
    <t>fans</t>
  </si>
  <si>
    <t>lighting</t>
  </si>
  <si>
    <t>carpet</t>
  </si>
  <si>
    <t>cupboard</t>
  </si>
  <si>
    <t>modular kitchen</t>
  </si>
  <si>
    <t>wardrobes</t>
  </si>
  <si>
    <t>`</t>
  </si>
  <si>
    <t>basin</t>
  </si>
  <si>
    <t>dishes</t>
  </si>
  <si>
    <t>mw</t>
  </si>
  <si>
    <t>other</t>
  </si>
  <si>
    <t>6 ft</t>
  </si>
  <si>
    <t>min spacing between columns</t>
  </si>
  <si>
    <t>max spacing between columns</t>
  </si>
  <si>
    <t>24 ft</t>
  </si>
  <si>
    <t>ave spacing between columns</t>
  </si>
  <si>
    <t>16 ft</t>
  </si>
  <si>
    <t>for bending momemt</t>
  </si>
  <si>
    <t>for solar etc</t>
  </si>
  <si>
    <t>M20 psi</t>
  </si>
  <si>
    <t>in m^2</t>
  </si>
  <si>
    <t>sft to m^2</t>
  </si>
  <si>
    <t>wt in kg</t>
  </si>
  <si>
    <t>wt in Newtons</t>
  </si>
  <si>
    <t>of M20</t>
  </si>
  <si>
    <t>column area m^2</t>
  </si>
  <si>
    <t>in sft</t>
  </si>
  <si>
    <t>6 in slab wt kg/m^2</t>
  </si>
  <si>
    <t>ft &gt; cm</t>
  </si>
  <si>
    <t>column size cm</t>
  </si>
  <si>
    <t>wt of concrete kg/m3</t>
  </si>
  <si>
    <t>wt of steel kg/m3</t>
  </si>
  <si>
    <t>wt of column</t>
  </si>
  <si>
    <t>beam size cm (1 m L)</t>
  </si>
  <si>
    <t>wt of bricks kg/m3</t>
  </si>
  <si>
    <t>wt of aerated blocks</t>
  </si>
  <si>
    <t>slab size (1 m2)</t>
  </si>
  <si>
    <t>vol of beam</t>
  </si>
  <si>
    <t>vol of slab</t>
  </si>
  <si>
    <t>wt of RCC kg/m3 (1%)</t>
  </si>
  <si>
    <t>wt of RCC kg/m3 (2%)</t>
  </si>
  <si>
    <t>wt of slab kg (1 m2)</t>
  </si>
  <si>
    <t>factor 1.5</t>
  </si>
  <si>
    <t>kN &gt; kg</t>
  </si>
  <si>
    <t>sqm &gt; sft</t>
  </si>
  <si>
    <t>steel strength N/mm2</t>
  </si>
  <si>
    <t>concrete strength N/mm2</t>
  </si>
  <si>
    <t>RCC strength N/mm2</t>
  </si>
  <si>
    <t>column cross-section</t>
  </si>
  <si>
    <t>total wt of slab</t>
  </si>
  <si>
    <t>column area required /m2</t>
  </si>
  <si>
    <t>wt of beam (1 m)</t>
  </si>
  <si>
    <t>per cm2</t>
  </si>
  <si>
    <t>total no. of cols</t>
  </si>
  <si>
    <t>beam lengths</t>
  </si>
  <si>
    <t>slab areas</t>
  </si>
  <si>
    <t>no. of cols (estimate)</t>
  </si>
  <si>
    <t>total col wt</t>
  </si>
  <si>
    <t>total wt of slab + beams+cols</t>
  </si>
  <si>
    <t>Pu</t>
  </si>
  <si>
    <t>kN</t>
  </si>
  <si>
    <t>f_ck</t>
  </si>
  <si>
    <t>N/mm2</t>
  </si>
  <si>
    <t>f_y</t>
  </si>
  <si>
    <t>factor</t>
  </si>
  <si>
    <t>Pu = 0.4 * f_ck * A_c  + 0.67 * f_y * A_sc</t>
  </si>
  <si>
    <t>steel (A_sc)</t>
  </si>
  <si>
    <t>of A_g</t>
  </si>
  <si>
    <t>A_c</t>
  </si>
  <si>
    <t>Pu factored</t>
  </si>
  <si>
    <t>0.67 * f_y *1%</t>
  </si>
  <si>
    <t>0.4 * f_ck * 99%</t>
  </si>
  <si>
    <t>total strength</t>
  </si>
  <si>
    <t>N</t>
  </si>
  <si>
    <t>mm2</t>
  </si>
  <si>
    <t>mm</t>
  </si>
  <si>
    <t>square col side</t>
  </si>
  <si>
    <t>col area required</t>
  </si>
  <si>
    <t>in N/m2</t>
  </si>
  <si>
    <t>kg per m2</t>
  </si>
  <si>
    <t>m3</t>
  </si>
  <si>
    <t>kg</t>
  </si>
  <si>
    <t>cm2</t>
  </si>
  <si>
    <t>column vol</t>
  </si>
  <si>
    <t>column strength</t>
  </si>
  <si>
    <t>m</t>
  </si>
  <si>
    <t>total beam length</t>
  </si>
  <si>
    <t>total beam wt</t>
  </si>
  <si>
    <t>m2</t>
  </si>
  <si>
    <t>total area of slab</t>
  </si>
  <si>
    <t>kg/m2</t>
  </si>
  <si>
    <t>m3/m2</t>
  </si>
  <si>
    <t>kg &gt; N</t>
  </si>
  <si>
    <t>N/m2</t>
  </si>
  <si>
    <t>wt of water tank, solar etc</t>
  </si>
  <si>
    <t>total wt</t>
  </si>
  <si>
    <t>permissible (direct) N/mm2</t>
  </si>
  <si>
    <t>permissible (bending) N/mm2</t>
  </si>
  <si>
    <t>Issa method (simple)</t>
  </si>
  <si>
    <t>load on column</t>
  </si>
  <si>
    <t>add 20% for bending moment</t>
  </si>
  <si>
    <t>20% of concrete strength</t>
  </si>
  <si>
    <t>in kg/mm2</t>
  </si>
  <si>
    <t>column area</t>
  </si>
  <si>
    <t>total col area</t>
  </si>
  <si>
    <t>slab</t>
  </si>
  <si>
    <t>stairs roof</t>
  </si>
  <si>
    <t>stairs</t>
  </si>
  <si>
    <t>cols area required cm2</t>
  </si>
  <si>
    <t>cols</t>
  </si>
  <si>
    <t>permissable load in kg/cm2</t>
  </si>
  <si>
    <t>m3 &gt; cft</t>
  </si>
  <si>
    <t>m &gt; ft</t>
  </si>
  <si>
    <t>in &gt; cm</t>
  </si>
  <si>
    <t>floor to landing surface</t>
  </si>
  <si>
    <t>landing surface to slab top</t>
  </si>
  <si>
    <t>ft</t>
  </si>
  <si>
    <t>5 ft</t>
  </si>
  <si>
    <t>7,6</t>
  </si>
  <si>
    <t>external steps required</t>
  </si>
  <si>
    <t xml:space="preserve">internal steps </t>
  </si>
  <si>
    <t>beam span</t>
  </si>
  <si>
    <t>in inches</t>
  </si>
  <si>
    <t>L/D</t>
  </si>
  <si>
    <t>effective depth</t>
  </si>
  <si>
    <t>in</t>
  </si>
  <si>
    <t>total depth</t>
  </si>
  <si>
    <t>Slotted angle</t>
  </si>
  <si>
    <t xml:space="preserve">h = </t>
  </si>
  <si>
    <t xml:space="preserve">s = </t>
  </si>
  <si>
    <t>ht</t>
  </si>
  <si>
    <t>slope</t>
  </si>
  <si>
    <t>tread</t>
  </si>
  <si>
    <t>N =</t>
  </si>
  <si>
    <t>ramp =</t>
  </si>
  <si>
    <t xml:space="preserve">C = </t>
  </si>
  <si>
    <t>check h</t>
  </si>
  <si>
    <t>shade</t>
  </si>
  <si>
    <t>Beam length</t>
  </si>
  <si>
    <t>Roof slab area</t>
  </si>
  <si>
    <t>Plinth Area</t>
  </si>
  <si>
    <t>sft</t>
  </si>
  <si>
    <t>Columns length</t>
  </si>
  <si>
    <t>sq in</t>
  </si>
  <si>
    <t>Column area</t>
  </si>
  <si>
    <t>Beam aea</t>
  </si>
  <si>
    <t>Roof slab vol</t>
  </si>
  <si>
    <t>cft</t>
  </si>
  <si>
    <t>Beam vol</t>
  </si>
  <si>
    <t>Coulmn vol</t>
  </si>
  <si>
    <t>Total (slab, beams, cols)</t>
  </si>
  <si>
    <t>external wall length</t>
  </si>
  <si>
    <t>external wall length (minus cols)</t>
  </si>
  <si>
    <t>wall area</t>
  </si>
  <si>
    <t>door area (external)</t>
  </si>
  <si>
    <t>windows area</t>
  </si>
  <si>
    <t>brick area</t>
  </si>
  <si>
    <t>brick vol</t>
  </si>
  <si>
    <t>Lintel area</t>
  </si>
  <si>
    <t>plinth beams</t>
  </si>
  <si>
    <t>floor slab</t>
  </si>
  <si>
    <t>Staircase area</t>
  </si>
  <si>
    <t>parapet wall</t>
  </si>
  <si>
    <t>staircase wall</t>
  </si>
  <si>
    <t>kitchen granite area</t>
  </si>
  <si>
    <t>bathrooms tiles area</t>
  </si>
  <si>
    <t>internal walls area</t>
  </si>
  <si>
    <t>wall paint area (internal)</t>
  </si>
  <si>
    <t>wall paint area (externa)</t>
  </si>
  <si>
    <t>plumbing points</t>
  </si>
  <si>
    <t>electrical points</t>
  </si>
  <si>
    <t>electrical cabling length</t>
  </si>
  <si>
    <t>plumbing lengths</t>
  </si>
  <si>
    <t>Plinth level filling vol</t>
  </si>
  <si>
    <t>Footing vol</t>
  </si>
  <si>
    <t>excavation vol</t>
  </si>
  <si>
    <t>plinth level stones vol</t>
  </si>
  <si>
    <t>Steel vol</t>
  </si>
  <si>
    <t>cement vol</t>
  </si>
  <si>
    <t>gravel vol</t>
  </si>
  <si>
    <t>sand vol</t>
  </si>
  <si>
    <t>Kitchen tile area</t>
  </si>
  <si>
    <t>wall skirting length</t>
  </si>
  <si>
    <t>mosquito proofing</t>
  </si>
  <si>
    <t>porch columns</t>
  </si>
  <si>
    <t>porch roof slab area</t>
  </si>
  <si>
    <t>porch plinth vol</t>
  </si>
  <si>
    <t>Lintel hangover area</t>
  </si>
  <si>
    <t>Roof overhang</t>
  </si>
  <si>
    <t>Lintel overhang</t>
  </si>
  <si>
    <t>Porch roof width (excess of lintel)</t>
  </si>
  <si>
    <t>descent steps</t>
  </si>
  <si>
    <t>descent</t>
  </si>
  <si>
    <t>After (n steps from the slab edge)</t>
  </si>
  <si>
    <t>in ft, in</t>
  </si>
  <si>
    <t>remaining ht</t>
  </si>
  <si>
    <t>E</t>
  </si>
  <si>
    <t>S</t>
  </si>
  <si>
    <t>W</t>
  </si>
  <si>
    <t>NW-SE</t>
  </si>
  <si>
    <t>NE-SW</t>
  </si>
  <si>
    <t>\</t>
  </si>
  <si>
    <t>SW-NE</t>
  </si>
  <si>
    <t>W1</t>
  </si>
  <si>
    <t>W2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</si>
</sst>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#,##0.0"/>
    <numFmt numFmtId="165" formatCode="#,##0.0000"/>
  </numFmts>
  <fonts count="7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C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A000"/>
        <bgColor indexed="64"/>
      </patternFill>
    </fill>
    <fill>
      <patternFill patternType="solid">
        <fgColor rgb="FFD49F00"/>
        <bgColor indexed="64"/>
      </patternFill>
    </fill>
    <fill>
      <patternFill patternType="solid">
        <fgColor theme="0" tint="-0.249977111117893"/>
        <bgColor indexed="64"/>
      </patternFill>
    </fill>
  </fills>
  <borders count="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ashDot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dashDot">
        <color indexed="64"/>
      </top>
      <bottom/>
      <diagonal/>
    </border>
    <border>
      <left style="thin">
        <color indexed="64"/>
      </left>
      <right style="thin">
        <color indexed="64"/>
      </right>
      <top style="dashDot">
        <color indexed="64"/>
      </top>
      <bottom/>
      <diagonal/>
    </border>
    <border>
      <left/>
      <right/>
      <top/>
      <bottom style="dashDot">
        <color indexed="64"/>
      </bottom>
      <diagonal/>
    </border>
    <border>
      <left style="thin">
        <color indexed="64"/>
      </left>
      <right style="thin">
        <color indexed="64"/>
      </right>
      <top/>
      <bottom style="dashDot">
        <color indexed="64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indexed="64"/>
      </left>
      <right/>
      <top/>
      <bottom style="thin">
        <color rgb="FFFF0000"/>
      </bottom>
      <diagonal/>
    </border>
    <border>
      <left/>
      <right style="thin">
        <color indexed="64"/>
      </right>
      <top/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/>
      <right style="thin">
        <color rgb="FFFF0000"/>
      </right>
      <top style="thin">
        <color indexed="64"/>
      </top>
      <bottom/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indexed="64"/>
      </left>
      <right/>
      <top/>
      <bottom style="mediumDashed">
        <color theme="0" tint="-0.499984740745262"/>
      </bottom>
      <diagonal/>
    </border>
    <border>
      <left/>
      <right/>
      <top/>
      <bottom style="mediumDashed">
        <color theme="0" tint="-0.499984740745262"/>
      </bottom>
      <diagonal/>
    </border>
    <border>
      <left style="thin">
        <color indexed="64"/>
      </left>
      <right/>
      <top style="mediumDashed">
        <color theme="0" tint="-0.499984740745262"/>
      </top>
      <bottom/>
      <diagonal/>
    </border>
    <border>
      <left/>
      <right/>
      <top style="mediumDashed">
        <color theme="0" tint="-0.499984740745262"/>
      </top>
      <bottom/>
      <diagonal/>
    </border>
    <border>
      <left/>
      <right style="thin">
        <color indexed="64"/>
      </right>
      <top style="mediumDashed">
        <color theme="0" tint="-0.499984740745262"/>
      </top>
      <bottom/>
      <diagonal/>
    </border>
    <border>
      <left/>
      <right style="thin">
        <color indexed="64"/>
      </right>
      <top/>
      <bottom style="mediumDashed">
        <color theme="0" tint="-0.499984740745262"/>
      </bottom>
      <diagonal/>
    </border>
    <border>
      <left style="mediumDashed">
        <color theme="0" tint="-0.499984740745262"/>
      </left>
      <right/>
      <top/>
      <bottom/>
      <diagonal/>
    </border>
    <border>
      <left style="mediumDashed">
        <color theme="0" tint="-0.499984740745262"/>
      </left>
      <right/>
      <top/>
      <bottom style="thin">
        <color indexed="64"/>
      </bottom>
      <diagonal/>
    </border>
    <border>
      <left/>
      <right style="mediumDashed">
        <color theme="0" tint="-0.499984740745262"/>
      </right>
      <top/>
      <bottom/>
      <diagonal/>
    </border>
    <border>
      <left/>
      <right style="mediumDashed">
        <color theme="0" tint="-0.499984740745262"/>
      </right>
      <top/>
      <bottom style="thin">
        <color indexed="64"/>
      </bottom>
      <diagonal/>
    </border>
    <border>
      <left style="mediumDashed">
        <color theme="1" tint="0.499984740745262"/>
      </left>
      <right/>
      <top/>
      <bottom style="thin">
        <color indexed="64"/>
      </bottom>
      <diagonal/>
    </border>
    <border>
      <left style="mediumDashed">
        <color theme="1" tint="0.499984740745262"/>
      </left>
      <right/>
      <top/>
      <bottom/>
      <diagonal/>
    </border>
    <border>
      <left/>
      <right style="mediumDashed">
        <color theme="1" tint="0.499984740745262"/>
      </right>
      <top/>
      <bottom/>
      <diagonal/>
    </border>
    <border>
      <left/>
      <right style="mediumDashed">
        <color theme="1" tint="0.499984740745262"/>
      </right>
      <top/>
      <bottom style="thin">
        <color indexed="64"/>
      </bottom>
      <diagonal/>
    </border>
    <border>
      <left/>
      <right style="thin">
        <color rgb="FFFF0000"/>
      </right>
      <top/>
      <bottom style="thin">
        <color indexed="64"/>
      </bottom>
      <diagonal/>
    </border>
    <border>
      <left/>
      <right/>
      <top style="thin">
        <color rgb="FFC00000"/>
      </top>
      <bottom/>
      <diagonal/>
    </border>
    <border>
      <left style="thin">
        <color rgb="FFFF0000"/>
      </left>
      <right/>
      <top style="thin">
        <color rgb="FFC00000"/>
      </top>
      <bottom/>
      <diagonal/>
    </border>
    <border>
      <left/>
      <right style="thin">
        <color rgb="FFFF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rgb="FFFF0000"/>
      </bottom>
      <diagonal/>
    </border>
    <border>
      <left/>
      <right/>
      <top style="thin">
        <color indexed="64"/>
      </top>
      <bottom style="thin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rgb="FFFF0000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35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1" xfId="0" applyFill="1" applyBorder="1"/>
    <xf numFmtId="0" fontId="0" fillId="2" borderId="20" xfId="0" applyFill="1" applyBorder="1"/>
    <xf numFmtId="0" fontId="0" fillId="2" borderId="2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8" xfId="0" applyFill="1" applyBorder="1"/>
    <xf numFmtId="0" fontId="0" fillId="3" borderId="0" xfId="0" applyFill="1"/>
    <xf numFmtId="0" fontId="0" fillId="3" borderId="13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2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2" xfId="0" applyFill="1" applyBorder="1"/>
    <xf numFmtId="0" fontId="0" fillId="4" borderId="0" xfId="0" applyFill="1"/>
    <xf numFmtId="0" fontId="0" fillId="4" borderId="11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0" xfId="0" applyFill="1"/>
    <xf numFmtId="0" fontId="0" fillId="6" borderId="13" xfId="0" applyFill="1" applyBorder="1"/>
    <xf numFmtId="0" fontId="0" fillId="6" borderId="0" xfId="0" applyFill="1"/>
    <xf numFmtId="0" fontId="0" fillId="6" borderId="10" xfId="0" applyFill="1" applyBorder="1"/>
    <xf numFmtId="0" fontId="0" fillId="6" borderId="11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14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11" xfId="0" applyFill="1" applyBorder="1"/>
    <xf numFmtId="0" fontId="0" fillId="9" borderId="14" xfId="0" applyFill="1" applyBorder="1"/>
    <xf numFmtId="0" fontId="0" fillId="9" borderId="16" xfId="0" applyFill="1" applyBorder="1"/>
    <xf numFmtId="0" fontId="0" fillId="2" borderId="9" xfId="0" applyFill="1" applyBorder="1"/>
    <xf numFmtId="0" fontId="0" fillId="2" borderId="11" xfId="0" applyFill="1" applyBorder="1"/>
    <xf numFmtId="0" fontId="0" fillId="2" borderId="14" xfId="0" applyFill="1" applyBorder="1"/>
    <xf numFmtId="0" fontId="0" fillId="2" borderId="16" xfId="0" applyFill="1" applyBorder="1"/>
    <xf numFmtId="0" fontId="0" fillId="10" borderId="9" xfId="0" applyFill="1" applyBorder="1"/>
    <xf numFmtId="0" fontId="0" fillId="10" borderId="11" xfId="0" applyFill="1" applyBorder="1"/>
    <xf numFmtId="0" fontId="0" fillId="10" borderId="14" xfId="0" applyFill="1" applyBorder="1"/>
    <xf numFmtId="0" fontId="0" fillId="10" borderId="16" xfId="0" applyFill="1" applyBorder="1"/>
    <xf numFmtId="0" fontId="0" fillId="3" borderId="14" xfId="0" applyFill="1" applyBorder="1"/>
    <xf numFmtId="0" fontId="0" fillId="11" borderId="9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0" fillId="11" borderId="14" xfId="0" applyFill="1" applyBorder="1"/>
    <xf numFmtId="0" fontId="0" fillId="11" borderId="16" xfId="0" applyFill="1" applyBorder="1"/>
    <xf numFmtId="0" fontId="0" fillId="10" borderId="10" xfId="0" applyFill="1" applyBorder="1"/>
    <xf numFmtId="0" fontId="0" fillId="10" borderId="12" xfId="0" applyFill="1" applyBorder="1"/>
    <xf numFmtId="0" fontId="0" fillId="10" borderId="0" xfId="0" applyFill="1"/>
    <xf numFmtId="0" fontId="0" fillId="10" borderId="13" xfId="0" applyFill="1" applyBorder="1"/>
    <xf numFmtId="0" fontId="0" fillId="10" borderId="15" xfId="0" applyFill="1" applyBorder="1"/>
    <xf numFmtId="0" fontId="0" fillId="2" borderId="13" xfId="0" applyFill="1" applyBorder="1"/>
    <xf numFmtId="0" fontId="0" fillId="11" borderId="10" xfId="0" applyFill="1" applyBorder="1"/>
    <xf numFmtId="0" fontId="0" fillId="2" borderId="10" xfId="0" applyFill="1" applyBorder="1"/>
    <xf numFmtId="0" fontId="0" fillId="11" borderId="15" xfId="0" applyFill="1" applyBorder="1"/>
    <xf numFmtId="0" fontId="0" fillId="9" borderId="12" xfId="0" applyFill="1" applyBorder="1"/>
    <xf numFmtId="0" fontId="0" fillId="9" borderId="13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1" fillId="0" borderId="0" xfId="0" applyFont="1"/>
    <xf numFmtId="0" fontId="0" fillId="2" borderId="15" xfId="0" applyFill="1" applyBorder="1"/>
    <xf numFmtId="0" fontId="0" fillId="12" borderId="9" xfId="0" applyFill="1" applyBorder="1"/>
    <xf numFmtId="0" fontId="0" fillId="12" borderId="11" xfId="0" applyFill="1" applyBorder="1"/>
    <xf numFmtId="0" fontId="0" fillId="12" borderId="12" xfId="0" applyFill="1" applyBorder="1"/>
    <xf numFmtId="0" fontId="0" fillId="12" borderId="13" xfId="0" applyFill="1" applyBorder="1"/>
    <xf numFmtId="0" fontId="0" fillId="12" borderId="14" xfId="0" applyFill="1" applyBorder="1"/>
    <xf numFmtId="0" fontId="0" fillId="12" borderId="16" xfId="0" applyFill="1" applyBorder="1"/>
    <xf numFmtId="0" fontId="0" fillId="2" borderId="12" xfId="0" applyFill="1" applyBorder="1"/>
    <xf numFmtId="0" fontId="0" fillId="4" borderId="18" xfId="0" applyFill="1" applyBorder="1"/>
    <xf numFmtId="0" fontId="0" fillId="4" borderId="20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4" borderId="9" xfId="0" applyFill="1" applyBorder="1"/>
    <xf numFmtId="0" fontId="0" fillId="14" borderId="10" xfId="0" applyFill="1" applyBorder="1"/>
    <xf numFmtId="0" fontId="0" fillId="14" borderId="11" xfId="0" applyFill="1" applyBorder="1"/>
    <xf numFmtId="0" fontId="0" fillId="14" borderId="14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8" borderId="0" xfId="0" applyFill="1"/>
    <xf numFmtId="0" fontId="0" fillId="8" borderId="15" xfId="0" applyFill="1" applyBorder="1"/>
    <xf numFmtId="0" fontId="0" fillId="8" borderId="12" xfId="0" applyFill="1" applyBorder="1"/>
    <xf numFmtId="0" fontId="0" fillId="8" borderId="13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17" xfId="0" applyFill="1" applyBorder="1"/>
    <xf numFmtId="0" fontId="0" fillId="4" borderId="19" xfId="0" applyFill="1" applyBorder="1"/>
    <xf numFmtId="0" fontId="0" fillId="2" borderId="0" xfId="0" applyFill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20" xfId="0" applyFont="1" applyBorder="1" applyAlignment="1">
      <alignment horizontal="left" vertical="center"/>
    </xf>
    <xf numFmtId="0" fontId="0" fillId="0" borderId="23" xfId="0" applyBorder="1"/>
    <xf numFmtId="0" fontId="2" fillId="0" borderId="12" xfId="0" applyFont="1" applyBorder="1" applyAlignment="1">
      <alignment horizontal="left" vertical="center"/>
    </xf>
    <xf numFmtId="0" fontId="0" fillId="10" borderId="21" xfId="0" applyFill="1" applyBorder="1"/>
    <xf numFmtId="0" fontId="0" fillId="10" borderId="20" xfId="0" applyFill="1" applyBorder="1"/>
    <xf numFmtId="0" fontId="0" fillId="10" borderId="23" xfId="0" applyFill="1" applyBorder="1"/>
    <xf numFmtId="0" fontId="2" fillId="10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left" vertical="center"/>
    </xf>
    <xf numFmtId="0" fontId="2" fillId="10" borderId="12" xfId="0" applyFont="1" applyFill="1" applyBorder="1" applyAlignment="1">
      <alignment horizontal="left" vertical="center"/>
    </xf>
    <xf numFmtId="0" fontId="0" fillId="6" borderId="9" xfId="0" applyFill="1" applyBorder="1"/>
    <xf numFmtId="0" fontId="0" fillId="6" borderId="12" xfId="0" applyFill="1" applyBorder="1"/>
    <xf numFmtId="0" fontId="0" fillId="5" borderId="10" xfId="0" applyFill="1" applyBorder="1"/>
    <xf numFmtId="0" fontId="2" fillId="5" borderId="0" xfId="0" applyFont="1" applyFill="1" applyAlignment="1">
      <alignment horizontal="left" vertical="center"/>
    </xf>
    <xf numFmtId="0" fontId="0" fillId="10" borderId="22" xfId="0" applyFill="1" applyBorder="1"/>
    <xf numFmtId="0" fontId="0" fillId="15" borderId="11" xfId="0" applyFill="1" applyBorder="1"/>
    <xf numFmtId="0" fontId="0" fillId="15" borderId="16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0" xfId="0" applyFill="1"/>
    <xf numFmtId="0" fontId="0" fillId="16" borderId="13" xfId="0" applyFill="1" applyBorder="1"/>
    <xf numFmtId="0" fontId="0" fillId="16" borderId="14" xfId="0" applyFill="1" applyBorder="1"/>
    <xf numFmtId="0" fontId="0" fillId="16" borderId="15" xfId="0" applyFill="1" applyBorder="1"/>
    <xf numFmtId="0" fontId="0" fillId="16" borderId="16" xfId="0" applyFill="1" applyBorder="1"/>
    <xf numFmtId="0" fontId="0" fillId="3" borderId="17" xfId="0" applyFill="1" applyBorder="1"/>
    <xf numFmtId="0" fontId="0" fillId="3" borderId="19" xfId="0" applyFill="1" applyBorder="1"/>
    <xf numFmtId="0" fontId="0" fillId="17" borderId="9" xfId="0" applyFill="1" applyBorder="1"/>
    <xf numFmtId="0" fontId="0" fillId="17" borderId="10" xfId="0" applyFill="1" applyBorder="1"/>
    <xf numFmtId="0" fontId="0" fillId="17" borderId="11" xfId="0" applyFill="1" applyBorder="1"/>
    <xf numFmtId="0" fontId="0" fillId="17" borderId="12" xfId="0" applyFill="1" applyBorder="1"/>
    <xf numFmtId="0" fontId="0" fillId="17" borderId="13" xfId="0" applyFill="1" applyBorder="1"/>
    <xf numFmtId="0" fontId="0" fillId="17" borderId="0" xfId="0" applyFill="1"/>
    <xf numFmtId="0" fontId="0" fillId="17" borderId="15" xfId="0" applyFill="1" applyBorder="1"/>
    <xf numFmtId="0" fontId="0" fillId="17" borderId="16" xfId="0" applyFill="1" applyBorder="1"/>
    <xf numFmtId="0" fontId="0" fillId="17" borderId="21" xfId="0" applyFill="1" applyBorder="1"/>
    <xf numFmtId="0" fontId="0" fillId="17" borderId="20" xfId="0" applyFill="1" applyBorder="1"/>
    <xf numFmtId="0" fontId="0" fillId="17" borderId="22" xfId="0" applyFill="1" applyBorder="1"/>
    <xf numFmtId="0" fontId="0" fillId="18" borderId="9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0" xfId="0" applyFill="1"/>
    <xf numFmtId="0" fontId="0" fillId="18" borderId="13" xfId="0" applyFill="1" applyBorder="1"/>
    <xf numFmtId="0" fontId="0" fillId="18" borderId="14" xfId="0" applyFill="1" applyBorder="1"/>
    <xf numFmtId="0" fontId="0" fillId="18" borderId="16" xfId="0" applyFill="1" applyBorder="1"/>
    <xf numFmtId="0" fontId="0" fillId="18" borderId="15" xfId="0" applyFill="1" applyBorder="1"/>
    <xf numFmtId="0" fontId="0" fillId="18" borderId="17" xfId="0" applyFill="1" applyBorder="1"/>
    <xf numFmtId="0" fontId="0" fillId="18" borderId="18" xfId="0" applyFill="1" applyBorder="1"/>
    <xf numFmtId="0" fontId="0" fillId="18" borderId="19" xfId="0" applyFill="1" applyBorder="1"/>
    <xf numFmtId="0" fontId="0" fillId="0" borderId="24" xfId="0" applyBorder="1"/>
    <xf numFmtId="0" fontId="0" fillId="0" borderId="25" xfId="0" applyBorder="1"/>
    <xf numFmtId="0" fontId="0" fillId="3" borderId="23" xfId="0" applyFill="1" applyBorder="1"/>
    <xf numFmtId="0" fontId="0" fillId="19" borderId="14" xfId="0" applyFill="1" applyBorder="1"/>
    <xf numFmtId="0" fontId="0" fillId="19" borderId="0" xfId="0" applyFill="1"/>
    <xf numFmtId="0" fontId="0" fillId="16" borderId="21" xfId="0" applyFill="1" applyBorder="1"/>
    <xf numFmtId="0" fontId="0" fillId="16" borderId="20" xfId="0" applyFill="1" applyBorder="1"/>
    <xf numFmtId="0" fontId="0" fillId="16" borderId="17" xfId="0" applyFill="1" applyBorder="1"/>
    <xf numFmtId="0" fontId="0" fillId="16" borderId="18" xfId="0" applyFill="1" applyBorder="1"/>
    <xf numFmtId="0" fontId="0" fillId="16" borderId="19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6" borderId="14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13" xfId="0" applyFill="1" applyBorder="1"/>
    <xf numFmtId="0" fontId="0" fillId="5" borderId="16" xfId="0" applyFill="1" applyBorder="1"/>
    <xf numFmtId="0" fontId="5" fillId="0" borderId="13" xfId="0" applyFont="1" applyBorder="1"/>
    <xf numFmtId="0" fontId="5" fillId="0" borderId="0" xfId="0" applyFont="1"/>
    <xf numFmtId="0" fontId="0" fillId="7" borderId="20" xfId="0" applyFill="1" applyBorder="1"/>
    <xf numFmtId="0" fontId="0" fillId="7" borderId="22" xfId="0" applyFill="1" applyBorder="1"/>
    <xf numFmtId="0" fontId="0" fillId="5" borderId="12" xfId="0" applyFill="1" applyBorder="1"/>
    <xf numFmtId="9" fontId="0" fillId="0" borderId="0" xfId="0" applyNumberFormat="1"/>
    <xf numFmtId="2" fontId="0" fillId="0" borderId="0" xfId="0" applyNumberFormat="1"/>
    <xf numFmtId="1" fontId="0" fillId="0" borderId="0" xfId="0" applyNumberFormat="1"/>
    <xf numFmtId="0" fontId="4" fillId="0" borderId="0" xfId="0" applyFont="1"/>
    <xf numFmtId="164" fontId="0" fillId="0" borderId="0" xfId="1" applyNumberFormat="1" applyFont="1"/>
    <xf numFmtId="3" fontId="0" fillId="0" borderId="0" xfId="0" applyNumberFormat="1"/>
    <xf numFmtId="165" fontId="0" fillId="0" borderId="0" xfId="1" applyNumberFormat="1" applyFont="1"/>
    <xf numFmtId="164" fontId="0" fillId="0" borderId="0" xfId="0" applyNumberFormat="1"/>
    <xf numFmtId="0" fontId="0" fillId="0" borderId="40" xfId="0" applyBorder="1"/>
    <xf numFmtId="0" fontId="5" fillId="7" borderId="0" xfId="0" applyFont="1" applyFill="1"/>
    <xf numFmtId="0" fontId="5" fillId="0" borderId="19" xfId="0" applyFont="1" applyBorder="1"/>
    <xf numFmtId="0" fontId="0" fillId="13" borderId="9" xfId="0" applyFill="1" applyBorder="1"/>
    <xf numFmtId="0" fontId="0" fillId="13" borderId="10" xfId="0" applyFill="1" applyBorder="1"/>
    <xf numFmtId="0" fontId="0" fillId="13" borderId="11" xfId="0" applyFill="1" applyBorder="1"/>
    <xf numFmtId="0" fontId="0" fillId="13" borderId="12" xfId="0" applyFill="1" applyBorder="1"/>
    <xf numFmtId="0" fontId="0" fillId="13" borderId="14" xfId="0" applyFill="1" applyBorder="1"/>
    <xf numFmtId="0" fontId="0" fillId="13" borderId="0" xfId="0" applyFill="1"/>
    <xf numFmtId="0" fontId="0" fillId="13" borderId="13" xfId="0" applyFill="1" applyBorder="1"/>
    <xf numFmtId="0" fontId="0" fillId="13" borderId="15" xfId="0" applyFill="1" applyBorder="1"/>
    <xf numFmtId="0" fontId="0" fillId="13" borderId="16" xfId="0" applyFill="1" applyBorder="1"/>
    <xf numFmtId="0" fontId="0" fillId="5" borderId="11" xfId="0" applyFill="1" applyBorder="1"/>
    <xf numFmtId="0" fontId="0" fillId="5" borderId="14" xfId="0" applyFill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6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6" fillId="0" borderId="16" xfId="0" applyFont="1" applyBorder="1"/>
    <xf numFmtId="0" fontId="6" fillId="0" borderId="0" xfId="0" applyFont="1"/>
    <xf numFmtId="0" fontId="0" fillId="0" borderId="41" xfId="0" applyBorder="1"/>
    <xf numFmtId="0" fontId="0" fillId="0" borderId="42" xfId="0" applyBorder="1"/>
    <xf numFmtId="0" fontId="6" fillId="0" borderId="42" xfId="0" applyFont="1" applyBorder="1"/>
    <xf numFmtId="0" fontId="6" fillId="0" borderId="2" xfId="0" applyFont="1" applyBorder="1"/>
    <xf numFmtId="0" fontId="6" fillId="0" borderId="41" xfId="0" applyFont="1" applyBorder="1"/>
    <xf numFmtId="0" fontId="6" fillId="0" borderId="24" xfId="0" applyFont="1" applyBorder="1"/>
    <xf numFmtId="0" fontId="6" fillId="0" borderId="7" xfId="0" applyFont="1" applyBorder="1"/>
    <xf numFmtId="0" fontId="6" fillId="0" borderId="25" xfId="0" applyFont="1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5" borderId="15" xfId="0" applyFill="1" applyBorder="1"/>
    <xf numFmtId="0" fontId="0" fillId="5" borderId="9" xfId="0" applyFill="1" applyBorder="1"/>
    <xf numFmtId="0" fontId="0" fillId="7" borderId="23" xfId="0" applyFill="1" applyBorder="1"/>
    <xf numFmtId="0" fontId="0" fillId="7" borderId="17" xfId="0" applyFill="1" applyBorder="1"/>
    <xf numFmtId="0" fontId="0" fillId="20" borderId="13" xfId="0" applyFill="1" applyBorder="1"/>
    <xf numFmtId="0" fontId="0" fillId="21" borderId="20" xfId="0" applyFill="1" applyBorder="1"/>
    <xf numFmtId="0" fontId="0" fillId="21" borderId="9" xfId="0" applyFill="1" applyBorder="1"/>
    <xf numFmtId="0" fontId="0" fillId="21" borderId="10" xfId="0" applyFill="1" applyBorder="1"/>
    <xf numFmtId="0" fontId="0" fillId="21" borderId="11" xfId="0" applyFill="1" applyBorder="1"/>
    <xf numFmtId="0" fontId="0" fillId="21" borderId="14" xfId="0" applyFill="1" applyBorder="1"/>
    <xf numFmtId="0" fontId="0" fillId="21" borderId="15" xfId="0" applyFill="1" applyBorder="1"/>
    <xf numFmtId="0" fontId="0" fillId="21" borderId="16" xfId="0" applyFill="1" applyBorder="1"/>
    <xf numFmtId="0" fontId="0" fillId="21" borderId="12" xfId="0" applyFill="1" applyBorder="1"/>
    <xf numFmtId="0" fontId="0" fillId="21" borderId="0" xfId="0" applyFill="1"/>
    <xf numFmtId="0" fontId="0" fillId="21" borderId="13" xfId="0" applyFill="1" applyBorder="1"/>
    <xf numFmtId="16" fontId="0" fillId="0" borderId="0" xfId="0" applyNumberFormat="1"/>
    <xf numFmtId="0" fontId="0" fillId="21" borderId="21" xfId="0" applyFill="1" applyBorder="1"/>
    <xf numFmtId="0" fontId="0" fillId="21" borderId="22" xfId="0" applyFill="1" applyBorder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22" borderId="9" xfId="0" applyFill="1" applyBorder="1"/>
    <xf numFmtId="0" fontId="0" fillId="22" borderId="10" xfId="0" applyFill="1" applyBorder="1"/>
    <xf numFmtId="0" fontId="0" fillId="22" borderId="12" xfId="0" applyFill="1" applyBorder="1"/>
    <xf numFmtId="0" fontId="0" fillId="22" borderId="0" xfId="0" applyFill="1"/>
    <xf numFmtId="0" fontId="0" fillId="22" borderId="11" xfId="0" applyFill="1" applyBorder="1"/>
    <xf numFmtId="0" fontId="0" fillId="22" borderId="13" xfId="0" applyFill="1" applyBorder="1"/>
    <xf numFmtId="0" fontId="0" fillId="22" borderId="14" xfId="0" applyFill="1" applyBorder="1"/>
    <xf numFmtId="0" fontId="0" fillId="22" borderId="15" xfId="0" applyFill="1" applyBorder="1"/>
    <xf numFmtId="0" fontId="0" fillId="22" borderId="16" xfId="0" applyFill="1" applyBorder="1"/>
    <xf numFmtId="0" fontId="0" fillId="7" borderId="18" xfId="0" applyFill="1" applyBorder="1"/>
    <xf numFmtId="0" fontId="0" fillId="7" borderId="19" xfId="0" applyFill="1" applyBorder="1"/>
    <xf numFmtId="0" fontId="0" fillId="17" borderId="14" xfId="0" applyFill="1" applyBorder="1"/>
    <xf numFmtId="0" fontId="0" fillId="0" borderId="47" xfId="0" applyBorder="1"/>
    <xf numFmtId="0" fontId="0" fillId="0" borderId="48" xfId="0" applyBorder="1"/>
    <xf numFmtId="0" fontId="0" fillId="0" borderId="50" xfId="0" applyBorder="1"/>
    <xf numFmtId="0" fontId="0" fillId="0" borderId="49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7" xfId="0" applyBorder="1"/>
    <xf numFmtId="0" fontId="0" fillId="0" borderId="56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0" fillId="23" borderId="13" xfId="0" applyFill="1" applyBorder="1"/>
    <xf numFmtId="0" fontId="0" fillId="23" borderId="0" xfId="0" applyFill="1"/>
    <xf numFmtId="0" fontId="0" fillId="24" borderId="13" xfId="0" applyFill="1" applyBorder="1"/>
    <xf numFmtId="0" fontId="0" fillId="24" borderId="0" xfId="0" applyFill="1"/>
    <xf numFmtId="0" fontId="0" fillId="0" borderId="70" xfId="0" applyBorder="1"/>
    <xf numFmtId="0" fontId="0" fillId="0" borderId="69" xfId="0" applyBorder="1"/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25" borderId="9" xfId="0" applyFill="1" applyBorder="1"/>
    <xf numFmtId="0" fontId="0" fillId="25" borderId="10" xfId="0" applyFill="1" applyBorder="1"/>
    <xf numFmtId="0" fontId="0" fillId="25" borderId="11" xfId="0" applyFill="1" applyBorder="1"/>
    <xf numFmtId="0" fontId="0" fillId="25" borderId="12" xfId="0" applyFill="1" applyBorder="1"/>
    <xf numFmtId="0" fontId="0" fillId="25" borderId="13" xfId="0" applyFill="1" applyBorder="1"/>
    <xf numFmtId="0" fontId="0" fillId="25" borderId="14" xfId="0" applyFill="1" applyBorder="1"/>
    <xf numFmtId="0" fontId="0" fillId="25" borderId="15" xfId="0" applyFill="1" applyBorder="1"/>
    <xf numFmtId="0" fontId="0" fillId="25" borderId="16" xfId="0" applyFill="1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25" borderId="0" xfId="0" applyFill="1"/>
    <xf numFmtId="0" fontId="6" fillId="0" borderId="21" xfId="0" applyFont="1" applyBorder="1"/>
    <xf numFmtId="0" fontId="6" fillId="0" borderId="20" xfId="0" applyFont="1" applyBorder="1"/>
    <xf numFmtId="0" fontId="6" fillId="0" borderId="22" xfId="0" applyFont="1" applyBorder="1"/>
    <xf numFmtId="0" fontId="0" fillId="0" borderId="0" xfId="0" applyBorder="1"/>
    <xf numFmtId="0" fontId="0" fillId="0" borderId="13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0" xfId="0" applyFill="1" applyBorder="1"/>
    <xf numFmtId="0" fontId="0" fillId="3" borderId="0" xfId="0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D49F00"/>
      <color rgb="FFD6A000"/>
      <color rgb="FFFFFBE4"/>
      <color rgb="FF0852C4"/>
      <color rgb="FF9DC3E6"/>
      <color rgb="FF9CC3E6"/>
      <color rgb="FFFFC0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50800</xdr:colOff>
      <xdr:row>82</xdr:row>
      <xdr:rowOff>101600</xdr:rowOff>
    </xdr:from>
    <xdr:to>
      <xdr:col>30</xdr:col>
      <xdr:colOff>25400</xdr:colOff>
      <xdr:row>85</xdr:row>
      <xdr:rowOff>76200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08800" y="18846800"/>
          <a:ext cx="660400" cy="660400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209932</xdr:colOff>
      <xdr:row>97</xdr:row>
      <xdr:rowOff>201335</xdr:rowOff>
    </xdr:from>
    <xdr:to>
      <xdr:col>62</xdr:col>
      <xdr:colOff>92843</xdr:colOff>
      <xdr:row>104</xdr:row>
      <xdr:rowOff>2771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 rot="3426135">
          <a:off x="13185855" y="22973560"/>
          <a:ext cx="1447732" cy="1529207"/>
          <a:chOff x="21448891" y="25973857"/>
          <a:chExt cx="1382889" cy="1449245"/>
        </a:xfrm>
      </xdr:grpSpPr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68</xdr:col>
      <xdr:colOff>29195</xdr:colOff>
      <xdr:row>160</xdr:row>
      <xdr:rowOff>14598</xdr:rowOff>
    </xdr:from>
    <xdr:to>
      <xdr:col>81</xdr:col>
      <xdr:colOff>189770</xdr:colOff>
      <xdr:row>176</xdr:row>
      <xdr:rowOff>175173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5911494" y="37384713"/>
          <a:ext cx="3196897" cy="389758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0</xdr:colOff>
      <xdr:row>246</xdr:row>
      <xdr:rowOff>0</xdr:rowOff>
    </xdr:from>
    <xdr:to>
      <xdr:col>161</xdr:col>
      <xdr:colOff>111511</xdr:colOff>
      <xdr:row>252</xdr:row>
      <xdr:rowOff>30036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 rot="3426135">
          <a:off x="36494441" y="57814819"/>
          <a:ext cx="1441147" cy="1522622"/>
          <a:chOff x="21448891" y="25973857"/>
          <a:chExt cx="1382889" cy="1449245"/>
        </a:xfrm>
      </xdr:grpSpPr>
      <xdr:cxnSp macro="">
        <xdr:nvCxnSpPr>
          <xdr:cNvPr id="3" name="Straight Arrow Connector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11948</xdr:col>
      <xdr:colOff>25400</xdr:colOff>
      <xdr:row>14296</xdr:row>
      <xdr:rowOff>76200</xdr:rowOff>
    </xdr:from>
    <xdr:to>
      <xdr:col>11948</xdr:col>
      <xdr:colOff>48079</xdr:colOff>
      <xdr:row>14303</xdr:row>
      <xdr:rowOff>43779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 flipV="1">
          <a:off x="33487012" y="52027072"/>
          <a:ext cx="22679" cy="1449245"/>
        </a:xfrm>
        <a:prstGeom prst="straightConnector1">
          <a:avLst/>
        </a:prstGeom>
        <a:ln w="57150">
          <a:headEnd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11960</xdr:col>
      <xdr:colOff>203200</xdr:colOff>
      <xdr:row>14699</xdr:row>
      <xdr:rowOff>0</xdr:rowOff>
    </xdr:from>
    <xdr:to>
      <xdr:col>11967</xdr:col>
      <xdr:colOff>104422</xdr:colOff>
      <xdr:row>14699</xdr:row>
      <xdr:rowOff>9408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V="1">
          <a:off x="32717507" y="52800638"/>
          <a:ext cx="1382889" cy="9408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156584</xdr:colOff>
      <xdr:row>448</xdr:row>
      <xdr:rowOff>208067</xdr:rowOff>
    </xdr:from>
    <xdr:to>
      <xdr:col>100</xdr:col>
      <xdr:colOff>51266</xdr:colOff>
      <xdr:row>455</xdr:row>
      <xdr:rowOff>1324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42E1D723-07E8-984B-B4DA-B0934E8C227D}"/>
            </a:ext>
          </a:extLst>
        </xdr:cNvPr>
        <xdr:cNvGrpSpPr/>
      </xdr:nvGrpSpPr>
      <xdr:grpSpPr>
        <a:xfrm rot="3426135">
          <a:off x="22079519" y="105520317"/>
          <a:ext cx="1439553" cy="1540979"/>
          <a:chOff x="21448891" y="25973857"/>
          <a:chExt cx="1382889" cy="1449245"/>
        </a:xfrm>
      </xdr:grpSpPr>
      <xdr:cxnSp macro="">
        <xdr:nvCxnSpPr>
          <xdr:cNvPr id="15" name="Straight Arrow Connector 14">
            <a:extLst>
              <a:ext uri="{FF2B5EF4-FFF2-40B4-BE49-F238E27FC236}">
                <a16:creationId xmlns:a16="http://schemas.microsoft.com/office/drawing/2014/main" id="{B4135AC6-6C7D-9357-2015-BDFA2632FD52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>
            <a:extLst>
              <a:ext uri="{FF2B5EF4-FFF2-40B4-BE49-F238E27FC236}">
                <a16:creationId xmlns:a16="http://schemas.microsoft.com/office/drawing/2014/main" id="{4B9E7F86-FC6F-FFB4-550A-80DC42D9146C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218</xdr:col>
      <xdr:colOff>84532</xdr:colOff>
      <xdr:row>571</xdr:row>
      <xdr:rowOff>112554</xdr:rowOff>
    </xdr:from>
    <xdr:to>
      <xdr:col>245</xdr:col>
      <xdr:colOff>146210</xdr:colOff>
      <xdr:row>572</xdr:row>
      <xdr:rowOff>129209</xdr:rowOff>
    </xdr:to>
    <xdr:sp macro="" textlink="">
      <xdr:nvSpPr>
        <xdr:cNvPr id="29" name="Parallelogram 28">
          <a:extLst>
            <a:ext uri="{FF2B5EF4-FFF2-40B4-BE49-F238E27FC236}">
              <a16:creationId xmlns:a16="http://schemas.microsoft.com/office/drawing/2014/main" id="{AE2D97C7-21D5-6A49-86D1-A6DEE99AD8B0}"/>
            </a:ext>
          </a:extLst>
        </xdr:cNvPr>
        <xdr:cNvSpPr/>
      </xdr:nvSpPr>
      <xdr:spPr>
        <a:xfrm rot="1574555" flipV="1">
          <a:off x="39387690" y="133696501"/>
          <a:ext cx="6378257" cy="250603"/>
        </a:xfrm>
        <a:prstGeom prst="parallelogram">
          <a:avLst>
            <a:gd name="adj" fmla="val 5178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161</xdr:col>
      <xdr:colOff>72930</xdr:colOff>
      <xdr:row>142</xdr:row>
      <xdr:rowOff>11424</xdr:rowOff>
    </xdr:from>
    <xdr:to>
      <xdr:col>168</xdr:col>
      <xdr:colOff>205694</xdr:colOff>
      <xdr:row>149</xdr:row>
      <xdr:rowOff>123900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E59A381-7CB4-5B4E-A55F-6A2748C37620}"/>
            </a:ext>
          </a:extLst>
        </xdr:cNvPr>
        <xdr:cNvSpPr/>
      </xdr:nvSpPr>
      <xdr:spPr>
        <a:xfrm>
          <a:off x="34982442" y="30801180"/>
          <a:ext cx="1650569" cy="1630281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133</xdr:col>
      <xdr:colOff>211064</xdr:colOff>
      <xdr:row>141</xdr:row>
      <xdr:rowOff>155152</xdr:rowOff>
    </xdr:from>
    <xdr:to>
      <xdr:col>141</xdr:col>
      <xdr:colOff>126999</xdr:colOff>
      <xdr:row>149</xdr:row>
      <xdr:rowOff>50799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33176170-A49A-6840-B585-2119699C21F9}"/>
            </a:ext>
          </a:extLst>
        </xdr:cNvPr>
        <xdr:cNvSpPr/>
      </xdr:nvSpPr>
      <xdr:spPr>
        <a:xfrm>
          <a:off x="30614864" y="32387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173</xdr:col>
      <xdr:colOff>162082</xdr:colOff>
      <xdr:row>152</xdr:row>
      <xdr:rowOff>17001</xdr:rowOff>
    </xdr:from>
    <xdr:to>
      <xdr:col>181</xdr:col>
      <xdr:colOff>65641</xdr:colOff>
      <xdr:row>159</xdr:row>
      <xdr:rowOff>141248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3B43220A-9A4B-2842-817F-A27AFBC4C319}"/>
            </a:ext>
          </a:extLst>
        </xdr:cNvPr>
        <xdr:cNvSpPr/>
      </xdr:nvSpPr>
      <xdr:spPr>
        <a:xfrm>
          <a:off x="42011606" y="36786525"/>
          <a:ext cx="1838797" cy="1817580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194</xdr:col>
      <xdr:colOff>33264</xdr:colOff>
      <xdr:row>152</xdr:row>
      <xdr:rowOff>155152</xdr:rowOff>
    </xdr:from>
    <xdr:to>
      <xdr:col>201</xdr:col>
      <xdr:colOff>177799</xdr:colOff>
      <xdr:row>160</xdr:row>
      <xdr:rowOff>50799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7C9BCA82-F361-674C-907B-AD84D6E4E1F8}"/>
            </a:ext>
          </a:extLst>
        </xdr:cNvPr>
        <xdr:cNvSpPr/>
      </xdr:nvSpPr>
      <xdr:spPr>
        <a:xfrm>
          <a:off x="44381664" y="349023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161</xdr:col>
      <xdr:colOff>185664</xdr:colOff>
      <xdr:row>162</xdr:row>
      <xdr:rowOff>180552</xdr:rowOff>
    </xdr:from>
    <xdr:to>
      <xdr:col>169</xdr:col>
      <xdr:colOff>101599</xdr:colOff>
      <xdr:row>170</xdr:row>
      <xdr:rowOff>76199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5E848770-F0DC-0845-BF05-FD52B07AD8FC}"/>
            </a:ext>
          </a:extLst>
        </xdr:cNvPr>
        <xdr:cNvSpPr/>
      </xdr:nvSpPr>
      <xdr:spPr>
        <a:xfrm>
          <a:off x="36990264" y="37213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4506</xdr:colOff>
      <xdr:row>174</xdr:row>
      <xdr:rowOff>140904</xdr:rowOff>
    </xdr:from>
    <xdr:to>
      <xdr:col>154</xdr:col>
      <xdr:colOff>174117</xdr:colOff>
      <xdr:row>182</xdr:row>
      <xdr:rowOff>48322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F2293EED-B94C-2149-BC43-AC76B4F299EA}"/>
            </a:ext>
          </a:extLst>
        </xdr:cNvPr>
        <xdr:cNvSpPr/>
      </xdr:nvSpPr>
      <xdr:spPr>
        <a:xfrm>
          <a:off x="35564506" y="42232333"/>
          <a:ext cx="1862944" cy="184265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194</xdr:col>
      <xdr:colOff>7864</xdr:colOff>
      <xdr:row>174</xdr:row>
      <xdr:rowOff>28152</xdr:rowOff>
    </xdr:from>
    <xdr:to>
      <xdr:col>201</xdr:col>
      <xdr:colOff>152399</xdr:colOff>
      <xdr:row>181</xdr:row>
      <xdr:rowOff>152399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F435B52D-AC24-E244-A898-A7C8826281FB}"/>
            </a:ext>
          </a:extLst>
        </xdr:cNvPr>
        <xdr:cNvSpPr/>
      </xdr:nvSpPr>
      <xdr:spPr>
        <a:xfrm>
          <a:off x="44356264" y="398045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134</xdr:col>
      <xdr:colOff>211064</xdr:colOff>
      <xdr:row>162</xdr:row>
      <xdr:rowOff>180552</xdr:rowOff>
    </xdr:from>
    <xdr:to>
      <xdr:col>142</xdr:col>
      <xdr:colOff>126999</xdr:colOff>
      <xdr:row>170</xdr:row>
      <xdr:rowOff>76199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142F880B-F001-C348-9DCE-1F2DA533B402}"/>
            </a:ext>
          </a:extLst>
        </xdr:cNvPr>
        <xdr:cNvSpPr/>
      </xdr:nvSpPr>
      <xdr:spPr>
        <a:xfrm>
          <a:off x="30843464" y="37213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109464</xdr:colOff>
      <xdr:row>191</xdr:row>
      <xdr:rowOff>155152</xdr:rowOff>
    </xdr:from>
    <xdr:to>
      <xdr:col>161</xdr:col>
      <xdr:colOff>25399</xdr:colOff>
      <xdr:row>199</xdr:row>
      <xdr:rowOff>50799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5D4416A5-DA1C-444D-8196-2DE680F8196E}"/>
            </a:ext>
          </a:extLst>
        </xdr:cNvPr>
        <xdr:cNvSpPr/>
      </xdr:nvSpPr>
      <xdr:spPr>
        <a:xfrm>
          <a:off x="35085264" y="43817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170</xdr:col>
      <xdr:colOff>185664</xdr:colOff>
      <xdr:row>175</xdr:row>
      <xdr:rowOff>53552</xdr:rowOff>
    </xdr:from>
    <xdr:to>
      <xdr:col>178</xdr:col>
      <xdr:colOff>101599</xdr:colOff>
      <xdr:row>182</xdr:row>
      <xdr:rowOff>177799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6301E275-2B4E-C54D-BE9C-91B49930DE5B}"/>
            </a:ext>
          </a:extLst>
        </xdr:cNvPr>
        <xdr:cNvSpPr/>
      </xdr:nvSpPr>
      <xdr:spPr>
        <a:xfrm>
          <a:off x="39047664" y="400585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193</xdr:col>
      <xdr:colOff>109464</xdr:colOff>
      <xdr:row>191</xdr:row>
      <xdr:rowOff>205952</xdr:rowOff>
    </xdr:from>
    <xdr:to>
      <xdr:col>201</xdr:col>
      <xdr:colOff>25399</xdr:colOff>
      <xdr:row>199</xdr:row>
      <xdr:rowOff>101599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DE8169F-BB62-8F4F-8B8B-B6E90E01CB49}"/>
            </a:ext>
          </a:extLst>
        </xdr:cNvPr>
        <xdr:cNvSpPr/>
      </xdr:nvSpPr>
      <xdr:spPr>
        <a:xfrm>
          <a:off x="44229264" y="438685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171</xdr:col>
      <xdr:colOff>7864</xdr:colOff>
      <xdr:row>191</xdr:row>
      <xdr:rowOff>104352</xdr:rowOff>
    </xdr:from>
    <xdr:to>
      <xdr:col>178</xdr:col>
      <xdr:colOff>152399</xdr:colOff>
      <xdr:row>199</xdr:row>
      <xdr:rowOff>-1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3F7EFFD8-59A4-6845-9B83-3FDA930673E6}"/>
            </a:ext>
          </a:extLst>
        </xdr:cNvPr>
        <xdr:cNvSpPr/>
      </xdr:nvSpPr>
      <xdr:spPr>
        <a:xfrm>
          <a:off x="39098464" y="437669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11670</xdr:col>
      <xdr:colOff>25400</xdr:colOff>
      <xdr:row>13871</xdr:row>
      <xdr:rowOff>76200</xdr:rowOff>
    </xdr:from>
    <xdr:to>
      <xdr:col>11670</xdr:col>
      <xdr:colOff>48079</xdr:colOff>
      <xdr:row>13878</xdr:row>
      <xdr:rowOff>43779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89A61A9A-A34F-3642-83DA-EEEBB0AF52C8}"/>
            </a:ext>
          </a:extLst>
        </xdr:cNvPr>
        <xdr:cNvCxnSpPr/>
      </xdr:nvCxnSpPr>
      <xdr:spPr>
        <a:xfrm flipH="1" flipV="1">
          <a:off x="2731338200" y="3268141800"/>
          <a:ext cx="22679" cy="1567779"/>
        </a:xfrm>
        <a:prstGeom prst="straightConnector1">
          <a:avLst/>
        </a:prstGeom>
        <a:ln w="57150">
          <a:headEnd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11682</xdr:col>
      <xdr:colOff>203200</xdr:colOff>
      <xdr:row>14274</xdr:row>
      <xdr:rowOff>0</xdr:rowOff>
    </xdr:from>
    <xdr:to>
      <xdr:col>11689</xdr:col>
      <xdr:colOff>104422</xdr:colOff>
      <xdr:row>14274</xdr:row>
      <xdr:rowOff>9408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A926EA5-43E3-5146-B796-CB24E3346148}"/>
            </a:ext>
          </a:extLst>
        </xdr:cNvPr>
        <xdr:cNvCxnSpPr/>
      </xdr:nvCxnSpPr>
      <xdr:spPr>
        <a:xfrm flipV="1">
          <a:off x="2734259200" y="3360191400"/>
          <a:ext cx="1501422" cy="9408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95250</xdr:colOff>
      <xdr:row>35</xdr:row>
      <xdr:rowOff>0</xdr:rowOff>
    </xdr:from>
    <xdr:to>
      <xdr:col>104</xdr:col>
      <xdr:colOff>21682</xdr:colOff>
      <xdr:row>41</xdr:row>
      <xdr:rowOff>47257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41F97509-C76C-4344-A2E2-F8DCB64FEB3F}"/>
            </a:ext>
          </a:extLst>
        </xdr:cNvPr>
        <xdr:cNvGrpSpPr/>
      </xdr:nvGrpSpPr>
      <xdr:grpSpPr>
        <a:xfrm rot="3426135">
          <a:off x="23252025" y="8275725"/>
          <a:ext cx="1476007" cy="1593307"/>
          <a:chOff x="21448891" y="25973857"/>
          <a:chExt cx="1382889" cy="1449245"/>
        </a:xfrm>
      </xdr:grpSpPr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31EBBCCB-BEBB-6316-EEF1-91E1025CAA13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2C023079-944B-8346-3FF0-5C7F430DF1A4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191</xdr:col>
      <xdr:colOff>32167</xdr:colOff>
      <xdr:row>93</xdr:row>
      <xdr:rowOff>214199</xdr:rowOff>
    </xdr:from>
    <xdr:to>
      <xdr:col>216</xdr:col>
      <xdr:colOff>196029</xdr:colOff>
      <xdr:row>94</xdr:row>
      <xdr:rowOff>172229</xdr:rowOff>
    </xdr:to>
    <xdr:sp macro="" textlink="">
      <xdr:nvSpPr>
        <xdr:cNvPr id="20" name="Parallelogram 19">
          <a:extLst>
            <a:ext uri="{FF2B5EF4-FFF2-40B4-BE49-F238E27FC236}">
              <a16:creationId xmlns:a16="http://schemas.microsoft.com/office/drawing/2014/main" id="{9194BE0A-032A-2144-AFBE-393F84821585}"/>
            </a:ext>
          </a:extLst>
        </xdr:cNvPr>
        <xdr:cNvSpPr/>
      </xdr:nvSpPr>
      <xdr:spPr>
        <a:xfrm rot="1172970" flipV="1">
          <a:off x="44257637" y="21748066"/>
          <a:ext cx="5952536" cy="189577"/>
        </a:xfrm>
        <a:prstGeom prst="parallelogram">
          <a:avLst>
            <a:gd name="adj" fmla="val 37154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203200</xdr:colOff>
      <xdr:row>95</xdr:row>
      <xdr:rowOff>0</xdr:rowOff>
    </xdr:from>
    <xdr:to>
      <xdr:col>100</xdr:col>
      <xdr:colOff>43051</xdr:colOff>
      <xdr:row>115</xdr:row>
      <xdr:rowOff>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907FA2BF-3B47-07D9-1C2F-46EB96C1FD2F}"/>
            </a:ext>
          </a:extLst>
        </xdr:cNvPr>
        <xdr:cNvCxnSpPr/>
      </xdr:nvCxnSpPr>
      <xdr:spPr>
        <a:xfrm>
          <a:off x="18172752" y="21608955"/>
          <a:ext cx="4616568" cy="454925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31750</xdr:colOff>
      <xdr:row>152</xdr:row>
      <xdr:rowOff>63501</xdr:rowOff>
    </xdr:from>
    <xdr:to>
      <xdr:col>109</xdr:col>
      <xdr:colOff>180432</xdr:colOff>
      <xdr:row>158</xdr:row>
      <xdr:rowOff>110758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99446E3A-97F6-0849-ABC0-9C97F303844C}"/>
            </a:ext>
          </a:extLst>
        </xdr:cNvPr>
        <xdr:cNvGrpSpPr/>
      </xdr:nvGrpSpPr>
      <xdr:grpSpPr>
        <a:xfrm rot="3426135">
          <a:off x="24609337" y="36207789"/>
          <a:ext cx="1476007" cy="1577432"/>
          <a:chOff x="21448891" y="25973857"/>
          <a:chExt cx="1382889" cy="1449245"/>
        </a:xfrm>
      </xdr:grpSpPr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785A7311-2C9B-908D-D309-A8A7ABFEA13A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D45D0000-62AB-30F5-C5FC-F59DB09B71A3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135</xdr:col>
      <xdr:colOff>203200</xdr:colOff>
      <xdr:row>143</xdr:row>
      <xdr:rowOff>25400</xdr:rowOff>
    </xdr:from>
    <xdr:to>
      <xdr:col>179</xdr:col>
      <xdr:colOff>0</xdr:colOff>
      <xdr:row>146</xdr:row>
      <xdr:rowOff>203200</xdr:rowOff>
    </xdr:to>
    <xdr:sp macro="" textlink="">
      <xdr:nvSpPr>
        <xdr:cNvPr id="47" name="Rounded Rectangle 46">
          <a:extLst>
            <a:ext uri="{FF2B5EF4-FFF2-40B4-BE49-F238E27FC236}">
              <a16:creationId xmlns:a16="http://schemas.microsoft.com/office/drawing/2014/main" id="{F604B335-A3D0-A299-3983-097E77653FD9}"/>
            </a:ext>
          </a:extLst>
        </xdr:cNvPr>
        <xdr:cNvSpPr/>
      </xdr:nvSpPr>
      <xdr:spPr>
        <a:xfrm>
          <a:off x="29475151" y="31031985"/>
          <a:ext cx="9337288" cy="828288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175</xdr:col>
      <xdr:colOff>76200</xdr:colOff>
      <xdr:row>154</xdr:row>
      <xdr:rowOff>70652</xdr:rowOff>
    </xdr:from>
    <xdr:to>
      <xdr:col>200</xdr:col>
      <xdr:colOff>16934</xdr:colOff>
      <xdr:row>158</xdr:row>
      <xdr:rowOff>29486</xdr:rowOff>
    </xdr:to>
    <xdr:sp macro="" textlink="">
      <xdr:nvSpPr>
        <xdr:cNvPr id="48" name="Rounded Rectangle 47">
          <a:extLst>
            <a:ext uri="{FF2B5EF4-FFF2-40B4-BE49-F238E27FC236}">
              <a16:creationId xmlns:a16="http://schemas.microsoft.com/office/drawing/2014/main" id="{68D7CAB8-5B37-154D-A8DA-1F9C70008D51}"/>
            </a:ext>
          </a:extLst>
        </xdr:cNvPr>
        <xdr:cNvSpPr/>
      </xdr:nvSpPr>
      <xdr:spPr>
        <a:xfrm>
          <a:off x="40081200" y="35275052"/>
          <a:ext cx="5655734" cy="873234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0</xdr:colOff>
      <xdr:row>164</xdr:row>
      <xdr:rowOff>134885</xdr:rowOff>
    </xdr:from>
    <xdr:to>
      <xdr:col>167</xdr:col>
      <xdr:colOff>152400</xdr:colOff>
      <xdr:row>168</xdr:row>
      <xdr:rowOff>93719</xdr:rowOff>
    </xdr:to>
    <xdr:sp macro="" textlink="">
      <xdr:nvSpPr>
        <xdr:cNvPr id="49" name="Rounded Rectangle 48">
          <a:extLst>
            <a:ext uri="{FF2B5EF4-FFF2-40B4-BE49-F238E27FC236}">
              <a16:creationId xmlns:a16="http://schemas.microsoft.com/office/drawing/2014/main" id="{21F0BB15-091C-8446-9903-874051276A9B}"/>
            </a:ext>
          </a:extLst>
        </xdr:cNvPr>
        <xdr:cNvSpPr/>
      </xdr:nvSpPr>
      <xdr:spPr>
        <a:xfrm>
          <a:off x="32004000" y="37625285"/>
          <a:ext cx="6324600" cy="873234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16933</xdr:colOff>
      <xdr:row>176</xdr:row>
      <xdr:rowOff>50798</xdr:rowOff>
    </xdr:from>
    <xdr:to>
      <xdr:col>195</xdr:col>
      <xdr:colOff>203200</xdr:colOff>
      <xdr:row>179</xdr:row>
      <xdr:rowOff>228598</xdr:rowOff>
    </xdr:to>
    <xdr:sp macro="" textlink="">
      <xdr:nvSpPr>
        <xdr:cNvPr id="50" name="Rounded Rectangle 49">
          <a:extLst>
            <a:ext uri="{FF2B5EF4-FFF2-40B4-BE49-F238E27FC236}">
              <a16:creationId xmlns:a16="http://schemas.microsoft.com/office/drawing/2014/main" id="{5536FD59-AEC3-4947-A5D6-C18CB2C4C8AE}"/>
            </a:ext>
          </a:extLst>
        </xdr:cNvPr>
        <xdr:cNvSpPr/>
      </xdr:nvSpPr>
      <xdr:spPr>
        <a:xfrm>
          <a:off x="32020933" y="40284398"/>
          <a:ext cx="12759267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203200</xdr:colOff>
      <xdr:row>194</xdr:row>
      <xdr:rowOff>71823</xdr:rowOff>
    </xdr:from>
    <xdr:to>
      <xdr:col>196</xdr:col>
      <xdr:colOff>0</xdr:colOff>
      <xdr:row>198</xdr:row>
      <xdr:rowOff>11388</xdr:rowOff>
    </xdr:to>
    <xdr:sp macro="" textlink="">
      <xdr:nvSpPr>
        <xdr:cNvPr id="51" name="Rounded Rectangle 50">
          <a:extLst>
            <a:ext uri="{FF2B5EF4-FFF2-40B4-BE49-F238E27FC236}">
              <a16:creationId xmlns:a16="http://schemas.microsoft.com/office/drawing/2014/main" id="{3C16D7E0-4706-1240-8F76-20BAC3E6FB85}"/>
            </a:ext>
          </a:extLst>
        </xdr:cNvPr>
        <xdr:cNvSpPr/>
      </xdr:nvSpPr>
      <xdr:spPr>
        <a:xfrm>
          <a:off x="35407600" y="44420223"/>
          <a:ext cx="9398000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215901</xdr:colOff>
      <xdr:row>147</xdr:row>
      <xdr:rowOff>25400</xdr:rowOff>
    </xdr:from>
    <xdr:to>
      <xdr:col>139</xdr:col>
      <xdr:colOff>165101</xdr:colOff>
      <xdr:row>180</xdr:row>
      <xdr:rowOff>50800</xdr:rowOff>
    </xdr:to>
    <xdr:sp macro="" textlink="">
      <xdr:nvSpPr>
        <xdr:cNvPr id="52" name="Rounded Rectangle 51">
          <a:extLst>
            <a:ext uri="{FF2B5EF4-FFF2-40B4-BE49-F238E27FC236}">
              <a16:creationId xmlns:a16="http://schemas.microsoft.com/office/drawing/2014/main" id="{EE51633F-7DE1-BB42-8C24-20FE37DF6194}"/>
            </a:ext>
          </a:extLst>
        </xdr:cNvPr>
        <xdr:cNvSpPr/>
      </xdr:nvSpPr>
      <xdr:spPr>
        <a:xfrm rot="5400000">
          <a:off x="27724101" y="36982400"/>
          <a:ext cx="7569200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196</xdr:col>
      <xdr:colOff>48608</xdr:colOff>
      <xdr:row>158</xdr:row>
      <xdr:rowOff>25403</xdr:rowOff>
    </xdr:from>
    <xdr:to>
      <xdr:col>199</xdr:col>
      <xdr:colOff>216773</xdr:colOff>
      <xdr:row>198</xdr:row>
      <xdr:rowOff>76201</xdr:rowOff>
    </xdr:to>
    <xdr:sp macro="" textlink="">
      <xdr:nvSpPr>
        <xdr:cNvPr id="53" name="Rounded Rectangle 52">
          <a:extLst>
            <a:ext uri="{FF2B5EF4-FFF2-40B4-BE49-F238E27FC236}">
              <a16:creationId xmlns:a16="http://schemas.microsoft.com/office/drawing/2014/main" id="{57293FBF-C49D-024D-B4F4-2E4BF1196532}"/>
            </a:ext>
          </a:extLst>
        </xdr:cNvPr>
        <xdr:cNvSpPr/>
      </xdr:nvSpPr>
      <xdr:spPr>
        <a:xfrm rot="5400000">
          <a:off x="40683792" y="40314619"/>
          <a:ext cx="9194798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172</xdr:col>
      <xdr:colOff>139700</xdr:colOff>
      <xdr:row>180</xdr:row>
      <xdr:rowOff>25400</xdr:rowOff>
    </xdr:from>
    <xdr:to>
      <xdr:col>176</xdr:col>
      <xdr:colOff>88900</xdr:colOff>
      <xdr:row>194</xdr:row>
      <xdr:rowOff>50800</xdr:rowOff>
    </xdr:to>
    <xdr:sp macro="" textlink="">
      <xdr:nvSpPr>
        <xdr:cNvPr id="55" name="Rounded Rectangle 54">
          <a:extLst>
            <a:ext uri="{FF2B5EF4-FFF2-40B4-BE49-F238E27FC236}">
              <a16:creationId xmlns:a16="http://schemas.microsoft.com/office/drawing/2014/main" id="{E799DC05-266F-2B4F-9CA0-7D45D16A7266}"/>
            </a:ext>
          </a:extLst>
        </xdr:cNvPr>
        <xdr:cNvSpPr/>
      </xdr:nvSpPr>
      <xdr:spPr>
        <a:xfrm rot="5400000">
          <a:off x="38277800" y="42354500"/>
          <a:ext cx="3225800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163</xdr:col>
      <xdr:colOff>139700</xdr:colOff>
      <xdr:row>147</xdr:row>
      <xdr:rowOff>18394</xdr:rowOff>
    </xdr:from>
    <xdr:to>
      <xdr:col>167</xdr:col>
      <xdr:colOff>88900</xdr:colOff>
      <xdr:row>164</xdr:row>
      <xdr:rowOff>76200</xdr:rowOff>
    </xdr:to>
    <xdr:sp macro="" textlink="">
      <xdr:nvSpPr>
        <xdr:cNvPr id="56" name="Rounded Rectangle 55">
          <a:extLst>
            <a:ext uri="{FF2B5EF4-FFF2-40B4-BE49-F238E27FC236}">
              <a16:creationId xmlns:a16="http://schemas.microsoft.com/office/drawing/2014/main" id="{38818683-240A-E34B-9470-E8D13761121A}"/>
            </a:ext>
          </a:extLst>
        </xdr:cNvPr>
        <xdr:cNvSpPr/>
      </xdr:nvSpPr>
      <xdr:spPr>
        <a:xfrm rot="5400000">
          <a:off x="35861297" y="35162797"/>
          <a:ext cx="3944006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151</xdr:col>
      <xdr:colOff>61952</xdr:colOff>
      <xdr:row>27</xdr:row>
      <xdr:rowOff>154878</xdr:rowOff>
    </xdr:from>
    <xdr:to>
      <xdr:col>162</xdr:col>
      <xdr:colOff>185854</xdr:colOff>
      <xdr:row>31</xdr:row>
      <xdr:rowOff>61952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A7EB835-8F27-8B93-2AB1-1878E6A0F1C4}"/>
            </a:ext>
          </a:extLst>
        </xdr:cNvPr>
        <xdr:cNvSpPr txBox="1"/>
      </xdr:nvSpPr>
      <xdr:spPr>
        <a:xfrm>
          <a:off x="32803172" y="6009268"/>
          <a:ext cx="2509023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13 x 10</a:t>
          </a:r>
        </a:p>
      </xdr:txBody>
    </xdr:sp>
    <xdr:clientData/>
  </xdr:twoCellAnchor>
  <xdr:twoCellAnchor>
    <xdr:from>
      <xdr:col>187</xdr:col>
      <xdr:colOff>90450</xdr:colOff>
      <xdr:row>37</xdr:row>
      <xdr:rowOff>121424</xdr:rowOff>
    </xdr:from>
    <xdr:to>
      <xdr:col>198</xdr:col>
      <xdr:colOff>214351</xdr:colOff>
      <xdr:row>41</xdr:row>
      <xdr:rowOff>28498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314E852-C21C-A947-AA1E-760E5D50F276}"/>
            </a:ext>
          </a:extLst>
        </xdr:cNvPr>
        <xdr:cNvSpPr txBox="1"/>
      </xdr:nvSpPr>
      <xdr:spPr>
        <a:xfrm>
          <a:off x="40637523" y="8144107"/>
          <a:ext cx="2509023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11 x 19</a:t>
          </a:r>
        </a:p>
      </xdr:txBody>
    </xdr:sp>
    <xdr:clientData/>
  </xdr:twoCellAnchor>
  <xdr:twoCellAnchor>
    <xdr:from>
      <xdr:col>167</xdr:col>
      <xdr:colOff>214358</xdr:colOff>
      <xdr:row>62</xdr:row>
      <xdr:rowOff>183380</xdr:rowOff>
    </xdr:from>
    <xdr:to>
      <xdr:col>175</xdr:col>
      <xdr:colOff>92932</xdr:colOff>
      <xdr:row>66</xdr:row>
      <xdr:rowOff>90454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D0B4914C-08F7-714A-B9B0-292249CBCCAE}"/>
            </a:ext>
          </a:extLst>
        </xdr:cNvPr>
        <xdr:cNvSpPr txBox="1"/>
      </xdr:nvSpPr>
      <xdr:spPr>
        <a:xfrm>
          <a:off x="36424846" y="13626795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14</a:t>
          </a:r>
        </a:p>
      </xdr:txBody>
    </xdr:sp>
    <xdr:clientData/>
  </xdr:twoCellAnchor>
  <xdr:twoCellAnchor>
    <xdr:from>
      <xdr:col>145</xdr:col>
      <xdr:colOff>87973</xdr:colOff>
      <xdr:row>41</xdr:row>
      <xdr:rowOff>149921</xdr:rowOff>
    </xdr:from>
    <xdr:to>
      <xdr:col>152</xdr:col>
      <xdr:colOff>183376</xdr:colOff>
      <xdr:row>45</xdr:row>
      <xdr:rowOff>56995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788C772-283E-3345-9500-0BCB75CD8C6C}"/>
            </a:ext>
          </a:extLst>
        </xdr:cNvPr>
        <xdr:cNvSpPr txBox="1"/>
      </xdr:nvSpPr>
      <xdr:spPr>
        <a:xfrm>
          <a:off x="31528217" y="9039921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10 x 5</a:t>
          </a:r>
        </a:p>
      </xdr:txBody>
    </xdr:sp>
    <xdr:clientData/>
  </xdr:twoCellAnchor>
  <xdr:twoCellAnchor>
    <xdr:from>
      <xdr:col>172</xdr:col>
      <xdr:colOff>116470</xdr:colOff>
      <xdr:row>25</xdr:row>
      <xdr:rowOff>23540</xdr:rowOff>
    </xdr:from>
    <xdr:to>
      <xdr:col>179</xdr:col>
      <xdr:colOff>211873</xdr:colOff>
      <xdr:row>28</xdr:row>
      <xdr:rowOff>147443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6BF3495-88B5-614C-8979-77528042E900}"/>
            </a:ext>
          </a:extLst>
        </xdr:cNvPr>
        <xdr:cNvSpPr txBox="1"/>
      </xdr:nvSpPr>
      <xdr:spPr>
        <a:xfrm>
          <a:off x="37411104" y="5444272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5 x 5</a:t>
          </a:r>
        </a:p>
      </xdr:txBody>
    </xdr:sp>
    <xdr:clientData/>
  </xdr:twoCellAnchor>
  <xdr:twoCellAnchor>
    <xdr:from>
      <xdr:col>323</xdr:col>
      <xdr:colOff>214358</xdr:colOff>
      <xdr:row>186</xdr:row>
      <xdr:rowOff>183380</xdr:rowOff>
    </xdr:from>
    <xdr:to>
      <xdr:col>331</xdr:col>
      <xdr:colOff>92932</xdr:colOff>
      <xdr:row>190</xdr:row>
      <xdr:rowOff>90454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1A71A9A1-80CE-A340-B20D-A0B6086CA5C7}"/>
            </a:ext>
          </a:extLst>
        </xdr:cNvPr>
        <xdr:cNvSpPr txBox="1"/>
      </xdr:nvSpPr>
      <xdr:spPr>
        <a:xfrm>
          <a:off x="36424846" y="13626795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270</xdr:col>
      <xdr:colOff>0</xdr:colOff>
      <xdr:row>160</xdr:row>
      <xdr:rowOff>0</xdr:rowOff>
    </xdr:from>
    <xdr:to>
      <xdr:col>281</xdr:col>
      <xdr:colOff>123902</xdr:colOff>
      <xdr:row>163</xdr:row>
      <xdr:rowOff>135023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58786D3-B231-1140-8DFA-9266784D5623}"/>
            </a:ext>
          </a:extLst>
        </xdr:cNvPr>
        <xdr:cNvSpPr txBox="1"/>
      </xdr:nvSpPr>
      <xdr:spPr>
        <a:xfrm>
          <a:off x="61546154" y="36471795"/>
          <a:ext cx="2631338" cy="818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24</a:t>
          </a:r>
        </a:p>
      </xdr:txBody>
    </xdr:sp>
    <xdr:clientData/>
  </xdr:twoCellAnchor>
  <xdr:twoCellAnchor>
    <xdr:from>
      <xdr:col>240</xdr:col>
      <xdr:colOff>0</xdr:colOff>
      <xdr:row>162</xdr:row>
      <xdr:rowOff>0</xdr:rowOff>
    </xdr:from>
    <xdr:to>
      <xdr:col>251</xdr:col>
      <xdr:colOff>123902</xdr:colOff>
      <xdr:row>165</xdr:row>
      <xdr:rowOff>135023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A08330D2-8AEE-C647-8BC8-452AF700B2B7}"/>
            </a:ext>
          </a:extLst>
        </xdr:cNvPr>
        <xdr:cNvSpPr txBox="1"/>
      </xdr:nvSpPr>
      <xdr:spPr>
        <a:xfrm>
          <a:off x="54707692" y="36927692"/>
          <a:ext cx="2631338" cy="818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10</a:t>
          </a:r>
        </a:p>
      </xdr:txBody>
    </xdr:sp>
    <xdr:clientData/>
  </xdr:twoCellAnchor>
  <xdr:twoCellAnchor>
    <xdr:from>
      <xdr:col>245</xdr:col>
      <xdr:colOff>152399</xdr:colOff>
      <xdr:row>182</xdr:row>
      <xdr:rowOff>22142</xdr:rowOff>
    </xdr:from>
    <xdr:to>
      <xdr:col>257</xdr:col>
      <xdr:colOff>48352</xdr:colOff>
      <xdr:row>185</xdr:row>
      <xdr:rowOff>157165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707A8CF2-F21B-ED47-824F-64B5E64DA2A0}"/>
            </a:ext>
          </a:extLst>
        </xdr:cNvPr>
        <xdr:cNvSpPr txBox="1"/>
      </xdr:nvSpPr>
      <xdr:spPr>
        <a:xfrm>
          <a:off x="55999835" y="41508809"/>
          <a:ext cx="2631338" cy="818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8</a:t>
          </a:r>
        </a:p>
      </xdr:txBody>
    </xdr:sp>
    <xdr:clientData/>
  </xdr:twoCellAnchor>
  <xdr:twoCellAnchor>
    <xdr:from>
      <xdr:col>307</xdr:col>
      <xdr:colOff>61952</xdr:colOff>
      <xdr:row>153</xdr:row>
      <xdr:rowOff>154878</xdr:rowOff>
    </xdr:from>
    <xdr:to>
      <xdr:col>318</xdr:col>
      <xdr:colOff>185854</xdr:colOff>
      <xdr:row>157</xdr:row>
      <xdr:rowOff>61952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A0E5CAE5-413E-E94B-B0E3-6250FF7D8592}"/>
            </a:ext>
          </a:extLst>
        </xdr:cNvPr>
        <xdr:cNvSpPr txBox="1"/>
      </xdr:nvSpPr>
      <xdr:spPr>
        <a:xfrm>
          <a:off x="68463706" y="33798738"/>
          <a:ext cx="2574780" cy="7983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13 x 12</a:t>
          </a:r>
        </a:p>
      </xdr:txBody>
    </xdr:sp>
    <xdr:clientData/>
  </xdr:twoCellAnchor>
  <xdr:twoCellAnchor>
    <xdr:from>
      <xdr:col>341</xdr:col>
      <xdr:colOff>90450</xdr:colOff>
      <xdr:row>163</xdr:row>
      <xdr:rowOff>121424</xdr:rowOff>
    </xdr:from>
    <xdr:to>
      <xdr:col>352</xdr:col>
      <xdr:colOff>214351</xdr:colOff>
      <xdr:row>167</xdr:row>
      <xdr:rowOff>28498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DCEFADBC-C619-EF4E-8CA5-8A3C8900BCE6}"/>
            </a:ext>
          </a:extLst>
        </xdr:cNvPr>
        <xdr:cNvSpPr txBox="1"/>
      </xdr:nvSpPr>
      <xdr:spPr>
        <a:xfrm>
          <a:off x="76067643" y="35993354"/>
          <a:ext cx="2574778" cy="7983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45</xdr:col>
      <xdr:colOff>214358</xdr:colOff>
      <xdr:row>287</xdr:row>
      <xdr:rowOff>183380</xdr:rowOff>
    </xdr:from>
    <xdr:to>
      <xdr:col>53</xdr:col>
      <xdr:colOff>92932</xdr:colOff>
      <xdr:row>291</xdr:row>
      <xdr:rowOff>90454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2A32FE2D-BB64-8543-BB2D-FDCC1B081F8E}"/>
            </a:ext>
          </a:extLst>
        </xdr:cNvPr>
        <xdr:cNvSpPr txBox="1"/>
      </xdr:nvSpPr>
      <xdr:spPr>
        <a:xfrm>
          <a:off x="79609842" y="45903380"/>
          <a:ext cx="1845025" cy="89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29</xdr:col>
      <xdr:colOff>61952</xdr:colOff>
      <xdr:row>254</xdr:row>
      <xdr:rowOff>154878</xdr:rowOff>
    </xdr:from>
    <xdr:to>
      <xdr:col>40</xdr:col>
      <xdr:colOff>185854</xdr:colOff>
      <xdr:row>258</xdr:row>
      <xdr:rowOff>61952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11149A73-874C-524B-8897-9F761C5C9A29}"/>
            </a:ext>
          </a:extLst>
        </xdr:cNvPr>
        <xdr:cNvSpPr txBox="1"/>
      </xdr:nvSpPr>
      <xdr:spPr>
        <a:xfrm>
          <a:off x="75524533" y="37763265"/>
          <a:ext cx="2827773" cy="89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13 x 12</a:t>
          </a:r>
        </a:p>
      </xdr:txBody>
    </xdr:sp>
    <xdr:clientData/>
  </xdr:twoCellAnchor>
  <xdr:twoCellAnchor>
    <xdr:from>
      <xdr:col>63</xdr:col>
      <xdr:colOff>90450</xdr:colOff>
      <xdr:row>264</xdr:row>
      <xdr:rowOff>121424</xdr:rowOff>
    </xdr:from>
    <xdr:to>
      <xdr:col>74</xdr:col>
      <xdr:colOff>214351</xdr:colOff>
      <xdr:row>268</xdr:row>
      <xdr:rowOff>28498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C6FF4891-029F-9548-8FC9-98601B08F596}"/>
            </a:ext>
          </a:extLst>
        </xdr:cNvPr>
        <xdr:cNvSpPr txBox="1"/>
      </xdr:nvSpPr>
      <xdr:spPr>
        <a:xfrm>
          <a:off x="83910450" y="40187876"/>
          <a:ext cx="2827772" cy="8902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16</xdr:col>
      <xdr:colOff>107062</xdr:colOff>
      <xdr:row>267</xdr:row>
      <xdr:rowOff>204838</xdr:rowOff>
    </xdr:from>
    <xdr:to>
      <xdr:col>88</xdr:col>
      <xdr:colOff>120952</xdr:colOff>
      <xdr:row>271</xdr:row>
      <xdr:rowOff>-1</xdr:rowOff>
    </xdr:to>
    <xdr:sp macro="" textlink="">
      <xdr:nvSpPr>
        <xdr:cNvPr id="82" name="Rounded Rectangle 81">
          <a:extLst>
            <a:ext uri="{FF2B5EF4-FFF2-40B4-BE49-F238E27FC236}">
              <a16:creationId xmlns:a16="http://schemas.microsoft.com/office/drawing/2014/main" id="{83AEF2A8-3CB7-7C43-B989-458E3D1141C5}"/>
            </a:ext>
          </a:extLst>
        </xdr:cNvPr>
        <xdr:cNvSpPr/>
      </xdr:nvSpPr>
      <xdr:spPr>
        <a:xfrm>
          <a:off x="30345157" y="58261981"/>
          <a:ext cx="17431033" cy="76278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218495</xdr:colOff>
      <xdr:row>242</xdr:row>
      <xdr:rowOff>29496</xdr:rowOff>
    </xdr:from>
    <xdr:to>
      <xdr:col>62</xdr:col>
      <xdr:colOff>127000</xdr:colOff>
      <xdr:row>245</xdr:row>
      <xdr:rowOff>122904</xdr:rowOff>
    </xdr:to>
    <xdr:sp macro="" textlink="">
      <xdr:nvSpPr>
        <xdr:cNvPr id="83" name="Rounded Rectangle 82">
          <a:extLst>
            <a:ext uri="{FF2B5EF4-FFF2-40B4-BE49-F238E27FC236}">
              <a16:creationId xmlns:a16="http://schemas.microsoft.com/office/drawing/2014/main" id="{41C62774-5BC7-E440-A1B0-E35EB7F51D2E}"/>
            </a:ext>
          </a:extLst>
        </xdr:cNvPr>
        <xdr:cNvSpPr/>
      </xdr:nvSpPr>
      <xdr:spPr>
        <a:xfrm>
          <a:off x="28564895" y="49178496"/>
          <a:ext cx="10652705" cy="779208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228327</xdr:colOff>
      <xdr:row>295</xdr:row>
      <xdr:rowOff>66367</xdr:rowOff>
    </xdr:from>
    <xdr:to>
      <xdr:col>88</xdr:col>
      <xdr:colOff>27038</xdr:colOff>
      <xdr:row>298</xdr:row>
      <xdr:rowOff>142568</xdr:rowOff>
    </xdr:to>
    <xdr:sp macro="" textlink="">
      <xdr:nvSpPr>
        <xdr:cNvPr id="84" name="Rounded Rectangle 83">
          <a:extLst>
            <a:ext uri="{FF2B5EF4-FFF2-40B4-BE49-F238E27FC236}">
              <a16:creationId xmlns:a16="http://schemas.microsoft.com/office/drawing/2014/main" id="{7092F07C-A302-CF44-917A-39B87979FEEF}"/>
            </a:ext>
          </a:extLst>
        </xdr:cNvPr>
        <xdr:cNvSpPr/>
      </xdr:nvSpPr>
      <xdr:spPr>
        <a:xfrm>
          <a:off x="32918127" y="61331167"/>
          <a:ext cx="12143111" cy="762001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18473</xdr:colOff>
      <xdr:row>252</xdr:row>
      <xdr:rowOff>33485</xdr:rowOff>
    </xdr:from>
    <xdr:to>
      <xdr:col>84</xdr:col>
      <xdr:colOff>94672</xdr:colOff>
      <xdr:row>299</xdr:row>
      <xdr:rowOff>137391</xdr:rowOff>
    </xdr:to>
    <xdr:sp macro="" textlink="">
      <xdr:nvSpPr>
        <xdr:cNvPr id="86" name="Rounded Rectangle 85">
          <a:extLst>
            <a:ext uri="{FF2B5EF4-FFF2-40B4-BE49-F238E27FC236}">
              <a16:creationId xmlns:a16="http://schemas.microsoft.com/office/drawing/2014/main" id="{57D95924-1943-3045-80E2-563818B54E8E}"/>
            </a:ext>
          </a:extLst>
        </xdr:cNvPr>
        <xdr:cNvSpPr/>
      </xdr:nvSpPr>
      <xdr:spPr>
        <a:xfrm rot="5400000">
          <a:off x="38797347" y="57081883"/>
          <a:ext cx="10956634" cy="768927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110392</xdr:colOff>
      <xdr:row>239</xdr:row>
      <xdr:rowOff>46895</xdr:rowOff>
    </xdr:from>
    <xdr:to>
      <xdr:col>22</xdr:col>
      <xdr:colOff>186591</xdr:colOff>
      <xdr:row>283</xdr:row>
      <xdr:rowOff>181432</xdr:rowOff>
    </xdr:to>
    <xdr:sp macro="" textlink="">
      <xdr:nvSpPr>
        <xdr:cNvPr id="87" name="Rounded Rectangle 86">
          <a:extLst>
            <a:ext uri="{FF2B5EF4-FFF2-40B4-BE49-F238E27FC236}">
              <a16:creationId xmlns:a16="http://schemas.microsoft.com/office/drawing/2014/main" id="{6FBD2A29-02B9-D74A-9519-224F5B8D67BC}"/>
            </a:ext>
          </a:extLst>
        </xdr:cNvPr>
        <xdr:cNvSpPr/>
      </xdr:nvSpPr>
      <xdr:spPr>
        <a:xfrm rot="5400000">
          <a:off x="26085986" y="56318921"/>
          <a:ext cx="10778346" cy="801913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104630</xdr:colOff>
      <xdr:row>239</xdr:row>
      <xdr:rowOff>198130</xdr:rowOff>
    </xdr:from>
    <xdr:to>
      <xdr:col>42</xdr:col>
      <xdr:colOff>61645</xdr:colOff>
      <xdr:row>299</xdr:row>
      <xdr:rowOff>211666</xdr:rowOff>
    </xdr:to>
    <xdr:sp macro="" textlink="">
      <xdr:nvSpPr>
        <xdr:cNvPr id="88" name="Rounded Rectangle 87">
          <a:extLst>
            <a:ext uri="{FF2B5EF4-FFF2-40B4-BE49-F238E27FC236}">
              <a16:creationId xmlns:a16="http://schemas.microsoft.com/office/drawing/2014/main" id="{F7C67950-862D-3448-959A-13D06B90F950}"/>
            </a:ext>
          </a:extLst>
        </xdr:cNvPr>
        <xdr:cNvSpPr/>
      </xdr:nvSpPr>
      <xdr:spPr>
        <a:xfrm rot="5400000">
          <a:off x="28863036" y="58283534"/>
          <a:ext cx="14527821" cy="924634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127929</xdr:colOff>
      <xdr:row>266</xdr:row>
      <xdr:rowOff>120952</xdr:rowOff>
    </xdr:from>
    <xdr:to>
      <xdr:col>59</xdr:col>
      <xdr:colOff>72245</xdr:colOff>
      <xdr:row>299</xdr:row>
      <xdr:rowOff>201248</xdr:rowOff>
    </xdr:to>
    <xdr:sp macro="" textlink="">
      <xdr:nvSpPr>
        <xdr:cNvPr id="89" name="Rounded Rectangle 88">
          <a:extLst>
            <a:ext uri="{FF2B5EF4-FFF2-40B4-BE49-F238E27FC236}">
              <a16:creationId xmlns:a16="http://schemas.microsoft.com/office/drawing/2014/main" id="{5F42A2CF-2207-7D45-B023-0D0D533CF336}"/>
            </a:ext>
          </a:extLst>
        </xdr:cNvPr>
        <xdr:cNvSpPr/>
      </xdr:nvSpPr>
      <xdr:spPr>
        <a:xfrm rot="5400000">
          <a:off x="36224701" y="61511799"/>
          <a:ext cx="8063153" cy="91193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213737</xdr:colOff>
      <xdr:row>240</xdr:row>
      <xdr:rowOff>153816</xdr:rowOff>
    </xdr:from>
    <xdr:to>
      <xdr:col>25</xdr:col>
      <xdr:colOff>129672</xdr:colOff>
      <xdr:row>248</xdr:row>
      <xdr:rowOff>49463</xdr:rowOff>
    </xdr:to>
    <xdr:sp macro="" textlink="">
      <xdr:nvSpPr>
        <xdr:cNvPr id="92" name="Oval 91">
          <a:extLst>
            <a:ext uri="{FF2B5EF4-FFF2-40B4-BE49-F238E27FC236}">
              <a16:creationId xmlns:a16="http://schemas.microsoft.com/office/drawing/2014/main" id="{0ABF069A-E4AC-7E47-A8E2-A80527DE5D0D}"/>
            </a:ext>
          </a:extLst>
        </xdr:cNvPr>
        <xdr:cNvSpPr/>
      </xdr:nvSpPr>
      <xdr:spPr>
        <a:xfrm>
          <a:off x="29691105" y="49984605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17222</xdr:colOff>
      <xdr:row>265</xdr:row>
      <xdr:rowOff>90984</xdr:rowOff>
    </xdr:from>
    <xdr:to>
      <xdr:col>24</xdr:col>
      <xdr:colOff>167104</xdr:colOff>
      <xdr:row>272</xdr:row>
      <xdr:rowOff>220579</xdr:rowOff>
    </xdr:to>
    <xdr:sp macro="" textlink="">
      <xdr:nvSpPr>
        <xdr:cNvPr id="94" name="Oval 93">
          <a:extLst>
            <a:ext uri="{FF2B5EF4-FFF2-40B4-BE49-F238E27FC236}">
              <a16:creationId xmlns:a16="http://schemas.microsoft.com/office/drawing/2014/main" id="{D93F9CEB-FD17-BF4E-8301-8F0BF90AA793}"/>
            </a:ext>
          </a:extLst>
        </xdr:cNvPr>
        <xdr:cNvSpPr/>
      </xdr:nvSpPr>
      <xdr:spPr>
        <a:xfrm>
          <a:off x="29494590" y="55770458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2515</xdr:colOff>
      <xdr:row>293</xdr:row>
      <xdr:rowOff>9437</xdr:rowOff>
    </xdr:from>
    <xdr:to>
      <xdr:col>86</xdr:col>
      <xdr:colOff>152397</xdr:colOff>
      <xdr:row>300</xdr:row>
      <xdr:rowOff>139031</xdr:rowOff>
    </xdr:to>
    <xdr:sp macro="" textlink="">
      <xdr:nvSpPr>
        <xdr:cNvPr id="95" name="Oval 94">
          <a:extLst>
            <a:ext uri="{FF2B5EF4-FFF2-40B4-BE49-F238E27FC236}">
              <a16:creationId xmlns:a16="http://schemas.microsoft.com/office/drawing/2014/main" id="{FC77C6D6-7A9B-8744-B29F-99E3CF62D1E1}"/>
            </a:ext>
          </a:extLst>
        </xdr:cNvPr>
        <xdr:cNvSpPr/>
      </xdr:nvSpPr>
      <xdr:spPr>
        <a:xfrm>
          <a:off x="43984620" y="62239437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111947</xdr:colOff>
      <xdr:row>251</xdr:row>
      <xdr:rowOff>118866</xdr:rowOff>
    </xdr:from>
    <xdr:to>
      <xdr:col>75</xdr:col>
      <xdr:colOff>19925</xdr:colOff>
      <xdr:row>259</xdr:row>
      <xdr:rowOff>6556</xdr:rowOff>
    </xdr:to>
    <xdr:sp macro="" textlink="">
      <xdr:nvSpPr>
        <xdr:cNvPr id="96" name="Oval 95">
          <a:extLst>
            <a:ext uri="{FF2B5EF4-FFF2-40B4-BE49-F238E27FC236}">
              <a16:creationId xmlns:a16="http://schemas.microsoft.com/office/drawing/2014/main" id="{115CE1E4-2990-DA4A-91E3-B137F88D66DA}"/>
            </a:ext>
          </a:extLst>
        </xdr:cNvPr>
        <xdr:cNvSpPr/>
      </xdr:nvSpPr>
      <xdr:spPr>
        <a:xfrm>
          <a:off x="42687185" y="54305533"/>
          <a:ext cx="1843216" cy="18229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39946</xdr:colOff>
      <xdr:row>265</xdr:row>
      <xdr:rowOff>180553</xdr:rowOff>
    </xdr:from>
    <xdr:to>
      <xdr:col>86</xdr:col>
      <xdr:colOff>189828</xdr:colOff>
      <xdr:row>273</xdr:row>
      <xdr:rowOff>76200</xdr:rowOff>
    </xdr:to>
    <xdr:sp macro="" textlink="">
      <xdr:nvSpPr>
        <xdr:cNvPr id="97" name="Oval 96">
          <a:extLst>
            <a:ext uri="{FF2B5EF4-FFF2-40B4-BE49-F238E27FC236}">
              <a16:creationId xmlns:a16="http://schemas.microsoft.com/office/drawing/2014/main" id="{D51AFE0D-8EFC-DF41-8470-3E1CAA8C917F}"/>
            </a:ext>
          </a:extLst>
        </xdr:cNvPr>
        <xdr:cNvSpPr/>
      </xdr:nvSpPr>
      <xdr:spPr>
        <a:xfrm>
          <a:off x="44022051" y="55860027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135054</xdr:colOff>
      <xdr:row>292</xdr:row>
      <xdr:rowOff>219959</xdr:rowOff>
    </xdr:from>
    <xdr:to>
      <xdr:col>61</xdr:col>
      <xdr:colOff>50989</xdr:colOff>
      <xdr:row>300</xdr:row>
      <xdr:rowOff>107648</xdr:rowOff>
    </xdr:to>
    <xdr:sp macro="" textlink="">
      <xdr:nvSpPr>
        <xdr:cNvPr id="98" name="Oval 97">
          <a:extLst>
            <a:ext uri="{FF2B5EF4-FFF2-40B4-BE49-F238E27FC236}">
              <a16:creationId xmlns:a16="http://schemas.microsoft.com/office/drawing/2014/main" id="{3157E960-4DE9-8E47-B681-9ACB55F4E337}"/>
            </a:ext>
          </a:extLst>
        </xdr:cNvPr>
        <xdr:cNvSpPr/>
      </xdr:nvSpPr>
      <xdr:spPr>
        <a:xfrm>
          <a:off x="39323625" y="64324721"/>
          <a:ext cx="1851174" cy="182292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186999</xdr:colOff>
      <xdr:row>265</xdr:row>
      <xdr:rowOff>169858</xdr:rowOff>
    </xdr:from>
    <xdr:to>
      <xdr:col>44</xdr:col>
      <xdr:colOff>102934</xdr:colOff>
      <xdr:row>273</xdr:row>
      <xdr:rowOff>70853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02E694EC-9F51-514A-95FE-BED931C35DE6}"/>
            </a:ext>
          </a:extLst>
        </xdr:cNvPr>
        <xdr:cNvSpPr/>
      </xdr:nvSpPr>
      <xdr:spPr>
        <a:xfrm>
          <a:off x="35263189" y="57743191"/>
          <a:ext cx="1851174" cy="1836233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130151</xdr:colOff>
      <xdr:row>265</xdr:row>
      <xdr:rowOff>47697</xdr:rowOff>
    </xdr:from>
    <xdr:to>
      <xdr:col>64</xdr:col>
      <xdr:colOff>32782</xdr:colOff>
      <xdr:row>272</xdr:row>
      <xdr:rowOff>164592</xdr:rowOff>
    </xdr:to>
    <xdr:sp macro="" textlink="">
      <xdr:nvSpPr>
        <xdr:cNvPr id="100" name="Oval 99">
          <a:extLst>
            <a:ext uri="{FF2B5EF4-FFF2-40B4-BE49-F238E27FC236}">
              <a16:creationId xmlns:a16="http://schemas.microsoft.com/office/drawing/2014/main" id="{DBA1B24F-FB89-B745-AA3E-14D0D54CAC98}"/>
            </a:ext>
          </a:extLst>
        </xdr:cNvPr>
        <xdr:cNvSpPr/>
      </xdr:nvSpPr>
      <xdr:spPr>
        <a:xfrm>
          <a:off x="40044437" y="57621030"/>
          <a:ext cx="1837869" cy="1810229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119409</xdr:colOff>
      <xdr:row>239</xdr:row>
      <xdr:rowOff>229126</xdr:rowOff>
    </xdr:from>
    <xdr:to>
      <xdr:col>64</xdr:col>
      <xdr:colOff>35344</xdr:colOff>
      <xdr:row>247</xdr:row>
      <xdr:rowOff>104116</xdr:rowOff>
    </xdr:to>
    <xdr:sp macro="" textlink="">
      <xdr:nvSpPr>
        <xdr:cNvPr id="101" name="Oval 100">
          <a:extLst>
            <a:ext uri="{FF2B5EF4-FFF2-40B4-BE49-F238E27FC236}">
              <a16:creationId xmlns:a16="http://schemas.microsoft.com/office/drawing/2014/main" id="{27C7C03D-39B9-364C-A198-5AD711B5A0C8}"/>
            </a:ext>
          </a:extLst>
        </xdr:cNvPr>
        <xdr:cNvSpPr/>
      </xdr:nvSpPr>
      <xdr:spPr>
        <a:xfrm>
          <a:off x="40033695" y="51512936"/>
          <a:ext cx="1851173" cy="18102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110799</xdr:colOff>
      <xdr:row>293</xdr:row>
      <xdr:rowOff>17458</xdr:rowOff>
    </xdr:from>
    <xdr:to>
      <xdr:col>44</xdr:col>
      <xdr:colOff>26734</xdr:colOff>
      <xdr:row>300</xdr:row>
      <xdr:rowOff>147053</xdr:rowOff>
    </xdr:to>
    <xdr:sp macro="" textlink="">
      <xdr:nvSpPr>
        <xdr:cNvPr id="103" name="Oval 102">
          <a:extLst>
            <a:ext uri="{FF2B5EF4-FFF2-40B4-BE49-F238E27FC236}">
              <a16:creationId xmlns:a16="http://schemas.microsoft.com/office/drawing/2014/main" id="{CF1C5087-850D-BD4D-A307-A46A43441CFA}"/>
            </a:ext>
          </a:extLst>
        </xdr:cNvPr>
        <xdr:cNvSpPr/>
      </xdr:nvSpPr>
      <xdr:spPr>
        <a:xfrm>
          <a:off x="33257799" y="60825058"/>
          <a:ext cx="1744735" cy="1729795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150857</xdr:colOff>
      <xdr:row>238</xdr:row>
      <xdr:rowOff>230335</xdr:rowOff>
    </xdr:from>
    <xdr:to>
      <xdr:col>44</xdr:col>
      <xdr:colOff>66791</xdr:colOff>
      <xdr:row>246</xdr:row>
      <xdr:rowOff>105325</xdr:rowOff>
    </xdr:to>
    <xdr:sp macro="" textlink="">
      <xdr:nvSpPr>
        <xdr:cNvPr id="105" name="Oval 104">
          <a:extLst>
            <a:ext uri="{FF2B5EF4-FFF2-40B4-BE49-F238E27FC236}">
              <a16:creationId xmlns:a16="http://schemas.microsoft.com/office/drawing/2014/main" id="{E1AEA608-DB42-0549-9DAB-1F2446F46428}"/>
            </a:ext>
          </a:extLst>
        </xdr:cNvPr>
        <xdr:cNvSpPr/>
      </xdr:nvSpPr>
      <xdr:spPr>
        <a:xfrm>
          <a:off x="35227047" y="51272240"/>
          <a:ext cx="1851173" cy="18102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234109</xdr:colOff>
      <xdr:row>277</xdr:row>
      <xdr:rowOff>180553</xdr:rowOff>
    </xdr:from>
    <xdr:to>
      <xdr:col>33</xdr:col>
      <xdr:colOff>142087</xdr:colOff>
      <xdr:row>285</xdr:row>
      <xdr:rowOff>68242</xdr:rowOff>
    </xdr:to>
    <xdr:sp macro="" textlink="">
      <xdr:nvSpPr>
        <xdr:cNvPr id="106" name="Oval 105">
          <a:extLst>
            <a:ext uri="{FF2B5EF4-FFF2-40B4-BE49-F238E27FC236}">
              <a16:creationId xmlns:a16="http://schemas.microsoft.com/office/drawing/2014/main" id="{AE6EBE23-107B-AE49-8FB8-AB23F3FD4068}"/>
            </a:ext>
          </a:extLst>
        </xdr:cNvPr>
        <xdr:cNvSpPr/>
      </xdr:nvSpPr>
      <xdr:spPr>
        <a:xfrm>
          <a:off x="32649347" y="60656743"/>
          <a:ext cx="1843216" cy="18229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22700</xdr:colOff>
      <xdr:row>241</xdr:row>
      <xdr:rowOff>61686</xdr:rowOff>
    </xdr:from>
    <xdr:to>
      <xdr:col>61</xdr:col>
      <xdr:colOff>195616</xdr:colOff>
      <xdr:row>270</xdr:row>
      <xdr:rowOff>151191</xdr:rowOff>
    </xdr:to>
    <xdr:sp macro="" textlink="">
      <xdr:nvSpPr>
        <xdr:cNvPr id="107" name="Rounded Rectangle 106">
          <a:extLst>
            <a:ext uri="{FF2B5EF4-FFF2-40B4-BE49-F238E27FC236}">
              <a16:creationId xmlns:a16="http://schemas.microsoft.com/office/drawing/2014/main" id="{FD56EC30-90AE-D84D-A56F-83E79B7DA8A6}"/>
            </a:ext>
          </a:extLst>
        </xdr:cNvPr>
        <xdr:cNvSpPr/>
      </xdr:nvSpPr>
      <xdr:spPr>
        <a:xfrm rot="5400000">
          <a:off x="35268805" y="51912181"/>
          <a:ext cx="6718905" cy="858716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152400</xdr:colOff>
      <xdr:row>253</xdr:row>
      <xdr:rowOff>0</xdr:rowOff>
    </xdr:from>
    <xdr:to>
      <xdr:col>85</xdr:col>
      <xdr:colOff>101600</xdr:colOff>
      <xdr:row>256</xdr:row>
      <xdr:rowOff>168165</xdr:rowOff>
    </xdr:to>
    <xdr:sp macro="" textlink="">
      <xdr:nvSpPr>
        <xdr:cNvPr id="108" name="Rounded Rectangle 107">
          <a:extLst>
            <a:ext uri="{FF2B5EF4-FFF2-40B4-BE49-F238E27FC236}">
              <a16:creationId xmlns:a16="http://schemas.microsoft.com/office/drawing/2014/main" id="{31F6443F-1B5C-2C41-9EB0-1B99A33F79D8}"/>
            </a:ext>
          </a:extLst>
        </xdr:cNvPr>
        <xdr:cNvSpPr/>
      </xdr:nvSpPr>
      <xdr:spPr>
        <a:xfrm>
          <a:off x="38328600" y="51663600"/>
          <a:ext cx="6121400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101600</xdr:colOff>
      <xdr:row>279</xdr:row>
      <xdr:rowOff>101600</xdr:rowOff>
    </xdr:from>
    <xdr:to>
      <xdr:col>43</xdr:col>
      <xdr:colOff>25400</xdr:colOff>
      <xdr:row>283</xdr:row>
      <xdr:rowOff>41165</xdr:rowOff>
    </xdr:to>
    <xdr:sp macro="" textlink="">
      <xdr:nvSpPr>
        <xdr:cNvPr id="109" name="Rounded Rectangle 108">
          <a:extLst>
            <a:ext uri="{FF2B5EF4-FFF2-40B4-BE49-F238E27FC236}">
              <a16:creationId xmlns:a16="http://schemas.microsoft.com/office/drawing/2014/main" id="{7156998C-ECD5-CB4A-AC74-4B757057975D}"/>
            </a:ext>
          </a:extLst>
        </xdr:cNvPr>
        <xdr:cNvSpPr/>
      </xdr:nvSpPr>
      <xdr:spPr>
        <a:xfrm>
          <a:off x="28905200" y="57708800"/>
          <a:ext cx="5867400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61952</xdr:colOff>
      <xdr:row>251</xdr:row>
      <xdr:rowOff>154878</xdr:rowOff>
    </xdr:from>
    <xdr:to>
      <xdr:col>143</xdr:col>
      <xdr:colOff>84667</xdr:colOff>
      <xdr:row>255</xdr:row>
      <xdr:rowOff>61952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49FE7D71-362E-7D4A-804F-4827576A6FDE}"/>
            </a:ext>
          </a:extLst>
        </xdr:cNvPr>
        <xdr:cNvSpPr txBox="1"/>
      </xdr:nvSpPr>
      <xdr:spPr>
        <a:xfrm>
          <a:off x="50582552" y="51589878"/>
          <a:ext cx="1851515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12</a:t>
          </a:r>
        </a:p>
      </xdr:txBody>
    </xdr:sp>
    <xdr:clientData/>
  </xdr:twoCellAnchor>
  <xdr:twoCellAnchor>
    <xdr:from>
      <xdr:col>154</xdr:col>
      <xdr:colOff>214358</xdr:colOff>
      <xdr:row>284</xdr:row>
      <xdr:rowOff>183380</xdr:rowOff>
    </xdr:from>
    <xdr:to>
      <xdr:col>161</xdr:col>
      <xdr:colOff>143933</xdr:colOff>
      <xdr:row>288</xdr:row>
      <xdr:rowOff>90454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E71E2AA-D4D1-644F-AC5E-1147FD5E0C22}"/>
            </a:ext>
          </a:extLst>
        </xdr:cNvPr>
        <xdr:cNvSpPr txBox="1"/>
      </xdr:nvSpPr>
      <xdr:spPr>
        <a:xfrm>
          <a:off x="55078358" y="59162180"/>
          <a:ext cx="1529775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127</xdr:col>
      <xdr:colOff>92365</xdr:colOff>
      <xdr:row>238</xdr:row>
      <xdr:rowOff>49653</xdr:rowOff>
    </xdr:from>
    <xdr:to>
      <xdr:col>130</xdr:col>
      <xdr:colOff>168564</xdr:colOff>
      <xdr:row>271</xdr:row>
      <xdr:rowOff>177800</xdr:rowOff>
    </xdr:to>
    <xdr:sp macro="" textlink="">
      <xdr:nvSpPr>
        <xdr:cNvPr id="125" name="Rounded Rectangle 124">
          <a:extLst>
            <a:ext uri="{FF2B5EF4-FFF2-40B4-BE49-F238E27FC236}">
              <a16:creationId xmlns:a16="http://schemas.microsoft.com/office/drawing/2014/main" id="{960B75C1-3716-EC45-BD97-F8D3A9C18D84}"/>
            </a:ext>
          </a:extLst>
        </xdr:cNvPr>
        <xdr:cNvSpPr/>
      </xdr:nvSpPr>
      <xdr:spPr>
        <a:xfrm rot="5400000">
          <a:off x="25669591" y="57911427"/>
          <a:ext cx="7671947" cy="76199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71583</xdr:colOff>
      <xdr:row>238</xdr:row>
      <xdr:rowOff>202053</xdr:rowOff>
    </xdr:from>
    <xdr:to>
      <xdr:col>150</xdr:col>
      <xdr:colOff>147783</xdr:colOff>
      <xdr:row>296</xdr:row>
      <xdr:rowOff>57727</xdr:rowOff>
    </xdr:to>
    <xdr:sp macro="" textlink="">
      <xdr:nvSpPr>
        <xdr:cNvPr id="126" name="Rounded Rectangle 125">
          <a:extLst>
            <a:ext uri="{FF2B5EF4-FFF2-40B4-BE49-F238E27FC236}">
              <a16:creationId xmlns:a16="http://schemas.microsoft.com/office/drawing/2014/main" id="{DC45D008-22E6-2241-BE46-52194AFAC09B}"/>
            </a:ext>
          </a:extLst>
        </xdr:cNvPr>
        <xdr:cNvSpPr/>
      </xdr:nvSpPr>
      <xdr:spPr>
        <a:xfrm rot="5400000">
          <a:off x="47633664" y="55394517"/>
          <a:ext cx="13248402" cy="76892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163</xdr:col>
      <xdr:colOff>195120</xdr:colOff>
      <xdr:row>238</xdr:row>
      <xdr:rowOff>158753</xdr:rowOff>
    </xdr:from>
    <xdr:to>
      <xdr:col>167</xdr:col>
      <xdr:colOff>40411</xdr:colOff>
      <xdr:row>296</xdr:row>
      <xdr:rowOff>210127</xdr:rowOff>
    </xdr:to>
    <xdr:sp macro="" textlink="">
      <xdr:nvSpPr>
        <xdr:cNvPr id="127" name="Rounded Rectangle 126">
          <a:extLst>
            <a:ext uri="{FF2B5EF4-FFF2-40B4-BE49-F238E27FC236}">
              <a16:creationId xmlns:a16="http://schemas.microsoft.com/office/drawing/2014/main" id="{42AD1AF8-D891-784B-A9DF-13D8B58F563B}"/>
            </a:ext>
          </a:extLst>
        </xdr:cNvPr>
        <xdr:cNvSpPr/>
      </xdr:nvSpPr>
      <xdr:spPr>
        <a:xfrm rot="5400000">
          <a:off x="52955829" y="57173669"/>
          <a:ext cx="13862624" cy="797791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76783</xdr:colOff>
      <xdr:row>239</xdr:row>
      <xdr:rowOff>110266</xdr:rowOff>
    </xdr:from>
    <xdr:to>
      <xdr:col>168</xdr:col>
      <xdr:colOff>109483</xdr:colOff>
      <xdr:row>242</xdr:row>
      <xdr:rowOff>186465</xdr:rowOff>
    </xdr:to>
    <xdr:sp macro="" textlink="">
      <xdr:nvSpPr>
        <xdr:cNvPr id="129" name="Rounded Rectangle 128">
          <a:extLst>
            <a:ext uri="{FF2B5EF4-FFF2-40B4-BE49-F238E27FC236}">
              <a16:creationId xmlns:a16="http://schemas.microsoft.com/office/drawing/2014/main" id="{AD1FB3E7-8715-DE49-9EA4-0DEF545306C8}"/>
            </a:ext>
          </a:extLst>
        </xdr:cNvPr>
        <xdr:cNvSpPr/>
      </xdr:nvSpPr>
      <xdr:spPr>
        <a:xfrm>
          <a:off x="46278507" y="46749921"/>
          <a:ext cx="9448217" cy="733096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200320</xdr:colOff>
      <xdr:row>266</xdr:row>
      <xdr:rowOff>9863</xdr:rowOff>
    </xdr:from>
    <xdr:to>
      <xdr:col>192</xdr:col>
      <xdr:colOff>173182</xdr:colOff>
      <xdr:row>269</xdr:row>
      <xdr:rowOff>86064</xdr:rowOff>
    </xdr:to>
    <xdr:sp macro="" textlink="">
      <xdr:nvSpPr>
        <xdr:cNvPr id="130" name="Rounded Rectangle 129">
          <a:extLst>
            <a:ext uri="{FF2B5EF4-FFF2-40B4-BE49-F238E27FC236}">
              <a16:creationId xmlns:a16="http://schemas.microsoft.com/office/drawing/2014/main" id="{C46F7148-60F9-8147-8876-AC8DC5AE72EF}"/>
            </a:ext>
          </a:extLst>
        </xdr:cNvPr>
        <xdr:cNvSpPr/>
      </xdr:nvSpPr>
      <xdr:spPr>
        <a:xfrm>
          <a:off x="27571010" y="58254691"/>
          <a:ext cx="14643551" cy="73309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121811</xdr:colOff>
      <xdr:row>276</xdr:row>
      <xdr:rowOff>97565</xdr:rowOff>
    </xdr:from>
    <xdr:to>
      <xdr:col>151</xdr:col>
      <xdr:colOff>202045</xdr:colOff>
      <xdr:row>279</xdr:row>
      <xdr:rowOff>173765</xdr:rowOff>
    </xdr:to>
    <xdr:sp macro="" textlink="">
      <xdr:nvSpPr>
        <xdr:cNvPr id="131" name="Rounded Rectangle 130">
          <a:extLst>
            <a:ext uri="{FF2B5EF4-FFF2-40B4-BE49-F238E27FC236}">
              <a16:creationId xmlns:a16="http://schemas.microsoft.com/office/drawing/2014/main" id="{100E02B6-3D92-ED4E-9439-55D8E6038246}"/>
            </a:ext>
          </a:extLst>
        </xdr:cNvPr>
        <xdr:cNvSpPr/>
      </xdr:nvSpPr>
      <xdr:spPr>
        <a:xfrm>
          <a:off x="48843629" y="57824838"/>
          <a:ext cx="6083871" cy="76892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0</xdr:colOff>
      <xdr:row>292</xdr:row>
      <xdr:rowOff>97566</xdr:rowOff>
    </xdr:from>
    <xdr:to>
      <xdr:col>193</xdr:col>
      <xdr:colOff>123537</xdr:colOff>
      <xdr:row>295</xdr:row>
      <xdr:rowOff>173766</xdr:rowOff>
    </xdr:to>
    <xdr:sp macro="" textlink="">
      <xdr:nvSpPr>
        <xdr:cNvPr id="132" name="Rounded Rectangle 131">
          <a:extLst>
            <a:ext uri="{FF2B5EF4-FFF2-40B4-BE49-F238E27FC236}">
              <a16:creationId xmlns:a16="http://schemas.microsoft.com/office/drawing/2014/main" id="{11EE4371-1680-9D46-B629-A280676A1837}"/>
            </a:ext>
          </a:extLst>
        </xdr:cNvPr>
        <xdr:cNvSpPr/>
      </xdr:nvSpPr>
      <xdr:spPr>
        <a:xfrm>
          <a:off x="53035200" y="60905166"/>
          <a:ext cx="10867737" cy="76200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158756</xdr:colOff>
      <xdr:row>250</xdr:row>
      <xdr:rowOff>76784</xdr:rowOff>
    </xdr:from>
    <xdr:to>
      <xdr:col>192</xdr:col>
      <xdr:colOff>202046</xdr:colOff>
      <xdr:row>253</xdr:row>
      <xdr:rowOff>152983</xdr:rowOff>
    </xdr:to>
    <xdr:sp macro="" textlink="">
      <xdr:nvSpPr>
        <xdr:cNvPr id="133" name="Rounded Rectangle 132">
          <a:extLst>
            <a:ext uri="{FF2B5EF4-FFF2-40B4-BE49-F238E27FC236}">
              <a16:creationId xmlns:a16="http://schemas.microsoft.com/office/drawing/2014/main" id="{62D56638-34B3-CD41-94C4-8829EC52F95B}"/>
            </a:ext>
          </a:extLst>
        </xdr:cNvPr>
        <xdr:cNvSpPr/>
      </xdr:nvSpPr>
      <xdr:spPr>
        <a:xfrm>
          <a:off x="57424211" y="51800420"/>
          <a:ext cx="6970562" cy="76892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129</xdr:col>
      <xdr:colOff>0</xdr:colOff>
      <xdr:row>273</xdr:row>
      <xdr:rowOff>127000</xdr:rowOff>
    </xdr:from>
    <xdr:to>
      <xdr:col>138</xdr:col>
      <xdr:colOff>229577</xdr:colOff>
      <xdr:row>278</xdr:row>
      <xdr:rowOff>0</xdr:rowOff>
    </xdr:to>
    <xdr:cxnSp macro="">
      <xdr:nvCxnSpPr>
        <xdr:cNvPr id="135" name="Straight Connector 134">
          <a:extLst>
            <a:ext uri="{FF2B5EF4-FFF2-40B4-BE49-F238E27FC236}">
              <a16:creationId xmlns:a16="http://schemas.microsoft.com/office/drawing/2014/main" id="{73B92096-014D-38A1-9A6A-9ECECCDD672E}"/>
            </a:ext>
          </a:extLst>
        </xdr:cNvPr>
        <xdr:cNvCxnSpPr/>
      </xdr:nvCxnSpPr>
      <xdr:spPr>
        <a:xfrm>
          <a:off x="29615423" y="62801500"/>
          <a:ext cx="2295769" cy="10208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219808</xdr:colOff>
      <xdr:row>272</xdr:row>
      <xdr:rowOff>122115</xdr:rowOff>
    </xdr:from>
    <xdr:to>
      <xdr:col>138</xdr:col>
      <xdr:colOff>4885</xdr:colOff>
      <xdr:row>278</xdr:row>
      <xdr:rowOff>9769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1C12F614-BD31-4B44-936E-0C60B63D8169}"/>
            </a:ext>
          </a:extLst>
        </xdr:cNvPr>
        <xdr:cNvCxnSpPr/>
      </xdr:nvCxnSpPr>
      <xdr:spPr>
        <a:xfrm>
          <a:off x="29605654" y="62567038"/>
          <a:ext cx="2080846" cy="126511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215</xdr:col>
      <xdr:colOff>61952</xdr:colOff>
      <xdr:row>251</xdr:row>
      <xdr:rowOff>154878</xdr:rowOff>
    </xdr:from>
    <xdr:to>
      <xdr:col>224</xdr:col>
      <xdr:colOff>50800</xdr:colOff>
      <xdr:row>255</xdr:row>
      <xdr:rowOff>61952</xdr:rowOff>
    </xdr:to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8F25E414-7F49-2842-ACC8-2EFBC8528B24}"/>
            </a:ext>
          </a:extLst>
        </xdr:cNvPr>
        <xdr:cNvSpPr txBox="1"/>
      </xdr:nvSpPr>
      <xdr:spPr>
        <a:xfrm>
          <a:off x="49210952" y="57533478"/>
          <a:ext cx="2046248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12</a:t>
          </a:r>
        </a:p>
      </xdr:txBody>
    </xdr:sp>
    <xdr:clientData/>
  </xdr:twoCellAnchor>
  <xdr:twoCellAnchor>
    <xdr:from>
      <xdr:col>234</xdr:col>
      <xdr:colOff>214358</xdr:colOff>
      <xdr:row>285</xdr:row>
      <xdr:rowOff>117694</xdr:rowOff>
    </xdr:from>
    <xdr:to>
      <xdr:col>243</xdr:col>
      <xdr:colOff>109482</xdr:colOff>
      <xdr:row>289</xdr:row>
      <xdr:rowOff>24768</xdr:rowOff>
    </xdr:to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F363B574-1EA6-324E-BBA8-7422F72C1444}"/>
            </a:ext>
          </a:extLst>
        </xdr:cNvPr>
        <xdr:cNvSpPr txBox="1"/>
      </xdr:nvSpPr>
      <xdr:spPr>
        <a:xfrm>
          <a:off x="51452289" y="62522866"/>
          <a:ext cx="1865814" cy="782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254</xdr:col>
      <xdr:colOff>24770</xdr:colOff>
      <xdr:row>272</xdr:row>
      <xdr:rowOff>218564</xdr:rowOff>
    </xdr:from>
    <xdr:to>
      <xdr:col>262</xdr:col>
      <xdr:colOff>110068</xdr:colOff>
      <xdr:row>276</xdr:row>
      <xdr:rowOff>125638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2E4ED707-C598-9C40-8166-C04E4659411C}"/>
            </a:ext>
          </a:extLst>
        </xdr:cNvPr>
        <xdr:cNvSpPr txBox="1"/>
      </xdr:nvSpPr>
      <xdr:spPr>
        <a:xfrm>
          <a:off x="57631970" y="62397764"/>
          <a:ext cx="1914098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174</xdr:col>
      <xdr:colOff>24770</xdr:colOff>
      <xdr:row>272</xdr:row>
      <xdr:rowOff>218564</xdr:rowOff>
    </xdr:from>
    <xdr:to>
      <xdr:col>182</xdr:col>
      <xdr:colOff>110068</xdr:colOff>
      <xdr:row>276</xdr:row>
      <xdr:rowOff>125638</xdr:rowOff>
    </xdr:to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D97C4921-CD9F-524F-A0BF-A3BF742A4F64}"/>
            </a:ext>
          </a:extLst>
        </xdr:cNvPr>
        <xdr:cNvSpPr txBox="1"/>
      </xdr:nvSpPr>
      <xdr:spPr>
        <a:xfrm>
          <a:off x="39343970" y="62397764"/>
          <a:ext cx="1914098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190</xdr:col>
      <xdr:colOff>106220</xdr:colOff>
      <xdr:row>263</xdr:row>
      <xdr:rowOff>127000</xdr:rowOff>
    </xdr:from>
    <xdr:to>
      <xdr:col>193</xdr:col>
      <xdr:colOff>182420</xdr:colOff>
      <xdr:row>296</xdr:row>
      <xdr:rowOff>116614</xdr:rowOff>
    </xdr:to>
    <xdr:sp macro="" textlink="">
      <xdr:nvSpPr>
        <xdr:cNvPr id="166" name="Rounded Rectangle 165">
          <a:extLst>
            <a:ext uri="{FF2B5EF4-FFF2-40B4-BE49-F238E27FC236}">
              <a16:creationId xmlns:a16="http://schemas.microsoft.com/office/drawing/2014/main" id="{5012E017-A4CF-4443-8403-33C91F95A2D4}"/>
            </a:ext>
          </a:extLst>
        </xdr:cNvPr>
        <xdr:cNvSpPr/>
      </xdr:nvSpPr>
      <xdr:spPr>
        <a:xfrm rot="5400000">
          <a:off x="40154513" y="63634507"/>
          <a:ext cx="7533414" cy="76200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203827</xdr:colOff>
      <xdr:row>252</xdr:row>
      <xdr:rowOff>31358</xdr:rowOff>
    </xdr:from>
    <xdr:to>
      <xdr:col>191</xdr:col>
      <xdr:colOff>221435</xdr:colOff>
      <xdr:row>257</xdr:row>
      <xdr:rowOff>225019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E6C45A6F-2698-8846-8405-305495E47097}"/>
            </a:ext>
          </a:extLst>
        </xdr:cNvPr>
        <xdr:cNvCxnSpPr/>
      </xdr:nvCxnSpPr>
      <xdr:spPr>
        <a:xfrm>
          <a:off x="42066790" y="59298025"/>
          <a:ext cx="3075015" cy="136958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179</xdr:col>
      <xdr:colOff>219506</xdr:colOff>
      <xdr:row>251</xdr:row>
      <xdr:rowOff>219507</xdr:rowOff>
    </xdr:from>
    <xdr:to>
      <xdr:col>192</xdr:col>
      <xdr:colOff>0</xdr:colOff>
      <xdr:row>259</xdr:row>
      <xdr:rowOff>8467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9DB3921E-EA94-D24C-8EC6-575D01EC2A70}"/>
            </a:ext>
          </a:extLst>
        </xdr:cNvPr>
        <xdr:cNvCxnSpPr/>
      </xdr:nvCxnSpPr>
      <xdr:spPr>
        <a:xfrm>
          <a:off x="42317654" y="59250988"/>
          <a:ext cx="2837902" cy="167044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61952</xdr:colOff>
      <xdr:row>332</xdr:row>
      <xdr:rowOff>154878</xdr:rowOff>
    </xdr:from>
    <xdr:to>
      <xdr:col>35</xdr:col>
      <xdr:colOff>50800</xdr:colOff>
      <xdr:row>336</xdr:row>
      <xdr:rowOff>61952</xdr:rowOff>
    </xdr:to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34C85A34-52FA-2342-9916-531ACFA1F6D3}"/>
            </a:ext>
          </a:extLst>
        </xdr:cNvPr>
        <xdr:cNvSpPr txBox="1"/>
      </xdr:nvSpPr>
      <xdr:spPr>
        <a:xfrm>
          <a:off x="46870523" y="54801164"/>
          <a:ext cx="1948277" cy="7779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12</a:t>
          </a:r>
        </a:p>
      </xdr:txBody>
    </xdr:sp>
    <xdr:clientData/>
  </xdr:twoCellAnchor>
  <xdr:twoCellAnchor>
    <xdr:from>
      <xdr:col>45</xdr:col>
      <xdr:colOff>214358</xdr:colOff>
      <xdr:row>366</xdr:row>
      <xdr:rowOff>117694</xdr:rowOff>
    </xdr:from>
    <xdr:to>
      <xdr:col>54</xdr:col>
      <xdr:colOff>109482</xdr:colOff>
      <xdr:row>370</xdr:row>
      <xdr:rowOff>24768</xdr:rowOff>
    </xdr:to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D934FBDB-FB91-1749-B855-9F179B098316}"/>
            </a:ext>
          </a:extLst>
        </xdr:cNvPr>
        <xdr:cNvSpPr txBox="1"/>
      </xdr:nvSpPr>
      <xdr:spPr>
        <a:xfrm>
          <a:off x="51159501" y="62166265"/>
          <a:ext cx="1854552" cy="7779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65</xdr:col>
      <xdr:colOff>24770</xdr:colOff>
      <xdr:row>353</xdr:row>
      <xdr:rowOff>218564</xdr:rowOff>
    </xdr:from>
    <xdr:to>
      <xdr:col>77</xdr:col>
      <xdr:colOff>153939</xdr:colOff>
      <xdr:row>357</xdr:row>
      <xdr:rowOff>115455</xdr:rowOff>
    </xdr:to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389877DC-DB77-FE4E-9F11-9D0FC307B2B1}"/>
            </a:ext>
          </a:extLst>
        </xdr:cNvPr>
        <xdr:cNvSpPr txBox="1"/>
      </xdr:nvSpPr>
      <xdr:spPr>
        <a:xfrm>
          <a:off x="15033861" y="81729473"/>
          <a:ext cx="2900078" cy="82052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12.5 x 22</a:t>
          </a:r>
        </a:p>
      </xdr:txBody>
    </xdr:sp>
    <xdr:clientData/>
  </xdr:twoCellAnchor>
  <xdr:twoCellAnchor>
    <xdr:from>
      <xdr:col>84</xdr:col>
      <xdr:colOff>0</xdr:colOff>
      <xdr:row>376</xdr:row>
      <xdr:rowOff>10160</xdr:rowOff>
    </xdr:from>
    <xdr:to>
      <xdr:col>104</xdr:col>
      <xdr:colOff>0</xdr:colOff>
      <xdr:row>395</xdr:row>
      <xdr:rowOff>223520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432052E6-9060-0447-A85B-9CFC68AF84E6}"/>
            </a:ext>
          </a:extLst>
        </xdr:cNvPr>
        <xdr:cNvCxnSpPr/>
      </xdr:nvCxnSpPr>
      <xdr:spPr>
        <a:xfrm>
          <a:off x="19629120" y="87873840"/>
          <a:ext cx="4673600" cy="46532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50800</xdr:colOff>
      <xdr:row>484</xdr:row>
      <xdr:rowOff>50800</xdr:rowOff>
    </xdr:from>
    <xdr:to>
      <xdr:col>33</xdr:col>
      <xdr:colOff>0</xdr:colOff>
      <xdr:row>493</xdr:row>
      <xdr:rowOff>177800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3E04AE60-E175-0841-97EC-597EAAB79C21}"/>
            </a:ext>
          </a:extLst>
        </xdr:cNvPr>
        <xdr:cNvCxnSpPr/>
      </xdr:nvCxnSpPr>
      <xdr:spPr>
        <a:xfrm flipH="1">
          <a:off x="4394200" y="101320600"/>
          <a:ext cx="3149600" cy="21844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203200</xdr:colOff>
      <xdr:row>438</xdr:row>
      <xdr:rowOff>50800</xdr:rowOff>
    </xdr:from>
    <xdr:to>
      <xdr:col>75</xdr:col>
      <xdr:colOff>223340</xdr:colOff>
      <xdr:row>463</xdr:row>
      <xdr:rowOff>11931</xdr:rowOff>
    </xdr:to>
    <xdr:cxnSp macro="">
      <xdr:nvCxnSpPr>
        <xdr:cNvPr id="245" name="Straight Connector 244">
          <a:extLst>
            <a:ext uri="{FF2B5EF4-FFF2-40B4-BE49-F238E27FC236}">
              <a16:creationId xmlns:a16="http://schemas.microsoft.com/office/drawing/2014/main" id="{F7094A09-EE75-154E-8C30-7B6944CA42C8}"/>
            </a:ext>
          </a:extLst>
        </xdr:cNvPr>
        <xdr:cNvCxnSpPr/>
      </xdr:nvCxnSpPr>
      <xdr:spPr>
        <a:xfrm flipH="1" flipV="1">
          <a:off x="7823200" y="85177086"/>
          <a:ext cx="8728711" cy="54039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50800</xdr:colOff>
      <xdr:row>478</xdr:row>
      <xdr:rowOff>76200</xdr:rowOff>
    </xdr:from>
    <xdr:to>
      <xdr:col>32</xdr:col>
      <xdr:colOff>177800</xdr:colOff>
      <xdr:row>484</xdr:row>
      <xdr:rowOff>0</xdr:rowOff>
    </xdr:to>
    <xdr:cxnSp macro="">
      <xdr:nvCxnSpPr>
        <xdr:cNvPr id="248" name="Straight Connector 247">
          <a:extLst>
            <a:ext uri="{FF2B5EF4-FFF2-40B4-BE49-F238E27FC236}">
              <a16:creationId xmlns:a16="http://schemas.microsoft.com/office/drawing/2014/main" id="{9324479D-2C71-DE4C-98BF-D446E0E7A81C}"/>
            </a:ext>
          </a:extLst>
        </xdr:cNvPr>
        <xdr:cNvCxnSpPr/>
      </xdr:nvCxnSpPr>
      <xdr:spPr>
        <a:xfrm flipH="1" flipV="1">
          <a:off x="5765800" y="99974400"/>
          <a:ext cx="1727200" cy="12954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25400</xdr:colOff>
      <xdr:row>471</xdr:row>
      <xdr:rowOff>203200</xdr:rowOff>
    </xdr:from>
    <xdr:to>
      <xdr:col>33</xdr:col>
      <xdr:colOff>50800</xdr:colOff>
      <xdr:row>477</xdr:row>
      <xdr:rowOff>203200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5ECE0ABC-DBBB-734D-8FE2-8E32931E52E5}"/>
            </a:ext>
          </a:extLst>
        </xdr:cNvPr>
        <xdr:cNvCxnSpPr/>
      </xdr:nvCxnSpPr>
      <xdr:spPr>
        <a:xfrm flipH="1">
          <a:off x="5740400" y="98501200"/>
          <a:ext cx="1854200" cy="13716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203200</xdr:colOff>
      <xdr:row>480</xdr:row>
      <xdr:rowOff>16933</xdr:rowOff>
    </xdr:from>
    <xdr:to>
      <xdr:col>62</xdr:col>
      <xdr:colOff>220134</xdr:colOff>
      <xdr:row>494</xdr:row>
      <xdr:rowOff>0</xdr:rowOff>
    </xdr:to>
    <xdr:cxnSp macro="">
      <xdr:nvCxnSpPr>
        <xdr:cNvPr id="255" name="Straight Connector 254">
          <a:extLst>
            <a:ext uri="{FF2B5EF4-FFF2-40B4-BE49-F238E27FC236}">
              <a16:creationId xmlns:a16="http://schemas.microsoft.com/office/drawing/2014/main" id="{26D70B95-74E0-724E-9316-D5348393356D}"/>
            </a:ext>
          </a:extLst>
        </xdr:cNvPr>
        <xdr:cNvCxnSpPr/>
      </xdr:nvCxnSpPr>
      <xdr:spPr>
        <a:xfrm flipH="1">
          <a:off x="10160000" y="104089200"/>
          <a:ext cx="4758267" cy="3302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33866</xdr:colOff>
      <xdr:row>471</xdr:row>
      <xdr:rowOff>33866</xdr:rowOff>
    </xdr:from>
    <xdr:to>
      <xdr:col>63</xdr:col>
      <xdr:colOff>4231</xdr:colOff>
      <xdr:row>479</xdr:row>
      <xdr:rowOff>228600</xdr:rowOff>
    </xdr:to>
    <xdr:cxnSp macro="">
      <xdr:nvCxnSpPr>
        <xdr:cNvPr id="257" name="Straight Connector 256">
          <a:extLst>
            <a:ext uri="{FF2B5EF4-FFF2-40B4-BE49-F238E27FC236}">
              <a16:creationId xmlns:a16="http://schemas.microsoft.com/office/drawing/2014/main" id="{0B482A85-E53D-2448-8514-6C4E66D67D62}"/>
            </a:ext>
          </a:extLst>
        </xdr:cNvPr>
        <xdr:cNvCxnSpPr/>
      </xdr:nvCxnSpPr>
      <xdr:spPr>
        <a:xfrm flipH="1" flipV="1">
          <a:off x="11650133" y="101972533"/>
          <a:ext cx="3289298" cy="20912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59266</xdr:colOff>
      <xdr:row>450</xdr:row>
      <xdr:rowOff>25400</xdr:rowOff>
    </xdr:from>
    <xdr:to>
      <xdr:col>75</xdr:col>
      <xdr:colOff>203200</xdr:colOff>
      <xdr:row>459</xdr:row>
      <xdr:rowOff>143933</xdr:rowOff>
    </xdr:to>
    <xdr:cxnSp macro="">
      <xdr:nvCxnSpPr>
        <xdr:cNvPr id="259" name="Straight Connector 258">
          <a:extLst>
            <a:ext uri="{FF2B5EF4-FFF2-40B4-BE49-F238E27FC236}">
              <a16:creationId xmlns:a16="http://schemas.microsoft.com/office/drawing/2014/main" id="{5D9FB69F-FECE-0643-B3FC-30EB39046680}"/>
            </a:ext>
          </a:extLst>
        </xdr:cNvPr>
        <xdr:cNvCxnSpPr/>
      </xdr:nvCxnSpPr>
      <xdr:spPr>
        <a:xfrm flipH="1" flipV="1">
          <a:off x="13775266" y="93522800"/>
          <a:ext cx="3572934" cy="217593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25400</xdr:colOff>
      <xdr:row>431</xdr:row>
      <xdr:rowOff>203200</xdr:rowOff>
    </xdr:from>
    <xdr:to>
      <xdr:col>55</xdr:col>
      <xdr:colOff>0</xdr:colOff>
      <xdr:row>444</xdr:row>
      <xdr:rowOff>0</xdr:rowOff>
    </xdr:to>
    <xdr:cxnSp macro="">
      <xdr:nvCxnSpPr>
        <xdr:cNvPr id="263" name="Straight Connector 262">
          <a:extLst>
            <a:ext uri="{FF2B5EF4-FFF2-40B4-BE49-F238E27FC236}">
              <a16:creationId xmlns:a16="http://schemas.microsoft.com/office/drawing/2014/main" id="{593E5D4A-3DCB-F747-8165-D616F417D2EE}"/>
            </a:ext>
          </a:extLst>
        </xdr:cNvPr>
        <xdr:cNvCxnSpPr/>
      </xdr:nvCxnSpPr>
      <xdr:spPr>
        <a:xfrm flipH="1" flipV="1">
          <a:off x="8255000" y="89357200"/>
          <a:ext cx="4318000" cy="27686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8466</xdr:colOff>
      <xdr:row>443</xdr:row>
      <xdr:rowOff>203200</xdr:rowOff>
    </xdr:from>
    <xdr:to>
      <xdr:col>76</xdr:col>
      <xdr:colOff>25400</xdr:colOff>
      <xdr:row>454</xdr:row>
      <xdr:rowOff>50800</xdr:rowOff>
    </xdr:to>
    <xdr:cxnSp macro="">
      <xdr:nvCxnSpPr>
        <xdr:cNvPr id="267" name="Straight Connector 266">
          <a:extLst>
            <a:ext uri="{FF2B5EF4-FFF2-40B4-BE49-F238E27FC236}">
              <a16:creationId xmlns:a16="http://schemas.microsoft.com/office/drawing/2014/main" id="{72AFACDF-488E-7340-AC55-9C9DF8B01F69}"/>
            </a:ext>
          </a:extLst>
        </xdr:cNvPr>
        <xdr:cNvCxnSpPr/>
      </xdr:nvCxnSpPr>
      <xdr:spPr>
        <a:xfrm flipH="1" flipV="1">
          <a:off x="13724466" y="92100400"/>
          <a:ext cx="3674534" cy="2362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204368</xdr:colOff>
      <xdr:row>347</xdr:row>
      <xdr:rowOff>44123</xdr:rowOff>
    </xdr:from>
    <xdr:to>
      <xdr:col>189</xdr:col>
      <xdr:colOff>11759</xdr:colOff>
      <xdr:row>349</xdr:row>
      <xdr:rowOff>60705</xdr:rowOff>
    </xdr:to>
    <xdr:sp macro="" textlink="">
      <xdr:nvSpPr>
        <xdr:cNvPr id="45" name="Rounded Rectangle 44">
          <a:extLst>
            <a:ext uri="{FF2B5EF4-FFF2-40B4-BE49-F238E27FC236}">
              <a16:creationId xmlns:a16="http://schemas.microsoft.com/office/drawing/2014/main" id="{56504E69-9C76-534E-A896-C65FEA5F9A5E}"/>
            </a:ext>
          </a:extLst>
        </xdr:cNvPr>
        <xdr:cNvSpPr/>
      </xdr:nvSpPr>
      <xdr:spPr>
        <a:xfrm>
          <a:off x="29399770" y="81090560"/>
          <a:ext cx="14755437" cy="483708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24959</xdr:colOff>
      <xdr:row>318</xdr:row>
      <xdr:rowOff>13956</xdr:rowOff>
    </xdr:from>
    <xdr:to>
      <xdr:col>188</xdr:col>
      <xdr:colOff>214502</xdr:colOff>
      <xdr:row>369</xdr:row>
      <xdr:rowOff>66577</xdr:rowOff>
    </xdr:to>
    <xdr:sp macro="" textlink="">
      <xdr:nvSpPr>
        <xdr:cNvPr id="46" name="Rounded Rectangle 45">
          <a:extLst>
            <a:ext uri="{FF2B5EF4-FFF2-40B4-BE49-F238E27FC236}">
              <a16:creationId xmlns:a16="http://schemas.microsoft.com/office/drawing/2014/main" id="{3E968FA1-EB5E-694B-9E23-82BE8596F0B9}"/>
            </a:ext>
          </a:extLst>
        </xdr:cNvPr>
        <xdr:cNvSpPr/>
      </xdr:nvSpPr>
      <xdr:spPr>
        <a:xfrm rot="5400000">
          <a:off x="36267486" y="76536265"/>
          <a:ext cx="11440753" cy="41283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126</xdr:col>
      <xdr:colOff>0</xdr:colOff>
      <xdr:row>366</xdr:row>
      <xdr:rowOff>216841</xdr:rowOff>
    </xdr:from>
    <xdr:to>
      <xdr:col>189</xdr:col>
      <xdr:colOff>61148</xdr:colOff>
      <xdr:row>368</xdr:row>
      <xdr:rowOff>220722</xdr:rowOff>
    </xdr:to>
    <xdr:sp macro="" textlink="">
      <xdr:nvSpPr>
        <xdr:cNvPr id="54" name="Rounded Rectangle 53">
          <a:extLst>
            <a:ext uri="{FF2B5EF4-FFF2-40B4-BE49-F238E27FC236}">
              <a16:creationId xmlns:a16="http://schemas.microsoft.com/office/drawing/2014/main" id="{F14F62BC-89DD-2145-A982-BDED2C194C99}"/>
            </a:ext>
          </a:extLst>
        </xdr:cNvPr>
        <xdr:cNvSpPr/>
      </xdr:nvSpPr>
      <xdr:spPr>
        <a:xfrm>
          <a:off x="29428966" y="85700979"/>
          <a:ext cx="14775630" cy="47100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48032</xdr:colOff>
      <xdr:row>327</xdr:row>
      <xdr:rowOff>67736</xdr:rowOff>
    </xdr:from>
    <xdr:to>
      <xdr:col>160</xdr:col>
      <xdr:colOff>222966</xdr:colOff>
      <xdr:row>369</xdr:row>
      <xdr:rowOff>111267</xdr:rowOff>
    </xdr:to>
    <xdr:sp macro="" textlink="">
      <xdr:nvSpPr>
        <xdr:cNvPr id="60" name="Rounded Rectangle 59">
          <a:extLst>
            <a:ext uri="{FF2B5EF4-FFF2-40B4-BE49-F238E27FC236}">
              <a16:creationId xmlns:a16="http://schemas.microsoft.com/office/drawing/2014/main" id="{44C5AB5A-FD44-B245-8CE6-65091CBE5F91}"/>
            </a:ext>
          </a:extLst>
        </xdr:cNvPr>
        <xdr:cNvSpPr/>
      </xdr:nvSpPr>
      <xdr:spPr>
        <a:xfrm rot="5400000">
          <a:off x="32947467" y="82382701"/>
          <a:ext cx="10000331" cy="412001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126</xdr:col>
      <xdr:colOff>30477</xdr:colOff>
      <xdr:row>318</xdr:row>
      <xdr:rowOff>13956</xdr:rowOff>
    </xdr:from>
    <xdr:to>
      <xdr:col>128</xdr:col>
      <xdr:colOff>1803</xdr:colOff>
      <xdr:row>369</xdr:row>
      <xdr:rowOff>71655</xdr:rowOff>
    </xdr:to>
    <xdr:sp macro="" textlink="">
      <xdr:nvSpPr>
        <xdr:cNvPr id="62" name="Rounded Rectangle 61">
          <a:extLst>
            <a:ext uri="{FF2B5EF4-FFF2-40B4-BE49-F238E27FC236}">
              <a16:creationId xmlns:a16="http://schemas.microsoft.com/office/drawing/2014/main" id="{C15DE227-0206-3944-AAE8-C9A9E7803292}"/>
            </a:ext>
          </a:extLst>
        </xdr:cNvPr>
        <xdr:cNvSpPr/>
      </xdr:nvSpPr>
      <xdr:spPr>
        <a:xfrm rot="5400000">
          <a:off x="22651906" y="76536264"/>
          <a:ext cx="11445831" cy="41791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218965</xdr:colOff>
      <xdr:row>327</xdr:row>
      <xdr:rowOff>49619</xdr:rowOff>
    </xdr:from>
    <xdr:to>
      <xdr:col>189</xdr:col>
      <xdr:colOff>76994</xdr:colOff>
      <xdr:row>329</xdr:row>
      <xdr:rowOff>15395</xdr:rowOff>
    </xdr:to>
    <xdr:sp macro="" textlink="">
      <xdr:nvSpPr>
        <xdr:cNvPr id="63" name="Rounded Rectangle 62">
          <a:extLst>
            <a:ext uri="{FF2B5EF4-FFF2-40B4-BE49-F238E27FC236}">
              <a16:creationId xmlns:a16="http://schemas.microsoft.com/office/drawing/2014/main" id="{31B91D8F-EB56-CF47-8DAA-9D7B6D83101B}"/>
            </a:ext>
          </a:extLst>
        </xdr:cNvPr>
        <xdr:cNvSpPr/>
      </xdr:nvSpPr>
      <xdr:spPr>
        <a:xfrm>
          <a:off x="29414367" y="76424791"/>
          <a:ext cx="14806075" cy="432903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139</xdr:col>
      <xdr:colOff>48311</xdr:colOff>
      <xdr:row>410</xdr:row>
      <xdr:rowOff>106573</xdr:rowOff>
    </xdr:from>
    <xdr:to>
      <xdr:col>184</xdr:col>
      <xdr:colOff>66784</xdr:colOff>
      <xdr:row>412</xdr:row>
      <xdr:rowOff>53337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68073E8-50D1-5D43-AC1D-A28BD6B17CA2}"/>
            </a:ext>
          </a:extLst>
        </xdr:cNvPr>
        <xdr:cNvSpPr/>
      </xdr:nvSpPr>
      <xdr:spPr>
        <a:xfrm>
          <a:off x="32144675" y="94779300"/>
          <a:ext cx="10409382" cy="408582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130</xdr:col>
      <xdr:colOff>60348</xdr:colOff>
      <xdr:row>436</xdr:row>
      <xdr:rowOff>47337</xdr:rowOff>
    </xdr:from>
    <xdr:to>
      <xdr:col>184</xdr:col>
      <xdr:colOff>84</xdr:colOff>
      <xdr:row>437</xdr:row>
      <xdr:rowOff>227318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28AD4E6E-2574-E04A-9AD4-C1362EF0B325}"/>
            </a:ext>
          </a:extLst>
        </xdr:cNvPr>
        <xdr:cNvSpPr/>
      </xdr:nvSpPr>
      <xdr:spPr>
        <a:xfrm>
          <a:off x="30078530" y="100723701"/>
          <a:ext cx="12408827" cy="41089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131</xdr:col>
      <xdr:colOff>2491</xdr:colOff>
      <xdr:row>385</xdr:row>
      <xdr:rowOff>49322</xdr:rowOff>
    </xdr:from>
    <xdr:to>
      <xdr:col>184</xdr:col>
      <xdr:colOff>173136</xdr:colOff>
      <xdr:row>387</xdr:row>
      <xdr:rowOff>3743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7521A1DF-DAC3-6B47-92B5-1DBB86EA5A98}"/>
            </a:ext>
          </a:extLst>
        </xdr:cNvPr>
        <xdr:cNvSpPr/>
      </xdr:nvSpPr>
      <xdr:spPr>
        <a:xfrm>
          <a:off x="30251582" y="88949322"/>
          <a:ext cx="12408827" cy="41623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56033</xdr:colOff>
      <xdr:row>383</xdr:row>
      <xdr:rowOff>183192</xdr:rowOff>
    </xdr:from>
    <xdr:to>
      <xdr:col>158</xdr:col>
      <xdr:colOff>2797</xdr:colOff>
      <xdr:row>438</xdr:row>
      <xdr:rowOff>203598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B98EA23D-B5BC-7243-B01D-825AA85E737B}"/>
            </a:ext>
          </a:extLst>
        </xdr:cNvPr>
        <xdr:cNvSpPr/>
      </xdr:nvSpPr>
      <xdr:spPr>
        <a:xfrm rot="5400000">
          <a:off x="29921939" y="94777286"/>
          <a:ext cx="12720406" cy="408582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225856</xdr:colOff>
      <xdr:row>384</xdr:row>
      <xdr:rowOff>16213</xdr:rowOff>
    </xdr:from>
    <xdr:to>
      <xdr:col>137</xdr:col>
      <xdr:colOff>174929</xdr:colOff>
      <xdr:row>439</xdr:row>
      <xdr:rowOff>45412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6FDA704D-D877-FC48-958F-1EFD745CF9E3}"/>
            </a:ext>
          </a:extLst>
        </xdr:cNvPr>
        <xdr:cNvSpPr/>
      </xdr:nvSpPr>
      <xdr:spPr>
        <a:xfrm rot="5400000">
          <a:off x="25239429" y="94844458"/>
          <a:ext cx="12729199" cy="410891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50476</xdr:colOff>
      <xdr:row>383</xdr:row>
      <xdr:rowOff>164742</xdr:rowOff>
    </xdr:from>
    <xdr:to>
      <xdr:col>183</xdr:col>
      <xdr:colOff>207017</xdr:colOff>
      <xdr:row>438</xdr:row>
      <xdr:rowOff>190962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668BB0DB-7EF1-5749-940E-CF4FA032CB08}"/>
            </a:ext>
          </a:extLst>
        </xdr:cNvPr>
        <xdr:cNvSpPr/>
      </xdr:nvSpPr>
      <xdr:spPr>
        <a:xfrm rot="5400000">
          <a:off x="35906546" y="94772309"/>
          <a:ext cx="12726220" cy="38745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105</xdr:col>
      <xdr:colOff>18316</xdr:colOff>
      <xdr:row>252</xdr:row>
      <xdr:rowOff>125815</xdr:rowOff>
    </xdr:from>
    <xdr:to>
      <xdr:col>198</xdr:col>
      <xdr:colOff>113515</xdr:colOff>
      <xdr:row>253</xdr:row>
      <xdr:rowOff>89065</xdr:rowOff>
    </xdr:to>
    <xdr:sp macro="" textlink="">
      <xdr:nvSpPr>
        <xdr:cNvPr id="10" name="Parallelogram 9">
          <a:extLst>
            <a:ext uri="{FF2B5EF4-FFF2-40B4-BE49-F238E27FC236}">
              <a16:creationId xmlns:a16="http://schemas.microsoft.com/office/drawing/2014/main" id="{3837F9D2-19B1-5CA2-4B69-31F12E96400E}"/>
            </a:ext>
          </a:extLst>
        </xdr:cNvPr>
        <xdr:cNvSpPr/>
      </xdr:nvSpPr>
      <xdr:spPr>
        <a:xfrm rot="1860000" flipH="1">
          <a:off x="12210316" y="32129815"/>
          <a:ext cx="11906199" cy="90250"/>
        </a:xfrm>
        <a:prstGeom prst="parallelogram">
          <a:avLst>
            <a:gd name="adj" fmla="val 62666"/>
          </a:avLst>
        </a:prstGeom>
        <a:noFill/>
        <a:ln w="63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0</xdr:colOff>
      <xdr:row>99</xdr:row>
      <xdr:rowOff>14597</xdr:rowOff>
    </xdr:from>
    <xdr:to>
      <xdr:col>207</xdr:col>
      <xdr:colOff>40967</xdr:colOff>
      <xdr:row>103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B4FCC1A8-7212-1946-9503-63FFDA70FAB1}"/>
            </a:ext>
          </a:extLst>
        </xdr:cNvPr>
        <xdr:cNvSpPr/>
      </xdr:nvSpPr>
      <xdr:spPr>
        <a:xfrm>
          <a:off x="8809910" y="12474327"/>
          <a:ext cx="16150516" cy="488826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103631</xdr:colOff>
      <xdr:row>150</xdr:row>
      <xdr:rowOff>129351</xdr:rowOff>
    </xdr:from>
    <xdr:to>
      <xdr:col>207</xdr:col>
      <xdr:colOff>17597</xdr:colOff>
      <xdr:row>154</xdr:row>
      <xdr:rowOff>5387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34C7369C-8B3F-7648-B181-D61C4FB8E4D7}"/>
            </a:ext>
          </a:extLst>
        </xdr:cNvPr>
        <xdr:cNvSpPr/>
      </xdr:nvSpPr>
      <xdr:spPr>
        <a:xfrm>
          <a:off x="9028909" y="19532129"/>
          <a:ext cx="16600355" cy="393443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101600</xdr:colOff>
      <xdr:row>50</xdr:row>
      <xdr:rowOff>23517</xdr:rowOff>
    </xdr:from>
    <xdr:to>
      <xdr:col>207</xdr:col>
      <xdr:colOff>15566</xdr:colOff>
      <xdr:row>52</xdr:row>
      <xdr:rowOff>120631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CF0313EA-C6DA-2649-AFB1-81B26EA6062E}"/>
            </a:ext>
          </a:extLst>
        </xdr:cNvPr>
        <xdr:cNvSpPr/>
      </xdr:nvSpPr>
      <xdr:spPr>
        <a:xfrm>
          <a:off x="9026878" y="6491110"/>
          <a:ext cx="16600355" cy="35581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3466</xdr:colOff>
      <xdr:row>49</xdr:row>
      <xdr:rowOff>111404</xdr:rowOff>
    </xdr:from>
    <xdr:to>
      <xdr:col>82</xdr:col>
      <xdr:colOff>6501</xdr:colOff>
      <xdr:row>154</xdr:row>
      <xdr:rowOff>6227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F263D452-5F44-354B-9536-DD98E9B3E72A}"/>
            </a:ext>
          </a:extLst>
        </xdr:cNvPr>
        <xdr:cNvSpPr/>
      </xdr:nvSpPr>
      <xdr:spPr>
        <a:xfrm rot="5400000">
          <a:off x="2385906" y="12311683"/>
          <a:ext cx="12761928" cy="37066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204</xdr:col>
      <xdr:colOff>10040</xdr:colOff>
      <xdr:row>49</xdr:row>
      <xdr:rowOff>106231</xdr:rowOff>
    </xdr:from>
    <xdr:to>
      <xdr:col>207</xdr:col>
      <xdr:colOff>13075</xdr:colOff>
      <xdr:row>154</xdr:row>
      <xdr:rowOff>1054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C8DD534F-10DE-E24F-9DBA-BAC6CD126BB7}"/>
            </a:ext>
          </a:extLst>
        </xdr:cNvPr>
        <xdr:cNvSpPr/>
      </xdr:nvSpPr>
      <xdr:spPr>
        <a:xfrm rot="5400000">
          <a:off x="20060873" y="13906670"/>
          <a:ext cx="14442096" cy="418672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44562</xdr:colOff>
      <xdr:row>482</xdr:row>
      <xdr:rowOff>44562</xdr:rowOff>
    </xdr:from>
    <xdr:to>
      <xdr:col>154</xdr:col>
      <xdr:colOff>92030</xdr:colOff>
      <xdr:row>515</xdr:row>
      <xdr:rowOff>110434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04E3163-CADB-0C8A-5536-C16F53EB7685}"/>
            </a:ext>
          </a:extLst>
        </xdr:cNvPr>
        <xdr:cNvCxnSpPr/>
      </xdr:nvCxnSpPr>
      <xdr:spPr>
        <a:xfrm>
          <a:off x="12789123" y="59110702"/>
          <a:ext cx="6174661" cy="41098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</xdr:colOff>
      <xdr:row>350</xdr:row>
      <xdr:rowOff>81063</xdr:rowOff>
    </xdr:from>
    <xdr:to>
      <xdr:col>96</xdr:col>
      <xdr:colOff>124770</xdr:colOff>
      <xdr:row>356</xdr:row>
      <xdr:rowOff>33763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5EBBB0AF-5FD1-1E49-B16D-46705C4FBBF2}"/>
            </a:ext>
          </a:extLst>
        </xdr:cNvPr>
        <xdr:cNvSpPr txBox="1"/>
      </xdr:nvSpPr>
      <xdr:spPr>
        <a:xfrm>
          <a:off x="10403192" y="47368297"/>
          <a:ext cx="2691791" cy="7633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13.5 x 10</a:t>
          </a:r>
        </a:p>
      </xdr:txBody>
    </xdr:sp>
    <xdr:clientData/>
  </xdr:twoCellAnchor>
  <xdr:twoCellAnchor>
    <xdr:from>
      <xdr:col>120</xdr:col>
      <xdr:colOff>48116</xdr:colOff>
      <xdr:row>335</xdr:row>
      <xdr:rowOff>45224</xdr:rowOff>
    </xdr:from>
    <xdr:to>
      <xdr:col>142</xdr:col>
      <xdr:colOff>99219</xdr:colOff>
      <xdr:row>341</xdr:row>
      <xdr:rowOff>6030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C3BEEE95-54FA-B54D-8803-21FAF047F89B}"/>
            </a:ext>
          </a:extLst>
        </xdr:cNvPr>
        <xdr:cNvSpPr txBox="1"/>
      </xdr:nvSpPr>
      <xdr:spPr>
        <a:xfrm>
          <a:off x="14335616" y="39931162"/>
          <a:ext cx="2670478" cy="6751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12.5 x 27</a:t>
          </a:r>
        </a:p>
      </xdr:txBody>
    </xdr:sp>
    <xdr:clientData/>
  </xdr:twoCellAnchor>
  <xdr:twoCellAnchor>
    <xdr:from>
      <xdr:col>66</xdr:col>
      <xdr:colOff>76201</xdr:colOff>
      <xdr:row>402</xdr:row>
      <xdr:rowOff>50800</xdr:rowOff>
    </xdr:from>
    <xdr:to>
      <xdr:col>85</xdr:col>
      <xdr:colOff>22680</xdr:colOff>
      <xdr:row>408</xdr:row>
      <xdr:rowOff>11606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52E2BB7-374D-684E-89D7-148D32E9C2B4}"/>
            </a:ext>
          </a:extLst>
        </xdr:cNvPr>
        <xdr:cNvSpPr txBox="1"/>
      </xdr:nvSpPr>
      <xdr:spPr>
        <a:xfrm>
          <a:off x="9056915" y="54751514"/>
          <a:ext cx="2531836" cy="777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9 + 7</a:t>
          </a:r>
        </a:p>
      </xdr:txBody>
    </xdr:sp>
    <xdr:clientData/>
  </xdr:twoCellAnchor>
  <xdr:twoCellAnchor>
    <xdr:from>
      <xdr:col>53</xdr:col>
      <xdr:colOff>25538</xdr:colOff>
      <xdr:row>332</xdr:row>
      <xdr:rowOff>22646</xdr:rowOff>
    </xdr:from>
    <xdr:to>
      <xdr:col>73</xdr:col>
      <xdr:colOff>23308</xdr:colOff>
      <xdr:row>337</xdr:row>
      <xdr:rowOff>107355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1765E16B-04A0-6E43-9239-7E818AB5DFE9}"/>
            </a:ext>
          </a:extLst>
        </xdr:cNvPr>
        <xdr:cNvSpPr txBox="1"/>
      </xdr:nvSpPr>
      <xdr:spPr>
        <a:xfrm>
          <a:off x="6592367" y="41158256"/>
          <a:ext cx="2475819" cy="7042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8 x 5</a:t>
          </a:r>
        </a:p>
      </xdr:txBody>
    </xdr:sp>
    <xdr:clientData/>
  </xdr:twoCellAnchor>
  <xdr:twoCellAnchor>
    <xdr:from>
      <xdr:col>83</xdr:col>
      <xdr:colOff>56136</xdr:colOff>
      <xdr:row>330</xdr:row>
      <xdr:rowOff>58878</xdr:rowOff>
    </xdr:from>
    <xdr:to>
      <xdr:col>95</xdr:col>
      <xdr:colOff>45356</xdr:colOff>
      <xdr:row>336</xdr:row>
      <xdr:rowOff>19683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F2347C36-10D2-EB4B-B7F2-61F286C18AE7}"/>
            </a:ext>
          </a:extLst>
        </xdr:cNvPr>
        <xdr:cNvSpPr txBox="1"/>
      </xdr:nvSpPr>
      <xdr:spPr>
        <a:xfrm>
          <a:off x="10408904" y="41220485"/>
          <a:ext cx="1486006" cy="7091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5 x 5</a:t>
          </a:r>
        </a:p>
      </xdr:txBody>
    </xdr:sp>
    <xdr:clientData/>
  </xdr:twoCellAnchor>
  <xdr:twoCellAnchor>
    <xdr:from>
      <xdr:col>65</xdr:col>
      <xdr:colOff>0</xdr:colOff>
      <xdr:row>670</xdr:row>
      <xdr:rowOff>0</xdr:rowOff>
    </xdr:from>
    <xdr:to>
      <xdr:col>84</xdr:col>
      <xdr:colOff>124770</xdr:colOff>
      <xdr:row>675</xdr:row>
      <xdr:rowOff>87806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26211F0-38E2-014C-B85E-30A136B99652}"/>
            </a:ext>
          </a:extLst>
        </xdr:cNvPr>
        <xdr:cNvSpPr txBox="1"/>
      </xdr:nvSpPr>
      <xdr:spPr>
        <a:xfrm>
          <a:off x="8255000" y="85090000"/>
          <a:ext cx="2537770" cy="722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11.5 + 6.5</a:t>
          </a:r>
        </a:p>
      </xdr:txBody>
    </xdr:sp>
    <xdr:clientData/>
  </xdr:twoCellAnchor>
  <xdr:twoCellAnchor>
    <xdr:from>
      <xdr:col>64</xdr:col>
      <xdr:colOff>0</xdr:colOff>
      <xdr:row>614</xdr:row>
      <xdr:rowOff>0</xdr:rowOff>
    </xdr:from>
    <xdr:to>
      <xdr:col>83</xdr:col>
      <xdr:colOff>124770</xdr:colOff>
      <xdr:row>619</xdr:row>
      <xdr:rowOff>87806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4B0866F0-EBBA-AB44-BB8A-D629A483D864}"/>
            </a:ext>
          </a:extLst>
        </xdr:cNvPr>
        <xdr:cNvSpPr txBox="1"/>
      </xdr:nvSpPr>
      <xdr:spPr>
        <a:xfrm>
          <a:off x="8128000" y="77978000"/>
          <a:ext cx="2537770" cy="722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13.5 x 10</a:t>
          </a:r>
        </a:p>
      </xdr:txBody>
    </xdr:sp>
    <xdr:clientData/>
  </xdr:twoCellAnchor>
  <xdr:twoCellAnchor>
    <xdr:from>
      <xdr:col>117</xdr:col>
      <xdr:colOff>76200</xdr:colOff>
      <xdr:row>592</xdr:row>
      <xdr:rowOff>25400</xdr:rowOff>
    </xdr:from>
    <xdr:to>
      <xdr:col>137</xdr:col>
      <xdr:colOff>73970</xdr:colOff>
      <xdr:row>597</xdr:row>
      <xdr:rowOff>113206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973C49C-FAFC-1F42-BAAA-CB2AD9D9E723}"/>
            </a:ext>
          </a:extLst>
        </xdr:cNvPr>
        <xdr:cNvSpPr txBox="1"/>
      </xdr:nvSpPr>
      <xdr:spPr>
        <a:xfrm>
          <a:off x="14935200" y="75209400"/>
          <a:ext cx="2537770" cy="722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13 x 27.5</a:t>
          </a:r>
        </a:p>
      </xdr:txBody>
    </xdr:sp>
    <xdr:clientData/>
  </xdr:twoCellAnchor>
  <xdr:twoCellAnchor>
    <xdr:from>
      <xdr:col>55</xdr:col>
      <xdr:colOff>50800</xdr:colOff>
      <xdr:row>589</xdr:row>
      <xdr:rowOff>0</xdr:rowOff>
    </xdr:from>
    <xdr:to>
      <xdr:col>69</xdr:col>
      <xdr:colOff>0</xdr:colOff>
      <xdr:row>594</xdr:row>
      <xdr:rowOff>87806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45DEC0F1-635A-1E4C-8859-5C58AF14B7D3}"/>
            </a:ext>
          </a:extLst>
        </xdr:cNvPr>
        <xdr:cNvSpPr txBox="1"/>
      </xdr:nvSpPr>
      <xdr:spPr>
        <a:xfrm>
          <a:off x="7035800" y="74803000"/>
          <a:ext cx="1727200" cy="722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8 x 5</a:t>
          </a:r>
        </a:p>
      </xdr:txBody>
    </xdr:sp>
    <xdr:clientData/>
  </xdr:twoCellAnchor>
  <xdr:twoCellAnchor>
    <xdr:from>
      <xdr:col>83</xdr:col>
      <xdr:colOff>49823</xdr:colOff>
      <xdr:row>588</xdr:row>
      <xdr:rowOff>61220</xdr:rowOff>
    </xdr:from>
    <xdr:to>
      <xdr:col>96</xdr:col>
      <xdr:colOff>24423</xdr:colOff>
      <xdr:row>594</xdr:row>
      <xdr:rowOff>13559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1D89C777-C1D9-004E-8FAC-A8B34561BC5B}"/>
            </a:ext>
          </a:extLst>
        </xdr:cNvPr>
        <xdr:cNvSpPr txBox="1"/>
      </xdr:nvSpPr>
      <xdr:spPr>
        <a:xfrm>
          <a:off x="10185400" y="71865066"/>
          <a:ext cx="1562100" cy="6850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5 x 5</a:t>
          </a:r>
        </a:p>
      </xdr:txBody>
    </xdr:sp>
    <xdr:clientData/>
  </xdr:twoCellAnchor>
  <xdr:twoCellAnchor>
    <xdr:from>
      <xdr:col>119</xdr:col>
      <xdr:colOff>76200</xdr:colOff>
      <xdr:row>592</xdr:row>
      <xdr:rowOff>25400</xdr:rowOff>
    </xdr:from>
    <xdr:to>
      <xdr:col>139</xdr:col>
      <xdr:colOff>73970</xdr:colOff>
      <xdr:row>597</xdr:row>
      <xdr:rowOff>113206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445005CA-E3DE-B948-8B08-B3235F937668}"/>
            </a:ext>
          </a:extLst>
        </xdr:cNvPr>
        <xdr:cNvSpPr txBox="1"/>
      </xdr:nvSpPr>
      <xdr:spPr>
        <a:xfrm>
          <a:off x="14363700" y="72317708"/>
          <a:ext cx="2440078" cy="6983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13 x 27.5</a:t>
          </a:r>
        </a:p>
      </xdr:txBody>
    </xdr:sp>
    <xdr:clientData/>
  </xdr:twoCellAnchor>
  <xdr:twoCellAnchor>
    <xdr:from>
      <xdr:col>89</xdr:col>
      <xdr:colOff>1264</xdr:colOff>
      <xdr:row>655</xdr:row>
      <xdr:rowOff>14303</xdr:rowOff>
    </xdr:from>
    <xdr:to>
      <xdr:col>114</xdr:col>
      <xdr:colOff>128878</xdr:colOff>
      <xdr:row>674</xdr:row>
      <xdr:rowOff>36172</xdr:rowOff>
    </xdr:to>
    <xdr:sp macro="" textlink="">
      <xdr:nvSpPr>
        <xdr:cNvPr id="32" name="Arc 31">
          <a:extLst>
            <a:ext uri="{FF2B5EF4-FFF2-40B4-BE49-F238E27FC236}">
              <a16:creationId xmlns:a16="http://schemas.microsoft.com/office/drawing/2014/main" id="{7381C2C5-A041-4353-7729-A14FFC38D72F}"/>
            </a:ext>
          </a:extLst>
        </xdr:cNvPr>
        <xdr:cNvSpPr/>
      </xdr:nvSpPr>
      <xdr:spPr>
        <a:xfrm rot="16006176">
          <a:off x="12009857" y="84691105"/>
          <a:ext cx="2490985" cy="3376452"/>
        </a:xfrm>
        <a:prstGeom prst="arc">
          <a:avLst>
            <a:gd name="adj1" fmla="val 17134412"/>
            <a:gd name="adj2" fmla="val 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72568</xdr:colOff>
      <xdr:row>635</xdr:row>
      <xdr:rowOff>116760</xdr:rowOff>
    </xdr:from>
    <xdr:to>
      <xdr:col>111</xdr:col>
      <xdr:colOff>112972</xdr:colOff>
      <xdr:row>655</xdr:row>
      <xdr:rowOff>6549</xdr:rowOff>
    </xdr:to>
    <xdr:sp macro="" textlink="">
      <xdr:nvSpPr>
        <xdr:cNvPr id="33" name="Arc 32">
          <a:extLst>
            <a:ext uri="{FF2B5EF4-FFF2-40B4-BE49-F238E27FC236}">
              <a16:creationId xmlns:a16="http://schemas.microsoft.com/office/drawing/2014/main" id="{722C7EA0-6A1C-884D-ABA5-455ADBA3ADFF}"/>
            </a:ext>
          </a:extLst>
        </xdr:cNvPr>
        <xdr:cNvSpPr/>
      </xdr:nvSpPr>
      <xdr:spPr>
        <a:xfrm rot="17107005">
          <a:off x="12299235" y="84044333"/>
          <a:ext cx="2531389" cy="2417844"/>
        </a:xfrm>
        <a:prstGeom prst="arc">
          <a:avLst>
            <a:gd name="adj1" fmla="val 10305759"/>
            <a:gd name="adj2" fmla="val 14246135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96411</xdr:colOff>
      <xdr:row>652</xdr:row>
      <xdr:rowOff>43140</xdr:rowOff>
    </xdr:from>
    <xdr:to>
      <xdr:col>106</xdr:col>
      <xdr:colOff>20906</xdr:colOff>
      <xdr:row>664</xdr:row>
      <xdr:rowOff>131462</xdr:rowOff>
    </xdr:to>
    <xdr:sp macro="" textlink="">
      <xdr:nvSpPr>
        <xdr:cNvPr id="35" name="Arc 34">
          <a:extLst>
            <a:ext uri="{FF2B5EF4-FFF2-40B4-BE49-F238E27FC236}">
              <a16:creationId xmlns:a16="http://schemas.microsoft.com/office/drawing/2014/main" id="{C1BBF625-E1DA-A34E-9013-68DF02398D20}"/>
            </a:ext>
          </a:extLst>
        </xdr:cNvPr>
        <xdr:cNvSpPr/>
      </xdr:nvSpPr>
      <xdr:spPr>
        <a:xfrm rot="16596724">
          <a:off x="11109218" y="84920413"/>
          <a:ext cx="1673282" cy="4151055"/>
        </a:xfrm>
        <a:prstGeom prst="arc">
          <a:avLst>
            <a:gd name="adj1" fmla="val 18999177"/>
            <a:gd name="adj2" fmla="val 3962939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26980</xdr:colOff>
      <xdr:row>424</xdr:row>
      <xdr:rowOff>19968</xdr:rowOff>
    </xdr:from>
    <xdr:to>
      <xdr:col>51</xdr:col>
      <xdr:colOff>26979</xdr:colOff>
      <xdr:row>440</xdr:row>
      <xdr:rowOff>38511</xdr:rowOff>
    </xdr:to>
    <xdr:sp macro="" textlink="">
      <xdr:nvSpPr>
        <xdr:cNvPr id="36" name="Arc 35">
          <a:extLst>
            <a:ext uri="{FF2B5EF4-FFF2-40B4-BE49-F238E27FC236}">
              <a16:creationId xmlns:a16="http://schemas.microsoft.com/office/drawing/2014/main" id="{D5670A6F-EAC1-37AD-6AD0-2FDD9B83FDE3}"/>
            </a:ext>
          </a:extLst>
        </xdr:cNvPr>
        <xdr:cNvSpPr/>
      </xdr:nvSpPr>
      <xdr:spPr>
        <a:xfrm rot="10800000" flipV="1">
          <a:off x="4625256" y="55724796"/>
          <a:ext cx="2102068" cy="2120612"/>
        </a:xfrm>
        <a:prstGeom prst="arc">
          <a:avLst/>
        </a:prstGeom>
        <a:ln>
          <a:headEnd type="none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366</xdr:col>
      <xdr:colOff>79075</xdr:colOff>
      <xdr:row>497</xdr:row>
      <xdr:rowOff>40753</xdr:rowOff>
    </xdr:from>
    <xdr:to>
      <xdr:col>379</xdr:col>
      <xdr:colOff>25172</xdr:colOff>
      <xdr:row>509</xdr:row>
      <xdr:rowOff>23971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2DC3112A-05DC-BF42-99D9-828EF3DBA782}"/>
            </a:ext>
          </a:extLst>
        </xdr:cNvPr>
        <xdr:cNvGrpSpPr/>
      </xdr:nvGrpSpPr>
      <xdr:grpSpPr>
        <a:xfrm rot="3426135">
          <a:off x="45470758" y="61576875"/>
          <a:ext cx="1470047" cy="1556828"/>
          <a:chOff x="21448891" y="25973857"/>
          <a:chExt cx="1382889" cy="1449245"/>
        </a:xfrm>
      </xdr:grpSpPr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DCD703D6-0592-A699-06FB-67258FC11486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4E9CD54D-AC6D-637B-28EA-4793D759FDDE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234</xdr:col>
      <xdr:colOff>6614</xdr:colOff>
      <xdr:row>511</xdr:row>
      <xdr:rowOff>9597</xdr:rowOff>
    </xdr:from>
    <xdr:to>
      <xdr:col>237</xdr:col>
      <xdr:colOff>1500</xdr:colOff>
      <xdr:row>514</xdr:row>
      <xdr:rowOff>3382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B6EAEFDA-389C-A448-B585-FB275ECF2CD4}"/>
            </a:ext>
          </a:extLst>
        </xdr:cNvPr>
        <xdr:cNvSpPr/>
      </xdr:nvSpPr>
      <xdr:spPr>
        <a:xfrm>
          <a:off x="35668214" y="77276397"/>
          <a:ext cx="452086" cy="450985"/>
        </a:xfrm>
        <a:prstGeom prst="ellipse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288</xdr:col>
      <xdr:colOff>127300</xdr:colOff>
      <xdr:row>510</xdr:row>
      <xdr:rowOff>129277</xdr:rowOff>
    </xdr:from>
    <xdr:to>
      <xdr:col>291</xdr:col>
      <xdr:colOff>122186</xdr:colOff>
      <xdr:row>513</xdr:row>
      <xdr:rowOff>123062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1D813FE3-BDCF-9B44-9811-6D924B5E0C91}"/>
            </a:ext>
          </a:extLst>
        </xdr:cNvPr>
        <xdr:cNvSpPr/>
      </xdr:nvSpPr>
      <xdr:spPr>
        <a:xfrm>
          <a:off x="44018500" y="77243677"/>
          <a:ext cx="452086" cy="450985"/>
        </a:xfrm>
        <a:prstGeom prst="ellipse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343</xdr:col>
      <xdr:colOff>126180</xdr:colOff>
      <xdr:row>511</xdr:row>
      <xdr:rowOff>2729</xdr:rowOff>
    </xdr:from>
    <xdr:to>
      <xdr:col>346</xdr:col>
      <xdr:colOff>121066</xdr:colOff>
      <xdr:row>513</xdr:row>
      <xdr:rowOff>123062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7C863736-F5D0-F143-83EB-3B88F11C8CEE}"/>
            </a:ext>
          </a:extLst>
        </xdr:cNvPr>
        <xdr:cNvSpPr/>
      </xdr:nvSpPr>
      <xdr:spPr>
        <a:xfrm>
          <a:off x="52399380" y="77269529"/>
          <a:ext cx="452086" cy="425133"/>
        </a:xfrm>
        <a:prstGeom prst="ellipse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317</xdr:col>
      <xdr:colOff>45356</xdr:colOff>
      <xdr:row>633</xdr:row>
      <xdr:rowOff>113393</xdr:rowOff>
    </xdr:from>
    <xdr:to>
      <xdr:col>332</xdr:col>
      <xdr:colOff>45358</xdr:colOff>
      <xdr:row>638</xdr:row>
      <xdr:rowOff>64103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55E46B48-D878-CE4A-AA43-7C4C7A887D56}"/>
            </a:ext>
          </a:extLst>
        </xdr:cNvPr>
        <xdr:cNvSpPr txBox="1"/>
      </xdr:nvSpPr>
      <xdr:spPr>
        <a:xfrm>
          <a:off x="43179999" y="86246607"/>
          <a:ext cx="2041073" cy="6310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26'</a:t>
          </a:r>
          <a:r>
            <a:rPr lang="en-US" sz="3200" baseline="0"/>
            <a:t> - 6"</a:t>
          </a:r>
          <a:endParaRPr lang="en-US" sz="3200"/>
        </a:p>
      </xdr:txBody>
    </xdr:sp>
    <xdr:clientData/>
  </xdr:twoCellAnchor>
  <xdr:twoCellAnchor>
    <xdr:from>
      <xdr:col>278</xdr:col>
      <xdr:colOff>67735</xdr:colOff>
      <xdr:row>574</xdr:row>
      <xdr:rowOff>2</xdr:rowOff>
    </xdr:from>
    <xdr:to>
      <xdr:col>293</xdr:col>
      <xdr:colOff>67736</xdr:colOff>
      <xdr:row>578</xdr:row>
      <xdr:rowOff>104111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D72555DF-CCCF-6B4E-92E8-F1239EE5C5C3}"/>
            </a:ext>
          </a:extLst>
        </xdr:cNvPr>
        <xdr:cNvSpPr txBox="1"/>
      </xdr:nvSpPr>
      <xdr:spPr>
        <a:xfrm>
          <a:off x="37727468" y="77757869"/>
          <a:ext cx="2032001" cy="645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12'</a:t>
          </a:r>
        </a:p>
      </xdr:txBody>
    </xdr:sp>
    <xdr:clientData/>
  </xdr:twoCellAnchor>
  <xdr:twoCellAnchor>
    <xdr:from>
      <xdr:col>265</xdr:col>
      <xdr:colOff>33866</xdr:colOff>
      <xdr:row>623</xdr:row>
      <xdr:rowOff>101599</xdr:rowOff>
    </xdr:from>
    <xdr:to>
      <xdr:col>273</xdr:col>
      <xdr:colOff>21164</xdr:colOff>
      <xdr:row>628</xdr:row>
      <xdr:rowOff>70240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5C29E1A9-E3AD-9442-B4CC-E9F4338AA5D1}"/>
            </a:ext>
          </a:extLst>
        </xdr:cNvPr>
        <xdr:cNvSpPr txBox="1"/>
      </xdr:nvSpPr>
      <xdr:spPr>
        <a:xfrm>
          <a:off x="35932533" y="84497332"/>
          <a:ext cx="1071031" cy="645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10'</a:t>
          </a:r>
        </a:p>
      </xdr:txBody>
    </xdr:sp>
    <xdr:clientData/>
  </xdr:twoCellAnchor>
  <xdr:twoCellAnchor>
    <xdr:from>
      <xdr:col>247</xdr:col>
      <xdr:colOff>110986</xdr:colOff>
      <xdr:row>607</xdr:row>
      <xdr:rowOff>55768</xdr:rowOff>
    </xdr:from>
    <xdr:to>
      <xdr:col>258</xdr:col>
      <xdr:colOff>83377</xdr:colOff>
      <xdr:row>612</xdr:row>
      <xdr:rowOff>35637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2708809F-8A5D-7A47-A4A6-FFD69B61F324}"/>
            </a:ext>
          </a:extLst>
        </xdr:cNvPr>
        <xdr:cNvSpPr txBox="1"/>
      </xdr:nvSpPr>
      <xdr:spPr>
        <a:xfrm>
          <a:off x="30798051" y="75468920"/>
          <a:ext cx="1339022" cy="6010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4' - 6"</a:t>
          </a:r>
          <a:endParaRPr lang="en-US" sz="3200"/>
        </a:p>
      </xdr:txBody>
    </xdr:sp>
    <xdr:clientData/>
  </xdr:twoCellAnchor>
  <xdr:twoCellAnchor>
    <xdr:from>
      <xdr:col>265</xdr:col>
      <xdr:colOff>55214</xdr:colOff>
      <xdr:row>589</xdr:row>
      <xdr:rowOff>55218</xdr:rowOff>
    </xdr:from>
    <xdr:to>
      <xdr:col>272</xdr:col>
      <xdr:colOff>82823</xdr:colOff>
      <xdr:row>594</xdr:row>
      <xdr:rowOff>35088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9EDF05EF-D3E8-1247-A6DA-25DDA36ACFBE}"/>
            </a:ext>
          </a:extLst>
        </xdr:cNvPr>
        <xdr:cNvSpPr txBox="1"/>
      </xdr:nvSpPr>
      <xdr:spPr>
        <a:xfrm>
          <a:off x="32978584" y="73232066"/>
          <a:ext cx="897282" cy="6010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5'</a:t>
          </a:r>
          <a:endParaRPr lang="en-US" sz="3200"/>
        </a:p>
      </xdr:txBody>
    </xdr:sp>
    <xdr:clientData/>
  </xdr:twoCellAnchor>
  <xdr:twoCellAnchor>
    <xdr:from>
      <xdr:col>335</xdr:col>
      <xdr:colOff>87584</xdr:colOff>
      <xdr:row>576</xdr:row>
      <xdr:rowOff>109483</xdr:rowOff>
    </xdr:from>
    <xdr:to>
      <xdr:col>386</xdr:col>
      <xdr:colOff>43051</xdr:colOff>
      <xdr:row>657</xdr:row>
      <xdr:rowOff>107627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B6D12C03-9702-B247-BCE1-4EC8854D2C50}"/>
            </a:ext>
          </a:extLst>
        </xdr:cNvPr>
        <xdr:cNvSpPr txBox="1"/>
      </xdr:nvSpPr>
      <xdr:spPr>
        <a:xfrm>
          <a:off x="43353686" y="74501347"/>
          <a:ext cx="6542246" cy="1045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182880" bIns="182880" rtlCol="0" anchor="t"/>
        <a:lstStyle/>
        <a:p>
          <a:pPr algn="l"/>
          <a:r>
            <a:rPr lang="en-US" sz="2800"/>
            <a:t>External walls:</a:t>
          </a:r>
          <a:r>
            <a:rPr lang="en-US" sz="2800" baseline="0"/>
            <a:t> 		9"</a:t>
          </a:r>
        </a:p>
        <a:p>
          <a:pPr algn="l"/>
          <a:r>
            <a:rPr lang="en-US" sz="2800" baseline="0"/>
            <a:t>Internal walls:		6"</a:t>
          </a:r>
        </a:p>
        <a:p>
          <a:pPr algn="l"/>
          <a:r>
            <a:rPr lang="en-US" sz="2800" baseline="0"/>
            <a:t>Columns:			9" x 12"</a:t>
          </a:r>
        </a:p>
        <a:p>
          <a:pPr algn="l"/>
          <a:r>
            <a:rPr lang="en-US" sz="2800" baseline="0"/>
            <a:t>Beams:			9" x 12"</a:t>
          </a:r>
        </a:p>
        <a:p>
          <a:pPr algn="l"/>
          <a:r>
            <a:rPr lang="en-US" sz="2800" baseline="0"/>
            <a:t>Ceiling ht:			10'</a:t>
          </a:r>
        </a:p>
        <a:p>
          <a:pPr algn="l"/>
          <a:r>
            <a:rPr lang="en-US" sz="2800" baseline="0"/>
            <a:t>Roof slab thickness:	6"</a:t>
          </a:r>
        </a:p>
        <a:p>
          <a:pPr algn="l"/>
          <a:r>
            <a:rPr lang="en-US" sz="2800" baseline="0"/>
            <a:t>Lintel ht:			7'</a:t>
          </a:r>
        </a:p>
        <a:p>
          <a:pPr algn="l"/>
          <a:r>
            <a:rPr lang="en-US" sz="2800" baseline="0"/>
            <a:t>Shade overhang:		4'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aseline="0"/>
            <a:t>Shade ht:			7'</a:t>
          </a:r>
        </a:p>
        <a:p>
          <a:pPr algn="l"/>
          <a:r>
            <a:rPr lang="en-US" sz="2800" baseline="0"/>
            <a:t>Roof slab overhang:	18"</a:t>
          </a:r>
        </a:p>
        <a:p>
          <a:pPr algn="l"/>
          <a:r>
            <a:rPr lang="en-US" sz="2800"/>
            <a:t>Plinth</a:t>
          </a:r>
          <a:r>
            <a:rPr lang="en-US" sz="2800" baseline="0"/>
            <a:t> level (from GL):	30"</a:t>
          </a:r>
        </a:p>
        <a:p>
          <a:pPr algn="l"/>
          <a:r>
            <a:rPr lang="en-US" sz="2800"/>
            <a:t>Stair case width:		30"</a:t>
          </a:r>
        </a:p>
        <a:p>
          <a:pPr algn="l"/>
          <a:r>
            <a:rPr lang="en-US" sz="2800"/>
            <a:t>Stair</a:t>
          </a:r>
          <a:r>
            <a:rPr lang="en-US" sz="2800" baseline="0"/>
            <a:t> </a:t>
          </a:r>
          <a:r>
            <a:rPr lang="en-US" sz="2800"/>
            <a:t>step size:		7" x 12"</a:t>
          </a:r>
        </a:p>
        <a:p>
          <a:pPr algn="l"/>
          <a:r>
            <a:rPr lang="en-US" sz="2800"/>
            <a:t>Sill ht:				3'</a:t>
          </a:r>
        </a:p>
        <a:p>
          <a:pPr algn="l"/>
          <a:r>
            <a:rPr lang="en-US" sz="2800"/>
            <a:t>Counter-top ht		3'</a:t>
          </a:r>
        </a:p>
        <a:p>
          <a:pPr algn="l"/>
          <a:r>
            <a:rPr lang="en-US" sz="2800"/>
            <a:t>Counter-top</a:t>
          </a:r>
          <a:r>
            <a:rPr lang="en-US" sz="2800" baseline="0"/>
            <a:t> width:	2'</a:t>
          </a:r>
        </a:p>
        <a:p>
          <a:pPr algn="l"/>
          <a:r>
            <a:rPr lang="en-US" sz="2800" baseline="0"/>
            <a:t>Doors ht:			6' 6"</a:t>
          </a:r>
        </a:p>
        <a:p>
          <a:pPr algn="l"/>
          <a:r>
            <a:rPr lang="en-US" sz="2800"/>
            <a:t>Main door width:		3'</a:t>
          </a:r>
        </a:p>
        <a:p>
          <a:pPr algn="l"/>
          <a:r>
            <a:rPr lang="en-US" sz="2800"/>
            <a:t>Bath</a:t>
          </a:r>
          <a:r>
            <a:rPr lang="en-US" sz="2800" baseline="0"/>
            <a:t>room doors (w)	27"</a:t>
          </a:r>
        </a:p>
        <a:p>
          <a:pPr algn="l"/>
          <a:r>
            <a:rPr lang="en-US" sz="2800" baseline="0"/>
            <a:t>Other doors (w)		30"</a:t>
          </a:r>
        </a:p>
        <a:p>
          <a:pPr algn="l"/>
          <a:r>
            <a:rPr lang="en-US" sz="2800" baseline="0"/>
            <a:t>RCC:				M20, Fe415</a:t>
          </a:r>
        </a:p>
        <a:p>
          <a:pPr algn="l"/>
          <a:r>
            <a:rPr lang="en-US" sz="2800"/>
            <a:t>Flooring:			Concrete polish</a:t>
          </a:r>
        </a:p>
      </xdr:txBody>
    </xdr:sp>
    <xdr:clientData/>
  </xdr:twoCellAnchor>
  <xdr:twoCellAnchor>
    <xdr:from>
      <xdr:col>335</xdr:col>
      <xdr:colOff>87587</xdr:colOff>
      <xdr:row>673</xdr:row>
      <xdr:rowOff>87586</xdr:rowOff>
    </xdr:from>
    <xdr:to>
      <xdr:col>348</xdr:col>
      <xdr:colOff>33684</xdr:colOff>
      <xdr:row>685</xdr:row>
      <xdr:rowOff>70804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B3B204CF-415A-7A47-9A1A-69A4F9E56334}"/>
            </a:ext>
          </a:extLst>
        </xdr:cNvPr>
        <xdr:cNvGrpSpPr/>
      </xdr:nvGrpSpPr>
      <xdr:grpSpPr>
        <a:xfrm rot="3426135">
          <a:off x="41638295" y="83430536"/>
          <a:ext cx="1470048" cy="1556829"/>
          <a:chOff x="21448891" y="25973857"/>
          <a:chExt cx="1382889" cy="1449245"/>
        </a:xfrm>
      </xdr:grpSpPr>
      <xdr:cxnSp macro="">
        <xdr:nvCxnSpPr>
          <xdr:cNvPr id="54" name="Straight Arrow Connector 53">
            <a:extLst>
              <a:ext uri="{FF2B5EF4-FFF2-40B4-BE49-F238E27FC236}">
                <a16:creationId xmlns:a16="http://schemas.microsoft.com/office/drawing/2014/main" id="{1984EF7B-E99C-C10F-70D7-B23CFEB0DA19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70B2197A-A3B9-10CB-5AC3-E90407A2EA3C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347</xdr:col>
      <xdr:colOff>101601</xdr:colOff>
      <xdr:row>672</xdr:row>
      <xdr:rowOff>29632</xdr:rowOff>
    </xdr:from>
    <xdr:to>
      <xdr:col>352</xdr:col>
      <xdr:colOff>18394</xdr:colOff>
      <xdr:row>677</xdr:row>
      <xdr:rowOff>16424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BE8E6E3-2249-2D40-95B6-67229355F906}"/>
            </a:ext>
          </a:extLst>
        </xdr:cNvPr>
        <xdr:cNvSpPr txBox="1"/>
      </xdr:nvSpPr>
      <xdr:spPr>
        <a:xfrm>
          <a:off x="44170601" y="85373632"/>
          <a:ext cx="551793" cy="6217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N</a:t>
          </a:r>
          <a:endParaRPr lang="en-US" sz="3200"/>
        </a:p>
      </xdr:txBody>
    </xdr:sp>
    <xdr:clientData/>
  </xdr:twoCellAnchor>
  <xdr:twoCellAnchor>
    <xdr:from>
      <xdr:col>251</xdr:col>
      <xdr:colOff>94073</xdr:colOff>
      <xdr:row>687</xdr:row>
      <xdr:rowOff>78395</xdr:rowOff>
    </xdr:from>
    <xdr:to>
      <xdr:col>266</xdr:col>
      <xdr:colOff>94074</xdr:colOff>
      <xdr:row>692</xdr:row>
      <xdr:rowOff>47037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85577A6E-1E88-7744-865C-4B2359C9CAA3}"/>
            </a:ext>
          </a:extLst>
        </xdr:cNvPr>
        <xdr:cNvSpPr txBox="1"/>
      </xdr:nvSpPr>
      <xdr:spPr>
        <a:xfrm>
          <a:off x="31971073" y="87835395"/>
          <a:ext cx="1905001" cy="6036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26'</a:t>
          </a:r>
        </a:p>
      </xdr:txBody>
    </xdr:sp>
    <xdr:clientData/>
  </xdr:twoCellAnchor>
  <xdr:twoCellAnchor>
    <xdr:from>
      <xdr:col>265</xdr:col>
      <xdr:colOff>84667</xdr:colOff>
      <xdr:row>655</xdr:row>
      <xdr:rowOff>84667</xdr:rowOff>
    </xdr:from>
    <xdr:to>
      <xdr:col>272</xdr:col>
      <xdr:colOff>112276</xdr:colOff>
      <xdr:row>660</xdr:row>
      <xdr:rowOff>64536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C1E635CC-BCCB-B14F-8A23-CB78C036596F}"/>
            </a:ext>
          </a:extLst>
        </xdr:cNvPr>
        <xdr:cNvSpPr txBox="1"/>
      </xdr:nvSpPr>
      <xdr:spPr>
        <a:xfrm>
          <a:off x="33739667" y="83777667"/>
          <a:ext cx="916609" cy="614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6'</a:t>
          </a:r>
          <a:endParaRPr lang="en-US" sz="3200"/>
        </a:p>
      </xdr:txBody>
    </xdr:sp>
    <xdr:clientData/>
  </xdr:twoCellAnchor>
  <xdr:twoCellAnchor>
    <xdr:from>
      <xdr:col>265</xdr:col>
      <xdr:colOff>84667</xdr:colOff>
      <xdr:row>674</xdr:row>
      <xdr:rowOff>33866</xdr:rowOff>
    </xdr:from>
    <xdr:to>
      <xdr:col>272</xdr:col>
      <xdr:colOff>112275</xdr:colOff>
      <xdr:row>679</xdr:row>
      <xdr:rowOff>13736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B756187D-DC29-904B-B6DA-95036DC8CB6F}"/>
            </a:ext>
          </a:extLst>
        </xdr:cNvPr>
        <xdr:cNvSpPr txBox="1"/>
      </xdr:nvSpPr>
      <xdr:spPr>
        <a:xfrm>
          <a:off x="28405667" y="86139866"/>
          <a:ext cx="916608" cy="6148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3'</a:t>
          </a:r>
          <a:endParaRPr lang="en-US" sz="3200"/>
        </a:p>
      </xdr:txBody>
    </xdr:sp>
    <xdr:clientData/>
  </xdr:twoCellAnchor>
  <xdr:twoCellAnchor>
    <xdr:from>
      <xdr:col>234</xdr:col>
      <xdr:colOff>50801</xdr:colOff>
      <xdr:row>648</xdr:row>
      <xdr:rowOff>67733</xdr:rowOff>
    </xdr:from>
    <xdr:to>
      <xdr:col>244</xdr:col>
      <xdr:colOff>1</xdr:colOff>
      <xdr:row>653</xdr:row>
      <xdr:rowOff>47602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F86B0027-77AF-104C-85CA-8EDC02912662}"/>
            </a:ext>
          </a:extLst>
        </xdr:cNvPr>
        <xdr:cNvSpPr txBox="1"/>
      </xdr:nvSpPr>
      <xdr:spPr>
        <a:xfrm>
          <a:off x="29768801" y="82363733"/>
          <a:ext cx="1219200" cy="614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8'</a:t>
          </a:r>
          <a:endParaRPr lang="en-US" sz="3200"/>
        </a:p>
      </xdr:txBody>
    </xdr:sp>
    <xdr:clientData/>
  </xdr:twoCellAnchor>
  <xdr:twoCellAnchor>
    <xdr:from>
      <xdr:col>229</xdr:col>
      <xdr:colOff>93135</xdr:colOff>
      <xdr:row>574</xdr:row>
      <xdr:rowOff>2</xdr:rowOff>
    </xdr:from>
    <xdr:to>
      <xdr:col>244</xdr:col>
      <xdr:colOff>93136</xdr:colOff>
      <xdr:row>578</xdr:row>
      <xdr:rowOff>104111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8CEE8E0B-A260-4B4F-8C7C-8110235DE435}"/>
            </a:ext>
          </a:extLst>
        </xdr:cNvPr>
        <xdr:cNvSpPr txBox="1"/>
      </xdr:nvSpPr>
      <xdr:spPr>
        <a:xfrm>
          <a:off x="29303135" y="72898002"/>
          <a:ext cx="1905001" cy="6121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12'</a:t>
          </a:r>
        </a:p>
      </xdr:txBody>
    </xdr:sp>
    <xdr:clientData/>
  </xdr:twoCellAnchor>
  <xdr:twoCellAnchor>
    <xdr:from>
      <xdr:col>224</xdr:col>
      <xdr:colOff>96630</xdr:colOff>
      <xdr:row>607</xdr:row>
      <xdr:rowOff>55217</xdr:rowOff>
    </xdr:from>
    <xdr:to>
      <xdr:col>235</xdr:col>
      <xdr:colOff>69021</xdr:colOff>
      <xdr:row>612</xdr:row>
      <xdr:rowOff>35086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1FA81FC4-48A9-9649-871A-AA08D862161B}"/>
            </a:ext>
          </a:extLst>
        </xdr:cNvPr>
        <xdr:cNvSpPr txBox="1"/>
      </xdr:nvSpPr>
      <xdr:spPr>
        <a:xfrm>
          <a:off x="28671630" y="77144217"/>
          <a:ext cx="1369391" cy="614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7'</a:t>
          </a:r>
          <a:endParaRPr lang="en-US" sz="3200"/>
        </a:p>
      </xdr:txBody>
    </xdr:sp>
    <xdr:clientData/>
  </xdr:twoCellAnchor>
  <xdr:twoCellAnchor>
    <xdr:from>
      <xdr:col>187</xdr:col>
      <xdr:colOff>47681</xdr:colOff>
      <xdr:row>626</xdr:row>
      <xdr:rowOff>114523</xdr:rowOff>
    </xdr:from>
    <xdr:to>
      <xdr:col>195</xdr:col>
      <xdr:colOff>114522</xdr:colOff>
      <xdr:row>631</xdr:row>
      <xdr:rowOff>83164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15A224C4-5B7C-764A-81F1-A40422E34887}"/>
            </a:ext>
          </a:extLst>
        </xdr:cNvPr>
        <xdr:cNvSpPr txBox="1"/>
      </xdr:nvSpPr>
      <xdr:spPr>
        <a:xfrm>
          <a:off x="25180313" y="83800839"/>
          <a:ext cx="1136314" cy="6370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17'</a:t>
          </a:r>
        </a:p>
      </xdr:txBody>
    </xdr:sp>
    <xdr:clientData/>
  </xdr:twoCellAnchor>
  <xdr:twoCellAnchor>
    <xdr:from>
      <xdr:col>516</xdr:col>
      <xdr:colOff>117859</xdr:colOff>
      <xdr:row>587</xdr:row>
      <xdr:rowOff>116657</xdr:rowOff>
    </xdr:from>
    <xdr:to>
      <xdr:col>608</xdr:col>
      <xdr:colOff>79374</xdr:colOff>
      <xdr:row>693</xdr:row>
      <xdr:rowOff>78172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A1253EB9-BB6D-5BDF-E826-C4350E5FEBA6}"/>
            </a:ext>
          </a:extLst>
        </xdr:cNvPr>
        <xdr:cNvCxnSpPr/>
      </xdr:nvCxnSpPr>
      <xdr:spPr>
        <a:xfrm flipH="1">
          <a:off x="36670047" y="84174782"/>
          <a:ext cx="10915265" cy="125821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241</xdr:col>
      <xdr:colOff>41481</xdr:colOff>
      <xdr:row>814</xdr:row>
      <xdr:rowOff>41179</xdr:rowOff>
    </xdr:from>
    <xdr:to>
      <xdr:col>446</xdr:col>
      <xdr:colOff>49140</xdr:colOff>
      <xdr:row>934</xdr:row>
      <xdr:rowOff>11239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D871B3D5-277A-770B-692D-48877C13E28F}"/>
            </a:ext>
          </a:extLst>
        </xdr:cNvPr>
        <xdr:cNvCxnSpPr/>
      </xdr:nvCxnSpPr>
      <xdr:spPr>
        <a:xfrm>
          <a:off x="29191005" y="98496417"/>
          <a:ext cx="24802897" cy="14484346"/>
        </a:xfrm>
        <a:prstGeom prst="line">
          <a:avLst/>
        </a:prstGeom>
        <a:ln w="3175"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69272</xdr:colOff>
      <xdr:row>820</xdr:row>
      <xdr:rowOff>115454</xdr:rowOff>
    </xdr:from>
    <xdr:to>
      <xdr:col>123</xdr:col>
      <xdr:colOff>56571</xdr:colOff>
      <xdr:row>836</xdr:row>
      <xdr:rowOff>121297</xdr:rowOff>
    </xdr:to>
    <xdr:sp macro="" textlink="">
      <xdr:nvSpPr>
        <xdr:cNvPr id="62" name="Arc 61">
          <a:extLst>
            <a:ext uri="{FF2B5EF4-FFF2-40B4-BE49-F238E27FC236}">
              <a16:creationId xmlns:a16="http://schemas.microsoft.com/office/drawing/2014/main" id="{F0C40563-EC4B-304E-9AF1-55B72F74837F}"/>
            </a:ext>
          </a:extLst>
        </xdr:cNvPr>
        <xdr:cNvSpPr/>
      </xdr:nvSpPr>
      <xdr:spPr>
        <a:xfrm flipV="1">
          <a:off x="19742727" y="137829636"/>
          <a:ext cx="2204026" cy="2222570"/>
        </a:xfrm>
        <a:prstGeom prst="arc">
          <a:avLst/>
        </a:prstGeom>
        <a:ln>
          <a:headEnd type="none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831</xdr:colOff>
      <xdr:row>840</xdr:row>
      <xdr:rowOff>10716</xdr:rowOff>
    </xdr:from>
    <xdr:to>
      <xdr:col>93</xdr:col>
      <xdr:colOff>6673</xdr:colOff>
      <xdr:row>855</xdr:row>
      <xdr:rowOff>127900</xdr:rowOff>
    </xdr:to>
    <xdr:sp macro="" textlink="">
      <xdr:nvSpPr>
        <xdr:cNvPr id="74" name="Arc 73">
          <a:extLst>
            <a:ext uri="{FF2B5EF4-FFF2-40B4-BE49-F238E27FC236}">
              <a16:creationId xmlns:a16="http://schemas.microsoft.com/office/drawing/2014/main" id="{144558D3-80DC-1D43-A5E0-0FF8360814F9}"/>
            </a:ext>
          </a:extLst>
        </xdr:cNvPr>
        <xdr:cNvSpPr/>
      </xdr:nvSpPr>
      <xdr:spPr>
        <a:xfrm rot="5400000" flipV="1">
          <a:off x="10011353" y="109105989"/>
          <a:ext cx="2065480" cy="2084024"/>
        </a:xfrm>
        <a:prstGeom prst="arc">
          <a:avLst/>
        </a:prstGeom>
        <a:ln>
          <a:headEnd type="none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101</xdr:col>
      <xdr:colOff>22544</xdr:colOff>
      <xdr:row>884</xdr:row>
      <xdr:rowOff>125754</xdr:rowOff>
    </xdr:from>
    <xdr:to>
      <xdr:col>121</xdr:col>
      <xdr:colOff>135980</xdr:colOff>
      <xdr:row>905</xdr:row>
      <xdr:rowOff>74036</xdr:rowOff>
    </xdr:to>
    <xdr:sp macro="" textlink="">
      <xdr:nvSpPr>
        <xdr:cNvPr id="75" name="Arc 74">
          <a:extLst>
            <a:ext uri="{FF2B5EF4-FFF2-40B4-BE49-F238E27FC236}">
              <a16:creationId xmlns:a16="http://schemas.microsoft.com/office/drawing/2014/main" id="{95042F9B-69D9-5B4D-8DE6-3B114C4680B2}"/>
            </a:ext>
          </a:extLst>
        </xdr:cNvPr>
        <xdr:cNvSpPr/>
      </xdr:nvSpPr>
      <xdr:spPr>
        <a:xfrm rot="16200000">
          <a:off x="19225676" y="149409289"/>
          <a:ext cx="2911615" cy="2935658"/>
        </a:xfrm>
        <a:prstGeom prst="arc">
          <a:avLst/>
        </a:prstGeom>
        <a:ln>
          <a:headEnd type="none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23089</xdr:colOff>
      <xdr:row>920</xdr:row>
      <xdr:rowOff>132097</xdr:rowOff>
    </xdr:from>
    <xdr:to>
      <xdr:col>73</xdr:col>
      <xdr:colOff>46180</xdr:colOff>
      <xdr:row>939</xdr:row>
      <xdr:rowOff>52026</xdr:rowOff>
    </xdr:to>
    <xdr:sp macro="" textlink="">
      <xdr:nvSpPr>
        <xdr:cNvPr id="77" name="Arc 76">
          <a:extLst>
            <a:ext uri="{FF2B5EF4-FFF2-40B4-BE49-F238E27FC236}">
              <a16:creationId xmlns:a16="http://schemas.microsoft.com/office/drawing/2014/main" id="{DF569CD1-C54D-1349-AFDF-97832210089C}"/>
            </a:ext>
          </a:extLst>
        </xdr:cNvPr>
        <xdr:cNvSpPr/>
      </xdr:nvSpPr>
      <xdr:spPr>
        <a:xfrm>
          <a:off x="12492180" y="151700824"/>
          <a:ext cx="2516909" cy="2552293"/>
        </a:xfrm>
        <a:prstGeom prst="arc">
          <a:avLst/>
        </a:prstGeom>
        <a:ln>
          <a:headEnd type="none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501</xdr:col>
      <xdr:colOff>12700</xdr:colOff>
      <xdr:row>856</xdr:row>
      <xdr:rowOff>25400</xdr:rowOff>
    </xdr:from>
    <xdr:to>
      <xdr:col>573</xdr:col>
      <xdr:colOff>12700</xdr:colOff>
      <xdr:row>862</xdr:row>
      <xdr:rowOff>0</xdr:rowOff>
    </xdr:to>
    <xdr:cxnSp macro="">
      <xdr:nvCxnSpPr>
        <xdr:cNvPr id="78" name="Straight Connector 77">
          <a:extLst>
            <a:ext uri="{FF2B5EF4-FFF2-40B4-BE49-F238E27FC236}">
              <a16:creationId xmlns:a16="http://schemas.microsoft.com/office/drawing/2014/main" id="{366FD5B9-5FB2-A949-A11F-80639A23F4C7}"/>
            </a:ext>
          </a:extLst>
        </xdr:cNvPr>
        <xdr:cNvCxnSpPr/>
      </xdr:nvCxnSpPr>
      <xdr:spPr>
        <a:xfrm flipH="1">
          <a:off x="63639700" y="108737400"/>
          <a:ext cx="9144000" cy="7366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69272</xdr:colOff>
      <xdr:row>1002</xdr:row>
      <xdr:rowOff>115454</xdr:rowOff>
    </xdr:from>
    <xdr:to>
      <xdr:col>123</xdr:col>
      <xdr:colOff>56571</xdr:colOff>
      <xdr:row>1018</xdr:row>
      <xdr:rowOff>121297</xdr:rowOff>
    </xdr:to>
    <xdr:sp macro="" textlink="">
      <xdr:nvSpPr>
        <xdr:cNvPr id="88" name="Arc 87">
          <a:extLst>
            <a:ext uri="{FF2B5EF4-FFF2-40B4-BE49-F238E27FC236}">
              <a16:creationId xmlns:a16="http://schemas.microsoft.com/office/drawing/2014/main" id="{7D98E552-167C-374A-BD8C-7637BE838298}"/>
            </a:ext>
          </a:extLst>
        </xdr:cNvPr>
        <xdr:cNvSpPr/>
      </xdr:nvSpPr>
      <xdr:spPr>
        <a:xfrm flipV="1">
          <a:off x="12059566" y="92003689"/>
          <a:ext cx="1780240" cy="1798784"/>
        </a:xfrm>
        <a:prstGeom prst="arc">
          <a:avLst/>
        </a:prstGeom>
        <a:ln>
          <a:headEnd type="none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36912</xdr:colOff>
      <xdr:row>1021</xdr:row>
      <xdr:rowOff>83165</xdr:rowOff>
    </xdr:from>
    <xdr:to>
      <xdr:col>93</xdr:col>
      <xdr:colOff>42754</xdr:colOff>
      <xdr:row>1037</xdr:row>
      <xdr:rowOff>70463</xdr:rowOff>
    </xdr:to>
    <xdr:sp macro="" textlink="">
      <xdr:nvSpPr>
        <xdr:cNvPr id="89" name="Arc 88">
          <a:extLst>
            <a:ext uri="{FF2B5EF4-FFF2-40B4-BE49-F238E27FC236}">
              <a16:creationId xmlns:a16="http://schemas.microsoft.com/office/drawing/2014/main" id="{F8294072-9B59-5D47-971C-763BD5B4D589}"/>
            </a:ext>
          </a:extLst>
        </xdr:cNvPr>
        <xdr:cNvSpPr/>
      </xdr:nvSpPr>
      <xdr:spPr>
        <a:xfrm rot="5400000" flipV="1">
          <a:off x="10477118" y="138385359"/>
          <a:ext cx="2154764" cy="2173309"/>
        </a:xfrm>
        <a:prstGeom prst="arc">
          <a:avLst/>
        </a:prstGeom>
        <a:ln>
          <a:headEnd type="none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101</xdr:col>
      <xdr:colOff>22544</xdr:colOff>
      <xdr:row>1066</xdr:row>
      <xdr:rowOff>125754</xdr:rowOff>
    </xdr:from>
    <xdr:to>
      <xdr:col>121</xdr:col>
      <xdr:colOff>135980</xdr:colOff>
      <xdr:row>1087</xdr:row>
      <xdr:rowOff>74036</xdr:rowOff>
    </xdr:to>
    <xdr:sp macro="" textlink="">
      <xdr:nvSpPr>
        <xdr:cNvPr id="90" name="Arc 89">
          <a:extLst>
            <a:ext uri="{FF2B5EF4-FFF2-40B4-BE49-F238E27FC236}">
              <a16:creationId xmlns:a16="http://schemas.microsoft.com/office/drawing/2014/main" id="{68A7BC6F-21DE-8144-9249-7ED30262B9A6}"/>
            </a:ext>
          </a:extLst>
        </xdr:cNvPr>
        <xdr:cNvSpPr/>
      </xdr:nvSpPr>
      <xdr:spPr>
        <a:xfrm rot="16200000">
          <a:off x="11360683" y="99165556"/>
          <a:ext cx="2301517" cy="2341913"/>
        </a:xfrm>
        <a:prstGeom prst="arc">
          <a:avLst/>
        </a:prstGeom>
        <a:ln>
          <a:headEnd type="none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23089</xdr:colOff>
      <xdr:row>1102</xdr:row>
      <xdr:rowOff>132097</xdr:rowOff>
    </xdr:from>
    <xdr:to>
      <xdr:col>73</xdr:col>
      <xdr:colOff>46180</xdr:colOff>
      <xdr:row>1121</xdr:row>
      <xdr:rowOff>52026</xdr:rowOff>
    </xdr:to>
    <xdr:sp macro="" textlink="">
      <xdr:nvSpPr>
        <xdr:cNvPr id="92" name="Arc 91">
          <a:extLst>
            <a:ext uri="{FF2B5EF4-FFF2-40B4-BE49-F238E27FC236}">
              <a16:creationId xmlns:a16="http://schemas.microsoft.com/office/drawing/2014/main" id="{5982F761-4B14-5F46-88F5-CCA3B85A39FC}"/>
            </a:ext>
          </a:extLst>
        </xdr:cNvPr>
        <xdr:cNvSpPr/>
      </xdr:nvSpPr>
      <xdr:spPr>
        <a:xfrm>
          <a:off x="6186324" y="103226215"/>
          <a:ext cx="2040150" cy="2049046"/>
        </a:xfrm>
        <a:prstGeom prst="arc">
          <a:avLst/>
        </a:prstGeom>
        <a:ln>
          <a:headEnd type="none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93135</xdr:colOff>
      <xdr:row>998</xdr:row>
      <xdr:rowOff>2</xdr:rowOff>
    </xdr:from>
    <xdr:to>
      <xdr:col>96</xdr:col>
      <xdr:colOff>93136</xdr:colOff>
      <xdr:row>1002</xdr:row>
      <xdr:rowOff>104111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42A03301-9132-804F-BBBA-25D10C264AA9}"/>
            </a:ext>
          </a:extLst>
        </xdr:cNvPr>
        <xdr:cNvSpPr txBox="1"/>
      </xdr:nvSpPr>
      <xdr:spPr>
        <a:xfrm>
          <a:off x="29176135" y="72898002"/>
          <a:ext cx="1905001" cy="6121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12'</a:t>
          </a:r>
        </a:p>
      </xdr:txBody>
    </xdr:sp>
    <xdr:clientData/>
  </xdr:twoCellAnchor>
  <xdr:twoCellAnchor>
    <xdr:from>
      <xdr:col>149</xdr:col>
      <xdr:colOff>69271</xdr:colOff>
      <xdr:row>1104</xdr:row>
      <xdr:rowOff>33479</xdr:rowOff>
    </xdr:from>
    <xdr:to>
      <xdr:col>170</xdr:col>
      <xdr:colOff>115454</xdr:colOff>
      <xdr:row>1125</xdr:row>
      <xdr:rowOff>55001</xdr:rowOff>
    </xdr:to>
    <xdr:sp macro="" textlink="">
      <xdr:nvSpPr>
        <xdr:cNvPr id="99" name="Arc 98">
          <a:extLst>
            <a:ext uri="{FF2B5EF4-FFF2-40B4-BE49-F238E27FC236}">
              <a16:creationId xmlns:a16="http://schemas.microsoft.com/office/drawing/2014/main" id="{D9894603-FC1C-D944-8350-11F3CAAAF8B6}"/>
            </a:ext>
          </a:extLst>
        </xdr:cNvPr>
        <xdr:cNvSpPr/>
      </xdr:nvSpPr>
      <xdr:spPr>
        <a:xfrm rot="16200000">
          <a:off x="17861602" y="133552577"/>
          <a:ext cx="2561522" cy="2586183"/>
        </a:xfrm>
        <a:prstGeom prst="arc">
          <a:avLst/>
        </a:prstGeom>
        <a:ln>
          <a:headEnd type="none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132</xdr:col>
      <xdr:colOff>67735</xdr:colOff>
      <xdr:row>998</xdr:row>
      <xdr:rowOff>2</xdr:rowOff>
    </xdr:from>
    <xdr:to>
      <xdr:col>147</xdr:col>
      <xdr:colOff>67736</xdr:colOff>
      <xdr:row>1002</xdr:row>
      <xdr:rowOff>104111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3C02FFB2-11DC-B94F-BF48-93E32523274E}"/>
            </a:ext>
          </a:extLst>
        </xdr:cNvPr>
        <xdr:cNvSpPr txBox="1"/>
      </xdr:nvSpPr>
      <xdr:spPr>
        <a:xfrm>
          <a:off x="15791545" y="120710478"/>
          <a:ext cx="1814286" cy="587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12'</a:t>
          </a:r>
        </a:p>
      </xdr:txBody>
    </xdr:sp>
    <xdr:clientData/>
  </xdr:twoCellAnchor>
  <xdr:twoCellAnchor>
    <xdr:from>
      <xdr:col>115</xdr:col>
      <xdr:colOff>108572</xdr:colOff>
      <xdr:row>1048</xdr:row>
      <xdr:rowOff>131481</xdr:rowOff>
    </xdr:from>
    <xdr:to>
      <xdr:col>128</xdr:col>
      <xdr:colOff>104589</xdr:colOff>
      <xdr:row>1053</xdr:row>
      <xdr:rowOff>100122</xdr:rowOff>
    </xdr:to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6BA80A5A-BFCA-2141-88BE-BFFC67F0146B}"/>
            </a:ext>
          </a:extLst>
        </xdr:cNvPr>
        <xdr:cNvSpPr txBox="1"/>
      </xdr:nvSpPr>
      <xdr:spPr>
        <a:xfrm>
          <a:off x="15572690" y="141056657"/>
          <a:ext cx="1744134" cy="6409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11' - 6"</a:t>
          </a:r>
        </a:p>
      </xdr:txBody>
    </xdr:sp>
    <xdr:clientData/>
  </xdr:twoCellAnchor>
  <xdr:twoCellAnchor>
    <xdr:from>
      <xdr:col>117</xdr:col>
      <xdr:colOff>40273</xdr:colOff>
      <xdr:row>1020</xdr:row>
      <xdr:rowOff>40276</xdr:rowOff>
    </xdr:from>
    <xdr:to>
      <xdr:col>124</xdr:col>
      <xdr:colOff>67882</xdr:colOff>
      <xdr:row>1025</xdr:row>
      <xdr:rowOff>20146</xdr:rowOff>
    </xdr:to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BDB2F798-BC9D-0D4B-B1CE-3FE02936E42D}"/>
            </a:ext>
          </a:extLst>
        </xdr:cNvPr>
        <xdr:cNvSpPr txBox="1"/>
      </xdr:nvSpPr>
      <xdr:spPr>
        <a:xfrm>
          <a:off x="15773332" y="137200276"/>
          <a:ext cx="968903" cy="6522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5'</a:t>
          </a:r>
          <a:endParaRPr lang="en-US" sz="3200"/>
        </a:p>
      </xdr:txBody>
    </xdr:sp>
    <xdr:clientData/>
  </xdr:twoCellAnchor>
  <xdr:twoCellAnchor>
    <xdr:from>
      <xdr:col>117</xdr:col>
      <xdr:colOff>101600</xdr:colOff>
      <xdr:row>1091</xdr:row>
      <xdr:rowOff>101601</xdr:rowOff>
    </xdr:from>
    <xdr:to>
      <xdr:col>124</xdr:col>
      <xdr:colOff>129209</xdr:colOff>
      <xdr:row>1096</xdr:row>
      <xdr:rowOff>81469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B334C637-7D21-8D41-993F-4CAE4A09687D}"/>
            </a:ext>
          </a:extLst>
        </xdr:cNvPr>
        <xdr:cNvSpPr txBox="1"/>
      </xdr:nvSpPr>
      <xdr:spPr>
        <a:xfrm>
          <a:off x="15951200" y="147895734"/>
          <a:ext cx="975876" cy="657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9'</a:t>
          </a:r>
          <a:endParaRPr lang="en-US" sz="3200"/>
        </a:p>
      </xdr:txBody>
    </xdr:sp>
    <xdr:clientData/>
  </xdr:twoCellAnchor>
  <xdr:twoCellAnchor>
    <xdr:from>
      <xdr:col>41</xdr:col>
      <xdr:colOff>47681</xdr:colOff>
      <xdr:row>1057</xdr:row>
      <xdr:rowOff>114523</xdr:rowOff>
    </xdr:from>
    <xdr:to>
      <xdr:col>49</xdr:col>
      <xdr:colOff>114522</xdr:colOff>
      <xdr:row>1062</xdr:row>
      <xdr:rowOff>83164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EE41D79D-8527-3A44-AFF4-173218B2F6FC}"/>
            </a:ext>
          </a:extLst>
        </xdr:cNvPr>
        <xdr:cNvSpPr txBox="1"/>
      </xdr:nvSpPr>
      <xdr:spPr>
        <a:xfrm>
          <a:off x="23796681" y="79616523"/>
          <a:ext cx="1082841" cy="6036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17'</a:t>
          </a:r>
        </a:p>
      </xdr:txBody>
    </xdr:sp>
    <xdr:clientData/>
  </xdr:twoCellAnchor>
  <xdr:twoCellAnchor>
    <xdr:from>
      <xdr:col>171</xdr:col>
      <xdr:colOff>30603</xdr:colOff>
      <xdr:row>1049</xdr:row>
      <xdr:rowOff>15301</xdr:rowOff>
    </xdr:from>
    <xdr:to>
      <xdr:col>178</xdr:col>
      <xdr:colOff>107109</xdr:colOff>
      <xdr:row>1053</xdr:row>
      <xdr:rowOff>93011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940E8FC3-C7FC-B64E-BB93-B7AE4CFC9903}"/>
            </a:ext>
          </a:extLst>
        </xdr:cNvPr>
        <xdr:cNvSpPr txBox="1"/>
      </xdr:nvSpPr>
      <xdr:spPr>
        <a:xfrm>
          <a:off x="20962651" y="128423012"/>
          <a:ext cx="933374" cy="5673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28'</a:t>
          </a:r>
        </a:p>
      </xdr:txBody>
    </xdr:sp>
    <xdr:clientData/>
  </xdr:twoCellAnchor>
  <xdr:twoCellAnchor>
    <xdr:from>
      <xdr:col>112</xdr:col>
      <xdr:colOff>68036</xdr:colOff>
      <xdr:row>1121</xdr:row>
      <xdr:rowOff>22679</xdr:rowOff>
    </xdr:from>
    <xdr:to>
      <xdr:col>120</xdr:col>
      <xdr:colOff>115815</xdr:colOff>
      <xdr:row>1125</xdr:row>
      <xdr:rowOff>126788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E410EC08-7F36-B24A-BF52-964219B9EDF8}"/>
            </a:ext>
          </a:extLst>
        </xdr:cNvPr>
        <xdr:cNvSpPr txBox="1"/>
      </xdr:nvSpPr>
      <xdr:spPr>
        <a:xfrm>
          <a:off x="15308036" y="152558750"/>
          <a:ext cx="1136350" cy="6483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26'</a:t>
          </a:r>
        </a:p>
      </xdr:txBody>
    </xdr:sp>
    <xdr:clientData/>
  </xdr:twoCellAnchor>
  <xdr:twoCellAnchor>
    <xdr:from>
      <xdr:col>23</xdr:col>
      <xdr:colOff>74870</xdr:colOff>
      <xdr:row>975</xdr:row>
      <xdr:rowOff>39404</xdr:rowOff>
    </xdr:from>
    <xdr:to>
      <xdr:col>61</xdr:col>
      <xdr:colOff>16268</xdr:colOff>
      <xdr:row>1004</xdr:row>
      <xdr:rowOff>86836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D2681DD0-2C19-3E4D-A5FF-4069233ED1E4}"/>
            </a:ext>
          </a:extLst>
        </xdr:cNvPr>
        <xdr:cNvGrpSpPr/>
      </xdr:nvGrpSpPr>
      <xdr:grpSpPr>
        <a:xfrm rot="3426135">
          <a:off x="3429170" y="120339738"/>
          <a:ext cx="3640603" cy="4649691"/>
          <a:chOff x="21448891" y="25973857"/>
          <a:chExt cx="1382889" cy="1449245"/>
        </a:xfrm>
      </xdr:grpSpPr>
      <xdr:cxnSp macro="">
        <xdr:nvCxnSpPr>
          <xdr:cNvPr id="115" name="Straight Arrow Connector 114">
            <a:extLst>
              <a:ext uri="{FF2B5EF4-FFF2-40B4-BE49-F238E27FC236}">
                <a16:creationId xmlns:a16="http://schemas.microsoft.com/office/drawing/2014/main" id="{267F48C7-64CC-21C7-1B49-454BA9F653B5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6" name="Straight Connector 115">
            <a:extLst>
              <a:ext uri="{FF2B5EF4-FFF2-40B4-BE49-F238E27FC236}">
                <a16:creationId xmlns:a16="http://schemas.microsoft.com/office/drawing/2014/main" id="{D983E494-6838-34A1-0146-F14F9DCD23E0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56</xdr:col>
      <xdr:colOff>11070</xdr:colOff>
      <xdr:row>972</xdr:row>
      <xdr:rowOff>42332</xdr:rowOff>
    </xdr:from>
    <xdr:to>
      <xdr:col>66</xdr:col>
      <xdr:colOff>83126</xdr:colOff>
      <xdr:row>981</xdr:row>
      <xdr:rowOff>7448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A3C3BC59-7223-674E-931C-34CB9EA92E8B}"/>
            </a:ext>
          </a:extLst>
        </xdr:cNvPr>
        <xdr:cNvSpPr txBox="1"/>
      </xdr:nvSpPr>
      <xdr:spPr>
        <a:xfrm rot="10800000" flipH="1" flipV="1">
          <a:off x="6476525" y="112264150"/>
          <a:ext cx="1226601" cy="10042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6000" baseline="0"/>
            <a:t>N</a:t>
          </a:r>
          <a:endParaRPr lang="en-US" sz="6000"/>
        </a:p>
      </xdr:txBody>
    </xdr:sp>
    <xdr:clientData/>
  </xdr:twoCellAnchor>
  <xdr:twoCellAnchor>
    <xdr:from>
      <xdr:col>149</xdr:col>
      <xdr:colOff>69271</xdr:colOff>
      <xdr:row>922</xdr:row>
      <xdr:rowOff>33479</xdr:rowOff>
    </xdr:from>
    <xdr:to>
      <xdr:col>170</xdr:col>
      <xdr:colOff>115454</xdr:colOff>
      <xdr:row>943</xdr:row>
      <xdr:rowOff>55001</xdr:rowOff>
    </xdr:to>
    <xdr:sp macro="" textlink="">
      <xdr:nvSpPr>
        <xdr:cNvPr id="119" name="Arc 118">
          <a:extLst>
            <a:ext uri="{FF2B5EF4-FFF2-40B4-BE49-F238E27FC236}">
              <a16:creationId xmlns:a16="http://schemas.microsoft.com/office/drawing/2014/main" id="{41DA4D2A-1018-154C-9FB6-9228F810159E}"/>
            </a:ext>
          </a:extLst>
        </xdr:cNvPr>
        <xdr:cNvSpPr/>
      </xdr:nvSpPr>
      <xdr:spPr>
        <a:xfrm rot="16200000">
          <a:off x="19229293" y="120117559"/>
          <a:ext cx="2756907" cy="2781568"/>
        </a:xfrm>
        <a:prstGeom prst="arc">
          <a:avLst/>
        </a:prstGeom>
        <a:ln>
          <a:headEnd type="none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248</xdr:col>
      <xdr:colOff>87409</xdr:colOff>
      <xdr:row>813</xdr:row>
      <xdr:rowOff>77019</xdr:rowOff>
    </xdr:from>
    <xdr:to>
      <xdr:col>444</xdr:col>
      <xdr:colOff>22281</xdr:colOff>
      <xdr:row>927</xdr:row>
      <xdr:rowOff>89123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C0B911F7-D11B-C149-9E27-35E8C270FC86}"/>
            </a:ext>
          </a:extLst>
        </xdr:cNvPr>
        <xdr:cNvCxnSpPr/>
      </xdr:nvCxnSpPr>
      <xdr:spPr>
        <a:xfrm>
          <a:off x="33241093" y="108762282"/>
          <a:ext cx="26136977" cy="15252104"/>
        </a:xfrm>
        <a:prstGeom prst="line">
          <a:avLst/>
        </a:prstGeom>
        <a:ln w="3175"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110986</xdr:colOff>
      <xdr:row>1040</xdr:row>
      <xdr:rowOff>55768</xdr:rowOff>
    </xdr:from>
    <xdr:to>
      <xdr:col>109</xdr:col>
      <xdr:colOff>83377</xdr:colOff>
      <xdr:row>1045</xdr:row>
      <xdr:rowOff>35637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AB7D3DC-FC50-8D48-920E-8AF9A7103542}"/>
            </a:ext>
          </a:extLst>
        </xdr:cNvPr>
        <xdr:cNvSpPr txBox="1"/>
      </xdr:nvSpPr>
      <xdr:spPr>
        <a:xfrm>
          <a:off x="12556986" y="131246768"/>
          <a:ext cx="1369391" cy="614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4' - 6"</a:t>
          </a:r>
          <a:endParaRPr lang="en-US" sz="3200"/>
        </a:p>
      </xdr:txBody>
    </xdr:sp>
    <xdr:clientData/>
  </xdr:twoCellAnchor>
  <xdr:twoCellAnchor>
    <xdr:from>
      <xdr:col>74</xdr:col>
      <xdr:colOff>20430</xdr:colOff>
      <xdr:row>1040</xdr:row>
      <xdr:rowOff>55217</xdr:rowOff>
    </xdr:from>
    <xdr:to>
      <xdr:col>84</xdr:col>
      <xdr:colOff>119821</xdr:colOff>
      <xdr:row>1045</xdr:row>
      <xdr:rowOff>35086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A02796EF-C738-214C-AA15-4F263DD6F781}"/>
            </a:ext>
          </a:extLst>
        </xdr:cNvPr>
        <xdr:cNvSpPr txBox="1"/>
      </xdr:nvSpPr>
      <xdr:spPr>
        <a:xfrm>
          <a:off x="9418430" y="131246217"/>
          <a:ext cx="1369391" cy="614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7'</a:t>
          </a:r>
          <a:endParaRPr lang="en-US" sz="3200"/>
        </a:p>
      </xdr:txBody>
    </xdr:sp>
    <xdr:clientData/>
  </xdr:twoCellAnchor>
  <xdr:twoCellAnchor>
    <xdr:from>
      <xdr:col>316</xdr:col>
      <xdr:colOff>93135</xdr:colOff>
      <xdr:row>997</xdr:row>
      <xdr:rowOff>2</xdr:rowOff>
    </xdr:from>
    <xdr:to>
      <xdr:col>331</xdr:col>
      <xdr:colOff>93136</xdr:colOff>
      <xdr:row>1001</xdr:row>
      <xdr:rowOff>104111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1BE0C4EF-8EE0-9247-8E97-A7AC178AE90A}"/>
            </a:ext>
          </a:extLst>
        </xdr:cNvPr>
        <xdr:cNvSpPr txBox="1"/>
      </xdr:nvSpPr>
      <xdr:spPr>
        <a:xfrm>
          <a:off x="10380135" y="126746002"/>
          <a:ext cx="1905001" cy="6121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12'</a:t>
          </a:r>
        </a:p>
      </xdr:txBody>
    </xdr:sp>
    <xdr:clientData/>
  </xdr:twoCellAnchor>
  <xdr:twoCellAnchor>
    <xdr:from>
      <xdr:col>367</xdr:col>
      <xdr:colOff>67735</xdr:colOff>
      <xdr:row>997</xdr:row>
      <xdr:rowOff>2</xdr:rowOff>
    </xdr:from>
    <xdr:to>
      <xdr:col>382</xdr:col>
      <xdr:colOff>67736</xdr:colOff>
      <xdr:row>1001</xdr:row>
      <xdr:rowOff>104111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5888853B-DD92-A44A-A20B-71EE9A063C59}"/>
            </a:ext>
          </a:extLst>
        </xdr:cNvPr>
        <xdr:cNvSpPr txBox="1"/>
      </xdr:nvSpPr>
      <xdr:spPr>
        <a:xfrm>
          <a:off x="16831735" y="126746002"/>
          <a:ext cx="1905001" cy="6121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12'</a:t>
          </a:r>
        </a:p>
      </xdr:txBody>
    </xdr:sp>
    <xdr:clientData/>
  </xdr:twoCellAnchor>
  <xdr:twoCellAnchor>
    <xdr:from>
      <xdr:col>350</xdr:col>
      <xdr:colOff>108572</xdr:colOff>
      <xdr:row>1047</xdr:row>
      <xdr:rowOff>131481</xdr:rowOff>
    </xdr:from>
    <xdr:to>
      <xdr:col>363</xdr:col>
      <xdr:colOff>104589</xdr:colOff>
      <xdr:row>1052</xdr:row>
      <xdr:rowOff>100122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FBE6F590-8957-674D-9DBA-34047955116E}"/>
            </a:ext>
          </a:extLst>
        </xdr:cNvPr>
        <xdr:cNvSpPr txBox="1"/>
      </xdr:nvSpPr>
      <xdr:spPr>
        <a:xfrm>
          <a:off x="14713572" y="133227481"/>
          <a:ext cx="1647017" cy="6036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12' - 6"</a:t>
          </a:r>
        </a:p>
      </xdr:txBody>
    </xdr:sp>
    <xdr:clientData/>
  </xdr:twoCellAnchor>
  <xdr:twoCellAnchor>
    <xdr:from>
      <xdr:col>352</xdr:col>
      <xdr:colOff>55760</xdr:colOff>
      <xdr:row>1011</xdr:row>
      <xdr:rowOff>117715</xdr:rowOff>
    </xdr:from>
    <xdr:to>
      <xdr:col>359</xdr:col>
      <xdr:colOff>83369</xdr:colOff>
      <xdr:row>1016</xdr:row>
      <xdr:rowOff>97586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8DF8AB18-6DAE-A644-A792-1FEF38FDB274}"/>
            </a:ext>
          </a:extLst>
        </xdr:cNvPr>
        <xdr:cNvSpPr txBox="1"/>
      </xdr:nvSpPr>
      <xdr:spPr>
        <a:xfrm>
          <a:off x="43669419" y="125383081"/>
          <a:ext cx="894926" cy="5993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5'</a:t>
          </a:r>
          <a:endParaRPr lang="en-US" sz="3200"/>
        </a:p>
      </xdr:txBody>
    </xdr:sp>
    <xdr:clientData/>
  </xdr:twoCellAnchor>
  <xdr:twoCellAnchor>
    <xdr:from>
      <xdr:col>406</xdr:col>
      <xdr:colOff>30603</xdr:colOff>
      <xdr:row>1048</xdr:row>
      <xdr:rowOff>15301</xdr:rowOff>
    </xdr:from>
    <xdr:to>
      <xdr:col>413</xdr:col>
      <xdr:colOff>107109</xdr:colOff>
      <xdr:row>1052</xdr:row>
      <xdr:rowOff>93011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8E084725-25DA-DE4D-A2EE-969955585D32}"/>
            </a:ext>
          </a:extLst>
        </xdr:cNvPr>
        <xdr:cNvSpPr txBox="1"/>
      </xdr:nvSpPr>
      <xdr:spPr>
        <a:xfrm>
          <a:off x="21747603" y="133238301"/>
          <a:ext cx="965506" cy="585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29'</a:t>
          </a:r>
        </a:p>
      </xdr:txBody>
    </xdr:sp>
    <xdr:clientData/>
  </xdr:twoCellAnchor>
  <xdr:twoCellAnchor>
    <xdr:from>
      <xdr:col>333</xdr:col>
      <xdr:colOff>110986</xdr:colOff>
      <xdr:row>1032</xdr:row>
      <xdr:rowOff>55768</xdr:rowOff>
    </xdr:from>
    <xdr:to>
      <xdr:col>341</xdr:col>
      <xdr:colOff>67734</xdr:colOff>
      <xdr:row>1037</xdr:row>
      <xdr:rowOff>35637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C075ADF8-4763-1844-85DC-0B8CE76477DA}"/>
            </a:ext>
          </a:extLst>
        </xdr:cNvPr>
        <xdr:cNvSpPr txBox="1"/>
      </xdr:nvSpPr>
      <xdr:spPr>
        <a:xfrm>
          <a:off x="45221386" y="140805635"/>
          <a:ext cx="1040481" cy="657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4'</a:t>
          </a:r>
          <a:endParaRPr lang="en-US" sz="3200"/>
        </a:p>
      </xdr:txBody>
    </xdr:sp>
    <xdr:clientData/>
  </xdr:twoCellAnchor>
  <xdr:twoCellAnchor>
    <xdr:from>
      <xdr:col>309</xdr:col>
      <xdr:colOff>20430</xdr:colOff>
      <xdr:row>1032</xdr:row>
      <xdr:rowOff>55217</xdr:rowOff>
    </xdr:from>
    <xdr:to>
      <xdr:col>319</xdr:col>
      <xdr:colOff>119821</xdr:colOff>
      <xdr:row>1037</xdr:row>
      <xdr:rowOff>35086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D3AD9437-8921-114A-852D-AA050C319E57}"/>
            </a:ext>
          </a:extLst>
        </xdr:cNvPr>
        <xdr:cNvSpPr txBox="1"/>
      </xdr:nvSpPr>
      <xdr:spPr>
        <a:xfrm>
          <a:off x="41879630" y="140805084"/>
          <a:ext cx="1454058" cy="657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7' - 6"</a:t>
          </a:r>
          <a:endParaRPr lang="en-US" sz="3200"/>
        </a:p>
      </xdr:txBody>
    </xdr:sp>
    <xdr:clientData/>
  </xdr:twoCellAnchor>
  <xdr:twoCellAnchor>
    <xdr:from>
      <xdr:col>352</xdr:col>
      <xdr:colOff>101600</xdr:colOff>
      <xdr:row>1094</xdr:row>
      <xdr:rowOff>101601</xdr:rowOff>
    </xdr:from>
    <xdr:to>
      <xdr:col>359</xdr:col>
      <xdr:colOff>129209</xdr:colOff>
      <xdr:row>1099</xdr:row>
      <xdr:rowOff>81469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71F74113-9A9A-A24B-AAE4-C2F9884BF0EE}"/>
            </a:ext>
          </a:extLst>
        </xdr:cNvPr>
        <xdr:cNvSpPr txBox="1"/>
      </xdr:nvSpPr>
      <xdr:spPr>
        <a:xfrm>
          <a:off x="44805600" y="138531601"/>
          <a:ext cx="916609" cy="6148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9'</a:t>
          </a:r>
          <a:endParaRPr lang="en-US" sz="3200"/>
        </a:p>
      </xdr:txBody>
    </xdr:sp>
    <xdr:clientData/>
  </xdr:twoCellAnchor>
  <xdr:twoCellAnchor>
    <xdr:from>
      <xdr:col>347</xdr:col>
      <xdr:colOff>68036</xdr:colOff>
      <xdr:row>1124</xdr:row>
      <xdr:rowOff>22679</xdr:rowOff>
    </xdr:from>
    <xdr:to>
      <xdr:col>355</xdr:col>
      <xdr:colOff>115815</xdr:colOff>
      <xdr:row>1128</xdr:row>
      <xdr:rowOff>126788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127A2C9-750F-0B4D-B26A-B167D3C3AF9A}"/>
            </a:ext>
          </a:extLst>
        </xdr:cNvPr>
        <xdr:cNvSpPr txBox="1"/>
      </xdr:nvSpPr>
      <xdr:spPr>
        <a:xfrm>
          <a:off x="44137036" y="142262679"/>
          <a:ext cx="1063779" cy="6121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26'</a:t>
          </a:r>
        </a:p>
      </xdr:txBody>
    </xdr:sp>
    <xdr:clientData/>
  </xdr:twoCellAnchor>
  <xdr:twoCellAnchor>
    <xdr:from>
      <xdr:col>267</xdr:col>
      <xdr:colOff>41481</xdr:colOff>
      <xdr:row>1182</xdr:row>
      <xdr:rowOff>41179</xdr:rowOff>
    </xdr:from>
    <xdr:to>
      <xdr:col>472</xdr:col>
      <xdr:colOff>49140</xdr:colOff>
      <xdr:row>1302</xdr:row>
      <xdr:rowOff>11239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700B2819-8960-B345-8216-982F2C509182}"/>
            </a:ext>
          </a:extLst>
        </xdr:cNvPr>
        <xdr:cNvCxnSpPr/>
      </xdr:nvCxnSpPr>
      <xdr:spPr>
        <a:xfrm>
          <a:off x="35735165" y="158055916"/>
          <a:ext cx="27412922" cy="16012165"/>
        </a:xfrm>
        <a:prstGeom prst="line">
          <a:avLst/>
        </a:prstGeom>
        <a:ln w="3175"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274</xdr:col>
      <xdr:colOff>87409</xdr:colOff>
      <xdr:row>1181</xdr:row>
      <xdr:rowOff>77019</xdr:rowOff>
    </xdr:from>
    <xdr:to>
      <xdr:col>470</xdr:col>
      <xdr:colOff>22281</xdr:colOff>
      <xdr:row>1295</xdr:row>
      <xdr:rowOff>89123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55507C95-6188-AA46-86DA-B6483A62F26C}"/>
            </a:ext>
          </a:extLst>
        </xdr:cNvPr>
        <xdr:cNvCxnSpPr/>
      </xdr:nvCxnSpPr>
      <xdr:spPr>
        <a:xfrm>
          <a:off x="37882609" y="123978219"/>
          <a:ext cx="29805272" cy="17385704"/>
        </a:xfrm>
        <a:prstGeom prst="line">
          <a:avLst/>
        </a:prstGeom>
        <a:ln w="3175"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422</xdr:col>
      <xdr:colOff>4779</xdr:colOff>
      <xdr:row>1200</xdr:row>
      <xdr:rowOff>4777</xdr:rowOff>
    </xdr:from>
    <xdr:to>
      <xdr:col>431</xdr:col>
      <xdr:colOff>118140</xdr:colOff>
      <xdr:row>1209</xdr:row>
      <xdr:rowOff>118139</xdr:rowOff>
    </xdr:to>
    <xdr:sp macro="" textlink="">
      <xdr:nvSpPr>
        <xdr:cNvPr id="46" name="Oval 45">
          <a:extLst>
            <a:ext uri="{FF2B5EF4-FFF2-40B4-BE49-F238E27FC236}">
              <a16:creationId xmlns:a16="http://schemas.microsoft.com/office/drawing/2014/main" id="{365211F8-4A9D-09CB-AC8F-FB6A6D9573D9}"/>
            </a:ext>
          </a:extLst>
        </xdr:cNvPr>
        <xdr:cNvSpPr/>
      </xdr:nvSpPr>
      <xdr:spPr>
        <a:xfrm>
          <a:off x="56091523" y="159493149"/>
          <a:ext cx="1309524" cy="13095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139</xdr:col>
      <xdr:colOff>81280</xdr:colOff>
      <xdr:row>1420</xdr:row>
      <xdr:rowOff>0</xdr:rowOff>
    </xdr:from>
    <xdr:to>
      <xdr:col>176</xdr:col>
      <xdr:colOff>109753</xdr:colOff>
      <xdr:row>1484</xdr:row>
      <xdr:rowOff>0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C3F8AE26-04C7-2741-9E60-F6221EE07625}"/>
            </a:ext>
          </a:extLst>
        </xdr:cNvPr>
        <xdr:cNvCxnSpPr/>
      </xdr:nvCxnSpPr>
      <xdr:spPr>
        <a:xfrm>
          <a:off x="18115280" y="180340000"/>
          <a:ext cx="4727473" cy="8128000"/>
        </a:xfrm>
        <a:prstGeom prst="line">
          <a:avLst/>
        </a:prstGeom>
        <a:ln w="3175"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30BC0-96C4-4C43-B896-6D3FE0436282}">
  <sheetPr codeName="Sheet1"/>
  <dimension ref="D4:V70"/>
  <sheetViews>
    <sheetView topLeftCell="M19" zoomScale="150" zoomScaleNormal="130" workbookViewId="0">
      <selection activeCell="V38" sqref="V38"/>
    </sheetView>
  </sheetViews>
  <sheetFormatPr baseColWidth="10" defaultRowHeight="16"/>
  <cols>
    <col min="4" max="4" width="28.5" customWidth="1"/>
    <col min="5" max="5" width="10.33203125" customWidth="1"/>
    <col min="6" max="6" width="11.6640625" customWidth="1"/>
    <col min="13" max="13" width="14.1640625" customWidth="1"/>
    <col min="19" max="19" width="11.6640625" bestFit="1" customWidth="1"/>
    <col min="22" max="22" width="29.6640625" customWidth="1"/>
  </cols>
  <sheetData>
    <row r="4" spans="4:20" ht="19">
      <c r="D4" s="99" t="s">
        <v>0</v>
      </c>
      <c r="E4" s="99"/>
      <c r="F4" s="99"/>
      <c r="G4">
        <v>47</v>
      </c>
      <c r="H4">
        <f>G4/2</f>
        <v>23.5</v>
      </c>
      <c r="I4">
        <f>H4+0.75</f>
        <v>24.25</v>
      </c>
      <c r="L4" t="s">
        <v>153</v>
      </c>
      <c r="N4">
        <v>60</v>
      </c>
      <c r="O4" s="273" t="s">
        <v>156</v>
      </c>
    </row>
    <row r="5" spans="4:20" ht="19">
      <c r="D5" s="99" t="s">
        <v>1</v>
      </c>
      <c r="E5" s="99"/>
      <c r="F5" s="99"/>
      <c r="G5">
        <v>59</v>
      </c>
      <c r="H5">
        <f>G5/2</f>
        <v>29.5</v>
      </c>
      <c r="I5">
        <f>H5+0.75</f>
        <v>30.25</v>
      </c>
      <c r="L5" t="s">
        <v>154</v>
      </c>
      <c r="N5">
        <f>150-N4</f>
        <v>90</v>
      </c>
      <c r="O5" t="s">
        <v>157</v>
      </c>
    </row>
    <row r="6" spans="4:20" ht="19">
      <c r="D6" s="99" t="s">
        <v>2</v>
      </c>
      <c r="E6" s="99"/>
      <c r="F6" s="99"/>
    </row>
    <row r="7" spans="4:20" ht="19">
      <c r="D7" s="99" t="s">
        <v>3</v>
      </c>
      <c r="E7" s="99"/>
      <c r="F7" s="99"/>
      <c r="I7">
        <v>34</v>
      </c>
      <c r="J7">
        <v>34</v>
      </c>
      <c r="L7" t="s">
        <v>158</v>
      </c>
      <c r="N7">
        <f>N5/O7-1</f>
        <v>10.25</v>
      </c>
      <c r="O7">
        <v>8</v>
      </c>
    </row>
    <row r="8" spans="4:20" ht="19">
      <c r="D8" s="99" t="s">
        <v>4</v>
      </c>
      <c r="E8" s="99"/>
      <c r="F8" s="99"/>
      <c r="I8">
        <v>44</v>
      </c>
      <c r="J8">
        <v>32</v>
      </c>
      <c r="L8" t="s">
        <v>159</v>
      </c>
      <c r="N8">
        <f>N4/O8 -1</f>
        <v>6.0588235294117645</v>
      </c>
      <c r="O8">
        <v>8.5</v>
      </c>
      <c r="Q8" t="s">
        <v>166</v>
      </c>
    </row>
    <row r="9" spans="4:20" ht="19">
      <c r="D9" s="99" t="s">
        <v>5</v>
      </c>
      <c r="E9" s="99"/>
      <c r="F9" s="99"/>
      <c r="I9">
        <f>I8*I7</f>
        <v>1496</v>
      </c>
      <c r="J9">
        <f>J8*J7</f>
        <v>1088</v>
      </c>
      <c r="Q9">
        <v>8</v>
      </c>
      <c r="R9">
        <v>4</v>
      </c>
      <c r="S9">
        <f>R9*Q9</f>
        <v>32</v>
      </c>
    </row>
    <row r="10" spans="4:20">
      <c r="Q10">
        <v>2.5</v>
      </c>
      <c r="R10">
        <v>18</v>
      </c>
      <c r="S10">
        <f t="shared" ref="S10:S12" si="0">R10*Q10</f>
        <v>45</v>
      </c>
    </row>
    <row r="11" spans="4:20">
      <c r="I11">
        <f>60*60/9</f>
        <v>400</v>
      </c>
      <c r="L11" t="s">
        <v>160</v>
      </c>
      <c r="N11">
        <v>20</v>
      </c>
      <c r="O11" t="s">
        <v>155</v>
      </c>
      <c r="Q11">
        <v>1</v>
      </c>
      <c r="R11">
        <v>12</v>
      </c>
      <c r="S11">
        <f t="shared" si="0"/>
        <v>12</v>
      </c>
    </row>
    <row r="12" spans="4:20">
      <c r="E12">
        <f>SUM(E13:E57)</f>
        <v>890</v>
      </c>
      <c r="J12">
        <v>87</v>
      </c>
      <c r="L12" t="s">
        <v>161</v>
      </c>
      <c r="N12">
        <f>N11*12</f>
        <v>240</v>
      </c>
      <c r="Q12">
        <v>1.5</v>
      </c>
      <c r="R12">
        <v>12</v>
      </c>
      <c r="S12">
        <f t="shared" si="0"/>
        <v>18</v>
      </c>
    </row>
    <row r="13" spans="4:20">
      <c r="D13" t="s">
        <v>16</v>
      </c>
      <c r="E13">
        <v>20</v>
      </c>
      <c r="J13">
        <v>158</v>
      </c>
      <c r="L13" t="s">
        <v>162</v>
      </c>
      <c r="N13">
        <v>20</v>
      </c>
      <c r="S13">
        <f>SUM(S9:S12)</f>
        <v>107</v>
      </c>
    </row>
    <row r="14" spans="4:20">
      <c r="D14" t="s">
        <v>17</v>
      </c>
      <c r="J14">
        <v>130</v>
      </c>
      <c r="L14" t="s">
        <v>163</v>
      </c>
      <c r="N14">
        <f>N12/N13</f>
        <v>12</v>
      </c>
      <c r="O14" t="s">
        <v>164</v>
      </c>
    </row>
    <row r="15" spans="4:20">
      <c r="D15" t="s">
        <v>18</v>
      </c>
      <c r="L15" t="s">
        <v>165</v>
      </c>
      <c r="N15">
        <f>N14+1</f>
        <v>13</v>
      </c>
      <c r="P15" t="s">
        <v>170</v>
      </c>
      <c r="Q15">
        <f>Q19/Q22</f>
        <v>1.7142857142857142</v>
      </c>
    </row>
    <row r="16" spans="4:20">
      <c r="D16" t="s">
        <v>19</v>
      </c>
      <c r="H16">
        <f>SUM(H17:H25)</f>
        <v>18</v>
      </c>
      <c r="P16" t="s">
        <v>169</v>
      </c>
      <c r="Q16">
        <f>12*R16</f>
        <v>120</v>
      </c>
      <c r="R16">
        <v>10</v>
      </c>
      <c r="T16">
        <v>28.25</v>
      </c>
    </row>
    <row r="17" spans="4:21">
      <c r="D17" t="s">
        <v>20</v>
      </c>
      <c r="E17">
        <v>10</v>
      </c>
      <c r="G17" t="s">
        <v>8</v>
      </c>
      <c r="H17">
        <v>6</v>
      </c>
      <c r="J17">
        <f>SQRT(J14^2 + J12^2)</f>
        <v>156.42570121306792</v>
      </c>
      <c r="P17" t="s">
        <v>167</v>
      </c>
      <c r="Q17">
        <f>Q16+6</f>
        <v>126</v>
      </c>
      <c r="R17">
        <f>Q17/12</f>
        <v>10.5</v>
      </c>
      <c r="T17">
        <v>32</v>
      </c>
      <c r="U17">
        <f>T17*T16</f>
        <v>904</v>
      </c>
    </row>
    <row r="18" spans="4:21">
      <c r="D18" t="s">
        <v>21</v>
      </c>
      <c r="E18">
        <v>10</v>
      </c>
      <c r="G18" t="s">
        <v>9</v>
      </c>
      <c r="H18">
        <v>2</v>
      </c>
      <c r="P18" t="s">
        <v>168</v>
      </c>
      <c r="Q18">
        <f>Q17*Q15</f>
        <v>216</v>
      </c>
      <c r="R18">
        <f>Q18/12</f>
        <v>18</v>
      </c>
    </row>
    <row r="19" spans="4:21">
      <c r="D19" t="s">
        <v>22</v>
      </c>
      <c r="E19">
        <v>5</v>
      </c>
      <c r="G19" t="s">
        <v>10</v>
      </c>
      <c r="H19">
        <v>2</v>
      </c>
      <c r="I19">
        <v>146</v>
      </c>
      <c r="J19">
        <f>I19/12</f>
        <v>12.166666666666666</v>
      </c>
      <c r="P19" t="s">
        <v>171</v>
      </c>
      <c r="Q19">
        <v>12</v>
      </c>
      <c r="T19">
        <v>28</v>
      </c>
    </row>
    <row r="20" spans="4:21">
      <c r="D20" t="s">
        <v>23</v>
      </c>
      <c r="E20">
        <v>5</v>
      </c>
      <c r="G20" t="s">
        <v>7</v>
      </c>
      <c r="H20">
        <v>1.5</v>
      </c>
      <c r="P20" t="s">
        <v>173</v>
      </c>
      <c r="Q20">
        <f>Q18-Q19</f>
        <v>204</v>
      </c>
      <c r="R20">
        <f>Q20/12</f>
        <v>17</v>
      </c>
      <c r="T20">
        <v>35.5</v>
      </c>
      <c r="U20">
        <f>T20*T19</f>
        <v>994</v>
      </c>
    </row>
    <row r="21" spans="4:21">
      <c r="D21" t="s">
        <v>24</v>
      </c>
      <c r="E21">
        <v>10</v>
      </c>
      <c r="G21" t="s">
        <v>11</v>
      </c>
      <c r="H21">
        <v>1.5</v>
      </c>
      <c r="P21" t="s">
        <v>172</v>
      </c>
      <c r="Q21">
        <f>Q20/Q19</f>
        <v>17</v>
      </c>
    </row>
    <row r="22" spans="4:21">
      <c r="D22" t="s">
        <v>25</v>
      </c>
      <c r="E22">
        <v>5</v>
      </c>
      <c r="G22" t="s">
        <v>12</v>
      </c>
      <c r="H22">
        <v>1</v>
      </c>
      <c r="P22" t="s">
        <v>174</v>
      </c>
      <c r="Q22">
        <v>7</v>
      </c>
      <c r="U22">
        <f>U20-U17</f>
        <v>90</v>
      </c>
    </row>
    <row r="23" spans="4:21">
      <c r="D23" t="s">
        <v>26</v>
      </c>
      <c r="E23">
        <v>5</v>
      </c>
      <c r="G23" t="s">
        <v>13</v>
      </c>
      <c r="H23">
        <v>1</v>
      </c>
      <c r="I23">
        <v>51</v>
      </c>
      <c r="J23">
        <f>I23/2</f>
        <v>25.5</v>
      </c>
      <c r="M23">
        <v>49</v>
      </c>
      <c r="N23">
        <f>M23/2</f>
        <v>24.5</v>
      </c>
      <c r="P23" t="s">
        <v>175</v>
      </c>
      <c r="Q23">
        <f>Q22*(Q21+1)</f>
        <v>126</v>
      </c>
    </row>
    <row r="24" spans="4:21">
      <c r="D24" t="s">
        <v>27</v>
      </c>
      <c r="E24">
        <v>5</v>
      </c>
      <c r="G24" t="s">
        <v>14</v>
      </c>
      <c r="H24">
        <v>1</v>
      </c>
      <c r="I24">
        <v>50</v>
      </c>
      <c r="J24">
        <f t="shared" ref="J24:J26" si="1">I24/2</f>
        <v>25</v>
      </c>
      <c r="K24">
        <f>J24*J23</f>
        <v>637.5</v>
      </c>
      <c r="M24">
        <v>56</v>
      </c>
      <c r="N24">
        <f t="shared" ref="N24" si="2">M24/2</f>
        <v>28</v>
      </c>
    </row>
    <row r="25" spans="4:21">
      <c r="G25" t="s">
        <v>15</v>
      </c>
      <c r="H25">
        <v>2</v>
      </c>
      <c r="I25">
        <v>17</v>
      </c>
      <c r="J25">
        <f t="shared" si="1"/>
        <v>8.5</v>
      </c>
      <c r="P25" t="s">
        <v>176</v>
      </c>
      <c r="Q25">
        <f>(R16-7)*Q15</f>
        <v>5.1428571428571423</v>
      </c>
      <c r="S25" t="s">
        <v>112</v>
      </c>
      <c r="T25">
        <v>140</v>
      </c>
    </row>
    <row r="26" spans="4:21">
      <c r="D26" t="s">
        <v>28</v>
      </c>
      <c r="E26">
        <v>20</v>
      </c>
      <c r="I26">
        <v>28</v>
      </c>
      <c r="J26">
        <f t="shared" si="1"/>
        <v>14</v>
      </c>
      <c r="K26">
        <f>J26*J25</f>
        <v>119</v>
      </c>
      <c r="M26">
        <v>54</v>
      </c>
      <c r="N26">
        <f>M26/2</f>
        <v>27</v>
      </c>
      <c r="S26" t="s">
        <v>235</v>
      </c>
      <c r="T26">
        <v>90</v>
      </c>
    </row>
    <row r="27" spans="4:21">
      <c r="D27" t="s">
        <v>29</v>
      </c>
      <c r="E27">
        <v>5</v>
      </c>
      <c r="M27">
        <v>47</v>
      </c>
      <c r="N27">
        <f t="shared" ref="N27" si="3">M27/2</f>
        <v>23.5</v>
      </c>
      <c r="S27" t="s">
        <v>236</v>
      </c>
      <c r="T27">
        <v>157</v>
      </c>
    </row>
    <row r="28" spans="4:21">
      <c r="D28" t="s">
        <v>32</v>
      </c>
      <c r="G28" t="s">
        <v>9</v>
      </c>
      <c r="H28">
        <v>2</v>
      </c>
      <c r="K28">
        <f>K26+K24</f>
        <v>756.5</v>
      </c>
      <c r="S28" t="s">
        <v>237</v>
      </c>
      <c r="T28">
        <v>121</v>
      </c>
    </row>
    <row r="29" spans="4:21">
      <c r="D29" t="s">
        <v>30</v>
      </c>
      <c r="E29">
        <v>10</v>
      </c>
      <c r="G29" t="s">
        <v>46</v>
      </c>
      <c r="H29">
        <v>1</v>
      </c>
      <c r="M29">
        <v>55</v>
      </c>
      <c r="N29">
        <f>M29/2</f>
        <v>27.5</v>
      </c>
      <c r="S29" t="s">
        <v>238</v>
      </c>
      <c r="T29">
        <v>186</v>
      </c>
    </row>
    <row r="30" spans="4:21">
      <c r="D30" t="s">
        <v>31</v>
      </c>
      <c r="E30">
        <v>5</v>
      </c>
      <c r="G30" t="s">
        <v>47</v>
      </c>
      <c r="H30">
        <v>2</v>
      </c>
      <c r="I30">
        <v>76</v>
      </c>
      <c r="J30">
        <f t="shared" ref="J30:J31" si="4">I30/2</f>
        <v>38</v>
      </c>
      <c r="M30">
        <v>65</v>
      </c>
      <c r="N30">
        <f t="shared" ref="N30" si="5">M30/2</f>
        <v>32.5</v>
      </c>
      <c r="O30">
        <f>N30*N29</f>
        <v>893.75</v>
      </c>
      <c r="S30" t="s">
        <v>239</v>
      </c>
      <c r="T30">
        <v>174</v>
      </c>
    </row>
    <row r="31" spans="4:21">
      <c r="D31" t="s">
        <v>33</v>
      </c>
      <c r="E31">
        <v>10</v>
      </c>
      <c r="G31" t="s">
        <v>48</v>
      </c>
      <c r="H31">
        <v>1</v>
      </c>
      <c r="I31">
        <v>50</v>
      </c>
      <c r="J31">
        <f t="shared" si="4"/>
        <v>25</v>
      </c>
      <c r="K31">
        <f>J31*J30</f>
        <v>950</v>
      </c>
    </row>
    <row r="32" spans="4:21">
      <c r="D32" t="s">
        <v>34</v>
      </c>
      <c r="E32">
        <v>50</v>
      </c>
      <c r="G32" t="s">
        <v>49</v>
      </c>
      <c r="H32">
        <v>4</v>
      </c>
    </row>
    <row r="33" spans="4:22">
      <c r="D33" t="s">
        <v>36</v>
      </c>
      <c r="E33">
        <v>5</v>
      </c>
      <c r="I33">
        <v>72</v>
      </c>
      <c r="J33">
        <f t="shared" ref="J33:J34" si="6">I33/2</f>
        <v>36</v>
      </c>
      <c r="M33" t="s">
        <v>230</v>
      </c>
      <c r="N33">
        <v>4</v>
      </c>
      <c r="T33">
        <v>70</v>
      </c>
      <c r="U33">
        <v>70</v>
      </c>
      <c r="V33" t="s">
        <v>237</v>
      </c>
    </row>
    <row r="34" spans="4:22">
      <c r="D34" t="s">
        <v>37</v>
      </c>
      <c r="E34">
        <v>5</v>
      </c>
      <c r="I34">
        <v>64</v>
      </c>
      <c r="J34">
        <f t="shared" si="6"/>
        <v>32</v>
      </c>
      <c r="K34">
        <f>J34*J33</f>
        <v>1152</v>
      </c>
      <c r="M34" t="s">
        <v>231</v>
      </c>
      <c r="N34">
        <f>(N33+1)*7 + 5</f>
        <v>40</v>
      </c>
      <c r="O34" t="s">
        <v>232</v>
      </c>
      <c r="T34">
        <v>148</v>
      </c>
      <c r="U34">
        <v>137</v>
      </c>
      <c r="V34" t="s">
        <v>112</v>
      </c>
    </row>
    <row r="35" spans="4:22">
      <c r="D35" t="s">
        <v>38</v>
      </c>
      <c r="M35" t="s">
        <v>233</v>
      </c>
      <c r="N35">
        <f>INT(N34/12)</f>
        <v>3</v>
      </c>
      <c r="O35">
        <f>MOD(N34,12)</f>
        <v>4</v>
      </c>
      <c r="T35">
        <v>37</v>
      </c>
      <c r="U35">
        <v>44</v>
      </c>
      <c r="V35" t="s">
        <v>235</v>
      </c>
    </row>
    <row r="36" spans="4:22">
      <c r="D36" t="s">
        <v>41</v>
      </c>
      <c r="I36">
        <v>85</v>
      </c>
      <c r="J36">
        <f t="shared" ref="J36:J37" si="7">I36/2</f>
        <v>42.5</v>
      </c>
      <c r="M36" t="s">
        <v>234</v>
      </c>
      <c r="N36">
        <f>126-N34</f>
        <v>86</v>
      </c>
      <c r="T36">
        <v>68</v>
      </c>
      <c r="U36">
        <v>62</v>
      </c>
      <c r="V36" t="s">
        <v>242</v>
      </c>
    </row>
    <row r="37" spans="4:22">
      <c r="I37">
        <v>50</v>
      </c>
      <c r="J37">
        <f t="shared" si="7"/>
        <v>25</v>
      </c>
      <c r="K37">
        <f>J37*J36</f>
        <v>1062.5</v>
      </c>
      <c r="M37" t="s">
        <v>233</v>
      </c>
      <c r="N37">
        <f>INT(N36/12)</f>
        <v>7</v>
      </c>
      <c r="O37">
        <f>MOD(N36,12)</f>
        <v>2</v>
      </c>
      <c r="T37">
        <v>95</v>
      </c>
      <c r="U37">
        <v>83</v>
      </c>
      <c r="V37" t="s">
        <v>243</v>
      </c>
    </row>
    <row r="38" spans="4:22">
      <c r="I38">
        <v>64</v>
      </c>
      <c r="J38">
        <f t="shared" ref="J38:J39" si="8">I38/2</f>
        <v>32</v>
      </c>
      <c r="T38">
        <v>10</v>
      </c>
      <c r="U38">
        <v>12</v>
      </c>
    </row>
    <row r="39" spans="4:22">
      <c r="D39" t="s">
        <v>39</v>
      </c>
      <c r="E39">
        <v>25</v>
      </c>
      <c r="I39">
        <v>72</v>
      </c>
      <c r="J39">
        <f t="shared" si="8"/>
        <v>36</v>
      </c>
      <c r="K39">
        <f>J39*J38</f>
        <v>1152</v>
      </c>
      <c r="U39">
        <v>148</v>
      </c>
      <c r="V39" t="s">
        <v>241</v>
      </c>
    </row>
    <row r="40" spans="4:22">
      <c r="D40" t="s">
        <v>40</v>
      </c>
      <c r="E40">
        <v>5</v>
      </c>
      <c r="U40">
        <v>155</v>
      </c>
      <c r="V40" t="s">
        <v>238</v>
      </c>
    </row>
    <row r="41" spans="4:22">
      <c r="D41" t="s">
        <v>35</v>
      </c>
      <c r="E41">
        <v>20</v>
      </c>
    </row>
    <row r="42" spans="4:22">
      <c r="D42" t="s">
        <v>44</v>
      </c>
      <c r="E42">
        <v>150</v>
      </c>
      <c r="I42">
        <v>68</v>
      </c>
      <c r="J42">
        <f t="shared" ref="J42:J43" si="9">I42/2</f>
        <v>34</v>
      </c>
    </row>
    <row r="43" spans="4:22">
      <c r="D43" t="s">
        <v>42</v>
      </c>
      <c r="E43">
        <v>5</v>
      </c>
      <c r="I43">
        <v>50</v>
      </c>
      <c r="J43">
        <f t="shared" si="9"/>
        <v>25</v>
      </c>
      <c r="K43">
        <f>J43*J42</f>
        <v>850</v>
      </c>
      <c r="N43">
        <v>53</v>
      </c>
      <c r="O43">
        <v>62</v>
      </c>
      <c r="P43">
        <f>O43*N43/4</f>
        <v>821.5</v>
      </c>
    </row>
    <row r="44" spans="4:22">
      <c r="D44" t="s">
        <v>43</v>
      </c>
      <c r="E44">
        <v>500</v>
      </c>
      <c r="N44">
        <v>27</v>
      </c>
      <c r="O44">
        <v>14</v>
      </c>
      <c r="P44">
        <f t="shared" ref="P44:P50" si="10">O44*N44/4</f>
        <v>94.5</v>
      </c>
    </row>
    <row r="45" spans="4:22">
      <c r="I45">
        <v>76</v>
      </c>
      <c r="J45">
        <f t="shared" ref="J45:J46" si="11">I45/2</f>
        <v>38</v>
      </c>
      <c r="N45">
        <v>11</v>
      </c>
      <c r="O45">
        <v>13</v>
      </c>
      <c r="P45">
        <f t="shared" si="10"/>
        <v>35.75</v>
      </c>
      <c r="Q45">
        <f>P43-P44-P45</f>
        <v>691.25</v>
      </c>
    </row>
    <row r="46" spans="4:22">
      <c r="I46">
        <v>62</v>
      </c>
      <c r="J46">
        <f t="shared" si="11"/>
        <v>31</v>
      </c>
      <c r="K46">
        <f>J46*J45</f>
        <v>1178</v>
      </c>
    </row>
    <row r="47" spans="4:22">
      <c r="N47">
        <v>24</v>
      </c>
      <c r="O47">
        <v>56</v>
      </c>
      <c r="P47">
        <f t="shared" si="10"/>
        <v>336</v>
      </c>
    </row>
    <row r="48" spans="4:22">
      <c r="I48">
        <v>72</v>
      </c>
      <c r="J48">
        <f t="shared" ref="J48:J57" si="12">I48/2</f>
        <v>36</v>
      </c>
      <c r="N48">
        <v>44</v>
      </c>
      <c r="O48">
        <v>20</v>
      </c>
      <c r="P48">
        <f t="shared" si="10"/>
        <v>220</v>
      </c>
      <c r="Q48">
        <f>P48+P47</f>
        <v>556</v>
      </c>
      <c r="R48">
        <f>Q48*1.2</f>
        <v>667.19999999999993</v>
      </c>
    </row>
    <row r="49" spans="4:19">
      <c r="D49" t="s">
        <v>51</v>
      </c>
      <c r="E49" t="s">
        <v>50</v>
      </c>
      <c r="I49">
        <v>62</v>
      </c>
      <c r="J49">
        <f t="shared" si="12"/>
        <v>31</v>
      </c>
      <c r="K49">
        <f>J49*J48</f>
        <v>1116</v>
      </c>
      <c r="L49">
        <f>K49-K51-K53</f>
        <v>948</v>
      </c>
    </row>
    <row r="50" spans="4:19">
      <c r="D50" t="s">
        <v>52</v>
      </c>
      <c r="E50" t="s">
        <v>53</v>
      </c>
      <c r="I50">
        <v>22</v>
      </c>
      <c r="J50">
        <f t="shared" si="12"/>
        <v>11</v>
      </c>
      <c r="N50">
        <v>52</v>
      </c>
      <c r="O50">
        <v>58</v>
      </c>
      <c r="P50">
        <f t="shared" si="10"/>
        <v>754</v>
      </c>
    </row>
    <row r="51" spans="4:19">
      <c r="D51" t="s">
        <v>54</v>
      </c>
      <c r="E51" t="s">
        <v>55</v>
      </c>
      <c r="I51">
        <v>15</v>
      </c>
      <c r="J51">
        <f t="shared" si="12"/>
        <v>7.5</v>
      </c>
      <c r="K51">
        <f>J51*J50</f>
        <v>82.5</v>
      </c>
    </row>
    <row r="52" spans="4:19">
      <c r="I52">
        <v>38</v>
      </c>
      <c r="J52">
        <f t="shared" si="12"/>
        <v>19</v>
      </c>
      <c r="N52">
        <v>55</v>
      </c>
      <c r="O52">
        <v>65</v>
      </c>
      <c r="P52">
        <f>O52*N52/4</f>
        <v>893.75</v>
      </c>
      <c r="Q52">
        <f>N52*12*2.54</f>
        <v>1676.4</v>
      </c>
      <c r="R52">
        <f>O52*12*2.54</f>
        <v>1981.2</v>
      </c>
    </row>
    <row r="53" spans="4:19">
      <c r="I53">
        <v>9</v>
      </c>
      <c r="J53">
        <f t="shared" si="12"/>
        <v>4.5</v>
      </c>
      <c r="K53">
        <f>J53*J52</f>
        <v>85.5</v>
      </c>
      <c r="N53">
        <v>16</v>
      </c>
      <c r="O53">
        <v>20</v>
      </c>
      <c r="P53">
        <f t="shared" ref="P53:P54" si="13">O53*N53/4</f>
        <v>80</v>
      </c>
    </row>
    <row r="54" spans="4:19">
      <c r="I54">
        <v>15</v>
      </c>
      <c r="J54">
        <f t="shared" si="12"/>
        <v>7.5</v>
      </c>
      <c r="N54">
        <v>11</v>
      </c>
      <c r="O54">
        <v>26</v>
      </c>
      <c r="P54">
        <f t="shared" si="13"/>
        <v>71.5</v>
      </c>
      <c r="Q54">
        <f>P52-P53-P54</f>
        <v>742.25</v>
      </c>
      <c r="S54">
        <f>Q54*O58</f>
        <v>68.957251749999998</v>
      </c>
    </row>
    <row r="55" spans="4:19">
      <c r="I55">
        <v>50</v>
      </c>
      <c r="J55">
        <f t="shared" si="12"/>
        <v>25</v>
      </c>
      <c r="K55">
        <f>J55*J54</f>
        <v>187.5</v>
      </c>
      <c r="L55">
        <f>K55+K57</f>
        <v>288.25</v>
      </c>
      <c r="S55">
        <f>S54*O57</f>
        <v>24824.610629999999</v>
      </c>
    </row>
    <row r="56" spans="4:19">
      <c r="I56">
        <v>31</v>
      </c>
      <c r="J56">
        <f t="shared" si="12"/>
        <v>15.5</v>
      </c>
      <c r="S56">
        <f>S55+O61</f>
        <v>25824.610629999999</v>
      </c>
    </row>
    <row r="57" spans="4:19">
      <c r="I57">
        <v>13</v>
      </c>
      <c r="J57">
        <f t="shared" si="12"/>
        <v>6.5</v>
      </c>
      <c r="K57">
        <f>J57*J56</f>
        <v>100.75</v>
      </c>
      <c r="O57" s="217">
        <v>360</v>
      </c>
      <c r="P57" t="s">
        <v>66</v>
      </c>
      <c r="S57">
        <f>S56*(1+O62)</f>
        <v>30989.532755999997</v>
      </c>
    </row>
    <row r="58" spans="4:19">
      <c r="L58">
        <f>L55+L49</f>
        <v>1236.25</v>
      </c>
      <c r="O58" s="216">
        <v>9.2902999999999999E-2</v>
      </c>
      <c r="P58" t="s">
        <v>60</v>
      </c>
    </row>
    <row r="59" spans="4:19">
      <c r="I59">
        <v>72</v>
      </c>
      <c r="J59">
        <f t="shared" ref="J59:J60" si="14">I59/2</f>
        <v>36</v>
      </c>
      <c r="P59" t="s">
        <v>59</v>
      </c>
    </row>
    <row r="60" spans="4:19">
      <c r="I60">
        <v>81</v>
      </c>
      <c r="J60">
        <f t="shared" si="14"/>
        <v>40.5</v>
      </c>
      <c r="K60">
        <f>J60*J59</f>
        <v>1458</v>
      </c>
      <c r="P60" t="s">
        <v>61</v>
      </c>
    </row>
    <row r="61" spans="4:19">
      <c r="O61">
        <v>1000</v>
      </c>
      <c r="P61" t="s">
        <v>57</v>
      </c>
      <c r="S61">
        <f>S57*9.8</f>
        <v>303697.42100879998</v>
      </c>
    </row>
    <row r="62" spans="4:19">
      <c r="I62">
        <v>80</v>
      </c>
      <c r="J62">
        <f t="shared" ref="J62:J63" si="15">I62/2</f>
        <v>40</v>
      </c>
      <c r="O62" s="215">
        <v>0.2</v>
      </c>
      <c r="P62" t="s">
        <v>56</v>
      </c>
      <c r="S62">
        <f>20*Q68*1000*1000</f>
        <v>4000000</v>
      </c>
    </row>
    <row r="63" spans="4:19">
      <c r="I63">
        <v>81</v>
      </c>
      <c r="J63">
        <f t="shared" si="15"/>
        <v>40.5</v>
      </c>
      <c r="K63">
        <f>J63*J62</f>
        <v>1620</v>
      </c>
      <c r="O63">
        <v>2900</v>
      </c>
      <c r="P63" t="s">
        <v>58</v>
      </c>
      <c r="S63">
        <f>S61/S62</f>
        <v>7.5924355252199996E-2</v>
      </c>
    </row>
    <row r="64" spans="4:19">
      <c r="S64">
        <f>S63*10.7639</f>
        <v>0.81724216749915546</v>
      </c>
    </row>
    <row r="65" spans="9:18">
      <c r="I65">
        <v>93</v>
      </c>
      <c r="J65">
        <f t="shared" ref="J65:J66" si="16">I65/2</f>
        <v>46.5</v>
      </c>
    </row>
    <row r="66" spans="9:18">
      <c r="I66">
        <v>79</v>
      </c>
      <c r="J66">
        <f t="shared" si="16"/>
        <v>39.5</v>
      </c>
      <c r="K66">
        <f>J66*J65</f>
        <v>1836.75</v>
      </c>
    </row>
    <row r="67" spans="9:18">
      <c r="R67" t="s">
        <v>62</v>
      </c>
    </row>
    <row r="68" spans="9:18">
      <c r="Q68" s="215">
        <v>0.2</v>
      </c>
      <c r="R68" t="s">
        <v>63</v>
      </c>
    </row>
    <row r="69" spans="9:18">
      <c r="R69" t="s">
        <v>64</v>
      </c>
    </row>
    <row r="70" spans="9:18">
      <c r="R70" t="s">
        <v>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253E6-BB88-704C-BDF3-6C4D2551E7C5}">
  <sheetPr codeName="Sheet7"/>
  <dimension ref="D8:H57"/>
  <sheetViews>
    <sheetView zoomScale="150" zoomScaleNormal="150" workbookViewId="0">
      <selection activeCell="C13" sqref="C13"/>
    </sheetView>
  </sheetViews>
  <sheetFormatPr baseColWidth="10" defaultRowHeight="16"/>
  <cols>
    <col min="7" max="7" width="29.1640625" bestFit="1" customWidth="1"/>
  </cols>
  <sheetData>
    <row r="8" spans="4:8">
      <c r="F8">
        <v>5</v>
      </c>
      <c r="G8" t="s">
        <v>229</v>
      </c>
      <c r="H8" t="s">
        <v>155</v>
      </c>
    </row>
    <row r="9" spans="4:8">
      <c r="F9">
        <v>4</v>
      </c>
      <c r="G9" t="s">
        <v>228</v>
      </c>
      <c r="H9" t="s">
        <v>155</v>
      </c>
    </row>
    <row r="10" spans="4:8">
      <c r="F10">
        <v>1.5</v>
      </c>
      <c r="G10" t="s">
        <v>227</v>
      </c>
      <c r="H10" t="s">
        <v>155</v>
      </c>
    </row>
    <row r="11" spans="4:8">
      <c r="D11">
        <v>26</v>
      </c>
      <c r="E11">
        <v>26.5</v>
      </c>
      <c r="F11">
        <f>D11*E11</f>
        <v>689</v>
      </c>
      <c r="G11" t="s">
        <v>179</v>
      </c>
      <c r="H11" t="s">
        <v>180</v>
      </c>
    </row>
    <row r="12" spans="4:8">
      <c r="D12">
        <f>3*D11</f>
        <v>78</v>
      </c>
      <c r="E12" s="217">
        <f>3*E11</f>
        <v>79.5</v>
      </c>
      <c r="F12" s="217">
        <f>E12+D12</f>
        <v>157.5</v>
      </c>
      <c r="G12" t="s">
        <v>177</v>
      </c>
      <c r="H12" t="s">
        <v>155</v>
      </c>
    </row>
    <row r="13" spans="4:8">
      <c r="D13">
        <f>D11+3</f>
        <v>29</v>
      </c>
      <c r="E13" s="217">
        <f>E11+3</f>
        <v>29.5</v>
      </c>
      <c r="F13">
        <f>D13*E13</f>
        <v>855.5</v>
      </c>
      <c r="G13" t="s">
        <v>178</v>
      </c>
      <c r="H13" t="s">
        <v>180</v>
      </c>
    </row>
    <row r="14" spans="4:8">
      <c r="D14">
        <v>2.5</v>
      </c>
      <c r="E14">
        <v>10</v>
      </c>
      <c r="F14">
        <f>9*(E14+D14)</f>
        <v>112.5</v>
      </c>
      <c r="G14" t="s">
        <v>181</v>
      </c>
      <c r="H14" t="s">
        <v>155</v>
      </c>
    </row>
    <row r="15" spans="4:8">
      <c r="D15">
        <v>12</v>
      </c>
      <c r="E15">
        <v>9</v>
      </c>
      <c r="F15">
        <f>(D15*E15)</f>
        <v>108</v>
      </c>
      <c r="G15" t="s">
        <v>183</v>
      </c>
      <c r="H15" t="s">
        <v>182</v>
      </c>
    </row>
    <row r="16" spans="4:8">
      <c r="D16">
        <v>12</v>
      </c>
      <c r="E16">
        <v>9</v>
      </c>
      <c r="F16">
        <f>(D16*E16)</f>
        <v>108</v>
      </c>
      <c r="G16" t="s">
        <v>184</v>
      </c>
      <c r="H16" t="s">
        <v>182</v>
      </c>
    </row>
    <row r="17" spans="4:8">
      <c r="F17">
        <f>0.5*F13</f>
        <v>427.75</v>
      </c>
      <c r="G17" t="s">
        <v>185</v>
      </c>
      <c r="H17" t="s">
        <v>186</v>
      </c>
    </row>
    <row r="18" spans="4:8">
      <c r="F18">
        <f>F12*F16/144</f>
        <v>118.125</v>
      </c>
      <c r="G18" t="s">
        <v>187</v>
      </c>
      <c r="H18" t="s">
        <v>186</v>
      </c>
    </row>
    <row r="19" spans="4:8">
      <c r="F19">
        <f>F14*F15/144</f>
        <v>84.375</v>
      </c>
      <c r="G19" t="s">
        <v>188</v>
      </c>
      <c r="H19" t="s">
        <v>186</v>
      </c>
    </row>
    <row r="20" spans="4:8">
      <c r="F20">
        <f>F17+F18+F19</f>
        <v>630.25</v>
      </c>
      <c r="G20" t="s">
        <v>189</v>
      </c>
      <c r="H20" t="s">
        <v>186</v>
      </c>
    </row>
    <row r="21" spans="4:8">
      <c r="F21">
        <f>(D11-0.75)*2 + (E11-0.75)*2</f>
        <v>102</v>
      </c>
      <c r="G21" t="s">
        <v>190</v>
      </c>
      <c r="H21" t="s">
        <v>155</v>
      </c>
    </row>
    <row r="22" spans="4:8">
      <c r="F22">
        <f>F21-8</f>
        <v>94</v>
      </c>
      <c r="G22" t="s">
        <v>191</v>
      </c>
      <c r="H22" t="s">
        <v>155</v>
      </c>
    </row>
    <row r="23" spans="4:8">
      <c r="F23">
        <f>F22*10</f>
        <v>940</v>
      </c>
      <c r="G23" t="s">
        <v>192</v>
      </c>
      <c r="H23" t="s">
        <v>180</v>
      </c>
    </row>
    <row r="24" spans="4:8">
      <c r="D24">
        <v>2</v>
      </c>
      <c r="E24">
        <f>6.5*3</f>
        <v>19.5</v>
      </c>
      <c r="F24">
        <f>E24*D24</f>
        <v>39</v>
      </c>
      <c r="G24" t="s">
        <v>193</v>
      </c>
      <c r="H24" t="s">
        <v>180</v>
      </c>
    </row>
    <row r="25" spans="4:8">
      <c r="D25">
        <v>6</v>
      </c>
      <c r="E25">
        <f>3*3</f>
        <v>9</v>
      </c>
      <c r="F25">
        <f>E25*D25</f>
        <v>54</v>
      </c>
      <c r="G25" t="s">
        <v>194</v>
      </c>
      <c r="H25" t="s">
        <v>180</v>
      </c>
    </row>
    <row r="26" spans="4:8">
      <c r="F26">
        <f>F23-F24-F25</f>
        <v>847</v>
      </c>
      <c r="G26" t="s">
        <v>195</v>
      </c>
      <c r="H26" t="s">
        <v>180</v>
      </c>
    </row>
    <row r="27" spans="4:8">
      <c r="F27">
        <f>F26*0.75</f>
        <v>635.25</v>
      </c>
      <c r="G27" t="s">
        <v>196</v>
      </c>
      <c r="H27" t="s">
        <v>186</v>
      </c>
    </row>
    <row r="28" spans="4:8">
      <c r="G28" t="s">
        <v>197</v>
      </c>
    </row>
    <row r="29" spans="4:8">
      <c r="G29" t="s">
        <v>198</v>
      </c>
    </row>
    <row r="30" spans="4:8">
      <c r="G30" t="s">
        <v>199</v>
      </c>
    </row>
    <row r="31" spans="4:8">
      <c r="G31" t="s">
        <v>200</v>
      </c>
    </row>
    <row r="32" spans="4:8">
      <c r="G32" t="s">
        <v>201</v>
      </c>
    </row>
    <row r="33" spans="7:7">
      <c r="G33" t="s">
        <v>202</v>
      </c>
    </row>
    <row r="34" spans="7:7">
      <c r="G34" t="s">
        <v>203</v>
      </c>
    </row>
    <row r="35" spans="7:7">
      <c r="G35" t="s">
        <v>204</v>
      </c>
    </row>
    <row r="36" spans="7:7">
      <c r="G36" t="s">
        <v>205</v>
      </c>
    </row>
    <row r="37" spans="7:7">
      <c r="G37" t="s">
        <v>206</v>
      </c>
    </row>
    <row r="38" spans="7:7">
      <c r="G38" t="s">
        <v>207</v>
      </c>
    </row>
    <row r="39" spans="7:7">
      <c r="G39" t="s">
        <v>208</v>
      </c>
    </row>
    <row r="40" spans="7:7">
      <c r="G40" t="s">
        <v>209</v>
      </c>
    </row>
    <row r="41" spans="7:7">
      <c r="G41" t="s">
        <v>210</v>
      </c>
    </row>
    <row r="42" spans="7:7">
      <c r="G42" t="s">
        <v>211</v>
      </c>
    </row>
    <row r="43" spans="7:7">
      <c r="G43" t="s">
        <v>212</v>
      </c>
    </row>
    <row r="44" spans="7:7">
      <c r="G44" t="s">
        <v>213</v>
      </c>
    </row>
    <row r="45" spans="7:7">
      <c r="G45" t="s">
        <v>214</v>
      </c>
    </row>
    <row r="46" spans="7:7">
      <c r="G46" t="s">
        <v>215</v>
      </c>
    </row>
    <row r="47" spans="7:7">
      <c r="G47" t="s">
        <v>216</v>
      </c>
    </row>
    <row r="48" spans="7:7">
      <c r="G48" s="217" t="s">
        <v>217</v>
      </c>
    </row>
    <row r="49" spans="7:7">
      <c r="G49" t="s">
        <v>218</v>
      </c>
    </row>
    <row r="50" spans="7:7">
      <c r="G50" t="s">
        <v>219</v>
      </c>
    </row>
    <row r="51" spans="7:7">
      <c r="G51" t="s">
        <v>220</v>
      </c>
    </row>
    <row r="52" spans="7:7">
      <c r="G52" t="s">
        <v>221</v>
      </c>
    </row>
    <row r="53" spans="7:7">
      <c r="G53" t="s">
        <v>222</v>
      </c>
    </row>
    <row r="54" spans="7:7">
      <c r="G54" t="s">
        <v>223</v>
      </c>
    </row>
    <row r="55" spans="7:7">
      <c r="G55" t="s">
        <v>224</v>
      </c>
    </row>
    <row r="56" spans="7:7">
      <c r="G56" t="s">
        <v>225</v>
      </c>
    </row>
    <row r="57" spans="7:7">
      <c r="G57" t="s">
        <v>226</v>
      </c>
    </row>
  </sheetData>
  <pageMargins left="0.7" right="0.7" top="0.75" bottom="0.75" header="0.3" footer="0.3"/>
  <ignoredErrors>
    <ignoredError sqref="F1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DF974-ADF1-C84B-A0DE-B35F6161B048}">
  <sheetPr codeName="Sheet2"/>
  <dimension ref="F4:ED110"/>
  <sheetViews>
    <sheetView zoomScale="25" zoomScaleNormal="68" workbookViewId="0">
      <selection activeCell="CQ36" sqref="CQ36"/>
    </sheetView>
  </sheetViews>
  <sheetFormatPr baseColWidth="10" defaultColWidth="3" defaultRowHeight="18" customHeight="1"/>
  <sheetData>
    <row r="4" spans="6:86" ht="18" customHeight="1" thickBot="1"/>
    <row r="5" spans="6:86" ht="18" customHeight="1" thickBot="1">
      <c r="F5" s="1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3"/>
    </row>
    <row r="6" spans="6:86" ht="18" customHeight="1">
      <c r="F6" s="4"/>
      <c r="G6" s="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3"/>
      <c r="CH6" s="5"/>
    </row>
    <row r="7" spans="6:86" ht="18" customHeight="1">
      <c r="F7" s="4"/>
      <c r="G7" s="4"/>
      <c r="BO7" s="9"/>
      <c r="BP7" s="10"/>
      <c r="BQ7" s="10"/>
      <c r="BR7" s="10"/>
      <c r="BS7" s="10"/>
      <c r="BT7" s="11"/>
      <c r="CG7" s="5"/>
      <c r="CH7" s="5"/>
    </row>
    <row r="8" spans="6:86" ht="18" customHeight="1">
      <c r="F8" s="4"/>
      <c r="G8" s="4"/>
      <c r="BO8" s="12"/>
      <c r="BT8" s="13"/>
      <c r="CG8" s="5"/>
      <c r="CH8" s="5"/>
    </row>
    <row r="9" spans="6:86" ht="18" customHeight="1">
      <c r="F9" s="4"/>
      <c r="G9" s="4"/>
      <c r="BO9" s="12"/>
      <c r="BT9" s="13"/>
      <c r="CG9" s="5"/>
      <c r="CH9" s="5"/>
    </row>
    <row r="10" spans="6:86" ht="18" customHeight="1">
      <c r="F10" s="4"/>
      <c r="G10" s="4"/>
      <c r="BO10" s="12"/>
      <c r="BT10" s="13"/>
      <c r="CG10" s="5"/>
      <c r="CH10" s="5"/>
    </row>
    <row r="11" spans="6:86" ht="18" customHeight="1">
      <c r="F11" s="4"/>
      <c r="G11" s="4"/>
      <c r="BO11" s="12"/>
      <c r="BT11" s="13"/>
      <c r="CG11" s="5"/>
      <c r="CH11" s="5"/>
    </row>
    <row r="12" spans="6:86" ht="18" customHeight="1">
      <c r="F12" s="4"/>
      <c r="G12" s="4"/>
      <c r="BO12" s="12"/>
      <c r="BT12" s="13"/>
      <c r="CG12" s="5"/>
      <c r="CH12" s="5"/>
    </row>
    <row r="13" spans="6:86" ht="18" customHeight="1">
      <c r="F13" s="4"/>
      <c r="G13" s="4"/>
      <c r="BO13" s="12"/>
      <c r="BT13" s="13"/>
      <c r="CG13" s="5"/>
      <c r="CH13" s="5"/>
    </row>
    <row r="14" spans="6:86" ht="18" customHeight="1">
      <c r="F14" s="4"/>
      <c r="G14" s="4"/>
      <c r="BO14" s="12"/>
      <c r="BT14" s="13"/>
      <c r="CG14" s="5"/>
      <c r="CH14" s="5"/>
    </row>
    <row r="15" spans="6:86" ht="18" customHeight="1">
      <c r="F15" s="4"/>
      <c r="G15" s="4"/>
      <c r="BO15" s="12"/>
      <c r="BT15" s="13"/>
      <c r="CG15" s="5"/>
      <c r="CH15" s="5"/>
    </row>
    <row r="16" spans="6:86" ht="18" customHeight="1">
      <c r="F16" s="4"/>
      <c r="G16" s="4"/>
      <c r="N16" s="9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1"/>
      <c r="AX16" s="9"/>
      <c r="AY16" s="10"/>
      <c r="AZ16" s="10"/>
      <c r="BA16" s="10"/>
      <c r="BB16" s="10"/>
      <c r="BC16" s="11"/>
      <c r="BO16" s="12"/>
      <c r="BT16" s="13"/>
      <c r="CG16" s="5"/>
      <c r="CH16" s="5"/>
    </row>
    <row r="17" spans="6:86" ht="18" customHeight="1">
      <c r="F17" s="4"/>
      <c r="G17" s="4"/>
      <c r="N17" s="12"/>
      <c r="O17" s="37"/>
      <c r="P17" s="38"/>
      <c r="Q17" s="38"/>
      <c r="R17" s="23"/>
      <c r="S17" s="40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79"/>
      <c r="AG17" s="8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1"/>
      <c r="AW17" s="13"/>
      <c r="AX17" s="12"/>
      <c r="BC17" s="13"/>
      <c r="BO17" s="12"/>
      <c r="BT17" s="13"/>
      <c r="CG17" s="5"/>
      <c r="CH17" s="5"/>
    </row>
    <row r="18" spans="6:86" ht="18" customHeight="1" thickBot="1">
      <c r="F18" s="4"/>
      <c r="G18" s="4"/>
      <c r="N18" s="12"/>
      <c r="O18" s="36"/>
      <c r="P18" s="32"/>
      <c r="Q18" s="32"/>
      <c r="R18" s="24"/>
      <c r="S18" s="42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81"/>
      <c r="AG18" s="82"/>
      <c r="AH18" s="96"/>
      <c r="AI18" s="97"/>
      <c r="AU18" s="94"/>
      <c r="AV18" s="95"/>
      <c r="AW18" s="13"/>
      <c r="AX18" s="12"/>
      <c r="BC18" s="13"/>
      <c r="BO18" s="14"/>
      <c r="BP18" s="15"/>
      <c r="BQ18" s="15"/>
      <c r="BR18" s="15"/>
      <c r="BS18" s="15"/>
      <c r="BT18" s="16"/>
      <c r="CG18" s="5"/>
      <c r="CH18" s="5"/>
    </row>
    <row r="19" spans="6:86" ht="18" customHeight="1">
      <c r="F19" s="4"/>
      <c r="G19" s="4"/>
      <c r="N19" s="12"/>
      <c r="O19" s="36"/>
      <c r="P19" s="32"/>
      <c r="Q19" s="32"/>
      <c r="R19" s="25"/>
      <c r="S19" s="42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81"/>
      <c r="AG19" s="82"/>
      <c r="AH19" s="96"/>
      <c r="AI19" s="97"/>
      <c r="AQ19" s="62"/>
      <c r="AR19" s="63"/>
      <c r="AU19" s="94"/>
      <c r="AV19" s="95"/>
      <c r="AW19" s="13"/>
      <c r="AX19" s="12"/>
      <c r="BC19" s="13"/>
      <c r="CG19" s="5"/>
      <c r="CH19" s="29"/>
    </row>
    <row r="20" spans="6:86" ht="18" customHeight="1">
      <c r="F20" s="4"/>
      <c r="G20" s="4"/>
      <c r="N20" s="12"/>
      <c r="O20" s="36"/>
      <c r="P20" s="32"/>
      <c r="Q20" s="32"/>
      <c r="R20" s="33"/>
      <c r="S20" s="42"/>
      <c r="T20" s="43"/>
      <c r="U20" s="43"/>
      <c r="V20" s="74"/>
      <c r="W20" s="85"/>
      <c r="X20" s="85"/>
      <c r="Y20" s="85"/>
      <c r="Z20" s="85"/>
      <c r="AA20" s="75"/>
      <c r="AB20" s="43"/>
      <c r="AC20" s="43"/>
      <c r="AD20" s="43"/>
      <c r="AE20" s="43"/>
      <c r="AF20" s="81"/>
      <c r="AG20" s="82"/>
      <c r="AH20" s="96"/>
      <c r="AI20" s="97"/>
      <c r="AQ20" s="64"/>
      <c r="AR20" s="65"/>
      <c r="AU20" s="94"/>
      <c r="AV20" s="95"/>
      <c r="AW20" s="13"/>
      <c r="AX20" s="12"/>
      <c r="BC20" s="13"/>
      <c r="CG20" s="5"/>
      <c r="CH20" s="30"/>
    </row>
    <row r="21" spans="6:86" ht="18" customHeight="1">
      <c r="F21" s="4"/>
      <c r="G21" s="4"/>
      <c r="N21" s="12"/>
      <c r="O21" s="36"/>
      <c r="P21" s="32"/>
      <c r="Q21" s="32"/>
      <c r="R21" s="33"/>
      <c r="S21" s="42"/>
      <c r="T21" s="43"/>
      <c r="U21" s="43"/>
      <c r="V21" s="86"/>
      <c r="W21" s="87"/>
      <c r="X21" s="87"/>
      <c r="Y21" s="87"/>
      <c r="Z21" s="87"/>
      <c r="AA21" s="88"/>
      <c r="AB21" s="43"/>
      <c r="AC21" s="43"/>
      <c r="AD21" s="43"/>
      <c r="AE21" s="43"/>
      <c r="AF21" s="81"/>
      <c r="AG21" s="82"/>
      <c r="AH21" s="96"/>
      <c r="AI21" s="97"/>
      <c r="AU21" s="94"/>
      <c r="AV21" s="95"/>
      <c r="AW21" s="13"/>
      <c r="AX21" s="12"/>
      <c r="BC21" s="13"/>
      <c r="CG21" s="5"/>
      <c r="CH21" s="30"/>
    </row>
    <row r="22" spans="6:86" ht="18" customHeight="1">
      <c r="F22" s="4"/>
      <c r="G22" s="4"/>
      <c r="N22" s="12"/>
      <c r="O22" s="36"/>
      <c r="P22" s="32"/>
      <c r="Q22" s="32"/>
      <c r="R22" s="33"/>
      <c r="S22" s="42"/>
      <c r="T22" s="43"/>
      <c r="U22" s="43"/>
      <c r="V22" s="86"/>
      <c r="W22" s="87"/>
      <c r="X22" s="87"/>
      <c r="Y22" s="87"/>
      <c r="Z22" s="87"/>
      <c r="AA22" s="88"/>
      <c r="AB22" s="43"/>
      <c r="AC22" s="43"/>
      <c r="AD22" s="43"/>
      <c r="AE22" s="43"/>
      <c r="AF22" s="83"/>
      <c r="AG22" s="84"/>
      <c r="AH22" s="96"/>
      <c r="AI22" s="97"/>
      <c r="AU22" s="68"/>
      <c r="AV22" s="69"/>
      <c r="AW22" s="13"/>
      <c r="AX22" s="12"/>
      <c r="BC22" s="13"/>
      <c r="BG22" s="99" t="s">
        <v>0</v>
      </c>
      <c r="CG22" s="5"/>
      <c r="CH22" s="30"/>
    </row>
    <row r="23" spans="6:86" ht="18" customHeight="1">
      <c r="F23" s="4"/>
      <c r="G23" s="4"/>
      <c r="N23" s="12"/>
      <c r="O23" s="36"/>
      <c r="P23" s="32"/>
      <c r="Q23" s="32"/>
      <c r="R23" s="33"/>
      <c r="S23" s="42"/>
      <c r="T23" s="43"/>
      <c r="U23" s="43"/>
      <c r="V23" s="86"/>
      <c r="W23" s="87"/>
      <c r="X23" s="87"/>
      <c r="Y23" s="87"/>
      <c r="Z23" s="87"/>
      <c r="AA23" s="88"/>
      <c r="AB23" s="43"/>
      <c r="AC23" s="43"/>
      <c r="AD23" s="43"/>
      <c r="AE23" s="43"/>
      <c r="AF23" s="43"/>
      <c r="AG23" s="45"/>
      <c r="AV23" s="13"/>
      <c r="AW23" s="13"/>
      <c r="AX23" s="12"/>
      <c r="BC23" s="13"/>
      <c r="BG23" s="99" t="s">
        <v>1</v>
      </c>
      <c r="CG23" s="5"/>
      <c r="CH23" s="30"/>
    </row>
    <row r="24" spans="6:86" ht="18" customHeight="1">
      <c r="F24" s="4"/>
      <c r="G24" s="4"/>
      <c r="N24" s="12"/>
      <c r="O24" s="36"/>
      <c r="P24" s="32"/>
      <c r="Q24" s="32"/>
      <c r="R24" s="33"/>
      <c r="S24" s="42"/>
      <c r="T24" s="43"/>
      <c r="U24" s="43"/>
      <c r="V24" s="86"/>
      <c r="W24" s="87"/>
      <c r="X24" s="87"/>
      <c r="Y24" s="87"/>
      <c r="Z24" s="87"/>
      <c r="AA24" s="88"/>
      <c r="AB24" s="43"/>
      <c r="AC24" s="43"/>
      <c r="AD24" s="43"/>
      <c r="AE24" s="43"/>
      <c r="AF24" s="43"/>
      <c r="AG24" s="45"/>
      <c r="AH24" s="12"/>
      <c r="AV24" s="13"/>
      <c r="AW24" s="71"/>
      <c r="AX24" s="12"/>
      <c r="BC24" s="13"/>
      <c r="BG24" s="99" t="s">
        <v>2</v>
      </c>
      <c r="CG24" s="5"/>
      <c r="CH24" s="30"/>
    </row>
    <row r="25" spans="6:86" ht="18" customHeight="1">
      <c r="F25" s="4"/>
      <c r="G25" s="4"/>
      <c r="N25" s="12"/>
      <c r="O25" s="36"/>
      <c r="P25" s="32"/>
      <c r="Q25" s="32"/>
      <c r="R25" s="33"/>
      <c r="S25" s="42"/>
      <c r="T25" s="43"/>
      <c r="U25" s="43"/>
      <c r="V25" s="76"/>
      <c r="W25" s="89"/>
      <c r="X25" s="89"/>
      <c r="Y25" s="89"/>
      <c r="Z25" s="89"/>
      <c r="AA25" s="77"/>
      <c r="AB25" s="43"/>
      <c r="AC25" s="43"/>
      <c r="AD25" s="47"/>
      <c r="AE25" s="26"/>
      <c r="AF25" s="27"/>
      <c r="AG25" s="28"/>
      <c r="AH25" s="12"/>
      <c r="AV25" s="13"/>
      <c r="AW25" s="90"/>
      <c r="AX25" s="12"/>
      <c r="BC25" s="13"/>
      <c r="BG25" s="99" t="s">
        <v>3</v>
      </c>
      <c r="CG25" s="5"/>
      <c r="CH25" s="30"/>
    </row>
    <row r="26" spans="6:86" ht="18" customHeight="1">
      <c r="F26" s="4"/>
      <c r="G26" s="4"/>
      <c r="N26" s="12"/>
      <c r="O26" s="79"/>
      <c r="P26" s="91"/>
      <c r="Q26" s="91"/>
      <c r="R26" s="91"/>
      <c r="S26" s="91"/>
      <c r="T26" s="80"/>
      <c r="U26" s="41"/>
      <c r="V26" s="41"/>
      <c r="W26" s="41"/>
      <c r="X26" s="41"/>
      <c r="Y26" s="23"/>
      <c r="Z26" s="10"/>
      <c r="AA26" s="10"/>
      <c r="AB26" s="10"/>
      <c r="AC26" s="10"/>
      <c r="AD26" s="10"/>
      <c r="AE26" s="10"/>
      <c r="AF26" s="10"/>
      <c r="AV26" s="13"/>
      <c r="AW26" s="73"/>
      <c r="AX26" s="12"/>
      <c r="BC26" s="13"/>
      <c r="BG26" s="99" t="s">
        <v>4</v>
      </c>
      <c r="CG26" s="5"/>
      <c r="CH26" s="30"/>
    </row>
    <row r="27" spans="6:86" ht="18" customHeight="1">
      <c r="F27" s="4"/>
      <c r="G27" s="4"/>
      <c r="N27" s="12"/>
      <c r="O27" s="83"/>
      <c r="P27" s="93"/>
      <c r="Q27" s="93"/>
      <c r="R27" s="93"/>
      <c r="S27" s="93"/>
      <c r="T27" s="84"/>
      <c r="U27" s="43"/>
      <c r="V27" s="43"/>
      <c r="W27" s="43"/>
      <c r="X27" s="43"/>
      <c r="Y27" s="24"/>
      <c r="AV27" s="13"/>
      <c r="AX27" s="12"/>
      <c r="BC27" s="13"/>
      <c r="BG27" s="99" t="s">
        <v>5</v>
      </c>
      <c r="CG27" s="5"/>
      <c r="CH27" s="30"/>
    </row>
    <row r="28" spans="6:86" ht="18" customHeight="1" thickBot="1">
      <c r="F28" s="4"/>
      <c r="G28" s="4"/>
      <c r="N28" s="12"/>
      <c r="O28" s="42"/>
      <c r="P28" s="43"/>
      <c r="Q28" s="43"/>
      <c r="R28" s="43"/>
      <c r="S28" s="43"/>
      <c r="T28" s="43"/>
      <c r="U28" s="43"/>
      <c r="V28" s="43"/>
      <c r="W28" s="43"/>
      <c r="X28" s="43"/>
      <c r="Y28" s="25"/>
      <c r="AR28" s="20"/>
      <c r="AS28" s="21"/>
      <c r="AT28" s="21"/>
      <c r="AU28" s="21"/>
      <c r="AV28" s="22"/>
      <c r="AX28" s="12"/>
      <c r="BC28" s="13"/>
      <c r="CG28" s="5"/>
      <c r="CH28" s="31"/>
    </row>
    <row r="29" spans="6:86" ht="18" customHeight="1">
      <c r="F29" s="4"/>
      <c r="G29" s="4"/>
      <c r="N29" s="12"/>
      <c r="O29" s="42"/>
      <c r="P29" s="43"/>
      <c r="Q29" s="43"/>
      <c r="R29" s="43"/>
      <c r="S29" s="43"/>
      <c r="T29" s="43"/>
      <c r="U29" s="43"/>
      <c r="V29" s="43"/>
      <c r="W29" s="43"/>
      <c r="X29" s="43"/>
      <c r="Y29" s="45"/>
      <c r="AE29" s="15"/>
      <c r="AU29" s="56"/>
      <c r="AV29" s="58"/>
      <c r="AW29" s="13"/>
      <c r="AX29" s="12"/>
      <c r="BC29" s="13"/>
      <c r="CG29" s="5"/>
      <c r="CH29" s="5"/>
    </row>
    <row r="30" spans="6:86" ht="18" customHeight="1">
      <c r="F30" s="4"/>
      <c r="G30" s="4"/>
      <c r="N30" s="12"/>
      <c r="O30" s="42"/>
      <c r="P30" s="43"/>
      <c r="Q30" s="43"/>
      <c r="R30" s="43"/>
      <c r="S30" s="43"/>
      <c r="T30" s="43"/>
      <c r="U30" s="43"/>
      <c r="V30" s="43"/>
      <c r="W30" s="43"/>
      <c r="X30" s="43"/>
      <c r="Y30" s="45"/>
      <c r="Z30" s="37"/>
      <c r="AA30" s="26"/>
      <c r="AB30" s="27"/>
      <c r="AC30" s="28"/>
      <c r="AD30" s="52"/>
      <c r="AE30" s="53"/>
      <c r="AF30" s="52"/>
      <c r="AG30" s="53"/>
      <c r="AH30" s="26"/>
      <c r="AI30" s="27"/>
      <c r="AJ30" s="28"/>
      <c r="AK30" s="74"/>
      <c r="AL30" s="75"/>
      <c r="AM30" s="49"/>
      <c r="AN30" s="49"/>
      <c r="AO30" s="49"/>
      <c r="AP30" s="49"/>
      <c r="AQ30" s="49"/>
      <c r="AR30" s="49"/>
      <c r="AS30" s="49"/>
      <c r="AT30" s="49"/>
      <c r="AU30" s="96"/>
      <c r="AV30" s="98"/>
      <c r="AW30" s="13"/>
      <c r="AX30" s="12"/>
      <c r="BC30" s="13"/>
      <c r="CG30" s="5"/>
      <c r="CH30" s="5"/>
    </row>
    <row r="31" spans="6:86" ht="18" customHeight="1">
      <c r="F31" s="4"/>
      <c r="G31" s="4"/>
      <c r="N31" s="12"/>
      <c r="O31" s="42"/>
      <c r="P31" s="43"/>
      <c r="Q31" s="43"/>
      <c r="R31" s="74"/>
      <c r="S31" s="85"/>
      <c r="T31" s="85"/>
      <c r="U31" s="75"/>
      <c r="V31" s="43"/>
      <c r="W31" s="43"/>
      <c r="X31" s="43"/>
      <c r="Y31" s="45"/>
      <c r="Z31" s="36"/>
      <c r="AA31" s="32"/>
      <c r="AB31" s="32"/>
      <c r="AC31" s="33"/>
      <c r="AD31" s="51"/>
      <c r="AE31" s="50"/>
      <c r="AF31" s="51"/>
      <c r="AG31" s="51"/>
      <c r="AH31" s="51"/>
      <c r="AI31" s="51"/>
      <c r="AJ31" s="50"/>
      <c r="AK31" s="76"/>
      <c r="AL31" s="77"/>
      <c r="AM31" s="49"/>
      <c r="AN31" s="49"/>
      <c r="AO31" s="49"/>
      <c r="AP31" s="49"/>
      <c r="AQ31" s="49"/>
      <c r="AR31" s="49"/>
      <c r="AS31" s="49"/>
      <c r="AT31" s="49"/>
      <c r="AU31" s="59"/>
      <c r="AV31" s="61"/>
      <c r="AW31" s="13"/>
      <c r="AX31" s="12"/>
      <c r="BC31" s="13"/>
      <c r="CG31" s="5"/>
      <c r="CH31" s="5"/>
    </row>
    <row r="32" spans="6:86" ht="18" customHeight="1">
      <c r="F32" s="4"/>
      <c r="G32" s="4"/>
      <c r="N32" s="12"/>
      <c r="O32" s="42"/>
      <c r="P32" s="43"/>
      <c r="Q32" s="43"/>
      <c r="R32" s="86"/>
      <c r="S32" s="87"/>
      <c r="T32" s="87"/>
      <c r="U32" s="88"/>
      <c r="V32" s="43"/>
      <c r="W32" s="43"/>
      <c r="X32" s="43"/>
      <c r="Y32" s="45"/>
      <c r="Z32" s="36"/>
      <c r="AA32" s="32"/>
      <c r="AB32" s="32"/>
      <c r="AC32" s="33"/>
      <c r="AD32" s="51"/>
      <c r="AE32" s="50"/>
      <c r="AF32" s="51"/>
      <c r="AG32" s="51"/>
      <c r="AH32" s="51"/>
      <c r="AI32" s="51"/>
      <c r="AJ32" s="50"/>
      <c r="AK32" s="96"/>
      <c r="AL32" s="98"/>
      <c r="AM32" s="49"/>
      <c r="AN32" s="49"/>
      <c r="AO32" s="49"/>
      <c r="AP32" s="49"/>
      <c r="AQ32" s="49"/>
      <c r="AR32" s="49"/>
      <c r="AS32" s="49"/>
      <c r="AT32" s="49"/>
      <c r="AU32" s="37"/>
      <c r="AV32" s="39"/>
      <c r="AW32" s="13"/>
      <c r="AX32" s="12"/>
      <c r="BC32" s="13"/>
      <c r="CG32" s="5"/>
      <c r="CH32" s="5"/>
    </row>
    <row r="33" spans="6:86" ht="18" customHeight="1">
      <c r="F33" s="4"/>
      <c r="G33" s="4"/>
      <c r="N33" s="12"/>
      <c r="O33" s="42"/>
      <c r="P33" s="43"/>
      <c r="Q33" s="43"/>
      <c r="R33" s="86"/>
      <c r="S33" s="87"/>
      <c r="T33" s="87"/>
      <c r="U33" s="88"/>
      <c r="V33" s="43"/>
      <c r="W33" s="43"/>
      <c r="X33" s="43"/>
      <c r="Y33" s="45"/>
      <c r="Z33" s="36"/>
      <c r="AA33" s="32"/>
      <c r="AB33" s="32"/>
      <c r="AC33" s="33"/>
      <c r="AD33" s="51"/>
      <c r="AE33" s="50"/>
      <c r="AF33" s="51"/>
      <c r="AG33" s="51"/>
      <c r="AH33" s="51"/>
      <c r="AI33" s="51"/>
      <c r="AJ33" s="50"/>
      <c r="AK33" s="96"/>
      <c r="AL33" s="98"/>
      <c r="AM33" s="49"/>
      <c r="AN33" s="49"/>
      <c r="AO33" s="49"/>
      <c r="AP33" s="49"/>
      <c r="AQ33" s="49"/>
      <c r="AR33" s="49"/>
      <c r="AS33" s="49"/>
      <c r="AT33" s="49"/>
      <c r="AU33" s="78"/>
      <c r="AV33" s="35"/>
      <c r="AW33" s="13"/>
      <c r="AX33" s="12"/>
      <c r="BC33" s="13"/>
      <c r="CG33" s="5"/>
      <c r="CH33" s="5"/>
    </row>
    <row r="34" spans="6:86" ht="18" customHeight="1">
      <c r="F34" s="4"/>
      <c r="G34" s="4"/>
      <c r="N34" s="12"/>
      <c r="O34" s="42"/>
      <c r="P34" s="43"/>
      <c r="Q34" s="43"/>
      <c r="R34" s="86"/>
      <c r="S34" s="87"/>
      <c r="T34" s="87"/>
      <c r="U34" s="88"/>
      <c r="V34" s="43"/>
      <c r="W34" s="43"/>
      <c r="X34" s="43"/>
      <c r="Y34" s="45"/>
      <c r="Z34" s="36"/>
      <c r="AA34" s="32"/>
      <c r="AB34" s="32"/>
      <c r="AC34" s="33"/>
      <c r="AD34" s="51"/>
      <c r="AE34" s="50"/>
      <c r="AF34" s="51"/>
      <c r="AG34" s="51"/>
      <c r="AH34" s="51"/>
      <c r="AI34" s="51"/>
      <c r="AJ34" s="50"/>
      <c r="AK34" s="96"/>
      <c r="AL34" s="98"/>
      <c r="AM34" s="49"/>
      <c r="AN34" s="49"/>
      <c r="AO34" s="49"/>
      <c r="AP34" s="49"/>
      <c r="AQ34" s="49"/>
      <c r="AR34" s="49"/>
      <c r="AS34" s="49"/>
      <c r="AT34" s="49"/>
      <c r="AU34" s="96"/>
      <c r="AV34" s="98"/>
      <c r="AW34" s="13"/>
      <c r="AX34" s="12"/>
      <c r="BC34" s="13"/>
      <c r="CG34" s="5"/>
      <c r="CH34" s="5"/>
    </row>
    <row r="35" spans="6:86" ht="18" customHeight="1">
      <c r="F35" s="4"/>
      <c r="G35" s="4"/>
      <c r="N35" s="12"/>
      <c r="O35" s="42"/>
      <c r="P35" s="43"/>
      <c r="Q35" s="43"/>
      <c r="R35" s="86"/>
      <c r="S35" s="87"/>
      <c r="T35" s="87"/>
      <c r="U35" s="88"/>
      <c r="V35" s="43"/>
      <c r="W35" s="43"/>
      <c r="X35" s="43"/>
      <c r="Y35" s="45"/>
      <c r="Z35" s="36"/>
      <c r="AA35" s="32"/>
      <c r="AB35" s="32"/>
      <c r="AC35" s="33"/>
      <c r="AD35" s="51"/>
      <c r="AE35" s="51"/>
      <c r="AF35" s="52"/>
      <c r="AG35" s="52"/>
      <c r="AH35" s="52"/>
      <c r="AI35" s="52"/>
      <c r="AJ35" s="53"/>
      <c r="AK35" s="96"/>
      <c r="AL35" s="97"/>
      <c r="AM35" s="57"/>
      <c r="AN35" s="57"/>
      <c r="AO35" s="57"/>
      <c r="AP35" s="57"/>
      <c r="AQ35" s="57"/>
      <c r="AR35" s="57"/>
      <c r="AS35" s="57"/>
      <c r="AT35" s="57"/>
      <c r="AU35" s="97"/>
      <c r="AV35" s="98"/>
      <c r="AW35" s="13"/>
      <c r="AX35" s="12"/>
      <c r="BC35" s="13"/>
      <c r="CG35" s="5"/>
      <c r="CH35" s="5"/>
    </row>
    <row r="36" spans="6:86" ht="18" customHeight="1">
      <c r="F36" s="4"/>
      <c r="G36" s="4"/>
      <c r="N36" s="12"/>
      <c r="O36" s="46"/>
      <c r="P36" s="47"/>
      <c r="Q36" s="47"/>
      <c r="R36" s="76"/>
      <c r="S36" s="89"/>
      <c r="T36" s="89"/>
      <c r="U36" s="77"/>
      <c r="V36" s="47"/>
      <c r="W36" s="47"/>
      <c r="X36" s="47"/>
      <c r="Y36" s="48"/>
      <c r="Z36" s="78"/>
      <c r="AA36" s="34"/>
      <c r="AB36" s="34"/>
      <c r="AC36" s="35"/>
      <c r="AD36" s="54"/>
      <c r="AE36" s="54"/>
      <c r="AF36" s="54"/>
      <c r="AG36" s="54"/>
      <c r="AH36" s="54"/>
      <c r="AI36" s="54"/>
      <c r="AJ36" s="55"/>
      <c r="AK36" s="59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1"/>
      <c r="AW36" s="13"/>
      <c r="AX36" s="12"/>
      <c r="BC36" s="13"/>
      <c r="CG36" s="5"/>
      <c r="CH36" s="5"/>
    </row>
    <row r="37" spans="6:86" ht="18" customHeight="1">
      <c r="F37" s="4"/>
      <c r="G37" s="4"/>
      <c r="N37" s="14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6"/>
      <c r="AX37" s="14"/>
      <c r="AY37" s="15"/>
      <c r="AZ37" s="15"/>
      <c r="BA37" s="15"/>
      <c r="BB37" s="15"/>
      <c r="BC37" s="16"/>
      <c r="CG37" s="5"/>
      <c r="CH37" s="5"/>
    </row>
    <row r="38" spans="6:86" ht="18" customHeight="1">
      <c r="F38" s="4"/>
      <c r="G38" s="4"/>
      <c r="CG38" s="5"/>
      <c r="CH38" s="5"/>
    </row>
    <row r="39" spans="6:86" ht="18" customHeight="1">
      <c r="F39" s="4"/>
      <c r="G39" s="4"/>
      <c r="CG39" s="5"/>
      <c r="CH39" s="5"/>
    </row>
    <row r="40" spans="6:86" ht="18" customHeight="1">
      <c r="F40" s="4"/>
      <c r="G40" s="4"/>
      <c r="CG40" s="5"/>
      <c r="CH40" s="5"/>
    </row>
    <row r="41" spans="6:86" ht="18" customHeight="1">
      <c r="F41" s="4"/>
      <c r="G41" s="4"/>
      <c r="CG41" s="5"/>
      <c r="CH41" s="5"/>
    </row>
    <row r="42" spans="6:86" ht="18" customHeight="1">
      <c r="F42" s="4"/>
      <c r="G42" s="4"/>
      <c r="CG42" s="5"/>
      <c r="CH42" s="5"/>
    </row>
    <row r="43" spans="6:86" ht="18" customHeight="1" thickBot="1">
      <c r="F43" s="4"/>
      <c r="G43" s="6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8"/>
      <c r="CH43" s="5"/>
    </row>
    <row r="44" spans="6:86" ht="18" customHeight="1" thickBot="1">
      <c r="F44" s="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8"/>
    </row>
    <row r="50" spans="6:134" ht="18" customHeight="1" thickBot="1"/>
    <row r="51" spans="6:134" ht="18" customHeight="1">
      <c r="F51" s="1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3"/>
      <c r="BW51" s="1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3"/>
    </row>
    <row r="52" spans="6:134" ht="18" customHeight="1">
      <c r="F52" s="4"/>
      <c r="BM52" s="5"/>
      <c r="BW52" s="4"/>
      <c r="ED52" s="5"/>
    </row>
    <row r="53" spans="6:134" ht="18" customHeight="1">
      <c r="F53" s="4"/>
      <c r="BM53" s="5"/>
      <c r="BW53" s="4"/>
      <c r="ED53" s="5"/>
    </row>
    <row r="54" spans="6:134" ht="18" customHeight="1">
      <c r="F54" s="4"/>
      <c r="BM54" s="5"/>
      <c r="BW54" s="4"/>
      <c r="ED54" s="5"/>
    </row>
    <row r="55" spans="6:134" ht="18" customHeight="1">
      <c r="F55" s="4"/>
      <c r="BM55" s="5"/>
      <c r="BW55" s="4"/>
      <c r="ED55" s="5"/>
    </row>
    <row r="56" spans="6:134" ht="18" customHeight="1">
      <c r="F56" s="4"/>
      <c r="BM56" s="5"/>
      <c r="BW56" s="4"/>
      <c r="ED56" s="5"/>
    </row>
    <row r="57" spans="6:134" ht="18" customHeight="1">
      <c r="F57" s="4"/>
      <c r="BM57" s="5"/>
      <c r="BW57" s="4"/>
      <c r="ED57" s="5"/>
    </row>
    <row r="58" spans="6:134" ht="18" customHeight="1">
      <c r="F58" s="4"/>
      <c r="BM58" s="5"/>
      <c r="BW58" s="4"/>
      <c r="ED58" s="5"/>
    </row>
    <row r="59" spans="6:134" ht="18" customHeight="1">
      <c r="F59" s="4"/>
      <c r="BM59" s="5"/>
      <c r="BW59" s="4"/>
      <c r="ED59" s="5"/>
    </row>
    <row r="60" spans="6:134" ht="18" customHeight="1">
      <c r="F60" s="4"/>
      <c r="BM60" s="5"/>
      <c r="BW60" s="4"/>
      <c r="ED60" s="5"/>
    </row>
    <row r="61" spans="6:134" ht="18" customHeight="1">
      <c r="F61" s="4"/>
      <c r="BM61" s="5"/>
      <c r="BW61" s="4"/>
      <c r="ED61" s="5"/>
    </row>
    <row r="62" spans="6:134" ht="18" customHeight="1">
      <c r="F62" s="4"/>
      <c r="K62" s="40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4"/>
      <c r="BM62" s="5"/>
      <c r="BW62" s="4"/>
      <c r="ED62" s="5"/>
    </row>
    <row r="63" spans="6:134" ht="18" customHeight="1">
      <c r="F63" s="4"/>
      <c r="K63" s="42"/>
      <c r="L63" s="9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1"/>
      <c r="X63" s="38"/>
      <c r="Y63" s="38"/>
      <c r="Z63" s="38"/>
      <c r="AA63" s="38"/>
      <c r="AB63" s="39"/>
      <c r="AC63" s="38"/>
      <c r="AD63" s="38"/>
      <c r="AE63" s="38"/>
      <c r="AF63" s="38"/>
      <c r="AG63" s="38"/>
      <c r="AH63" s="9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1"/>
      <c r="AU63" s="45"/>
      <c r="BM63" s="5"/>
      <c r="BW63" s="4"/>
      <c r="ED63" s="5"/>
    </row>
    <row r="64" spans="6:134" ht="18" customHeight="1">
      <c r="F64" s="4"/>
      <c r="K64" s="42"/>
      <c r="L64" s="12"/>
      <c r="W64" s="13"/>
      <c r="X64" s="32"/>
      <c r="Y64" s="32"/>
      <c r="Z64" s="32"/>
      <c r="AA64" s="32"/>
      <c r="AB64" s="33"/>
      <c r="AC64" s="32"/>
      <c r="AD64" s="32"/>
      <c r="AE64" s="32"/>
      <c r="AF64" s="32"/>
      <c r="AG64" s="32"/>
      <c r="AH64" s="12"/>
      <c r="AT64" s="13"/>
      <c r="AU64" s="45"/>
      <c r="BM64" s="5"/>
      <c r="BW64" s="4"/>
      <c r="CB64" s="40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4"/>
      <c r="ED64" s="5"/>
    </row>
    <row r="65" spans="6:134" ht="18" customHeight="1">
      <c r="F65" s="4"/>
      <c r="K65" s="42"/>
      <c r="L65" s="12"/>
      <c r="W65" s="13"/>
      <c r="X65" s="32"/>
      <c r="Y65" s="32"/>
      <c r="Z65" s="32"/>
      <c r="AA65" s="32"/>
      <c r="AB65" s="33"/>
      <c r="AC65" s="32"/>
      <c r="AD65" s="32"/>
      <c r="AE65" s="32"/>
      <c r="AF65" s="32"/>
      <c r="AG65" s="32"/>
      <c r="AH65" s="12"/>
      <c r="AT65" s="13"/>
      <c r="AU65" s="45"/>
      <c r="BM65" s="5"/>
      <c r="BW65" s="4"/>
      <c r="CB65" s="42"/>
      <c r="CC65" s="9"/>
      <c r="CD65" s="10"/>
      <c r="CE65" s="10"/>
      <c r="CF65" s="10"/>
      <c r="CG65" s="10"/>
      <c r="CH65" s="10"/>
      <c r="CI65" s="10"/>
      <c r="CJ65" s="10"/>
      <c r="CK65" s="10"/>
      <c r="CL65" s="10"/>
      <c r="CM65" s="9"/>
      <c r="CN65" s="11"/>
      <c r="CO65" s="38"/>
      <c r="CP65" s="38"/>
      <c r="CQ65" s="38"/>
      <c r="CR65" s="38"/>
      <c r="CS65" s="39"/>
      <c r="CT65" s="38"/>
      <c r="CU65" s="38"/>
      <c r="CV65" s="38"/>
      <c r="CW65" s="38"/>
      <c r="CX65" s="38"/>
      <c r="CY65" s="9"/>
      <c r="CZ65" s="10"/>
      <c r="DA65" s="10"/>
      <c r="DB65" s="10"/>
      <c r="DC65" s="9"/>
      <c r="DD65" s="10"/>
      <c r="DE65" s="10"/>
      <c r="DF65" s="10"/>
      <c r="DG65" s="10"/>
      <c r="DH65" s="11"/>
      <c r="DI65" s="10"/>
      <c r="DJ65" s="10"/>
      <c r="DK65" s="11"/>
      <c r="DL65" s="45"/>
      <c r="ED65" s="5"/>
    </row>
    <row r="66" spans="6:134" ht="18" customHeight="1">
      <c r="F66" s="4"/>
      <c r="K66" s="42"/>
      <c r="L66" s="12"/>
      <c r="W66" s="13"/>
      <c r="X66" s="32"/>
      <c r="Y66" s="32"/>
      <c r="Z66" s="32"/>
      <c r="AA66" s="32"/>
      <c r="AB66" s="33"/>
      <c r="AC66" s="32"/>
      <c r="AD66" s="32"/>
      <c r="AE66" s="32"/>
      <c r="AF66" s="32"/>
      <c r="AG66" s="32"/>
      <c r="AH66" s="12"/>
      <c r="AT66" s="13"/>
      <c r="AU66" s="45"/>
      <c r="BM66" s="5"/>
      <c r="BW66" s="4"/>
      <c r="CB66" s="42"/>
      <c r="CC66" s="12"/>
      <c r="CM66" s="12"/>
      <c r="CN66" s="13"/>
      <c r="CO66" s="32"/>
      <c r="CP66" s="32"/>
      <c r="CQ66" s="32"/>
      <c r="CR66" s="32"/>
      <c r="CS66" s="33"/>
      <c r="CT66" s="32"/>
      <c r="CU66" s="32"/>
      <c r="CV66" s="32"/>
      <c r="CW66" s="32"/>
      <c r="CX66" s="32"/>
      <c r="CY66" s="12"/>
      <c r="DC66" s="12"/>
      <c r="DH66" s="13"/>
      <c r="DK66" s="13"/>
      <c r="DL66" s="45"/>
      <c r="ED66" s="5"/>
    </row>
    <row r="67" spans="6:134" ht="18" customHeight="1">
      <c r="F67" s="4"/>
      <c r="K67" s="42"/>
      <c r="L67" s="12"/>
      <c r="W67" s="13"/>
      <c r="X67" s="32"/>
      <c r="Y67" s="32"/>
      <c r="Z67" s="32"/>
      <c r="AA67" s="32"/>
      <c r="AB67" s="33"/>
      <c r="AC67" s="32"/>
      <c r="AD67" s="32"/>
      <c r="AE67" s="32"/>
      <c r="AF67" s="32"/>
      <c r="AG67" s="32"/>
      <c r="AH67" s="12"/>
      <c r="AT67" s="13"/>
      <c r="AU67" s="45"/>
      <c r="BM67" s="5"/>
      <c r="BW67" s="4"/>
      <c r="CB67" s="42"/>
      <c r="CC67" s="9"/>
      <c r="CD67" s="10"/>
      <c r="CE67" s="10"/>
      <c r="CF67" s="10"/>
      <c r="CG67" s="10"/>
      <c r="CH67" s="11"/>
      <c r="CM67" s="12"/>
      <c r="CN67" s="13"/>
      <c r="CO67" s="32"/>
      <c r="CP67" s="32"/>
      <c r="CQ67" s="32"/>
      <c r="CR67" s="32"/>
      <c r="CS67" s="33"/>
      <c r="CT67" s="32"/>
      <c r="CU67" s="32"/>
      <c r="CV67" s="32"/>
      <c r="CW67" s="32"/>
      <c r="CX67" s="32"/>
      <c r="CY67" s="12"/>
      <c r="DC67" s="12"/>
      <c r="DH67" s="13"/>
      <c r="DK67" s="13"/>
      <c r="DL67" s="45"/>
      <c r="ED67" s="5"/>
    </row>
    <row r="68" spans="6:134" ht="18" customHeight="1">
      <c r="F68" s="4"/>
      <c r="K68" s="42"/>
      <c r="L68" s="12"/>
      <c r="W68" s="13"/>
      <c r="X68" s="32"/>
      <c r="Y68" s="32"/>
      <c r="Z68" s="32"/>
      <c r="AA68" s="32"/>
      <c r="AB68" s="33"/>
      <c r="AC68" s="32"/>
      <c r="AD68" s="32"/>
      <c r="AE68" s="32"/>
      <c r="AF68" s="32"/>
      <c r="AG68" s="32"/>
      <c r="AH68" s="12"/>
      <c r="AT68" s="13"/>
      <c r="AU68" s="45"/>
      <c r="BM68" s="5"/>
      <c r="BW68" s="4"/>
      <c r="CB68" s="42"/>
      <c r="CC68" s="12"/>
      <c r="CH68" s="13"/>
      <c r="CM68" s="12"/>
      <c r="CN68" s="13"/>
      <c r="CO68" s="32"/>
      <c r="CP68" s="32"/>
      <c r="CQ68" s="32"/>
      <c r="CR68" s="32"/>
      <c r="CS68" s="33"/>
      <c r="CT68" s="32"/>
      <c r="CU68" s="32"/>
      <c r="CV68" s="32"/>
      <c r="CW68" s="32"/>
      <c r="CX68" s="32"/>
      <c r="CY68" s="12"/>
      <c r="DC68" s="12"/>
      <c r="DH68" s="13"/>
      <c r="DK68" s="13"/>
      <c r="DL68" s="45"/>
      <c r="ED68" s="5"/>
    </row>
    <row r="69" spans="6:134" ht="18" customHeight="1">
      <c r="F69" s="4"/>
      <c r="K69" s="42"/>
      <c r="L69" s="12"/>
      <c r="W69" s="13"/>
      <c r="X69" s="32"/>
      <c r="Y69" s="32"/>
      <c r="Z69" s="32"/>
      <c r="AA69" s="32"/>
      <c r="AB69" s="33"/>
      <c r="AC69" s="32"/>
      <c r="AD69" s="32"/>
      <c r="AE69" s="32"/>
      <c r="AF69" s="32"/>
      <c r="AG69" s="32"/>
      <c r="AH69" s="12"/>
      <c r="AT69" s="13"/>
      <c r="AU69" s="45"/>
      <c r="BM69" s="5"/>
      <c r="BW69" s="4"/>
      <c r="CB69" s="42"/>
      <c r="CC69" s="12"/>
      <c r="CH69" s="13"/>
      <c r="CM69" s="12"/>
      <c r="CN69" s="13"/>
      <c r="CO69" s="32"/>
      <c r="CP69" s="32"/>
      <c r="CQ69" s="32"/>
      <c r="CR69" s="32"/>
      <c r="CS69" s="33"/>
      <c r="CT69" s="32"/>
      <c r="CU69" s="32"/>
      <c r="CV69" s="32"/>
      <c r="CW69" s="32"/>
      <c r="CX69" s="32"/>
      <c r="CY69" s="12"/>
      <c r="DC69" s="12"/>
      <c r="DH69" s="13"/>
      <c r="DK69" s="13"/>
      <c r="DL69" s="45"/>
      <c r="ED69" s="5"/>
    </row>
    <row r="70" spans="6:134" ht="18" customHeight="1">
      <c r="F70" s="4"/>
      <c r="K70" s="42"/>
      <c r="L70" s="12"/>
      <c r="W70" s="13"/>
      <c r="X70" s="32"/>
      <c r="Y70" s="32"/>
      <c r="Z70" s="32"/>
      <c r="AA70" s="32"/>
      <c r="AB70" s="33"/>
      <c r="AC70" s="32"/>
      <c r="AD70" s="32"/>
      <c r="AE70" s="32"/>
      <c r="AF70" s="32"/>
      <c r="AG70" s="70"/>
      <c r="AH70" s="12"/>
      <c r="AT70" s="13"/>
      <c r="AU70" s="45"/>
      <c r="BM70" s="5"/>
      <c r="BW70" s="4"/>
      <c r="CB70" s="42"/>
      <c r="CC70" s="12"/>
      <c r="CH70" s="13"/>
      <c r="CM70" s="14"/>
      <c r="CN70" s="16"/>
      <c r="CO70" s="32"/>
      <c r="CP70" s="32"/>
      <c r="CQ70" s="32"/>
      <c r="CR70" s="32"/>
      <c r="CS70" s="33"/>
      <c r="CT70" s="32"/>
      <c r="CU70" s="32"/>
      <c r="CV70" s="32"/>
      <c r="CW70" s="32"/>
      <c r="CX70" s="70"/>
      <c r="CY70" s="12"/>
      <c r="DC70" s="14"/>
      <c r="DD70" s="15"/>
      <c r="DE70" s="15"/>
      <c r="DF70" s="15"/>
      <c r="DG70" s="15"/>
      <c r="DH70" s="16"/>
      <c r="DK70" s="13"/>
      <c r="DL70" s="45"/>
      <c r="ED70" s="5"/>
    </row>
    <row r="71" spans="6:134" ht="18" customHeight="1">
      <c r="F71" s="4"/>
      <c r="K71" s="42"/>
      <c r="L71" s="12"/>
      <c r="W71" s="13"/>
      <c r="X71" s="32"/>
      <c r="Y71" s="32"/>
      <c r="Z71" s="32"/>
      <c r="AA71" s="32"/>
      <c r="AB71" s="33"/>
      <c r="AC71" s="32"/>
      <c r="AD71" s="32"/>
      <c r="AE71" s="32"/>
      <c r="AF71" s="32"/>
      <c r="AG71" s="107"/>
      <c r="AH71" s="12"/>
      <c r="AT71" s="13"/>
      <c r="AU71" s="45"/>
      <c r="BM71" s="5"/>
      <c r="BW71" s="4"/>
      <c r="CB71" s="42"/>
      <c r="CC71" s="12"/>
      <c r="CH71" s="13"/>
      <c r="CN71" s="13"/>
      <c r="CO71" s="32"/>
      <c r="CP71" s="32"/>
      <c r="CQ71" s="32"/>
      <c r="CR71" s="32"/>
      <c r="CS71" s="33"/>
      <c r="CT71" s="32"/>
      <c r="CU71" s="32"/>
      <c r="CV71" s="32"/>
      <c r="CW71" s="32"/>
      <c r="CX71" s="107"/>
      <c r="CY71" s="12"/>
      <c r="DK71" s="13"/>
      <c r="DL71" s="45"/>
      <c r="ED71" s="5"/>
    </row>
    <row r="72" spans="6:134" ht="18" customHeight="1">
      <c r="F72" s="4"/>
      <c r="K72" s="42"/>
      <c r="L72" s="12"/>
      <c r="W72" s="13"/>
      <c r="X72" s="34"/>
      <c r="Y72" s="34"/>
      <c r="Z72" s="26"/>
      <c r="AA72" s="27"/>
      <c r="AB72" s="28"/>
      <c r="AC72" s="34"/>
      <c r="AD72" s="34"/>
      <c r="AE72" s="34"/>
      <c r="AF72" s="34"/>
      <c r="AG72" s="72"/>
      <c r="AH72" s="12"/>
      <c r="AT72" s="13"/>
      <c r="AU72" s="45"/>
      <c r="BM72" s="5"/>
      <c r="BW72" s="4"/>
      <c r="CB72" s="42"/>
      <c r="CC72" s="14"/>
      <c r="CD72" s="15"/>
      <c r="CE72" s="15"/>
      <c r="CF72" s="15"/>
      <c r="CG72" s="15"/>
      <c r="CH72" s="16"/>
      <c r="CN72" s="13"/>
      <c r="CO72" s="34"/>
      <c r="CP72" s="34"/>
      <c r="CQ72" s="26"/>
      <c r="CR72" s="27"/>
      <c r="CS72" s="28"/>
      <c r="CT72" s="34"/>
      <c r="CU72" s="34"/>
      <c r="CV72" s="34"/>
      <c r="CW72" s="34"/>
      <c r="CX72" s="72"/>
      <c r="CY72" s="12"/>
      <c r="DK72" s="13"/>
      <c r="DL72" s="45"/>
      <c r="ED72" s="5"/>
    </row>
    <row r="73" spans="6:134" ht="18" customHeight="1">
      <c r="F73" s="4"/>
      <c r="K73" s="42"/>
      <c r="L73" s="12"/>
      <c r="W73" s="23"/>
      <c r="AH73" s="12"/>
      <c r="AT73" s="13"/>
      <c r="AU73" s="45"/>
      <c r="BM73" s="5"/>
      <c r="BW73" s="4"/>
      <c r="CB73" s="42"/>
      <c r="CC73" s="12"/>
      <c r="CN73" s="23"/>
      <c r="CY73" s="12"/>
      <c r="DK73" s="13"/>
      <c r="DL73" s="45"/>
      <c r="ED73" s="5"/>
    </row>
    <row r="74" spans="6:134" ht="18" customHeight="1">
      <c r="F74" s="4"/>
      <c r="K74" s="42"/>
      <c r="L74" s="12"/>
      <c r="W74" s="24"/>
      <c r="AH74" s="12"/>
      <c r="AT74" s="13"/>
      <c r="AU74" s="45"/>
      <c r="BM74" s="5"/>
      <c r="BW74" s="4"/>
      <c r="CB74" s="42"/>
      <c r="CC74" s="12"/>
      <c r="CN74" s="24"/>
      <c r="CY74" s="23"/>
      <c r="DK74" s="13"/>
      <c r="DL74" s="45"/>
      <c r="ED74" s="5"/>
    </row>
    <row r="75" spans="6:134" ht="18" customHeight="1">
      <c r="F75" s="4"/>
      <c r="K75" s="42"/>
      <c r="L75" s="14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25"/>
      <c r="AH75" s="23"/>
      <c r="AT75" s="13"/>
      <c r="AU75" s="45"/>
      <c r="BM75" s="5"/>
      <c r="BW75" s="4"/>
      <c r="CB75" s="42"/>
      <c r="CC75" s="14"/>
      <c r="CD75" s="15"/>
      <c r="CE75" s="15"/>
      <c r="CF75" s="15"/>
      <c r="CG75" s="15"/>
      <c r="CH75" s="15"/>
      <c r="CI75" s="15"/>
      <c r="CJ75" s="15"/>
      <c r="CK75" s="15"/>
      <c r="CL75" s="15"/>
      <c r="CM75" s="15"/>
      <c r="CN75" s="25"/>
      <c r="CY75" s="24"/>
      <c r="DF75" s="9"/>
      <c r="DG75" s="10"/>
      <c r="DH75" s="10"/>
      <c r="DI75" s="10"/>
      <c r="DJ75" s="10"/>
      <c r="DK75" s="11"/>
      <c r="DL75" s="45"/>
      <c r="ED75" s="5"/>
    </row>
    <row r="76" spans="6:134" ht="18" customHeight="1">
      <c r="F76" s="4"/>
      <c r="K76" s="42"/>
      <c r="L76" s="9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23"/>
      <c r="AH76" s="24"/>
      <c r="AT76" s="13"/>
      <c r="AU76" s="108"/>
      <c r="BM76" s="5"/>
      <c r="BW76" s="4"/>
      <c r="CB76" s="42"/>
      <c r="CC76" s="9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10"/>
      <c r="CY76" s="24"/>
      <c r="DF76" s="14"/>
      <c r="DG76" s="15"/>
      <c r="DH76" s="15"/>
      <c r="DI76" s="15"/>
      <c r="DJ76" s="15"/>
      <c r="DK76" s="16"/>
      <c r="DL76" s="108"/>
      <c r="ED76" s="5"/>
    </row>
    <row r="77" spans="6:134" ht="18" customHeight="1">
      <c r="F77" s="4"/>
      <c r="K77" s="42"/>
      <c r="L77" s="12"/>
      <c r="W77" s="24"/>
      <c r="AH77" s="25"/>
      <c r="AI77" s="15"/>
      <c r="AJ77" s="15"/>
      <c r="AK77" s="15"/>
      <c r="AL77" s="40"/>
      <c r="AM77" s="109"/>
      <c r="AN77" s="109"/>
      <c r="AO77" s="109"/>
      <c r="AP77" s="109"/>
      <c r="AQ77" s="109"/>
      <c r="AR77" s="109"/>
      <c r="AS77" s="109"/>
      <c r="AT77" s="109"/>
      <c r="AU77" s="48"/>
      <c r="BM77" s="5"/>
      <c r="BW77" s="4"/>
      <c r="CB77" s="42"/>
      <c r="CC77" s="12"/>
      <c r="CN77" s="111"/>
      <c r="CU77" s="20"/>
      <c r="CV77" s="21"/>
      <c r="CW77" s="21"/>
      <c r="CX77" s="21"/>
      <c r="CY77" s="21"/>
      <c r="CZ77" s="21"/>
      <c r="DA77" s="21"/>
      <c r="DB77" s="22"/>
      <c r="DC77" s="41"/>
      <c r="DD77" s="109"/>
      <c r="DE77" s="109"/>
      <c r="DF77" s="109"/>
      <c r="DG77" s="109"/>
      <c r="DH77" s="109"/>
      <c r="DI77" s="109"/>
      <c r="DJ77" s="109"/>
      <c r="DK77" s="109"/>
      <c r="DL77" s="48"/>
      <c r="ED77" s="23"/>
    </row>
    <row r="78" spans="6:134" ht="18" customHeight="1">
      <c r="F78" s="4"/>
      <c r="K78" s="42"/>
      <c r="L78" s="12"/>
      <c r="W78" s="25"/>
      <c r="AK78" s="23"/>
      <c r="AL78" s="108"/>
      <c r="AM78" s="10"/>
      <c r="AN78" s="10"/>
      <c r="AO78" s="10"/>
      <c r="AP78" s="10"/>
      <c r="AQ78" s="10"/>
      <c r="AR78" s="10"/>
      <c r="AS78" s="10"/>
      <c r="AT78" s="10"/>
      <c r="AU78" s="11"/>
      <c r="AV78" s="11"/>
      <c r="AW78" s="17"/>
      <c r="BM78" s="5"/>
      <c r="BW78" s="4"/>
      <c r="CB78" s="42"/>
      <c r="CC78" s="12"/>
      <c r="CN78" s="112"/>
      <c r="CU78" s="121"/>
      <c r="CV78" s="119"/>
      <c r="CW78" s="119"/>
      <c r="CX78" s="119"/>
      <c r="CY78" s="119"/>
      <c r="CZ78" s="122"/>
      <c r="DC78" s="108"/>
      <c r="DD78" s="10"/>
      <c r="DE78" s="10"/>
      <c r="DF78" s="10"/>
      <c r="DG78" s="10"/>
      <c r="DH78" s="10"/>
      <c r="DI78" s="10"/>
      <c r="DJ78" s="10"/>
      <c r="DK78" s="10"/>
      <c r="DL78" s="11"/>
      <c r="ED78" s="24"/>
    </row>
    <row r="79" spans="6:134" ht="18" customHeight="1">
      <c r="F79" s="4"/>
      <c r="K79" s="42"/>
      <c r="L79" s="12"/>
      <c r="W79" s="13"/>
      <c r="AK79" s="24"/>
      <c r="AL79" s="108"/>
      <c r="AU79" s="13"/>
      <c r="AV79" s="13"/>
      <c r="AW79" s="18"/>
      <c r="BM79" s="5"/>
      <c r="BW79" s="4"/>
      <c r="CB79" s="42"/>
      <c r="CC79" s="12"/>
      <c r="CN79" s="13"/>
      <c r="CU79" s="64"/>
      <c r="CV79" s="120"/>
      <c r="CW79" s="120"/>
      <c r="CX79" s="120"/>
      <c r="CY79" s="120"/>
      <c r="CZ79" s="65"/>
      <c r="DC79" s="108"/>
      <c r="DL79" s="13"/>
      <c r="ED79" s="24"/>
    </row>
    <row r="80" spans="6:134" ht="18" customHeight="1">
      <c r="F80" s="4"/>
      <c r="K80" s="42"/>
      <c r="L80" s="12"/>
      <c r="W80" s="13"/>
      <c r="AK80" s="25"/>
      <c r="AL80" s="108"/>
      <c r="AU80" s="13"/>
      <c r="AV80" s="13"/>
      <c r="AW80" s="18"/>
      <c r="BM80" s="5"/>
      <c r="BW80" s="4"/>
      <c r="CB80" s="42"/>
      <c r="CC80" s="12"/>
      <c r="CN80" s="13"/>
      <c r="DC80" s="108"/>
      <c r="DL80" s="13"/>
      <c r="ED80" s="24"/>
    </row>
    <row r="81" spans="6:134" ht="18" customHeight="1">
      <c r="F81" s="4"/>
      <c r="K81" s="42"/>
      <c r="L81" s="12"/>
      <c r="W81" s="13"/>
      <c r="AL81" s="108"/>
      <c r="AU81" s="13"/>
      <c r="AV81" s="13"/>
      <c r="AW81" s="18"/>
      <c r="BM81" s="5"/>
      <c r="BW81" s="4"/>
      <c r="CB81" s="42"/>
      <c r="CC81" s="12"/>
      <c r="CN81" s="13"/>
      <c r="DC81" s="108"/>
      <c r="DL81" s="13"/>
      <c r="ED81" s="24"/>
    </row>
    <row r="82" spans="6:134" ht="18" customHeight="1">
      <c r="F82" s="4"/>
      <c r="K82" s="42"/>
      <c r="L82" s="12"/>
      <c r="W82" s="13"/>
      <c r="X82" s="66"/>
      <c r="Y82" s="67"/>
      <c r="AJ82" s="101"/>
      <c r="AK82" s="102"/>
      <c r="AL82" s="108"/>
      <c r="AU82" s="13"/>
      <c r="AV82" s="13"/>
      <c r="AW82" s="18"/>
      <c r="BM82" s="5"/>
      <c r="BW82" s="4"/>
      <c r="CB82" s="42"/>
      <c r="CC82" s="12"/>
      <c r="CN82" s="13"/>
      <c r="DC82" s="108"/>
      <c r="DL82" s="13"/>
      <c r="ED82" s="24"/>
    </row>
    <row r="83" spans="6:134" ht="18" customHeight="1">
      <c r="F83" s="4"/>
      <c r="K83" s="42"/>
      <c r="L83" s="12"/>
      <c r="W83" s="13"/>
      <c r="X83" s="94"/>
      <c r="Y83" s="95"/>
      <c r="AJ83" s="103"/>
      <c r="AK83" s="104"/>
      <c r="AL83" s="108"/>
      <c r="AU83" s="13"/>
      <c r="AV83" s="16"/>
      <c r="AW83" s="19"/>
      <c r="BM83" s="5"/>
      <c r="BW83" s="4"/>
      <c r="CB83" s="42"/>
      <c r="CC83" s="12"/>
      <c r="CN83" s="13"/>
      <c r="DC83" s="108"/>
      <c r="DL83" s="13"/>
      <c r="ED83" s="24"/>
    </row>
    <row r="84" spans="6:134" ht="18" customHeight="1">
      <c r="F84" s="4"/>
      <c r="K84" s="42"/>
      <c r="L84" s="12"/>
      <c r="W84" s="13"/>
      <c r="X84" s="94"/>
      <c r="Y84" s="95"/>
      <c r="AJ84" s="103"/>
      <c r="AK84" s="104"/>
      <c r="AL84" s="108"/>
      <c r="AU84" s="13"/>
      <c r="BM84" s="5"/>
      <c r="BW84" s="4"/>
      <c r="CB84" s="42"/>
      <c r="CC84" s="9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1"/>
      <c r="DC84" s="108"/>
      <c r="DL84" s="13"/>
      <c r="ED84" s="24"/>
    </row>
    <row r="85" spans="6:134" ht="18" customHeight="1">
      <c r="F85" s="4"/>
      <c r="K85" s="42"/>
      <c r="L85" s="12"/>
      <c r="W85" s="13"/>
      <c r="X85" s="94"/>
      <c r="Y85" s="95"/>
      <c r="AJ85" s="103"/>
      <c r="AK85" s="104"/>
      <c r="AL85" s="108"/>
      <c r="AU85" s="13"/>
      <c r="BM85" s="23"/>
      <c r="BW85" s="4"/>
      <c r="CB85" s="42"/>
      <c r="CC85" s="12"/>
      <c r="CE85" s="15"/>
      <c r="CF85" s="15"/>
      <c r="CG85" s="15"/>
      <c r="CH85" s="15"/>
      <c r="CI85" s="15"/>
      <c r="CJ85" s="15"/>
      <c r="CK85" s="15"/>
      <c r="CL85" s="15"/>
      <c r="CN85" s="13"/>
      <c r="DC85" s="108"/>
      <c r="DL85" s="13"/>
      <c r="ED85" s="24"/>
    </row>
    <row r="86" spans="6:134" ht="18" customHeight="1">
      <c r="F86" s="4"/>
      <c r="K86" s="42"/>
      <c r="L86" s="12"/>
      <c r="W86" s="13"/>
      <c r="X86" s="94"/>
      <c r="Y86" s="95"/>
      <c r="AJ86" s="103"/>
      <c r="AK86" s="104"/>
      <c r="AL86" s="108"/>
      <c r="AU86" s="13"/>
      <c r="BM86" s="24"/>
      <c r="BW86" s="4"/>
      <c r="CB86" s="42"/>
      <c r="CC86" s="12"/>
      <c r="CD86" s="13"/>
      <c r="CM86" s="12"/>
      <c r="CN86" s="13"/>
      <c r="DC86" s="108"/>
      <c r="DL86" s="13"/>
      <c r="ED86" s="25"/>
    </row>
    <row r="87" spans="6:134" ht="18" customHeight="1">
      <c r="F87" s="4"/>
      <c r="K87" s="42"/>
      <c r="L87" s="12"/>
      <c r="W87" s="13"/>
      <c r="X87" s="68"/>
      <c r="Y87" s="69"/>
      <c r="AJ87" s="105"/>
      <c r="AK87" s="106"/>
      <c r="AL87" s="108"/>
      <c r="AU87" s="13"/>
      <c r="AW87" s="9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1"/>
      <c r="BM87" s="24"/>
      <c r="BW87" s="4"/>
      <c r="CB87" s="42"/>
      <c r="CC87" s="12"/>
      <c r="CD87" s="13"/>
      <c r="CM87" s="12"/>
      <c r="CN87" s="13"/>
      <c r="DC87" s="108"/>
      <c r="DL87" s="13"/>
      <c r="DM87" s="11"/>
      <c r="DN87" s="17"/>
      <c r="ED87" s="5"/>
    </row>
    <row r="88" spans="6:134" ht="18" customHeight="1">
      <c r="F88" s="4"/>
      <c r="K88" s="42"/>
      <c r="L88" s="14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6"/>
      <c r="AL88" s="108"/>
      <c r="AU88" s="13"/>
      <c r="AW88" s="12"/>
      <c r="BH88" s="13"/>
      <c r="BM88" s="24"/>
      <c r="BW88" s="4"/>
      <c r="CB88" s="42"/>
      <c r="CC88" s="12"/>
      <c r="CD88" s="13"/>
      <c r="CM88" s="12"/>
      <c r="CN88" s="13"/>
      <c r="CU88" s="113"/>
      <c r="CV88" s="114"/>
      <c r="CW88" s="114"/>
      <c r="CX88" s="114"/>
      <c r="CY88" s="114"/>
      <c r="CZ88" s="115"/>
      <c r="DC88" s="108"/>
      <c r="DL88" s="13"/>
      <c r="DM88" s="13"/>
      <c r="DN88" s="18"/>
      <c r="ED88" s="5"/>
    </row>
    <row r="89" spans="6:134" ht="18" customHeight="1">
      <c r="F89" s="4"/>
      <c r="K89" s="42"/>
      <c r="L89" s="56"/>
      <c r="M89" s="57"/>
      <c r="N89" s="57"/>
      <c r="O89" s="57"/>
      <c r="P89" s="57"/>
      <c r="Q89" s="57"/>
      <c r="R89" s="57"/>
      <c r="S89" s="57"/>
      <c r="T89" s="57"/>
      <c r="U89" s="57"/>
      <c r="V89" s="85"/>
      <c r="W89" s="75"/>
      <c r="AL89" s="108"/>
      <c r="AU89" s="13"/>
      <c r="AW89" s="12"/>
      <c r="BH89" s="13"/>
      <c r="BM89" s="24"/>
      <c r="BW89" s="4"/>
      <c r="CB89" s="42"/>
      <c r="CC89" s="12"/>
      <c r="CD89" s="13"/>
      <c r="CM89" s="12"/>
      <c r="CN89" s="13"/>
      <c r="CU89" s="116"/>
      <c r="CV89" s="117"/>
      <c r="CW89" s="117"/>
      <c r="CX89" s="117"/>
      <c r="CY89" s="117"/>
      <c r="CZ89" s="118"/>
      <c r="DC89" s="108"/>
      <c r="DL89" s="13"/>
      <c r="DM89" s="13"/>
      <c r="DN89" s="18"/>
      <c r="ED89" s="5"/>
    </row>
    <row r="90" spans="6:134" ht="18" customHeight="1">
      <c r="F90" s="4"/>
      <c r="K90" s="42"/>
      <c r="L90" s="96"/>
      <c r="M90" s="97"/>
      <c r="N90" s="60"/>
      <c r="O90" s="60"/>
      <c r="P90" s="60"/>
      <c r="Q90" s="60"/>
      <c r="R90" s="60"/>
      <c r="S90" s="60"/>
      <c r="T90" s="60"/>
      <c r="U90" s="60"/>
      <c r="V90" s="89"/>
      <c r="W90" s="77"/>
      <c r="AL90" s="108"/>
      <c r="AU90" s="13"/>
      <c r="AW90" s="12"/>
      <c r="BH90" s="13"/>
      <c r="BM90" s="24"/>
      <c r="BW90" s="4"/>
      <c r="CB90" s="42"/>
      <c r="CC90" s="14"/>
      <c r="CD90" s="16"/>
      <c r="CM90" s="14"/>
      <c r="CN90" s="16"/>
      <c r="CU90" s="20"/>
      <c r="CV90" s="21"/>
      <c r="CW90" s="21"/>
      <c r="CX90" s="21"/>
      <c r="CY90" s="21"/>
      <c r="CZ90" s="21"/>
      <c r="DA90" s="21"/>
      <c r="DB90" s="22"/>
      <c r="DC90" s="108"/>
      <c r="DL90" s="13"/>
      <c r="DM90" s="13"/>
      <c r="DN90" s="18"/>
      <c r="ED90" s="5"/>
    </row>
    <row r="91" spans="6:134" ht="18" customHeight="1">
      <c r="F91" s="4"/>
      <c r="K91" s="42"/>
      <c r="L91" s="96"/>
      <c r="M91" s="98"/>
      <c r="W91" s="10"/>
      <c r="AL91" s="108"/>
      <c r="AU91" s="13"/>
      <c r="AW91" s="12"/>
      <c r="BH91" s="13"/>
      <c r="BM91" s="24"/>
      <c r="BW91" s="4"/>
      <c r="CB91" s="42"/>
      <c r="CC91" s="12"/>
      <c r="DC91" s="108"/>
      <c r="DL91" s="13"/>
      <c r="DM91" s="13"/>
      <c r="DN91" s="18"/>
      <c r="ED91" s="5"/>
    </row>
    <row r="92" spans="6:134" ht="18" customHeight="1">
      <c r="F92" s="4"/>
      <c r="K92" s="42"/>
      <c r="L92" s="96"/>
      <c r="M92" s="98"/>
      <c r="AL92" s="108"/>
      <c r="AU92" s="13"/>
      <c r="AW92" s="14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6"/>
      <c r="BM92" s="24"/>
      <c r="BW92" s="4"/>
      <c r="CB92" s="42"/>
      <c r="CC92" s="110"/>
      <c r="DB92" s="110"/>
      <c r="DC92" s="108"/>
      <c r="DL92" s="13"/>
      <c r="DM92" s="16"/>
      <c r="DN92" s="19"/>
      <c r="ED92" s="5"/>
    </row>
    <row r="93" spans="6:134" ht="18" customHeight="1">
      <c r="F93" s="4"/>
      <c r="K93" s="42"/>
      <c r="L93" s="96"/>
      <c r="M93" s="98"/>
      <c r="AC93" s="9"/>
      <c r="AD93" s="10"/>
      <c r="AE93" s="10"/>
      <c r="AF93" s="10"/>
      <c r="AG93" s="11"/>
      <c r="AL93" s="108"/>
      <c r="AU93" s="13"/>
      <c r="BM93" s="24"/>
      <c r="BW93" s="4"/>
      <c r="CB93" s="42"/>
      <c r="CC93" s="111"/>
      <c r="DB93" s="111"/>
      <c r="DC93" s="108"/>
      <c r="DL93" s="13"/>
      <c r="ED93" s="5"/>
    </row>
    <row r="94" spans="6:134" ht="18" customHeight="1">
      <c r="F94" s="4"/>
      <c r="K94" s="42"/>
      <c r="L94" s="96"/>
      <c r="M94" s="98"/>
      <c r="AC94" s="12"/>
      <c r="AG94" s="13"/>
      <c r="AL94" s="108"/>
      <c r="AU94" s="13"/>
      <c r="BM94" s="25"/>
      <c r="BW94" s="4"/>
      <c r="CB94" s="42"/>
      <c r="CC94" s="112"/>
      <c r="CD94" s="15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Y94" s="15"/>
      <c r="CZ94" s="15"/>
      <c r="DA94" s="15"/>
      <c r="DB94" s="112"/>
      <c r="DC94" s="108"/>
      <c r="DD94" s="12"/>
      <c r="DL94" s="13"/>
      <c r="ED94" s="5"/>
    </row>
    <row r="95" spans="6:134" ht="18" customHeight="1">
      <c r="F95" s="4"/>
      <c r="K95" s="42"/>
      <c r="L95" s="96"/>
      <c r="M95" s="98"/>
      <c r="AC95" s="14"/>
      <c r="AD95" s="15"/>
      <c r="AE95" s="15"/>
      <c r="AF95" s="15"/>
      <c r="AG95" s="16"/>
      <c r="AL95" s="108"/>
      <c r="AU95" s="13"/>
      <c r="BM95" s="5"/>
      <c r="BW95" s="4"/>
      <c r="CB95" s="46"/>
      <c r="CC95" s="47"/>
      <c r="CD95" s="47"/>
      <c r="CE95" s="47"/>
      <c r="CF95" s="47"/>
      <c r="CG95" s="47"/>
      <c r="CH95" s="47"/>
      <c r="CI95" s="47"/>
      <c r="CJ95" s="47"/>
      <c r="CK95" s="47"/>
      <c r="CL95" s="47"/>
      <c r="CM95" s="47"/>
      <c r="CN95" s="47"/>
      <c r="CO95" s="47"/>
      <c r="CP95" s="47"/>
      <c r="CQ95" s="47"/>
      <c r="CR95" s="47"/>
      <c r="CS95" s="47"/>
      <c r="CT95" s="47"/>
      <c r="CU95" s="47"/>
      <c r="CV95" s="47"/>
      <c r="CW95" s="47"/>
      <c r="CX95" s="47"/>
      <c r="CY95" s="47"/>
      <c r="CZ95" s="47"/>
      <c r="DA95" s="47"/>
      <c r="DB95" s="47"/>
      <c r="DC95" s="48"/>
      <c r="DD95" s="15"/>
      <c r="DE95" s="15"/>
      <c r="DF95" s="15"/>
      <c r="DG95" s="15"/>
      <c r="DH95" s="15"/>
      <c r="DI95" s="15"/>
      <c r="DJ95" s="15"/>
      <c r="DK95" s="15"/>
      <c r="DL95" s="16"/>
      <c r="ED95" s="5"/>
    </row>
    <row r="96" spans="6:134" ht="18" customHeight="1">
      <c r="F96" s="4"/>
      <c r="K96" s="42"/>
      <c r="L96" s="96"/>
      <c r="M96" s="98"/>
      <c r="W96" s="15"/>
      <c r="AL96" s="108"/>
      <c r="AU96" s="13"/>
      <c r="BM96" s="5"/>
      <c r="BW96" s="4"/>
      <c r="ED96" s="5"/>
    </row>
    <row r="97" spans="6:134" ht="18" customHeight="1">
      <c r="F97" s="4"/>
      <c r="K97" s="42"/>
      <c r="L97" s="96"/>
      <c r="M97" s="97"/>
      <c r="N97" s="57"/>
      <c r="O97" s="57"/>
      <c r="P97" s="57"/>
      <c r="Q97" s="57"/>
      <c r="R97" s="57"/>
      <c r="S97" s="57"/>
      <c r="T97" s="57"/>
      <c r="U97" s="57"/>
      <c r="V97" s="57"/>
      <c r="W97" s="58"/>
      <c r="AL97" s="108"/>
      <c r="AU97" s="13"/>
      <c r="BM97" s="5"/>
      <c r="BW97" s="4"/>
      <c r="ED97" s="5"/>
    </row>
    <row r="98" spans="6:134" ht="18" customHeight="1">
      <c r="F98" s="4"/>
      <c r="K98" s="42"/>
      <c r="L98" s="59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1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08"/>
      <c r="AM98" s="12"/>
      <c r="AU98" s="13"/>
      <c r="BM98" s="5"/>
      <c r="BW98" s="4"/>
      <c r="ED98" s="5"/>
    </row>
    <row r="99" spans="6:134" ht="18" customHeight="1">
      <c r="F99" s="4"/>
      <c r="K99" s="46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8"/>
      <c r="AM99" s="15"/>
      <c r="AN99" s="15"/>
      <c r="AO99" s="15"/>
      <c r="AP99" s="15"/>
      <c r="AQ99" s="15"/>
      <c r="AR99" s="15"/>
      <c r="AS99" s="15"/>
      <c r="AT99" s="15"/>
      <c r="AU99" s="16"/>
      <c r="BM99" s="5"/>
      <c r="BW99" s="4"/>
      <c r="ED99" s="5"/>
    </row>
    <row r="100" spans="6:134" ht="18" customHeight="1">
      <c r="F100" s="4"/>
      <c r="BM100" s="5"/>
      <c r="BW100" s="4"/>
      <c r="ED100" s="5"/>
    </row>
    <row r="101" spans="6:134" ht="18" customHeight="1">
      <c r="F101" s="4"/>
      <c r="BM101" s="5"/>
      <c r="BW101" s="4"/>
      <c r="ED101" s="5"/>
    </row>
    <row r="102" spans="6:134" ht="18" customHeight="1">
      <c r="F102" s="4"/>
      <c r="BM102" s="5"/>
      <c r="BW102" s="4"/>
      <c r="ED102" s="5"/>
    </row>
    <row r="103" spans="6:134" ht="18" customHeight="1">
      <c r="F103" s="4"/>
      <c r="BM103" s="5"/>
      <c r="BW103" s="4"/>
      <c r="ED103" s="5"/>
    </row>
    <row r="104" spans="6:134" ht="18" customHeight="1">
      <c r="F104" s="4"/>
      <c r="BM104" s="5"/>
      <c r="BW104" s="4"/>
      <c r="ED104" s="5"/>
    </row>
    <row r="105" spans="6:134" ht="18" customHeight="1">
      <c r="F105" s="4"/>
      <c r="BM105" s="5"/>
      <c r="BW105" s="4"/>
      <c r="ED105" s="5"/>
    </row>
    <row r="106" spans="6:134" ht="18" customHeight="1">
      <c r="F106" s="4"/>
      <c r="BM106" s="5"/>
      <c r="BW106" s="4"/>
      <c r="ED106" s="5"/>
    </row>
    <row r="107" spans="6:134" ht="18" customHeight="1">
      <c r="F107" s="4"/>
      <c r="BM107" s="5"/>
      <c r="BW107" s="4"/>
      <c r="ED107" s="5"/>
    </row>
    <row r="108" spans="6:134" ht="18" customHeight="1">
      <c r="F108" s="4"/>
      <c r="BM108" s="5"/>
      <c r="BW108" s="4"/>
      <c r="ED108" s="5"/>
    </row>
    <row r="109" spans="6:134" ht="18" customHeight="1">
      <c r="F109" s="4"/>
      <c r="BM109" s="5"/>
      <c r="BW109" s="4"/>
      <c r="ED109" s="5"/>
    </row>
    <row r="110" spans="6:134" ht="18" customHeight="1" thickBot="1">
      <c r="F110" s="6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8"/>
      <c r="BW110" s="6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8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03557-2EDA-A547-917F-56350CBE76B8}">
  <sheetPr codeName="Sheet3"/>
  <dimension ref="G4:OD675"/>
  <sheetViews>
    <sheetView topLeftCell="O436" zoomScale="27" zoomScaleNormal="31" workbookViewId="0">
      <selection activeCell="HQ602" sqref="HQ602"/>
    </sheetView>
  </sheetViews>
  <sheetFormatPr baseColWidth="10" defaultColWidth="3" defaultRowHeight="18" customHeight="1"/>
  <cols>
    <col min="150" max="150" width="3" customWidth="1"/>
    <col min="198" max="198" width="3" customWidth="1"/>
    <col min="209" max="209" width="3" customWidth="1"/>
    <col min="235" max="235" width="3" customWidth="1"/>
  </cols>
  <sheetData>
    <row r="4" spans="19:205" ht="18" customHeight="1">
      <c r="S4" s="9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1"/>
      <c r="CQ4" s="9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1"/>
      <c r="DN4" s="9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1"/>
      <c r="GK4" s="9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1"/>
    </row>
    <row r="5" spans="19:205" ht="18" customHeight="1">
      <c r="S5" s="12"/>
      <c r="CP5" s="13"/>
      <c r="CQ5" s="9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1"/>
      <c r="DC5" s="13"/>
      <c r="DN5" s="12"/>
      <c r="GJ5" s="13"/>
      <c r="GK5" s="9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1"/>
      <c r="GW5" s="13"/>
    </row>
    <row r="6" spans="19:205" ht="18" customHeight="1">
      <c r="S6" s="12"/>
      <c r="U6" s="9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1"/>
      <c r="AQ6" s="11"/>
      <c r="AR6" s="9"/>
      <c r="AS6" s="10"/>
      <c r="AT6" s="10"/>
      <c r="AU6" s="10"/>
      <c r="AV6" s="10"/>
      <c r="AW6" s="10"/>
      <c r="AX6" s="10"/>
      <c r="AY6" s="10"/>
      <c r="AZ6" s="10"/>
      <c r="BA6" s="11"/>
      <c r="BB6" s="10"/>
      <c r="BC6" s="9"/>
      <c r="BD6" s="10"/>
      <c r="BE6" s="10"/>
      <c r="BF6" s="10"/>
      <c r="BG6" s="10"/>
      <c r="BH6" s="10"/>
      <c r="BI6" s="10"/>
      <c r="BJ6" s="10"/>
      <c r="BK6" s="10"/>
      <c r="BL6" s="11"/>
      <c r="BM6" s="9"/>
      <c r="BN6" s="9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1"/>
      <c r="CP6" s="13"/>
      <c r="CQ6" s="12"/>
      <c r="DB6" s="13"/>
      <c r="DC6" s="13"/>
      <c r="DN6" s="12"/>
      <c r="DP6" s="9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1"/>
      <c r="EL6" s="11"/>
      <c r="EM6" s="9"/>
      <c r="EN6" s="10"/>
      <c r="EO6" s="10"/>
      <c r="EP6" s="10"/>
      <c r="EQ6" s="10"/>
      <c r="ER6" s="10"/>
      <c r="ES6" s="10"/>
      <c r="ET6" s="10"/>
      <c r="EU6" s="10"/>
      <c r="EV6" s="11"/>
      <c r="EW6" s="10"/>
      <c r="EX6" s="9"/>
      <c r="EY6" s="10"/>
      <c r="EZ6" s="10"/>
      <c r="FA6" s="10"/>
      <c r="FB6" s="10"/>
      <c r="FC6" s="10"/>
      <c r="FD6" s="10"/>
      <c r="FE6" s="10"/>
      <c r="FF6" s="10"/>
      <c r="FG6" s="11"/>
      <c r="FH6" s="9"/>
      <c r="FI6" s="9"/>
      <c r="FJ6" s="10"/>
      <c r="FK6" s="10"/>
      <c r="FL6" s="10"/>
      <c r="FM6" s="10"/>
      <c r="FN6" s="10"/>
      <c r="FO6" s="10"/>
      <c r="FP6" s="10"/>
      <c r="FQ6" s="9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1"/>
      <c r="GC6" s="10"/>
      <c r="GD6" s="10"/>
      <c r="GE6" s="10"/>
      <c r="GF6" s="10"/>
      <c r="GG6" s="10"/>
      <c r="GH6" s="11"/>
      <c r="GJ6" s="13"/>
      <c r="GK6" s="12"/>
      <c r="GV6" s="13"/>
      <c r="GW6" s="13"/>
    </row>
    <row r="7" spans="19:205" ht="18" customHeight="1">
      <c r="S7" s="12"/>
      <c r="U7" s="12"/>
      <c r="AP7" s="13"/>
      <c r="AQ7" s="13"/>
      <c r="AR7" s="12"/>
      <c r="BA7" s="13"/>
      <c r="BC7" s="12"/>
      <c r="BL7" s="13"/>
      <c r="BM7" s="12"/>
      <c r="BN7" s="12"/>
      <c r="CN7" s="13"/>
      <c r="CP7" s="13"/>
      <c r="CQ7" s="12"/>
      <c r="DB7" s="13"/>
      <c r="DC7" s="13"/>
      <c r="DN7" s="12"/>
      <c r="DP7" s="12"/>
      <c r="EK7" s="13"/>
      <c r="EL7" s="13"/>
      <c r="EM7" s="12"/>
      <c r="EV7" s="13"/>
      <c r="EX7" s="12"/>
      <c r="FG7" s="13"/>
      <c r="FH7" s="12"/>
      <c r="FI7" s="12"/>
      <c r="FQ7" s="12"/>
      <c r="GB7" s="13"/>
      <c r="GH7" s="13"/>
      <c r="GJ7" s="13"/>
      <c r="GK7" s="12"/>
      <c r="GV7" s="13"/>
      <c r="GW7" s="13"/>
    </row>
    <row r="8" spans="19:205" ht="18" customHeight="1">
      <c r="S8" s="12"/>
      <c r="U8" s="12"/>
      <c r="AP8" s="13"/>
      <c r="AQ8" s="13"/>
      <c r="AR8" s="12"/>
      <c r="BA8" s="13"/>
      <c r="BC8" s="12"/>
      <c r="BL8" s="13"/>
      <c r="BM8" s="12"/>
      <c r="BN8" s="12"/>
      <c r="CN8" s="13"/>
      <c r="CP8" s="13"/>
      <c r="CQ8" s="12"/>
      <c r="DB8" s="13"/>
      <c r="DC8" s="13"/>
      <c r="DN8" s="12"/>
      <c r="DP8" s="12"/>
      <c r="EK8" s="13"/>
      <c r="EL8" s="13"/>
      <c r="EM8" s="12"/>
      <c r="EV8" s="13"/>
      <c r="EX8" s="12"/>
      <c r="FG8" s="13"/>
      <c r="FH8" s="12"/>
      <c r="FI8" s="12"/>
      <c r="FQ8" s="12"/>
      <c r="GB8" s="13"/>
      <c r="GH8" s="13"/>
      <c r="GJ8" s="13"/>
      <c r="GK8" s="12"/>
      <c r="GV8" s="13"/>
      <c r="GW8" s="13"/>
    </row>
    <row r="9" spans="19:205" ht="18" customHeight="1">
      <c r="S9" s="12"/>
      <c r="U9" s="12"/>
      <c r="AP9" s="13"/>
      <c r="AQ9" s="13"/>
      <c r="AR9" s="12"/>
      <c r="BA9" s="13"/>
      <c r="BC9" s="12"/>
      <c r="BL9" s="13"/>
      <c r="BM9" s="12"/>
      <c r="BN9" s="12"/>
      <c r="CN9" s="13"/>
      <c r="CP9" s="13"/>
      <c r="CQ9" s="12"/>
      <c r="DB9" s="13"/>
      <c r="DC9" s="13"/>
      <c r="DN9" s="12"/>
      <c r="DP9" s="12"/>
      <c r="EK9" s="13"/>
      <c r="EL9" s="13"/>
      <c r="EM9" s="12"/>
      <c r="EV9" s="13"/>
      <c r="EX9" s="12"/>
      <c r="FG9" s="13"/>
      <c r="FH9" s="12"/>
      <c r="FI9" s="12"/>
      <c r="FQ9" s="12"/>
      <c r="GB9" s="13"/>
      <c r="GH9" s="13"/>
      <c r="GJ9" s="13"/>
      <c r="GK9" s="12"/>
      <c r="GV9" s="13"/>
      <c r="GW9" s="13"/>
    </row>
    <row r="10" spans="19:205" ht="18" customHeight="1">
      <c r="S10" s="12"/>
      <c r="U10" s="12"/>
      <c r="AP10" s="13"/>
      <c r="AQ10" s="13"/>
      <c r="AR10" s="12"/>
      <c r="BA10" s="13"/>
      <c r="BC10" s="12"/>
      <c r="BL10" s="13"/>
      <c r="BM10" s="12"/>
      <c r="BN10" s="12"/>
      <c r="CN10" s="13"/>
      <c r="CP10" s="13"/>
      <c r="CQ10" s="12"/>
      <c r="DB10" s="13"/>
      <c r="DC10" s="13"/>
      <c r="DN10" s="12"/>
      <c r="DP10" s="12"/>
      <c r="EK10" s="13"/>
      <c r="EL10" s="13"/>
      <c r="EM10" s="12"/>
      <c r="EV10" s="13"/>
      <c r="EX10" s="12"/>
      <c r="FG10" s="13"/>
      <c r="FH10" s="12"/>
      <c r="FI10" s="12"/>
      <c r="FQ10" s="12"/>
      <c r="GB10" s="13"/>
      <c r="GH10" s="13"/>
      <c r="GJ10" s="13"/>
      <c r="GK10" s="12"/>
      <c r="GV10" s="13"/>
      <c r="GW10" s="13"/>
    </row>
    <row r="11" spans="19:205" ht="18" customHeight="1">
      <c r="S11" s="12"/>
      <c r="U11" s="12"/>
      <c r="AP11" s="13"/>
      <c r="AQ11" s="13"/>
      <c r="AR11" s="12"/>
      <c r="BA11" s="13"/>
      <c r="BC11" s="12"/>
      <c r="BL11" s="13"/>
      <c r="BM11" s="12"/>
      <c r="BN11" s="12"/>
      <c r="CN11" s="13"/>
      <c r="CP11" s="13"/>
      <c r="CQ11" s="12"/>
      <c r="DB11" s="13"/>
      <c r="DC11" s="13"/>
      <c r="DN11" s="12"/>
      <c r="DP11" s="12"/>
      <c r="EK11" s="13"/>
      <c r="EL11" s="13"/>
      <c r="EM11" s="12"/>
      <c r="EV11" s="13"/>
      <c r="EX11" s="12"/>
      <c r="FG11" s="13"/>
      <c r="FH11" s="12"/>
      <c r="FI11" s="12"/>
      <c r="FQ11" s="12"/>
      <c r="GB11" s="13"/>
      <c r="GH11" s="13"/>
      <c r="GJ11" s="13"/>
      <c r="GK11" s="12"/>
      <c r="GV11" s="13"/>
      <c r="GW11" s="13"/>
    </row>
    <row r="12" spans="19:205" ht="18" customHeight="1">
      <c r="S12" s="12"/>
      <c r="U12" s="12"/>
      <c r="AP12" s="13"/>
      <c r="AQ12" s="13"/>
      <c r="AR12" s="12"/>
      <c r="BA12" s="13"/>
      <c r="BC12" s="12"/>
      <c r="BL12" s="13"/>
      <c r="BM12" s="12"/>
      <c r="BN12" s="12"/>
      <c r="CN12" s="13"/>
      <c r="CP12" s="13"/>
      <c r="CQ12" s="12"/>
      <c r="DB12" s="13"/>
      <c r="DC12" s="13"/>
      <c r="DN12" s="12"/>
      <c r="DP12" s="12"/>
      <c r="EK12" s="13"/>
      <c r="EL12" s="13"/>
      <c r="EM12" s="12"/>
      <c r="EV12" s="13"/>
      <c r="EX12" s="12"/>
      <c r="FG12" s="13"/>
      <c r="FH12" s="12"/>
      <c r="FI12" s="12"/>
      <c r="FQ12" s="12"/>
      <c r="GB12" s="13"/>
      <c r="GH12" s="13"/>
      <c r="GJ12" s="13"/>
      <c r="GK12" s="12"/>
      <c r="GV12" s="13"/>
      <c r="GW12" s="13"/>
    </row>
    <row r="13" spans="19:205" ht="18" customHeight="1">
      <c r="S13" s="12"/>
      <c r="U13" s="12"/>
      <c r="AP13" s="13"/>
      <c r="AQ13" s="13"/>
      <c r="AR13" s="12"/>
      <c r="BA13" s="13"/>
      <c r="BC13" s="12"/>
      <c r="BL13" s="13"/>
      <c r="BM13" s="12"/>
      <c r="BN13" s="12"/>
      <c r="CN13" s="13"/>
      <c r="CP13" s="13"/>
      <c r="CQ13" s="12"/>
      <c r="DB13" s="13"/>
      <c r="DC13" s="13"/>
      <c r="DN13" s="12"/>
      <c r="DP13" s="12"/>
      <c r="EK13" s="13"/>
      <c r="EL13" s="13"/>
      <c r="EM13" s="14"/>
      <c r="EN13" s="15"/>
      <c r="EO13" s="15"/>
      <c r="EP13" s="15"/>
      <c r="EQ13" s="15"/>
      <c r="ER13" s="15"/>
      <c r="ES13" s="15"/>
      <c r="ET13" s="15"/>
      <c r="EU13" s="15"/>
      <c r="EV13" s="16"/>
      <c r="EX13" s="14"/>
      <c r="EY13" s="15"/>
      <c r="EZ13" s="15"/>
      <c r="FA13" s="15"/>
      <c r="FB13" s="15"/>
      <c r="FC13" s="15"/>
      <c r="FD13" s="15"/>
      <c r="FE13" s="15"/>
      <c r="FF13" s="15"/>
      <c r="FG13" s="16"/>
      <c r="FH13" s="12"/>
      <c r="FI13" s="12"/>
      <c r="FQ13" s="12"/>
      <c r="GB13" s="13"/>
      <c r="GH13" s="13"/>
      <c r="GJ13" s="13"/>
      <c r="GK13" s="12"/>
      <c r="GV13" s="13"/>
      <c r="GW13" s="13"/>
    </row>
    <row r="14" spans="19:205" ht="18" customHeight="1">
      <c r="S14" s="12"/>
      <c r="U14" s="12"/>
      <c r="AP14" s="13"/>
      <c r="AQ14" s="13"/>
      <c r="AR14" s="12"/>
      <c r="BA14" s="13"/>
      <c r="BC14" s="12"/>
      <c r="BL14" s="13"/>
      <c r="BM14" s="12"/>
      <c r="BN14" s="12"/>
      <c r="CN14" s="13"/>
      <c r="CP14" s="13"/>
      <c r="CQ14" s="12"/>
      <c r="DB14" s="13"/>
      <c r="DC14" s="13"/>
      <c r="DN14" s="12"/>
      <c r="DP14" s="12"/>
      <c r="EK14" s="13"/>
      <c r="EL14" s="13"/>
      <c r="EM14" s="12"/>
      <c r="EV14" s="13"/>
      <c r="EX14" s="12"/>
      <c r="FG14" s="13"/>
      <c r="FH14" s="12"/>
      <c r="FI14" s="12"/>
      <c r="FQ14" s="12"/>
      <c r="GB14" s="13"/>
      <c r="GH14" s="13"/>
      <c r="GJ14" s="13"/>
      <c r="GK14" s="12"/>
      <c r="GV14" s="13"/>
      <c r="GW14" s="13"/>
    </row>
    <row r="15" spans="19:205" ht="18" customHeight="1">
      <c r="S15" s="12"/>
      <c r="U15" s="12"/>
      <c r="AP15" s="13"/>
      <c r="AQ15" s="13"/>
      <c r="AR15" s="12"/>
      <c r="BA15" s="13"/>
      <c r="BC15" s="12"/>
      <c r="BL15" s="13"/>
      <c r="BM15" s="12"/>
      <c r="BN15" s="12"/>
      <c r="CN15" s="13"/>
      <c r="CP15" s="13"/>
      <c r="CQ15" s="12"/>
      <c r="DB15" s="13"/>
      <c r="DC15" s="13"/>
      <c r="DN15" s="12"/>
      <c r="DP15" s="12"/>
      <c r="EK15" s="13"/>
      <c r="EL15" s="13"/>
      <c r="EM15" s="12"/>
      <c r="EV15" s="13"/>
      <c r="EX15" s="12"/>
      <c r="FG15" s="13"/>
      <c r="FH15" s="12"/>
      <c r="FI15" s="12"/>
      <c r="FQ15" s="12"/>
      <c r="GB15" s="13"/>
      <c r="GH15" s="13"/>
      <c r="GJ15" s="13"/>
      <c r="GK15" s="12"/>
      <c r="GV15" s="13"/>
      <c r="GW15" s="13"/>
    </row>
    <row r="16" spans="19:205" ht="18" customHeight="1">
      <c r="S16" s="12"/>
      <c r="U16" s="12"/>
      <c r="AP16" s="13"/>
      <c r="AQ16" s="13"/>
      <c r="AR16" s="12"/>
      <c r="BA16" s="13"/>
      <c r="BC16" s="12"/>
      <c r="BL16" s="13"/>
      <c r="BM16" s="12"/>
      <c r="BN16" s="12"/>
      <c r="CN16" s="13"/>
      <c r="CP16" s="13"/>
      <c r="CQ16" s="12"/>
      <c r="DB16" s="13"/>
      <c r="DC16" s="13"/>
      <c r="DN16" s="12"/>
      <c r="DP16" s="12"/>
      <c r="EK16" s="13"/>
      <c r="EL16" s="13"/>
      <c r="EM16" s="12"/>
      <c r="EV16" s="13"/>
      <c r="EX16" s="12"/>
      <c r="FG16" s="13"/>
      <c r="FH16" s="12"/>
      <c r="FI16" s="12"/>
      <c r="FQ16" s="12"/>
      <c r="GB16" s="13"/>
      <c r="GH16" s="13"/>
      <c r="GJ16" s="13"/>
      <c r="GK16" s="12"/>
      <c r="GV16" s="13"/>
      <c r="GW16" s="13"/>
    </row>
    <row r="17" spans="19:205" ht="18" customHeight="1">
      <c r="S17" s="12"/>
      <c r="U17" s="12"/>
      <c r="AP17" s="13"/>
      <c r="AQ17" s="13"/>
      <c r="AR17" s="12"/>
      <c r="BA17" s="13"/>
      <c r="BC17" s="12"/>
      <c r="BL17" s="13"/>
      <c r="BM17" s="12"/>
      <c r="BN17" s="12"/>
      <c r="CN17" s="13"/>
      <c r="CP17" s="13"/>
      <c r="CQ17" s="12"/>
      <c r="DB17" s="13"/>
      <c r="DC17" s="13"/>
      <c r="DN17" s="12"/>
      <c r="DP17" s="12"/>
      <c r="EK17" s="13"/>
      <c r="EL17" s="13"/>
      <c r="EM17" s="12"/>
      <c r="EV17" s="13"/>
      <c r="EX17" s="12"/>
      <c r="FG17" s="13"/>
      <c r="FH17" s="12"/>
      <c r="FI17" s="12"/>
      <c r="FQ17" s="14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6"/>
      <c r="GH17" s="13"/>
      <c r="GJ17" s="13"/>
      <c r="GK17" s="12"/>
      <c r="GV17" s="13"/>
      <c r="GW17" s="13"/>
    </row>
    <row r="18" spans="19:205" ht="18" customHeight="1">
      <c r="S18" s="12"/>
      <c r="U18" s="12"/>
      <c r="AP18" s="13"/>
      <c r="AQ18" s="13"/>
      <c r="AR18" s="12"/>
      <c r="BA18" s="13"/>
      <c r="BC18" s="12"/>
      <c r="BL18" s="13"/>
      <c r="BM18" s="23"/>
      <c r="BN18" s="12"/>
      <c r="CN18" s="13"/>
      <c r="CP18" s="13"/>
      <c r="CQ18" s="12"/>
      <c r="DB18" s="13"/>
      <c r="DC18" s="13"/>
      <c r="DN18" s="12"/>
      <c r="DP18" s="12"/>
      <c r="EK18" s="13"/>
      <c r="EL18" s="13"/>
      <c r="EM18" s="12"/>
      <c r="EV18" s="13"/>
      <c r="EX18" s="12"/>
      <c r="FG18" s="13"/>
      <c r="FH18" s="23"/>
      <c r="FI18" s="12"/>
      <c r="GH18" s="13"/>
      <c r="GJ18" s="13"/>
      <c r="GK18" s="12"/>
      <c r="GV18" s="13"/>
      <c r="GW18" s="13"/>
    </row>
    <row r="19" spans="19:205" ht="18" customHeight="1">
      <c r="S19" s="12"/>
      <c r="U19" s="12"/>
      <c r="AP19" s="13"/>
      <c r="AQ19" s="13"/>
      <c r="AR19" s="12"/>
      <c r="BA19" s="13"/>
      <c r="BC19" s="12"/>
      <c r="BL19" s="13"/>
      <c r="BM19" s="24"/>
      <c r="BN19" s="12"/>
      <c r="CN19" s="13"/>
      <c r="CP19" s="13"/>
      <c r="CQ19" s="12"/>
      <c r="DB19" s="13"/>
      <c r="DC19" s="13"/>
      <c r="DN19" s="12"/>
      <c r="DP19" s="12"/>
      <c r="EK19" s="13"/>
      <c r="EL19" s="13"/>
      <c r="EM19" s="12"/>
      <c r="EV19" s="13"/>
      <c r="EX19" s="12"/>
      <c r="FG19" s="13"/>
      <c r="FH19" s="24"/>
      <c r="FI19" s="12"/>
      <c r="GH19" s="13"/>
      <c r="GJ19" s="13"/>
      <c r="GK19" s="12"/>
      <c r="GV19" s="13"/>
      <c r="GW19" s="13"/>
    </row>
    <row r="20" spans="19:205" ht="18" customHeight="1">
      <c r="S20" s="12"/>
      <c r="U20" s="12"/>
      <c r="AP20" s="13"/>
      <c r="AQ20" s="13"/>
      <c r="AR20" s="12"/>
      <c r="BA20" s="13"/>
      <c r="BC20" s="12"/>
      <c r="BL20" s="13"/>
      <c r="BM20" s="24"/>
      <c r="BN20" s="12"/>
      <c r="CN20" s="13"/>
      <c r="CP20" s="13"/>
      <c r="CQ20" s="12"/>
      <c r="DB20" s="13"/>
      <c r="DC20" s="13"/>
      <c r="DN20" s="12"/>
      <c r="DP20" s="12"/>
      <c r="EK20" s="13"/>
      <c r="EL20" s="13"/>
      <c r="EM20" s="12"/>
      <c r="EV20" s="13"/>
      <c r="EX20" s="12"/>
      <c r="FG20" s="13"/>
      <c r="FH20" s="24"/>
      <c r="FI20" s="12"/>
      <c r="GH20" s="13"/>
      <c r="GJ20" s="13"/>
      <c r="GK20" s="12"/>
      <c r="GV20" s="13"/>
      <c r="GW20" s="13"/>
    </row>
    <row r="21" spans="19:205" ht="18" customHeight="1">
      <c r="S21" s="12"/>
      <c r="U21" s="12"/>
      <c r="AP21" s="13"/>
      <c r="AQ21" s="13"/>
      <c r="AR21" s="12"/>
      <c r="BA21" s="13"/>
      <c r="BC21" s="12"/>
      <c r="BL21" s="13"/>
      <c r="BM21" s="24"/>
      <c r="BN21" s="12"/>
      <c r="CN21" s="13"/>
      <c r="CP21" s="13"/>
      <c r="CQ21" s="12"/>
      <c r="DB21" s="13"/>
      <c r="DC21" s="13"/>
      <c r="DN21" s="12"/>
      <c r="DP21" s="12"/>
      <c r="EK21" s="13"/>
      <c r="EL21" s="13"/>
      <c r="EM21" s="12"/>
      <c r="EV21" s="13"/>
      <c r="EX21" s="12"/>
      <c r="FG21" s="13"/>
      <c r="FH21" s="24"/>
      <c r="FI21" s="12"/>
      <c r="GH21" s="13"/>
      <c r="GJ21" s="13"/>
      <c r="GK21" s="12"/>
      <c r="GV21" s="13"/>
      <c r="GW21" s="13"/>
    </row>
    <row r="22" spans="19:205" ht="18" customHeight="1">
      <c r="S22" s="12"/>
      <c r="U22" s="12"/>
      <c r="AP22" s="13"/>
      <c r="AQ22" s="13"/>
      <c r="AR22" s="12"/>
      <c r="BA22" s="13"/>
      <c r="BC22" s="12"/>
      <c r="BL22" s="13"/>
      <c r="BM22" s="25"/>
      <c r="BN22" s="12"/>
      <c r="CN22" s="13"/>
      <c r="CP22" s="13"/>
      <c r="CQ22" s="12"/>
      <c r="DB22" s="13"/>
      <c r="DC22" s="13"/>
      <c r="DN22" s="12"/>
      <c r="DP22" s="12"/>
      <c r="EK22" s="13"/>
      <c r="EL22" s="13"/>
      <c r="EM22" s="12"/>
      <c r="EV22" s="13"/>
      <c r="EX22" s="12"/>
      <c r="FG22" s="13"/>
      <c r="FH22" s="25"/>
      <c r="FI22" s="12"/>
      <c r="GH22" s="13"/>
      <c r="GJ22" s="13"/>
      <c r="GK22" s="12"/>
      <c r="GV22" s="13"/>
      <c r="GW22" s="13"/>
    </row>
    <row r="23" spans="19:205" ht="18" customHeight="1">
      <c r="S23" s="12"/>
      <c r="U23" s="12"/>
      <c r="AP23" s="13"/>
      <c r="AQ23" s="13"/>
      <c r="AR23" s="14"/>
      <c r="AS23" s="15"/>
      <c r="AT23" s="15"/>
      <c r="AU23" s="15"/>
      <c r="AV23" s="15"/>
      <c r="AW23" s="15"/>
      <c r="AX23" s="15"/>
      <c r="AY23" s="15"/>
      <c r="AZ23" s="15"/>
      <c r="BA23" s="16"/>
      <c r="BC23" s="14"/>
      <c r="BD23" s="15"/>
      <c r="BE23" s="15"/>
      <c r="BF23" s="15"/>
      <c r="BG23" s="15"/>
      <c r="BH23" s="15"/>
      <c r="BI23" s="15"/>
      <c r="BJ23" s="15"/>
      <c r="BK23" s="15"/>
      <c r="BL23" s="16"/>
      <c r="BM23" s="12"/>
      <c r="BN23" s="12"/>
      <c r="CN23" s="13"/>
      <c r="CP23" s="13"/>
      <c r="CQ23" s="12"/>
      <c r="DB23" s="13"/>
      <c r="DC23" s="13"/>
      <c r="DN23" s="12"/>
      <c r="DP23" s="12"/>
      <c r="EK23" s="13"/>
      <c r="EL23" s="13"/>
      <c r="EM23" s="14"/>
      <c r="EN23" s="15"/>
      <c r="EO23" s="15"/>
      <c r="EP23" s="15"/>
      <c r="EQ23" s="15"/>
      <c r="ER23" s="15"/>
      <c r="ES23" s="15"/>
      <c r="ET23" s="15"/>
      <c r="EU23" s="15"/>
      <c r="EV23" s="16"/>
      <c r="EX23" s="14"/>
      <c r="EY23" s="15"/>
      <c r="EZ23" s="15"/>
      <c r="FA23" s="15"/>
      <c r="FB23" s="15"/>
      <c r="FC23" s="15"/>
      <c r="FD23" s="15"/>
      <c r="FE23" s="15"/>
      <c r="FF23" s="15"/>
      <c r="FG23" s="16"/>
      <c r="FH23" s="12"/>
      <c r="FI23" s="12"/>
      <c r="GH23" s="13"/>
      <c r="GJ23" s="13"/>
      <c r="GK23" s="12"/>
      <c r="GV23" s="13"/>
      <c r="GW23" s="13"/>
    </row>
    <row r="24" spans="19:205" ht="18" customHeight="1">
      <c r="S24" s="12"/>
      <c r="U24" s="12"/>
      <c r="AP24" s="13"/>
      <c r="AQ24" s="12"/>
      <c r="AR24" s="15"/>
      <c r="AS24" s="15"/>
      <c r="AT24" s="15"/>
      <c r="AU24" s="15"/>
      <c r="AV24" s="26"/>
      <c r="AW24" s="27"/>
      <c r="AX24" s="27"/>
      <c r="AY24" s="27"/>
      <c r="AZ24" s="28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21"/>
      <c r="BN24" s="12"/>
      <c r="CN24" s="13"/>
      <c r="CP24" s="13"/>
      <c r="CQ24" s="12"/>
      <c r="DB24" s="13"/>
      <c r="DC24" s="13"/>
      <c r="DN24" s="12"/>
      <c r="DP24" s="12"/>
      <c r="EK24" s="13"/>
      <c r="EL24" s="12"/>
      <c r="EM24" s="15"/>
      <c r="EN24" s="15"/>
      <c r="EO24" s="15"/>
      <c r="EP24" s="15"/>
      <c r="EQ24" s="26"/>
      <c r="ER24" s="27"/>
      <c r="ES24" s="27"/>
      <c r="ET24" s="27"/>
      <c r="EU24" s="28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21"/>
      <c r="FI24" s="12"/>
      <c r="GH24" s="13"/>
      <c r="GJ24" s="13"/>
      <c r="GK24" s="12"/>
      <c r="GV24" s="13"/>
      <c r="GW24" s="13"/>
    </row>
    <row r="25" spans="19:205" ht="18" customHeight="1">
      <c r="S25" s="12"/>
      <c r="U25" s="12"/>
      <c r="AP25" s="13"/>
      <c r="AQ25" s="13"/>
      <c r="BM25" s="12"/>
      <c r="BN25" s="12"/>
      <c r="CN25" s="13"/>
      <c r="CP25" s="13"/>
      <c r="CQ25" s="12"/>
      <c r="DB25" s="13"/>
      <c r="DC25" s="13"/>
      <c r="DN25" s="12"/>
      <c r="DP25" s="12"/>
      <c r="EK25" s="13"/>
      <c r="EL25" s="13"/>
      <c r="FH25" s="12"/>
      <c r="FI25" s="12"/>
      <c r="GH25" s="13"/>
      <c r="GJ25" s="13"/>
      <c r="GK25" s="12"/>
      <c r="GV25" s="13"/>
      <c r="GW25" s="13"/>
    </row>
    <row r="26" spans="19:205" ht="18" customHeight="1">
      <c r="S26" s="12"/>
      <c r="U26" s="12"/>
      <c r="AP26" s="13"/>
      <c r="AQ26" s="23"/>
      <c r="BM26" s="23"/>
      <c r="BN26" s="12"/>
      <c r="CN26" s="13"/>
      <c r="CP26" s="13"/>
      <c r="CQ26" s="12"/>
      <c r="DB26" s="13"/>
      <c r="DC26" s="13"/>
      <c r="DN26" s="12"/>
      <c r="DP26" s="12"/>
      <c r="EK26" s="13"/>
      <c r="EL26" s="23"/>
      <c r="FH26" s="23"/>
      <c r="FI26" s="12"/>
      <c r="GH26" s="13"/>
      <c r="GJ26" s="13"/>
      <c r="GK26" s="12"/>
      <c r="GV26" s="13"/>
      <c r="GW26" s="13"/>
    </row>
    <row r="27" spans="19:205" ht="18" customHeight="1">
      <c r="S27" s="12"/>
      <c r="U27" s="12"/>
      <c r="AP27" s="13"/>
      <c r="AQ27" s="24"/>
      <c r="BM27" s="24"/>
      <c r="BN27" s="12"/>
      <c r="CN27" s="13"/>
      <c r="CP27" s="13"/>
      <c r="CQ27" s="12"/>
      <c r="DB27" s="13"/>
      <c r="DC27" s="13"/>
      <c r="DN27" s="12"/>
      <c r="DP27" s="12"/>
      <c r="EK27" s="13"/>
      <c r="EL27" s="24"/>
      <c r="FH27" s="24"/>
      <c r="FI27" s="12"/>
      <c r="GH27" s="13"/>
      <c r="GJ27" s="13"/>
      <c r="GK27" s="12"/>
      <c r="GV27" s="13"/>
      <c r="GW27" s="13"/>
    </row>
    <row r="28" spans="19:205" ht="18" customHeight="1">
      <c r="S28" s="12"/>
      <c r="U28" s="12"/>
      <c r="AP28" s="13"/>
      <c r="AQ28" s="24"/>
      <c r="BM28" s="24"/>
      <c r="BN28" s="12"/>
      <c r="CN28" s="13"/>
      <c r="CP28" s="13"/>
      <c r="CQ28" s="12"/>
      <c r="DB28" s="13"/>
      <c r="DC28" s="13"/>
      <c r="DN28" s="12"/>
      <c r="DP28" s="9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1"/>
      <c r="EK28" s="13"/>
      <c r="EL28" s="24"/>
      <c r="FH28" s="24"/>
      <c r="FI28" s="12"/>
      <c r="FW28" s="9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1"/>
      <c r="GJ28" s="13"/>
      <c r="GK28" s="12"/>
      <c r="GV28" s="13"/>
      <c r="GW28" s="13"/>
    </row>
    <row r="29" spans="19:205" ht="18" customHeight="1">
      <c r="S29" s="12"/>
      <c r="U29" s="12"/>
      <c r="AP29" s="13"/>
      <c r="AQ29" s="24"/>
      <c r="BM29" s="24"/>
      <c r="BN29" s="12"/>
      <c r="CN29" s="13"/>
      <c r="CP29" s="13"/>
      <c r="CQ29" s="12"/>
      <c r="DB29" s="13"/>
      <c r="DC29" s="13"/>
      <c r="DN29" s="12"/>
      <c r="DP29" s="12"/>
      <c r="EA29" s="13"/>
      <c r="EK29" s="13"/>
      <c r="EL29" s="24"/>
      <c r="FH29" s="24"/>
      <c r="FI29" s="12"/>
      <c r="FW29" s="12"/>
      <c r="GH29" s="13"/>
      <c r="GJ29" s="13"/>
      <c r="GK29" s="12"/>
      <c r="GV29" s="13"/>
      <c r="GW29" s="13"/>
    </row>
    <row r="30" spans="19:205" ht="18" customHeight="1">
      <c r="S30" s="12"/>
      <c r="U30" s="12"/>
      <c r="AP30" s="13"/>
      <c r="AQ30" s="25"/>
      <c r="BM30" s="25"/>
      <c r="BN30" s="12"/>
      <c r="CN30" s="13"/>
      <c r="CP30" s="13"/>
      <c r="CQ30" s="12"/>
      <c r="DB30" s="13"/>
      <c r="DC30" s="13"/>
      <c r="DN30" s="12"/>
      <c r="DP30" s="12"/>
      <c r="EA30" s="13"/>
      <c r="EK30" s="13"/>
      <c r="EL30" s="25"/>
      <c r="FH30" s="25"/>
      <c r="FI30" s="12"/>
      <c r="FW30" s="12"/>
      <c r="GH30" s="13"/>
      <c r="GJ30" s="13"/>
      <c r="GK30" s="12"/>
      <c r="GV30" s="13"/>
      <c r="GW30" s="13"/>
    </row>
    <row r="31" spans="19:205" ht="18" customHeight="1">
      <c r="S31" s="12"/>
      <c r="U31" s="14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6"/>
      <c r="AQ31" s="13"/>
      <c r="BM31" s="12"/>
      <c r="BN31" s="14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6"/>
      <c r="CP31" s="13"/>
      <c r="CQ31" s="12"/>
      <c r="DB31" s="13"/>
      <c r="DC31" s="13"/>
      <c r="DN31" s="12"/>
      <c r="DP31" s="14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6"/>
      <c r="EB31" s="15"/>
      <c r="EC31" s="15"/>
      <c r="ED31" s="15"/>
      <c r="EE31" s="15"/>
      <c r="EF31" s="15"/>
      <c r="EG31" s="15"/>
      <c r="EH31" s="15"/>
      <c r="EI31" s="15"/>
      <c r="EJ31" s="15"/>
      <c r="EK31" s="16"/>
      <c r="EL31" s="13"/>
      <c r="FH31" s="12"/>
      <c r="FI31" s="14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4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6"/>
      <c r="GJ31" s="13"/>
      <c r="GK31" s="12"/>
      <c r="GV31" s="13"/>
      <c r="GW31" s="13"/>
    </row>
    <row r="32" spans="19:205" ht="18" customHeight="1">
      <c r="S32" s="12"/>
      <c r="U32" s="12"/>
      <c r="AQ32" s="13"/>
      <c r="BM32" s="14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6"/>
      <c r="CP32" s="13"/>
      <c r="CQ32" s="12"/>
      <c r="DB32" s="13"/>
      <c r="DC32" s="13"/>
      <c r="DN32" s="12"/>
      <c r="DP32" s="12"/>
      <c r="EL32" s="13"/>
      <c r="FH32" s="14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6"/>
      <c r="GJ32" s="13"/>
      <c r="GK32" s="12"/>
      <c r="GV32" s="13"/>
      <c r="GW32" s="13"/>
    </row>
    <row r="33" spans="19:205" ht="18" customHeight="1">
      <c r="S33" s="12"/>
      <c r="U33" s="9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1"/>
      <c r="AQ33" s="13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1"/>
      <c r="CP33" s="13"/>
      <c r="CQ33" s="12"/>
      <c r="DB33" s="13"/>
      <c r="DC33" s="13"/>
      <c r="DN33" s="12"/>
      <c r="DP33" s="9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1"/>
      <c r="EL33" s="13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1"/>
      <c r="GJ33" s="13"/>
      <c r="GK33" s="12"/>
      <c r="GV33" s="13"/>
      <c r="GW33" s="13"/>
    </row>
    <row r="34" spans="19:205" ht="18" customHeight="1">
      <c r="S34" s="12"/>
      <c r="U34" s="12"/>
      <c r="AP34" s="13"/>
      <c r="AQ34" s="23"/>
      <c r="CN34" s="13"/>
      <c r="CP34" s="13"/>
      <c r="CQ34" s="12"/>
      <c r="DB34" s="13"/>
      <c r="DC34" s="13"/>
      <c r="DN34" s="12"/>
      <c r="DP34" s="12"/>
      <c r="EK34" s="13"/>
      <c r="EL34" s="23"/>
      <c r="GH34" s="13"/>
      <c r="GJ34" s="13"/>
      <c r="GK34" s="12"/>
      <c r="GV34" s="13"/>
      <c r="GW34" s="13"/>
    </row>
    <row r="35" spans="19:205" ht="18" customHeight="1">
      <c r="S35" s="12"/>
      <c r="U35" s="12"/>
      <c r="AP35" s="13"/>
      <c r="AQ35" s="24"/>
      <c r="CN35" s="13"/>
      <c r="CP35" s="13"/>
      <c r="CQ35" s="12"/>
      <c r="DB35" s="13"/>
      <c r="DC35" s="13"/>
      <c r="DN35" s="12"/>
      <c r="DP35" s="12"/>
      <c r="EK35" s="13"/>
      <c r="EL35" s="24"/>
      <c r="GH35" s="13"/>
      <c r="GJ35" s="13"/>
      <c r="GK35" s="12"/>
      <c r="GV35" s="13"/>
      <c r="GW35" s="13"/>
    </row>
    <row r="36" spans="19:205" ht="18" customHeight="1">
      <c r="S36" s="12"/>
      <c r="U36" s="12"/>
      <c r="AP36" s="13"/>
      <c r="AQ36" s="24"/>
      <c r="CN36" s="13"/>
      <c r="CP36" s="13"/>
      <c r="CQ36" s="12"/>
      <c r="DB36" s="13"/>
      <c r="DC36" s="13"/>
      <c r="DN36" s="12"/>
      <c r="DP36" s="12"/>
      <c r="EK36" s="13"/>
      <c r="EL36" s="24"/>
      <c r="GH36" s="13"/>
      <c r="GJ36" s="13"/>
      <c r="GK36" s="12"/>
      <c r="GV36" s="13"/>
      <c r="GW36" s="13"/>
    </row>
    <row r="37" spans="19:205" ht="18" customHeight="1">
      <c r="S37" s="12"/>
      <c r="U37" s="12"/>
      <c r="AP37" s="13"/>
      <c r="AQ37" s="24"/>
      <c r="CN37" s="13"/>
      <c r="CP37" s="13"/>
      <c r="CQ37" s="12"/>
      <c r="DB37" s="13"/>
      <c r="DC37" s="13"/>
      <c r="DN37" s="12"/>
      <c r="DP37" s="12"/>
      <c r="EK37" s="13"/>
      <c r="EL37" s="24"/>
      <c r="GH37" s="13"/>
      <c r="GJ37" s="13"/>
      <c r="GK37" s="12"/>
      <c r="GV37" s="13"/>
      <c r="GW37" s="13"/>
    </row>
    <row r="38" spans="19:205" ht="18" customHeight="1">
      <c r="S38" s="12"/>
      <c r="U38" s="12"/>
      <c r="AP38" s="13"/>
      <c r="AQ38" s="25"/>
      <c r="CN38" s="13"/>
      <c r="CP38" s="13"/>
      <c r="CQ38" s="12"/>
      <c r="DB38" s="13"/>
      <c r="DC38" s="13"/>
      <c r="DN38" s="12"/>
      <c r="DP38" s="12"/>
      <c r="EK38" s="13"/>
      <c r="EL38" s="25"/>
      <c r="GH38" s="13"/>
      <c r="GJ38" s="13"/>
      <c r="GK38" s="12"/>
      <c r="GV38" s="13"/>
      <c r="GW38" s="13"/>
    </row>
    <row r="39" spans="19:205" ht="18" customHeight="1">
      <c r="S39" s="12"/>
      <c r="U39" s="12"/>
      <c r="AP39" s="13"/>
      <c r="AQ39" s="13"/>
      <c r="CN39" s="13"/>
      <c r="CP39" s="13"/>
      <c r="CQ39" s="12"/>
      <c r="DB39" s="13"/>
      <c r="DC39" s="13"/>
      <c r="DN39" s="12"/>
      <c r="DP39" s="12"/>
      <c r="EK39" s="13"/>
      <c r="EL39" s="13"/>
      <c r="GH39" s="13"/>
      <c r="GJ39" s="13"/>
      <c r="GK39" s="12"/>
      <c r="GV39" s="13"/>
      <c r="GW39" s="13"/>
    </row>
    <row r="40" spans="19:205" ht="18" customHeight="1">
      <c r="S40" s="12"/>
      <c r="U40" s="12"/>
      <c r="AP40" s="13"/>
      <c r="AQ40" s="13"/>
      <c r="CN40" s="13"/>
      <c r="CP40" s="13"/>
      <c r="CQ40" s="12"/>
      <c r="DB40" s="13"/>
      <c r="DC40" s="13"/>
      <c r="DN40" s="12"/>
      <c r="DP40" s="12"/>
      <c r="EK40" s="13"/>
      <c r="EL40" s="13"/>
      <c r="GH40" s="13"/>
      <c r="GJ40" s="13"/>
      <c r="GK40" s="12"/>
      <c r="GV40" s="13"/>
      <c r="GW40" s="13"/>
    </row>
    <row r="41" spans="19:205" ht="18" customHeight="1">
      <c r="S41" s="12"/>
      <c r="U41" s="12"/>
      <c r="AP41" s="13"/>
      <c r="AQ41" s="13"/>
      <c r="CN41" s="13"/>
      <c r="CP41" s="13"/>
      <c r="CQ41" s="12"/>
      <c r="DB41" s="13"/>
      <c r="DC41" s="13"/>
      <c r="DN41" s="12"/>
      <c r="DP41" s="12"/>
      <c r="EK41" s="13"/>
      <c r="EL41" s="13"/>
      <c r="GH41" s="13"/>
      <c r="GJ41" s="13"/>
      <c r="GK41" s="12"/>
      <c r="GV41" s="13"/>
      <c r="GW41" s="13"/>
    </row>
    <row r="42" spans="19:205" ht="18" customHeight="1">
      <c r="S42" s="12"/>
      <c r="U42" s="12"/>
      <c r="AP42" s="13"/>
      <c r="AQ42" s="13"/>
      <c r="CN42" s="13"/>
      <c r="CP42" s="13"/>
      <c r="CQ42" s="12"/>
      <c r="DB42" s="13"/>
      <c r="DC42" s="13"/>
      <c r="DN42" s="12"/>
      <c r="DP42" s="12"/>
      <c r="EK42" s="13"/>
      <c r="EL42" s="13"/>
      <c r="GH42" s="13"/>
      <c r="GJ42" s="13"/>
      <c r="GK42" s="12"/>
      <c r="GV42" s="13"/>
      <c r="GW42" s="13"/>
    </row>
    <row r="43" spans="19:205" ht="18" customHeight="1">
      <c r="S43" s="12"/>
      <c r="U43" s="12"/>
      <c r="AP43" s="13"/>
      <c r="AQ43" s="13"/>
      <c r="CN43" s="13"/>
      <c r="CP43" s="13"/>
      <c r="CQ43" s="12"/>
      <c r="DB43" s="13"/>
      <c r="DC43" s="13"/>
      <c r="DN43" s="12"/>
      <c r="DP43" s="12"/>
      <c r="EK43" s="13"/>
      <c r="EL43" s="13"/>
      <c r="GH43" s="13"/>
      <c r="GJ43" s="13"/>
      <c r="GK43" s="12"/>
      <c r="GV43" s="13"/>
      <c r="GW43" s="13"/>
    </row>
    <row r="44" spans="19:205" ht="18" customHeight="1">
      <c r="S44" s="12"/>
      <c r="U44" s="12"/>
      <c r="AP44" s="13"/>
      <c r="AQ44" s="13"/>
      <c r="CN44" s="13"/>
      <c r="CP44" s="13"/>
      <c r="CQ44" s="12"/>
      <c r="DB44" s="13"/>
      <c r="DC44" s="13"/>
      <c r="DN44" s="12"/>
      <c r="DP44" s="14"/>
      <c r="DQ44" s="15"/>
      <c r="DR44" s="15"/>
      <c r="DS44" s="15"/>
      <c r="DT44" s="15"/>
      <c r="DU44" s="15"/>
      <c r="DV44" s="15"/>
      <c r="DW44" s="15"/>
      <c r="DX44" s="15"/>
      <c r="DY44" s="15"/>
      <c r="DZ44" s="15"/>
      <c r="EA44" s="15"/>
      <c r="EB44" s="15"/>
      <c r="EC44" s="15"/>
      <c r="ED44" s="15"/>
      <c r="EE44" s="15"/>
      <c r="EF44" s="15"/>
      <c r="EG44" s="15"/>
      <c r="EH44" s="15"/>
      <c r="EI44" s="15"/>
      <c r="EJ44" s="15"/>
      <c r="EK44" s="16"/>
      <c r="EL44" s="13"/>
      <c r="GH44" s="13"/>
      <c r="GJ44" s="13"/>
      <c r="GK44" s="12"/>
      <c r="GV44" s="13"/>
      <c r="GW44" s="13"/>
    </row>
    <row r="45" spans="19:205" ht="18" customHeight="1">
      <c r="S45" s="12"/>
      <c r="U45" s="12"/>
      <c r="AP45" s="13"/>
      <c r="AQ45" s="13"/>
      <c r="CN45" s="13"/>
      <c r="CP45" s="13"/>
      <c r="CQ45" s="12"/>
      <c r="DB45" s="13"/>
      <c r="DC45" s="13"/>
      <c r="DN45" s="12"/>
      <c r="DR45" s="15"/>
      <c r="DS45" s="15"/>
      <c r="EB45" s="15"/>
      <c r="EC45" s="15"/>
      <c r="ED45" s="15"/>
      <c r="EE45" s="15"/>
      <c r="EF45" s="15"/>
      <c r="EG45" s="15"/>
      <c r="EH45" s="15"/>
      <c r="EI45" s="15"/>
      <c r="EJ45" s="15"/>
      <c r="EK45" s="15"/>
      <c r="EL45" s="16"/>
      <c r="GH45" s="13"/>
      <c r="GJ45" s="13"/>
      <c r="GK45" s="12"/>
      <c r="GV45" s="13"/>
      <c r="GW45" s="13"/>
    </row>
    <row r="46" spans="19:205" ht="18" customHeight="1">
      <c r="S46" s="12"/>
      <c r="U46" s="14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6"/>
      <c r="AQ46" s="13"/>
      <c r="CN46" s="13"/>
      <c r="CP46" s="13"/>
      <c r="CQ46" s="12"/>
      <c r="DB46" s="13"/>
      <c r="DC46" s="13"/>
      <c r="DN46" s="12"/>
      <c r="DP46" s="9"/>
      <c r="DQ46" s="10"/>
      <c r="DT46" s="9"/>
      <c r="DU46" s="10"/>
      <c r="DV46" s="10"/>
      <c r="DW46" s="10"/>
      <c r="DX46" s="10"/>
      <c r="DY46" s="10"/>
      <c r="DZ46" s="10"/>
      <c r="EA46" s="10"/>
      <c r="GH46" s="13"/>
      <c r="GJ46" s="13"/>
      <c r="GK46" s="12"/>
      <c r="GV46" s="13"/>
      <c r="GW46" s="13"/>
    </row>
    <row r="47" spans="19:205" ht="18" customHeight="1">
      <c r="S47" s="12"/>
      <c r="U47" s="12"/>
      <c r="AQ47" s="13"/>
      <c r="CN47" s="13"/>
      <c r="CP47" s="13"/>
      <c r="CQ47" s="12"/>
      <c r="DB47" s="13"/>
      <c r="DC47" s="13"/>
      <c r="DN47" s="12"/>
      <c r="DP47" s="12"/>
      <c r="DT47" s="12"/>
      <c r="GH47" s="13"/>
      <c r="GJ47" s="13"/>
      <c r="GK47" s="12"/>
      <c r="GV47" s="13"/>
      <c r="GW47" s="13"/>
    </row>
    <row r="48" spans="19:205" ht="18" customHeight="1">
      <c r="S48" s="12"/>
      <c r="U48" s="9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1"/>
      <c r="AQ48" s="13"/>
      <c r="CN48" s="13"/>
      <c r="CP48" s="13"/>
      <c r="CQ48" s="12"/>
      <c r="DB48" s="13"/>
      <c r="DC48" s="13"/>
      <c r="DN48" s="12"/>
      <c r="DP48" s="12"/>
      <c r="DT48" s="12"/>
      <c r="GH48" s="13"/>
      <c r="GJ48" s="13"/>
      <c r="GK48" s="12"/>
      <c r="GV48" s="13"/>
      <c r="GW48" s="13"/>
    </row>
    <row r="49" spans="19:209" ht="18" customHeight="1">
      <c r="S49" s="12"/>
      <c r="U49" s="12"/>
      <c r="AP49" s="13"/>
      <c r="AQ49" s="13"/>
      <c r="CN49" s="13"/>
      <c r="CP49" s="13"/>
      <c r="CQ49" s="12"/>
      <c r="DB49" s="13"/>
      <c r="DC49" s="13"/>
      <c r="DN49" s="12"/>
      <c r="DP49" s="12"/>
      <c r="DT49" s="12"/>
      <c r="GH49" s="13"/>
      <c r="GJ49" s="13"/>
      <c r="GK49" s="12"/>
      <c r="GV49" s="13"/>
      <c r="GW49" s="13"/>
    </row>
    <row r="50" spans="19:209" ht="18" customHeight="1">
      <c r="S50" s="12"/>
      <c r="U50" s="12"/>
      <c r="AP50" s="13"/>
      <c r="AQ50" s="13"/>
      <c r="CN50" s="13"/>
      <c r="CP50" s="13"/>
      <c r="CQ50" s="12"/>
      <c r="DB50" s="13"/>
      <c r="DC50" s="13"/>
      <c r="DN50" s="12"/>
      <c r="DP50" s="12"/>
      <c r="DT50" s="12"/>
      <c r="GH50" s="13"/>
      <c r="GJ50" s="13"/>
      <c r="GK50" s="12"/>
      <c r="GV50" s="13"/>
      <c r="GW50" s="13"/>
    </row>
    <row r="51" spans="19:209" ht="18" customHeight="1">
      <c r="S51" s="12"/>
      <c r="U51" s="12"/>
      <c r="AP51" s="13"/>
      <c r="AQ51" s="13"/>
      <c r="CN51" s="13"/>
      <c r="CP51" s="13"/>
      <c r="CQ51" s="12"/>
      <c r="DB51" s="13"/>
      <c r="DC51" s="13"/>
      <c r="DN51" s="12"/>
      <c r="DP51" s="12"/>
      <c r="DT51" s="12"/>
      <c r="GH51" s="13"/>
      <c r="GJ51" s="13"/>
      <c r="GK51" s="12"/>
      <c r="GV51" s="13"/>
      <c r="GW51" s="13"/>
    </row>
    <row r="52" spans="19:209" ht="18" customHeight="1">
      <c r="S52" s="12"/>
      <c r="U52" s="12"/>
      <c r="Y52" s="9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1"/>
      <c r="AP52" s="13"/>
      <c r="AQ52" s="13"/>
      <c r="BL52" s="15"/>
      <c r="CN52" s="13"/>
      <c r="CP52" s="13"/>
      <c r="CQ52" s="12"/>
      <c r="DB52" s="13"/>
      <c r="DC52" s="13"/>
      <c r="DN52" s="12"/>
      <c r="DP52" s="12"/>
      <c r="DT52" s="12"/>
      <c r="EB52" s="15"/>
      <c r="EC52" s="15"/>
      <c r="ED52" s="15"/>
      <c r="EE52" s="15"/>
      <c r="EM52" s="15"/>
      <c r="GH52" s="13"/>
      <c r="GJ52" s="13"/>
      <c r="GK52" s="12"/>
      <c r="GV52" s="13"/>
      <c r="GW52" s="13"/>
    </row>
    <row r="53" spans="19:209" ht="18" customHeight="1">
      <c r="S53" s="12"/>
      <c r="U53" s="12"/>
      <c r="Y53" s="12"/>
      <c r="AL53" s="13"/>
      <c r="AP53" s="13"/>
      <c r="AQ53" s="13"/>
      <c r="BE53" s="9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70"/>
      <c r="CI53" s="92"/>
      <c r="CJ53" s="92"/>
      <c r="CK53" s="92"/>
      <c r="CL53" s="92"/>
      <c r="CM53" s="71"/>
      <c r="CN53" s="10"/>
      <c r="CP53" s="13"/>
      <c r="CQ53" s="12"/>
      <c r="DB53" s="13"/>
      <c r="DC53" s="13"/>
      <c r="DN53" s="12"/>
      <c r="DP53" s="12"/>
      <c r="DT53" s="12"/>
      <c r="EA53" s="13"/>
      <c r="EE53" s="13"/>
      <c r="EF53" s="9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70"/>
      <c r="GC53" s="92"/>
      <c r="GD53" s="92"/>
      <c r="GE53" s="92"/>
      <c r="GF53" s="92"/>
      <c r="GG53" s="71"/>
      <c r="GH53" s="10"/>
      <c r="GJ53" s="13"/>
      <c r="GK53" s="12"/>
      <c r="GV53" s="13"/>
      <c r="GW53" s="13"/>
    </row>
    <row r="54" spans="19:209" ht="18" customHeight="1">
      <c r="S54" s="12"/>
      <c r="U54" s="12"/>
      <c r="Y54" s="12"/>
      <c r="AL54" s="13"/>
      <c r="AP54" s="13"/>
      <c r="AQ54" s="13"/>
      <c r="BE54" s="12"/>
      <c r="CH54" s="72"/>
      <c r="CI54" s="100"/>
      <c r="CJ54" s="100"/>
      <c r="CK54" s="100"/>
      <c r="CL54" s="100"/>
      <c r="CM54" s="73"/>
      <c r="CN54" s="15"/>
      <c r="CP54" s="13"/>
      <c r="CQ54" s="12"/>
      <c r="DB54" s="13"/>
      <c r="DC54" s="16"/>
      <c r="DN54" s="12"/>
      <c r="DP54" s="12"/>
      <c r="DT54" s="12"/>
      <c r="EA54" s="13"/>
      <c r="EE54" s="13"/>
      <c r="EF54" s="12"/>
      <c r="GB54" s="72"/>
      <c r="GC54" s="100"/>
      <c r="GD54" s="100"/>
      <c r="GE54" s="100"/>
      <c r="GF54" s="100"/>
      <c r="GG54" s="73"/>
      <c r="GH54" s="15"/>
      <c r="GJ54" s="13"/>
      <c r="GK54" s="12"/>
      <c r="GV54" s="13"/>
      <c r="GW54" s="16"/>
    </row>
    <row r="55" spans="19:209" ht="18" customHeight="1">
      <c r="S55" s="12"/>
      <c r="U55" s="12"/>
      <c r="Y55" s="12"/>
      <c r="AL55" s="13"/>
      <c r="AP55" s="13"/>
      <c r="AQ55" s="13"/>
      <c r="BE55" s="12"/>
      <c r="BG55" s="9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DC55" s="11"/>
      <c r="DD55" s="17"/>
      <c r="DE55" s="17"/>
      <c r="DN55" s="12"/>
      <c r="DP55" s="12"/>
      <c r="DT55" s="12"/>
      <c r="EA55" s="13"/>
      <c r="EE55" s="13"/>
      <c r="EF55" s="12"/>
      <c r="EH55" s="9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W55" s="10"/>
      <c r="GX55" s="9"/>
      <c r="GY55" s="11"/>
      <c r="GZ55" s="9"/>
      <c r="HA55" s="11"/>
    </row>
    <row r="56" spans="19:209" ht="18" customHeight="1">
      <c r="S56" s="12"/>
      <c r="U56" s="12"/>
      <c r="Y56" s="12"/>
      <c r="AL56" s="13"/>
      <c r="AP56" s="13"/>
      <c r="AQ56" s="13"/>
      <c r="BE56" s="12"/>
      <c r="BG56" s="12"/>
      <c r="DC56" s="13"/>
      <c r="DD56" s="18"/>
      <c r="DE56" s="18"/>
      <c r="DN56" s="12"/>
      <c r="DP56" s="12"/>
      <c r="DT56" s="12"/>
      <c r="EA56" s="13"/>
      <c r="EE56" s="13"/>
      <c r="EF56" s="12"/>
      <c r="EH56" s="12"/>
      <c r="GX56" s="12"/>
      <c r="GY56" s="13"/>
      <c r="GZ56" s="12"/>
      <c r="HA56" s="13"/>
    </row>
    <row r="57" spans="19:209" ht="18" customHeight="1">
      <c r="S57" s="12"/>
      <c r="U57" s="12"/>
      <c r="Y57" s="12"/>
      <c r="AL57" s="13"/>
      <c r="AP57" s="13"/>
      <c r="AQ57" s="13"/>
      <c r="BE57" s="12"/>
      <c r="BG57" s="12"/>
      <c r="DC57" s="13"/>
      <c r="DD57" s="18"/>
      <c r="DE57" s="18"/>
      <c r="DN57" s="12"/>
      <c r="DP57" s="12"/>
      <c r="DT57" s="12"/>
      <c r="EA57" s="13"/>
      <c r="EE57" s="13"/>
      <c r="EF57" s="12"/>
      <c r="EH57" s="12"/>
      <c r="GX57" s="12"/>
      <c r="GY57" s="13"/>
      <c r="GZ57" s="12"/>
      <c r="HA57" s="13"/>
    </row>
    <row r="58" spans="19:209" ht="18" customHeight="1">
      <c r="S58" s="12"/>
      <c r="U58" s="12"/>
      <c r="Y58" s="12"/>
      <c r="AL58" s="13"/>
      <c r="AP58" s="13"/>
      <c r="AQ58" s="13"/>
      <c r="BE58" s="12"/>
      <c r="BG58" s="12"/>
      <c r="DC58" s="13"/>
      <c r="DD58" s="18"/>
      <c r="DE58" s="18"/>
      <c r="DN58" s="12"/>
      <c r="DP58" s="12"/>
      <c r="DT58" s="12"/>
      <c r="EA58" s="13"/>
      <c r="EE58" s="13"/>
      <c r="EF58" s="12"/>
      <c r="EH58" s="12"/>
      <c r="GX58" s="12"/>
      <c r="GY58" s="13"/>
      <c r="GZ58" s="12"/>
      <c r="HA58" s="13"/>
    </row>
    <row r="59" spans="19:209" ht="18" customHeight="1">
      <c r="S59" s="12"/>
      <c r="U59" s="12"/>
      <c r="Y59" s="12"/>
      <c r="AL59" s="13"/>
      <c r="AP59" s="13"/>
      <c r="AQ59" s="13"/>
      <c r="BE59" s="12"/>
      <c r="BG59" s="12"/>
      <c r="DC59" s="13"/>
      <c r="DD59" s="18"/>
      <c r="DE59" s="18"/>
      <c r="DN59" s="12"/>
      <c r="DP59" s="12"/>
      <c r="DT59" s="12"/>
      <c r="EA59" s="13"/>
      <c r="EE59" s="13"/>
      <c r="EF59" s="12"/>
      <c r="EH59" s="12"/>
      <c r="GX59" s="12"/>
      <c r="GY59" s="13"/>
      <c r="GZ59" s="12"/>
      <c r="HA59" s="13"/>
    </row>
    <row r="60" spans="19:209" ht="18" customHeight="1">
      <c r="S60" s="12"/>
      <c r="U60" s="12"/>
      <c r="Y60" s="12"/>
      <c r="AL60" s="13"/>
      <c r="AP60" s="13"/>
      <c r="AQ60" s="13"/>
      <c r="BE60" s="12"/>
      <c r="BG60" s="12"/>
      <c r="DC60" s="13"/>
      <c r="DD60" s="18"/>
      <c r="DE60" s="18"/>
      <c r="DN60" s="12"/>
      <c r="DP60" s="12"/>
      <c r="DT60" s="12"/>
      <c r="EA60" s="13"/>
      <c r="EE60" s="13"/>
      <c r="EF60" s="12"/>
      <c r="EH60" s="12"/>
      <c r="GX60" s="12"/>
      <c r="GY60" s="13"/>
      <c r="GZ60" s="12"/>
      <c r="HA60" s="13"/>
    </row>
    <row r="61" spans="19:209" ht="18" customHeight="1">
      <c r="S61" s="12"/>
      <c r="U61" s="14"/>
      <c r="V61" s="15"/>
      <c r="W61" s="15"/>
      <c r="X61" s="15"/>
      <c r="Y61" s="12"/>
      <c r="AL61" s="13"/>
      <c r="AM61" s="15"/>
      <c r="AN61" s="15"/>
      <c r="AO61" s="15"/>
      <c r="AP61" s="16"/>
      <c r="AQ61" s="16"/>
      <c r="BE61" s="12"/>
      <c r="BG61" s="12"/>
      <c r="DC61" s="13"/>
      <c r="DD61" s="18"/>
      <c r="DE61" s="18"/>
      <c r="DN61" s="12"/>
      <c r="DO61" s="13"/>
      <c r="DT61" s="12"/>
      <c r="EA61" s="13"/>
      <c r="EF61" s="12"/>
      <c r="EH61" s="12"/>
      <c r="GX61" s="12"/>
      <c r="GY61" s="13"/>
      <c r="GZ61" s="12"/>
      <c r="HA61" s="13"/>
    </row>
    <row r="62" spans="19:209" ht="18" customHeight="1">
      <c r="S62" s="12"/>
      <c r="U62" s="12"/>
      <c r="BE62" s="12"/>
      <c r="BG62" s="12"/>
      <c r="DC62" s="16"/>
      <c r="DD62" s="19"/>
      <c r="DE62" s="19"/>
      <c r="DN62" s="12"/>
      <c r="DO62" s="13"/>
      <c r="DT62" s="12"/>
      <c r="EA62" s="13"/>
      <c r="EF62" s="12"/>
      <c r="EH62" s="12"/>
      <c r="GW62" s="15"/>
      <c r="GX62" s="14"/>
      <c r="GY62" s="16"/>
      <c r="GZ62" s="14"/>
      <c r="HA62" s="16"/>
    </row>
    <row r="63" spans="19:209" ht="18" customHeight="1">
      <c r="S63" s="12"/>
      <c r="U63" s="12"/>
      <c r="BE63" s="12"/>
      <c r="BG63" s="12"/>
      <c r="DB63" s="13"/>
      <c r="DC63" s="13"/>
      <c r="DN63" s="12"/>
      <c r="DO63" s="13"/>
      <c r="DT63" s="12"/>
      <c r="EA63" s="13"/>
      <c r="EF63" s="12"/>
      <c r="EH63" s="12"/>
      <c r="GV63" s="13"/>
      <c r="GW63" s="13"/>
    </row>
    <row r="64" spans="19:209" ht="18" customHeight="1">
      <c r="S64" s="12"/>
      <c r="U64" s="12"/>
      <c r="BE64" s="12"/>
      <c r="BG64" s="12"/>
      <c r="DB64" s="13"/>
      <c r="DC64" s="13"/>
      <c r="DN64" s="12"/>
      <c r="DO64" s="13"/>
      <c r="DT64" s="12"/>
      <c r="EA64" s="13"/>
      <c r="EF64" s="12"/>
      <c r="EH64" s="12"/>
      <c r="GV64" s="13"/>
      <c r="GW64" s="13"/>
    </row>
    <row r="65" spans="7:205" ht="18" customHeight="1">
      <c r="S65" s="12"/>
      <c r="U65" s="12"/>
      <c r="BE65" s="12"/>
      <c r="BG65" s="12"/>
      <c r="DB65" s="13"/>
      <c r="DC65" s="13"/>
      <c r="DN65" s="12"/>
      <c r="DP65" s="12"/>
      <c r="DT65" s="14"/>
      <c r="DU65" s="15"/>
      <c r="DV65" s="15"/>
      <c r="DW65" s="15"/>
      <c r="DX65" s="15"/>
      <c r="DY65" s="15"/>
      <c r="DZ65" s="15"/>
      <c r="EA65" s="16"/>
      <c r="EF65" s="12"/>
      <c r="EH65" s="12"/>
      <c r="GV65" s="13"/>
      <c r="GW65" s="13"/>
    </row>
    <row r="66" spans="7:205" ht="18" customHeight="1">
      <c r="S66" s="12"/>
      <c r="U66" s="12"/>
      <c r="BE66" s="12"/>
      <c r="BG66" s="12"/>
      <c r="DB66" s="13"/>
      <c r="DC66" s="13"/>
      <c r="DN66" s="12"/>
      <c r="DP66" s="12"/>
      <c r="EF66" s="12"/>
      <c r="EH66" s="12"/>
      <c r="GV66" s="13"/>
      <c r="GW66" s="13"/>
    </row>
    <row r="67" spans="7:205" ht="18" customHeight="1">
      <c r="S67" s="12"/>
      <c r="U67" s="12"/>
      <c r="BE67" s="12"/>
      <c r="BG67" s="12"/>
      <c r="DB67" s="13"/>
      <c r="DC67" s="13"/>
      <c r="DN67" s="12"/>
      <c r="DP67" s="12"/>
      <c r="EF67" s="12"/>
      <c r="EH67" s="12"/>
      <c r="GV67" s="13"/>
      <c r="GW67" s="13"/>
    </row>
    <row r="68" spans="7:205" ht="18" customHeight="1">
      <c r="S68" s="12"/>
      <c r="U68" s="12"/>
      <c r="BE68" s="12"/>
      <c r="BG68" s="12"/>
      <c r="DB68" s="13"/>
      <c r="DC68" s="13"/>
      <c r="DN68" s="12"/>
      <c r="DP68" s="12"/>
      <c r="EF68" s="12"/>
      <c r="EH68" s="12"/>
      <c r="GV68" s="13"/>
      <c r="GW68" s="13"/>
    </row>
    <row r="69" spans="7:205" ht="18" customHeight="1">
      <c r="S69" s="12"/>
      <c r="U69" s="14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2"/>
      <c r="BF69" s="13"/>
      <c r="BG69" s="12"/>
      <c r="DB69" s="13"/>
      <c r="DC69" s="13"/>
      <c r="DN69" s="12"/>
      <c r="DP69" s="14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  <c r="EE69" s="15"/>
      <c r="EF69" s="12"/>
      <c r="EG69" s="13"/>
      <c r="EH69" s="12"/>
      <c r="GV69" s="13"/>
      <c r="GW69" s="13"/>
    </row>
    <row r="70" spans="7:205" ht="18" customHeight="1">
      <c r="S70" s="12"/>
      <c r="BG70" s="14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6"/>
      <c r="DC70" s="13"/>
      <c r="DN70" s="12"/>
      <c r="EH70" s="14"/>
      <c r="EI70" s="15"/>
      <c r="EJ70" s="15"/>
      <c r="EK70" s="15"/>
      <c r="EL70" s="15"/>
      <c r="EM70" s="15"/>
      <c r="EN70" s="15"/>
      <c r="EO70" s="15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F70" s="15"/>
      <c r="FG70" s="15"/>
      <c r="FH70" s="15"/>
      <c r="FI70" s="15"/>
      <c r="FJ70" s="15"/>
      <c r="FK70" s="15"/>
      <c r="FL70" s="15"/>
      <c r="FM70" s="15"/>
      <c r="FN70" s="15"/>
      <c r="FO70" s="15"/>
      <c r="FP70" s="15"/>
      <c r="FQ70" s="15"/>
      <c r="FR70" s="15"/>
      <c r="FS70" s="15"/>
      <c r="FT70" s="15"/>
      <c r="FU70" s="15"/>
      <c r="FV70" s="15"/>
      <c r="FW70" s="15"/>
      <c r="FX70" s="15"/>
      <c r="FY70" s="15"/>
      <c r="FZ70" s="15"/>
      <c r="GA70" s="15"/>
      <c r="GB70" s="15"/>
      <c r="GC70" s="15"/>
      <c r="GD70" s="15"/>
      <c r="GE70" s="15"/>
      <c r="GF70" s="15"/>
      <c r="GG70" s="15"/>
      <c r="GH70" s="15"/>
      <c r="GI70" s="15"/>
      <c r="GJ70" s="15"/>
      <c r="GK70" s="15"/>
      <c r="GL70" s="15"/>
      <c r="GM70" s="15"/>
      <c r="GN70" s="15"/>
      <c r="GO70" s="15"/>
      <c r="GP70" s="15"/>
      <c r="GQ70" s="15"/>
      <c r="GR70" s="15"/>
      <c r="GS70" s="15"/>
      <c r="GT70" s="15"/>
      <c r="GU70" s="15"/>
      <c r="GV70" s="16"/>
      <c r="GW70" s="13"/>
    </row>
    <row r="71" spans="7:205" ht="18" customHeight="1">
      <c r="S71" s="14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4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6"/>
      <c r="DN71" s="14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5"/>
      <c r="EA71" s="15"/>
      <c r="EB71" s="15"/>
      <c r="EC71" s="15"/>
      <c r="ED71" s="15"/>
      <c r="EE71" s="15"/>
      <c r="EF71" s="15"/>
      <c r="EG71" s="15"/>
      <c r="EH71" s="14"/>
      <c r="EI71" s="15"/>
      <c r="EJ71" s="15"/>
      <c r="EK71" s="15"/>
      <c r="EL71" s="15"/>
      <c r="EM71" s="15"/>
      <c r="EN71" s="15"/>
      <c r="EO71" s="15"/>
      <c r="EP71" s="15"/>
      <c r="EQ71" s="15"/>
      <c r="ER71" s="15"/>
      <c r="ES71" s="15"/>
      <c r="ET71" s="15"/>
      <c r="EU71" s="15"/>
      <c r="EV71" s="15"/>
      <c r="EW71" s="15"/>
      <c r="EX71" s="15"/>
      <c r="EY71" s="15"/>
      <c r="EZ71" s="15"/>
      <c r="FA71" s="15"/>
      <c r="FB71" s="15"/>
      <c r="FC71" s="15"/>
      <c r="FD71" s="15"/>
      <c r="FE71" s="15"/>
      <c r="FF71" s="15"/>
      <c r="FG71" s="15"/>
      <c r="FH71" s="15"/>
      <c r="FI71" s="15"/>
      <c r="FJ71" s="15"/>
      <c r="FK71" s="15"/>
      <c r="FL71" s="15"/>
      <c r="FM71" s="15"/>
      <c r="FN71" s="15"/>
      <c r="FO71" s="15"/>
      <c r="FP71" s="15"/>
      <c r="FQ71" s="15"/>
      <c r="FR71" s="15"/>
      <c r="FS71" s="15"/>
      <c r="FT71" s="15"/>
      <c r="FU71" s="15"/>
      <c r="FV71" s="15"/>
      <c r="FW71" s="15"/>
      <c r="FX71" s="15"/>
      <c r="FY71" s="15"/>
      <c r="FZ71" s="15"/>
      <c r="GA71" s="15"/>
      <c r="GB71" s="15"/>
      <c r="GC71" s="15"/>
      <c r="GD71" s="15"/>
      <c r="GE71" s="15"/>
      <c r="GF71" s="15"/>
      <c r="GG71" s="15"/>
      <c r="GH71" s="15"/>
      <c r="GI71" s="15"/>
      <c r="GJ71" s="15"/>
      <c r="GK71" s="15"/>
      <c r="GL71" s="15"/>
      <c r="GM71" s="15"/>
      <c r="GN71" s="15"/>
      <c r="GO71" s="15"/>
      <c r="GP71" s="15"/>
      <c r="GQ71" s="15"/>
      <c r="GR71" s="15"/>
      <c r="GS71" s="15"/>
      <c r="GT71" s="15"/>
      <c r="GU71" s="15"/>
      <c r="GV71" s="15"/>
      <c r="GW71" s="16"/>
    </row>
    <row r="76" spans="7:205" ht="18" customHeight="1" thickBot="1"/>
    <row r="77" spans="7:205" ht="18" customHeight="1">
      <c r="G77" s="1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</row>
    <row r="78" spans="7:205" ht="18" customHeight="1">
      <c r="G78" s="4"/>
    </row>
    <row r="79" spans="7:205" ht="18" customHeight="1">
      <c r="G79" s="4"/>
    </row>
    <row r="80" spans="7:205" ht="18" customHeight="1">
      <c r="G80" s="4"/>
    </row>
    <row r="81" spans="7:7" ht="18" customHeight="1">
      <c r="G81" s="4"/>
    </row>
    <row r="82" spans="7:7" ht="18" customHeight="1">
      <c r="G82" s="4"/>
    </row>
    <row r="83" spans="7:7" ht="18" customHeight="1">
      <c r="G83" s="4"/>
    </row>
    <row r="84" spans="7:7" ht="18" customHeight="1">
      <c r="G84" s="4"/>
    </row>
    <row r="85" spans="7:7" ht="18" customHeight="1">
      <c r="G85" s="4"/>
    </row>
    <row r="86" spans="7:7" ht="18" customHeight="1">
      <c r="G86" s="4"/>
    </row>
    <row r="87" spans="7:7" ht="18" customHeight="1">
      <c r="G87" s="4"/>
    </row>
    <row r="88" spans="7:7" ht="18" customHeight="1">
      <c r="G88" s="4"/>
    </row>
    <row r="89" spans="7:7" ht="18" customHeight="1">
      <c r="G89" s="4"/>
    </row>
    <row r="90" spans="7:7" ht="18" customHeight="1">
      <c r="G90" s="4"/>
    </row>
    <row r="91" spans="7:7" ht="18" customHeight="1">
      <c r="G91" s="4"/>
    </row>
    <row r="92" spans="7:7" ht="18" customHeight="1">
      <c r="G92" s="4"/>
    </row>
    <row r="93" spans="7:7" ht="18" customHeight="1">
      <c r="G93" s="4"/>
    </row>
    <row r="94" spans="7:7" ht="18" customHeight="1">
      <c r="G94" s="4"/>
    </row>
    <row r="95" spans="7:7" ht="18" customHeight="1">
      <c r="G95" s="4"/>
    </row>
    <row r="96" spans="7:7" ht="18" customHeight="1">
      <c r="G96" s="4"/>
    </row>
    <row r="97" spans="7:324" ht="18" customHeight="1">
      <c r="G97" s="4"/>
    </row>
    <row r="98" spans="7:324" ht="18" customHeight="1">
      <c r="G98" s="4"/>
    </row>
    <row r="99" spans="7:324" ht="18" customHeight="1">
      <c r="G99" s="4"/>
    </row>
    <row r="100" spans="7:324" ht="18" customHeight="1">
      <c r="G100" s="4"/>
    </row>
    <row r="101" spans="7:324" ht="18" customHeight="1">
      <c r="G101" s="4"/>
    </row>
    <row r="102" spans="7:324" ht="18" customHeight="1">
      <c r="G102" s="4"/>
    </row>
    <row r="103" spans="7:324" ht="18" customHeight="1">
      <c r="G103" s="4"/>
    </row>
    <row r="104" spans="7:324" ht="18" customHeight="1">
      <c r="G104" s="4"/>
    </row>
    <row r="105" spans="7:324" ht="18" customHeight="1">
      <c r="G105" s="4"/>
    </row>
    <row r="106" spans="7:324" ht="18" customHeight="1">
      <c r="G106" s="4"/>
    </row>
    <row r="107" spans="7:324" ht="18" customHeight="1">
      <c r="G107" s="4"/>
    </row>
    <row r="108" spans="7:324" ht="18" customHeight="1">
      <c r="G108" s="4"/>
    </row>
    <row r="109" spans="7:324" ht="18" customHeight="1">
      <c r="G109" s="4"/>
    </row>
    <row r="110" spans="7:324" ht="18" customHeight="1">
      <c r="G110" s="4"/>
      <c r="S110" s="40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0"/>
      <c r="AK110" s="41"/>
      <c r="AL110" s="41"/>
      <c r="AM110" s="41"/>
      <c r="AN110" s="44"/>
      <c r="AO110" s="41"/>
      <c r="AP110" s="41"/>
      <c r="AQ110" s="41"/>
      <c r="AR110" s="41"/>
      <c r="AS110" s="41"/>
      <c r="AT110" s="41"/>
      <c r="AU110" s="41"/>
      <c r="AV110" s="41"/>
      <c r="AW110" s="40"/>
      <c r="AX110" s="41"/>
      <c r="AY110" s="41"/>
      <c r="AZ110" s="44"/>
      <c r="BA110" s="41"/>
      <c r="BB110" s="41"/>
      <c r="BC110" s="41"/>
      <c r="BD110" s="41"/>
      <c r="BE110" s="41"/>
      <c r="BF110" s="41"/>
      <c r="BG110" s="41"/>
      <c r="BH110" s="40"/>
      <c r="BI110" s="41"/>
      <c r="BJ110" s="41"/>
      <c r="BK110" s="44"/>
      <c r="BL110" s="41"/>
      <c r="BM110" s="41"/>
      <c r="BN110" s="41"/>
      <c r="BO110" s="41"/>
      <c r="BP110" s="44"/>
      <c r="BQ110" s="20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11"/>
      <c r="CW110" s="40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4"/>
      <c r="FH110" s="40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4"/>
      <c r="IQ110" s="40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4"/>
    </row>
    <row r="111" spans="7:324" ht="18" customHeight="1">
      <c r="G111" s="4"/>
      <c r="S111" s="42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123"/>
      <c r="AK111" s="109"/>
      <c r="AL111" s="109"/>
      <c r="AM111" s="109"/>
      <c r="AN111" s="124"/>
      <c r="AO111" s="43"/>
      <c r="AP111" s="43"/>
      <c r="AQ111" s="43"/>
      <c r="AR111" s="43"/>
      <c r="AS111" s="43"/>
      <c r="AT111" s="43"/>
      <c r="AU111" s="43"/>
      <c r="AV111" s="43"/>
      <c r="AW111" s="123"/>
      <c r="AX111" s="109"/>
      <c r="AY111" s="109"/>
      <c r="AZ111" s="124"/>
      <c r="BA111" s="43"/>
      <c r="BB111" s="43"/>
      <c r="BC111" s="43"/>
      <c r="BD111" s="43"/>
      <c r="BE111" s="43"/>
      <c r="BF111" s="43"/>
      <c r="BG111" s="43"/>
      <c r="BH111" s="123"/>
      <c r="BI111" s="109"/>
      <c r="BJ111" s="109"/>
      <c r="BK111" s="124"/>
      <c r="BL111" s="43"/>
      <c r="BM111" s="43"/>
      <c r="BN111" s="43"/>
      <c r="BO111" s="43"/>
      <c r="BP111" s="45"/>
      <c r="CC111" s="13"/>
      <c r="CD111" s="13"/>
      <c r="CW111" s="42"/>
      <c r="CX111" s="43"/>
      <c r="CY111" s="43"/>
      <c r="CZ111" s="43"/>
      <c r="DA111" s="43"/>
      <c r="DB111" s="43"/>
      <c r="DC111" s="43"/>
      <c r="DD111" s="43"/>
      <c r="DE111" s="43"/>
      <c r="DF111" s="43"/>
      <c r="DG111" s="43"/>
      <c r="DH111" s="43"/>
      <c r="DI111" s="43"/>
      <c r="DJ111" s="43"/>
      <c r="DK111" s="43"/>
      <c r="DL111" s="43"/>
      <c r="DM111" s="43"/>
      <c r="DN111" s="43"/>
      <c r="DO111" s="43"/>
      <c r="DP111" s="43"/>
      <c r="DQ111" s="43"/>
      <c r="DR111" s="43"/>
      <c r="DS111" s="43"/>
      <c r="DT111" s="43"/>
      <c r="DU111" s="43"/>
      <c r="DV111" s="43"/>
      <c r="DW111" s="43"/>
      <c r="DX111" s="43"/>
      <c r="DY111" s="43"/>
      <c r="DZ111" s="43"/>
      <c r="EA111" s="43"/>
      <c r="EB111" s="43"/>
      <c r="EC111" s="43"/>
      <c r="ED111" s="43"/>
      <c r="EE111" s="43"/>
      <c r="EF111" s="43"/>
      <c r="EG111" s="43"/>
      <c r="EH111" s="43"/>
      <c r="EI111" s="43"/>
      <c r="EJ111" s="43"/>
      <c r="EK111" s="43"/>
      <c r="EL111" s="43"/>
      <c r="EM111" s="43"/>
      <c r="EN111" s="43"/>
      <c r="EO111" s="43"/>
      <c r="EP111" s="43"/>
      <c r="EQ111" s="43"/>
      <c r="ER111" s="43"/>
      <c r="ES111" s="43"/>
      <c r="ET111" s="45"/>
      <c r="FH111" s="42"/>
      <c r="FI111" s="43"/>
      <c r="FJ111" s="43"/>
      <c r="FK111" s="43"/>
      <c r="FL111" s="43"/>
      <c r="FM111" s="43"/>
      <c r="FN111" s="43"/>
      <c r="FO111" s="43"/>
      <c r="FP111" s="43"/>
      <c r="FQ111" s="43"/>
      <c r="FR111" s="43"/>
      <c r="FS111" s="43"/>
      <c r="FT111" s="43"/>
      <c r="FU111" s="43"/>
      <c r="FV111" s="43"/>
      <c r="FW111" s="43"/>
      <c r="FX111" s="43"/>
      <c r="FY111" s="43"/>
      <c r="FZ111" s="43"/>
      <c r="GA111" s="43"/>
      <c r="GB111" s="43"/>
      <c r="GC111" s="43"/>
      <c r="GD111" s="43"/>
      <c r="GE111" s="43"/>
      <c r="GF111" s="43"/>
      <c r="GG111" s="43"/>
      <c r="GH111" s="43"/>
      <c r="GI111" s="43"/>
      <c r="GJ111" s="43"/>
      <c r="GK111" s="43"/>
      <c r="GL111" s="43"/>
      <c r="GM111" s="43"/>
      <c r="GN111" s="43"/>
      <c r="GO111" s="43"/>
      <c r="GP111" s="43"/>
      <c r="GQ111" s="43"/>
      <c r="GR111" s="43"/>
      <c r="GS111" s="43"/>
      <c r="GT111" s="43"/>
      <c r="GU111" s="43"/>
      <c r="GV111" s="43"/>
      <c r="GW111" s="43"/>
      <c r="GX111" s="43"/>
      <c r="GY111" s="43"/>
      <c r="GZ111" s="43"/>
      <c r="HA111" s="43"/>
      <c r="HB111" s="43"/>
      <c r="HC111" s="43"/>
      <c r="HD111" s="43"/>
      <c r="HE111" s="43"/>
      <c r="HF111" s="43"/>
      <c r="HG111" s="43"/>
      <c r="HH111" s="43"/>
      <c r="HI111" s="43"/>
      <c r="HJ111" s="43"/>
      <c r="HK111" s="43"/>
      <c r="HL111" s="43"/>
      <c r="HM111" s="43"/>
      <c r="HN111" s="43"/>
      <c r="HO111" s="43"/>
      <c r="HP111" s="43"/>
      <c r="HQ111" s="43"/>
      <c r="HR111" s="43"/>
      <c r="HS111" s="43"/>
      <c r="HT111" s="43"/>
      <c r="HU111" s="43"/>
      <c r="HV111" s="43"/>
      <c r="HW111" s="43"/>
      <c r="HX111" s="43"/>
      <c r="HY111" s="43"/>
      <c r="HZ111" s="43"/>
      <c r="IA111" s="45"/>
      <c r="IQ111" s="42"/>
      <c r="IR111" s="43"/>
      <c r="IS111" s="43"/>
      <c r="IT111" s="43"/>
      <c r="IU111" s="43"/>
      <c r="IV111" s="43"/>
      <c r="IW111" s="43"/>
      <c r="IX111" s="43"/>
      <c r="IY111" s="43"/>
      <c r="IZ111" s="43"/>
      <c r="JA111" s="43"/>
      <c r="JB111" s="43"/>
      <c r="JC111" s="43"/>
      <c r="JD111" s="43"/>
      <c r="JE111" s="43"/>
      <c r="JF111" s="43"/>
      <c r="JG111" s="43"/>
      <c r="JH111" s="43"/>
      <c r="JI111" s="43"/>
      <c r="JJ111" s="43"/>
      <c r="JK111" s="43"/>
      <c r="JL111" s="43"/>
      <c r="JM111" s="43"/>
      <c r="JN111" s="43"/>
      <c r="JO111" s="43"/>
      <c r="JP111" s="43"/>
      <c r="JQ111" s="43"/>
      <c r="JR111" s="43"/>
      <c r="JS111" s="43"/>
      <c r="JT111" s="43"/>
      <c r="JU111" s="43"/>
      <c r="JV111" s="43"/>
      <c r="JW111" s="43"/>
      <c r="JX111" s="43"/>
      <c r="JY111" s="43"/>
      <c r="JZ111" s="43"/>
      <c r="KA111" s="43"/>
      <c r="KB111" s="43"/>
      <c r="KC111" s="43"/>
      <c r="KD111" s="43"/>
      <c r="KE111" s="43"/>
      <c r="KF111" s="43"/>
      <c r="KG111" s="43"/>
      <c r="KH111" s="43"/>
      <c r="KI111" s="43"/>
      <c r="KJ111" s="43"/>
      <c r="KK111" s="43"/>
      <c r="KL111" s="43"/>
      <c r="KM111" s="43"/>
      <c r="KN111" s="43"/>
      <c r="KO111" s="43"/>
      <c r="KP111" s="43"/>
      <c r="KQ111" s="43"/>
      <c r="KR111" s="43"/>
      <c r="KS111" s="43"/>
      <c r="KT111" s="43"/>
      <c r="KU111" s="43"/>
      <c r="KV111" s="43"/>
      <c r="KW111" s="43"/>
      <c r="KX111" s="43"/>
      <c r="KY111" s="43"/>
      <c r="KZ111" s="43"/>
      <c r="LA111" s="43"/>
      <c r="LB111" s="43"/>
      <c r="LC111" s="43"/>
      <c r="LD111" s="43"/>
      <c r="LE111" s="43"/>
      <c r="LF111" s="43"/>
      <c r="LG111" s="43"/>
      <c r="LH111" s="43"/>
      <c r="LI111" s="43"/>
      <c r="LJ111" s="43"/>
      <c r="LK111" s="43"/>
      <c r="LL111" s="45"/>
    </row>
    <row r="112" spans="7:324" ht="18" customHeight="1">
      <c r="G112" s="4"/>
      <c r="S112" s="42"/>
      <c r="T112" s="43"/>
      <c r="U112" s="9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O112" s="10"/>
      <c r="AP112" s="10"/>
      <c r="AQ112" s="10"/>
      <c r="AR112" s="11"/>
      <c r="AS112" s="11"/>
      <c r="AT112" s="9"/>
      <c r="AU112" s="10"/>
      <c r="AV112" s="10"/>
      <c r="BA112" s="10"/>
      <c r="BB112" s="10"/>
      <c r="BC112" s="11"/>
      <c r="BD112" s="10"/>
      <c r="BE112" s="9"/>
      <c r="BF112" s="10"/>
      <c r="BG112" s="10"/>
      <c r="BL112" s="10"/>
      <c r="BM112" s="10"/>
      <c r="BN112" s="11"/>
      <c r="BO112" s="43"/>
      <c r="BP112" s="45"/>
      <c r="CC112" s="13"/>
      <c r="CD112" s="13"/>
      <c r="CW112" s="42"/>
      <c r="CX112" s="43"/>
      <c r="CY112" s="9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  <c r="DV112" s="10"/>
      <c r="DW112" s="17"/>
      <c r="DX112" s="9"/>
      <c r="DY112" s="10"/>
      <c r="DZ112" s="10"/>
      <c r="EA112" s="10"/>
      <c r="EB112" s="10"/>
      <c r="EC112" s="10"/>
      <c r="ED112" s="10"/>
      <c r="EE112" s="10"/>
      <c r="EF112" s="10"/>
      <c r="EG112" s="11"/>
      <c r="EH112" s="10"/>
      <c r="EI112" s="9"/>
      <c r="EJ112" s="10"/>
      <c r="EK112" s="10"/>
      <c r="EL112" s="10"/>
      <c r="EM112" s="10"/>
      <c r="EN112" s="10"/>
      <c r="EO112" s="10"/>
      <c r="EP112" s="10"/>
      <c r="EQ112" s="10"/>
      <c r="ER112" s="11"/>
      <c r="ES112" s="43"/>
      <c r="ET112" s="45"/>
      <c r="FH112" s="42"/>
      <c r="FI112" s="43"/>
      <c r="FJ112" s="9"/>
      <c r="FK112" s="10"/>
      <c r="FL112" s="10"/>
      <c r="FM112" s="10"/>
      <c r="FN112" s="10"/>
      <c r="FO112" s="10"/>
      <c r="FP112" s="10"/>
      <c r="FQ112" s="10"/>
      <c r="FR112" s="10"/>
      <c r="FS112" s="10"/>
      <c r="FT112" s="10"/>
      <c r="FU112" s="10"/>
      <c r="FV112" s="10"/>
      <c r="FW112" s="10"/>
      <c r="FX112" s="10"/>
      <c r="FY112" s="10"/>
      <c r="FZ112" s="10"/>
      <c r="GA112" s="10"/>
      <c r="GB112" s="10"/>
      <c r="GC112" s="10"/>
      <c r="GD112" s="10"/>
      <c r="GE112" s="10"/>
      <c r="GF112" s="10"/>
      <c r="GG112" s="10"/>
      <c r="GH112" s="17"/>
      <c r="GI112" s="9"/>
      <c r="GJ112" s="10"/>
      <c r="GK112" s="10"/>
      <c r="GL112" s="10"/>
      <c r="GM112" s="10"/>
      <c r="GN112" s="10"/>
      <c r="GO112" s="10"/>
      <c r="GP112" s="10"/>
      <c r="GQ112" s="10"/>
      <c r="GR112" s="11"/>
      <c r="GS112" s="10"/>
      <c r="GT112" s="9"/>
      <c r="GU112" s="10"/>
      <c r="GV112" s="10"/>
      <c r="GW112" s="10"/>
      <c r="GX112" s="10"/>
      <c r="GY112" s="10"/>
      <c r="GZ112" s="10"/>
      <c r="HA112" s="10"/>
      <c r="HB112" s="10"/>
      <c r="HC112" s="11"/>
      <c r="HD112" s="9"/>
      <c r="HE112" s="9"/>
      <c r="HF112" s="10"/>
      <c r="HG112" s="10"/>
      <c r="HH112" s="10"/>
      <c r="HI112" s="10"/>
      <c r="HJ112" s="10"/>
      <c r="HK112" s="10"/>
      <c r="HL112" s="10"/>
      <c r="HM112" s="10"/>
      <c r="HN112" s="10"/>
      <c r="HO112" s="10"/>
      <c r="HP112" s="10"/>
      <c r="HQ112" s="10"/>
      <c r="HR112" s="10"/>
      <c r="HS112" s="10"/>
      <c r="HT112" s="10"/>
      <c r="HU112" s="10"/>
      <c r="HV112" s="10"/>
      <c r="HW112" s="10"/>
      <c r="HX112" s="10"/>
      <c r="HY112" s="11"/>
      <c r="HZ112" s="43"/>
      <c r="IA112" s="45"/>
      <c r="IQ112" s="42"/>
      <c r="IR112" s="43"/>
      <c r="IS112" s="9"/>
      <c r="IT112" s="10"/>
      <c r="IU112" s="10"/>
      <c r="IV112" s="10"/>
      <c r="IW112" s="10"/>
      <c r="IX112" s="10"/>
      <c r="IY112" s="10"/>
      <c r="IZ112" s="10"/>
      <c r="JA112" s="10"/>
      <c r="JB112" s="10"/>
      <c r="JC112" s="10"/>
      <c r="JD112" s="10"/>
      <c r="JE112" s="10"/>
      <c r="JF112" s="10"/>
      <c r="JG112" s="10"/>
      <c r="JH112" s="10"/>
      <c r="JI112" s="10"/>
      <c r="JJ112" s="10"/>
      <c r="JK112" s="10"/>
      <c r="JL112" s="10"/>
      <c r="JM112" s="10"/>
      <c r="JN112" s="10"/>
      <c r="JO112" s="10"/>
      <c r="JP112" s="11"/>
      <c r="JQ112" s="10"/>
      <c r="JR112" s="9"/>
      <c r="JS112" s="10"/>
      <c r="JT112" s="10"/>
      <c r="JU112" s="10"/>
      <c r="JV112" s="10"/>
      <c r="JW112" s="10"/>
      <c r="JX112" s="10"/>
      <c r="JY112" s="10"/>
      <c r="JZ112" s="10"/>
      <c r="KA112" s="10"/>
      <c r="KB112" s="10"/>
      <c r="KC112" s="10"/>
      <c r="KD112" s="10"/>
      <c r="KE112" s="10"/>
      <c r="KF112" s="10"/>
      <c r="KG112" s="10"/>
      <c r="KH112" s="10"/>
      <c r="KI112" s="11"/>
      <c r="KJ112" s="10"/>
      <c r="KK112" s="9"/>
      <c r="KL112" s="10"/>
      <c r="KM112" s="10"/>
      <c r="KN112" s="10"/>
      <c r="KO112" s="10"/>
      <c r="KP112" s="10"/>
      <c r="KQ112" s="10"/>
      <c r="KR112" s="10"/>
      <c r="KS112" s="10"/>
      <c r="KT112" s="10"/>
      <c r="KU112" s="10"/>
      <c r="KV112" s="10"/>
      <c r="KW112" s="10"/>
      <c r="KX112" s="10"/>
      <c r="KY112" s="10"/>
      <c r="KZ112" s="10"/>
      <c r="LA112" s="10"/>
      <c r="LB112" s="10"/>
      <c r="LC112" s="10"/>
      <c r="LD112" s="10"/>
      <c r="LE112" s="10"/>
      <c r="LF112" s="10"/>
      <c r="LG112" s="10"/>
      <c r="LH112" s="10"/>
      <c r="LI112" s="10"/>
      <c r="LJ112" s="11"/>
      <c r="LK112" s="43"/>
      <c r="LL112" s="45"/>
    </row>
    <row r="113" spans="7:324" ht="18" customHeight="1">
      <c r="G113" s="4"/>
      <c r="S113" s="42"/>
      <c r="T113" s="43"/>
      <c r="U113" s="12"/>
      <c r="AR113" s="13"/>
      <c r="AS113" s="13"/>
      <c r="AT113" s="12"/>
      <c r="BC113" s="13"/>
      <c r="BE113" s="12"/>
      <c r="BN113" s="13"/>
      <c r="BO113" s="43"/>
      <c r="BP113" s="45"/>
      <c r="CC113" s="13"/>
      <c r="CD113" s="13"/>
      <c r="CW113" s="42"/>
      <c r="CX113" s="43"/>
      <c r="CY113" s="12"/>
      <c r="DW113" s="18"/>
      <c r="DX113" s="12"/>
      <c r="EG113" s="13"/>
      <c r="EI113" s="12"/>
      <c r="ER113" s="13"/>
      <c r="ES113" s="43"/>
      <c r="ET113" s="45"/>
      <c r="FH113" s="42"/>
      <c r="FI113" s="43"/>
      <c r="FJ113" s="12"/>
      <c r="GH113" s="18"/>
      <c r="GI113" s="12"/>
      <c r="GR113" s="13"/>
      <c r="GT113" s="12"/>
      <c r="HC113" s="13"/>
      <c r="HD113" s="12"/>
      <c r="HE113" s="12"/>
      <c r="HY113" s="13"/>
      <c r="HZ113" s="43"/>
      <c r="IA113" s="45"/>
      <c r="IQ113" s="42"/>
      <c r="IR113" s="43"/>
      <c r="IS113" s="12"/>
      <c r="JP113" s="13"/>
      <c r="JQ113" s="127"/>
      <c r="JR113" s="12"/>
      <c r="KI113" s="13"/>
      <c r="KK113" s="12"/>
      <c r="LJ113" s="13"/>
      <c r="LK113" s="43"/>
      <c r="LL113" s="45"/>
    </row>
    <row r="114" spans="7:324" ht="18" customHeight="1">
      <c r="G114" s="4"/>
      <c r="S114" s="42"/>
      <c r="T114" s="43"/>
      <c r="U114" s="12"/>
      <c r="AR114" s="13"/>
      <c r="AS114" s="13"/>
      <c r="AT114" s="12"/>
      <c r="BC114" s="13"/>
      <c r="BE114" s="12"/>
      <c r="BN114" s="13"/>
      <c r="BO114" s="43"/>
      <c r="BP114" s="45"/>
      <c r="CC114" s="13"/>
      <c r="CD114" s="13"/>
      <c r="CW114" s="42"/>
      <c r="CX114" s="43"/>
      <c r="CY114" s="12"/>
      <c r="DW114" s="18"/>
      <c r="DX114" s="12"/>
      <c r="EG114" s="13"/>
      <c r="EI114" s="12"/>
      <c r="ER114" s="13"/>
      <c r="ES114" s="43"/>
      <c r="ET114" s="45"/>
      <c r="FH114" s="42"/>
      <c r="FI114" s="43"/>
      <c r="FJ114" s="12"/>
      <c r="GH114" s="18"/>
      <c r="GI114" s="12"/>
      <c r="GR114" s="13"/>
      <c r="GT114" s="12"/>
      <c r="HC114" s="13"/>
      <c r="HD114" s="12"/>
      <c r="HE114" s="12"/>
      <c r="HY114" s="13"/>
      <c r="HZ114" s="43"/>
      <c r="IA114" s="45"/>
      <c r="IQ114" s="42"/>
      <c r="IR114" s="43"/>
      <c r="IS114" s="12"/>
      <c r="JP114" s="13"/>
      <c r="JQ114" s="127"/>
      <c r="JR114" s="12"/>
      <c r="KI114" s="13"/>
      <c r="KK114" s="12"/>
      <c r="LJ114" s="13"/>
      <c r="LK114" s="43"/>
      <c r="LL114" s="45"/>
    </row>
    <row r="115" spans="7:324" ht="18" customHeight="1">
      <c r="G115" s="4"/>
      <c r="S115" s="42"/>
      <c r="T115" s="43"/>
      <c r="U115" s="12"/>
      <c r="AR115" s="13"/>
      <c r="AS115" s="13"/>
      <c r="AT115" s="12"/>
      <c r="BC115" s="13"/>
      <c r="BE115" s="12"/>
      <c r="BN115" s="13"/>
      <c r="BO115" s="43"/>
      <c r="BP115" s="45"/>
      <c r="CC115" s="13"/>
      <c r="CD115" s="13"/>
      <c r="CW115" s="42"/>
      <c r="CX115" s="43"/>
      <c r="CY115" s="12"/>
      <c r="DW115" s="18"/>
      <c r="DX115" s="12"/>
      <c r="EG115" s="13"/>
      <c r="EI115" s="12"/>
      <c r="ER115" s="13"/>
      <c r="ES115" s="43"/>
      <c r="ET115" s="45"/>
      <c r="FH115" s="42"/>
      <c r="FI115" s="43"/>
      <c r="FJ115" s="12"/>
      <c r="GH115" s="18"/>
      <c r="GI115" s="12"/>
      <c r="GR115" s="13"/>
      <c r="GT115" s="12"/>
      <c r="HC115" s="13"/>
      <c r="HD115" s="12"/>
      <c r="HE115" s="12"/>
      <c r="HY115" s="13"/>
      <c r="HZ115" s="43"/>
      <c r="IA115" s="45"/>
      <c r="IQ115" s="42"/>
      <c r="IR115" s="43"/>
      <c r="IS115" s="12"/>
      <c r="JP115" s="13"/>
      <c r="JQ115" s="127"/>
      <c r="JR115" s="12"/>
      <c r="KI115" s="13"/>
      <c r="KK115" s="12"/>
      <c r="LJ115" s="13"/>
      <c r="LK115" s="43"/>
      <c r="LL115" s="45"/>
    </row>
    <row r="116" spans="7:324" ht="18" customHeight="1">
      <c r="G116" s="4"/>
      <c r="S116" s="42"/>
      <c r="T116" s="43"/>
      <c r="U116" s="12"/>
      <c r="AR116" s="13"/>
      <c r="AS116" s="13"/>
      <c r="AT116" s="12"/>
      <c r="BC116" s="13"/>
      <c r="BE116" s="12"/>
      <c r="BN116" s="13"/>
      <c r="BO116" s="43"/>
      <c r="BP116" s="45"/>
      <c r="CC116" s="13"/>
      <c r="CD116" s="13"/>
      <c r="CW116" s="42"/>
      <c r="CX116" s="43"/>
      <c r="CY116" s="12"/>
      <c r="DW116" s="18"/>
      <c r="DX116" s="12"/>
      <c r="EG116" s="13"/>
      <c r="EI116" s="12"/>
      <c r="ER116" s="13"/>
      <c r="ES116" s="43"/>
      <c r="ET116" s="45"/>
      <c r="FH116" s="42"/>
      <c r="FI116" s="43"/>
      <c r="FJ116" s="12"/>
      <c r="GH116" s="18"/>
      <c r="GI116" s="12"/>
      <c r="GR116" s="13"/>
      <c r="GT116" s="12"/>
      <c r="HC116" s="13"/>
      <c r="HD116" s="12"/>
      <c r="HE116" s="12"/>
      <c r="HY116" s="13"/>
      <c r="HZ116" s="43"/>
      <c r="IA116" s="45"/>
      <c r="IQ116" s="42"/>
      <c r="IR116" s="43"/>
      <c r="IS116" s="12"/>
      <c r="JP116" s="13"/>
      <c r="JQ116" s="127"/>
      <c r="JR116" s="12"/>
      <c r="KI116" s="13"/>
      <c r="KK116" s="12"/>
      <c r="LJ116" s="13"/>
      <c r="LK116" s="43"/>
      <c r="LL116" s="45"/>
    </row>
    <row r="117" spans="7:324" ht="18" customHeight="1">
      <c r="G117" s="4"/>
      <c r="S117" s="42"/>
      <c r="T117" s="43"/>
      <c r="U117" s="12"/>
      <c r="AR117" s="13"/>
      <c r="AS117" s="13"/>
      <c r="AT117" s="12"/>
      <c r="BC117" s="13"/>
      <c r="BE117" s="12"/>
      <c r="BN117" s="13"/>
      <c r="BO117" s="43"/>
      <c r="BP117" s="45"/>
      <c r="CC117" s="13"/>
      <c r="CD117" s="13"/>
      <c r="CW117" s="42"/>
      <c r="CX117" s="43"/>
      <c r="CY117" s="12"/>
      <c r="DW117" s="18"/>
      <c r="DX117" s="12"/>
      <c r="EG117" s="13"/>
      <c r="EI117" s="12"/>
      <c r="ER117" s="13"/>
      <c r="ES117" s="43"/>
      <c r="ET117" s="45"/>
      <c r="FH117" s="42"/>
      <c r="FI117" s="43"/>
      <c r="FJ117" s="12"/>
      <c r="GH117" s="18"/>
      <c r="GI117" s="12"/>
      <c r="GR117" s="13"/>
      <c r="GT117" s="12"/>
      <c r="HC117" s="13"/>
      <c r="HD117" s="12"/>
      <c r="HE117" s="12"/>
      <c r="HY117" s="13"/>
      <c r="HZ117" s="43"/>
      <c r="IA117" s="45"/>
      <c r="IQ117" s="42"/>
      <c r="IR117" s="43"/>
      <c r="IS117" s="12"/>
      <c r="JP117" s="13"/>
      <c r="JQ117" s="127"/>
      <c r="JR117" s="12"/>
      <c r="KI117" s="13"/>
      <c r="KK117" s="12"/>
      <c r="LJ117" s="13"/>
      <c r="LK117" s="43"/>
      <c r="LL117" s="45"/>
    </row>
    <row r="118" spans="7:324" ht="18" customHeight="1">
      <c r="G118" s="4"/>
      <c r="S118" s="42"/>
      <c r="T118" s="43"/>
      <c r="U118" s="12"/>
      <c r="AR118" s="13"/>
      <c r="AS118" s="13"/>
      <c r="AT118" s="12"/>
      <c r="BC118" s="13"/>
      <c r="BE118" s="12"/>
      <c r="BN118" s="13"/>
      <c r="BO118" s="43"/>
      <c r="BP118" s="45"/>
      <c r="CC118" s="13"/>
      <c r="CD118" s="13"/>
      <c r="CW118" s="42"/>
      <c r="CX118" s="43"/>
      <c r="CY118" s="12"/>
      <c r="DW118" s="18"/>
      <c r="DX118" s="12"/>
      <c r="EG118" s="13"/>
      <c r="EI118" s="12"/>
      <c r="ER118" s="13"/>
      <c r="ES118" s="43"/>
      <c r="ET118" s="45"/>
      <c r="FH118" s="42"/>
      <c r="FI118" s="43"/>
      <c r="FJ118" s="9"/>
      <c r="FK118" s="10"/>
      <c r="FL118" s="10"/>
      <c r="FM118" s="10"/>
      <c r="FN118" s="10"/>
      <c r="FO118" s="10"/>
      <c r="FP118" s="10"/>
      <c r="FQ118" s="10"/>
      <c r="FR118" s="10"/>
      <c r="FS118" s="10"/>
      <c r="FT118" s="10"/>
      <c r="FU118" s="11"/>
      <c r="GH118" s="18"/>
      <c r="GI118" s="12"/>
      <c r="GR118" s="13"/>
      <c r="GT118" s="12"/>
      <c r="HC118" s="13"/>
      <c r="HD118" s="12"/>
      <c r="HE118" s="12"/>
      <c r="HY118" s="13"/>
      <c r="HZ118" s="43"/>
      <c r="IA118" s="45"/>
      <c r="IQ118" s="42"/>
      <c r="IR118" s="43"/>
      <c r="IS118" s="12"/>
      <c r="JP118" s="13"/>
      <c r="JR118" s="12"/>
      <c r="KI118" s="13"/>
      <c r="KK118" s="12"/>
      <c r="LJ118" s="13"/>
      <c r="LK118" s="43"/>
      <c r="LL118" s="45"/>
    </row>
    <row r="119" spans="7:324" ht="18" customHeight="1">
      <c r="G119" s="4"/>
      <c r="S119" s="42"/>
      <c r="T119" s="43"/>
      <c r="U119" s="12"/>
      <c r="AR119" s="13"/>
      <c r="AS119" s="13"/>
      <c r="AT119" s="14"/>
      <c r="AU119" s="15"/>
      <c r="AV119" s="15"/>
      <c r="AW119" s="15"/>
      <c r="AX119" s="15"/>
      <c r="AY119" s="15"/>
      <c r="AZ119" s="15"/>
      <c r="BA119" s="15"/>
      <c r="BB119" s="15"/>
      <c r="BC119" s="16"/>
      <c r="BE119" s="14"/>
      <c r="BF119" s="15"/>
      <c r="BG119" s="15"/>
      <c r="BH119" s="15"/>
      <c r="BI119" s="15"/>
      <c r="BJ119" s="15"/>
      <c r="BK119" s="15"/>
      <c r="BL119" s="15"/>
      <c r="BM119" s="15"/>
      <c r="BN119" s="16"/>
      <c r="BO119" s="43"/>
      <c r="BP119" s="45"/>
      <c r="CC119" s="13"/>
      <c r="CD119" s="13"/>
      <c r="CW119" s="42"/>
      <c r="CX119" s="43"/>
      <c r="CY119" s="12"/>
      <c r="DW119" s="18"/>
      <c r="DX119" s="14"/>
      <c r="DY119" s="15"/>
      <c r="DZ119" s="15"/>
      <c r="EA119" s="15"/>
      <c r="EB119" s="15"/>
      <c r="EC119" s="15"/>
      <c r="ED119" s="15"/>
      <c r="EE119" s="15"/>
      <c r="EF119" s="15"/>
      <c r="EG119" s="16"/>
      <c r="EI119" s="14"/>
      <c r="EJ119" s="15"/>
      <c r="EK119" s="15"/>
      <c r="EL119" s="15"/>
      <c r="EM119" s="15"/>
      <c r="EN119" s="15"/>
      <c r="EO119" s="15"/>
      <c r="EP119" s="15"/>
      <c r="EQ119" s="15"/>
      <c r="ER119" s="16"/>
      <c r="ES119" s="43"/>
      <c r="ET119" s="45"/>
      <c r="FH119" s="42"/>
      <c r="FI119" s="43"/>
      <c r="FJ119" s="12"/>
      <c r="FU119" s="13"/>
      <c r="GH119" s="18"/>
      <c r="GI119" s="14"/>
      <c r="GJ119" s="15"/>
      <c r="GK119" s="15"/>
      <c r="GL119" s="15"/>
      <c r="GM119" s="15"/>
      <c r="GN119" s="15"/>
      <c r="GO119" s="15"/>
      <c r="GP119" s="15"/>
      <c r="GQ119" s="15"/>
      <c r="GR119" s="16"/>
      <c r="GT119" s="14"/>
      <c r="GU119" s="15"/>
      <c r="GV119" s="15"/>
      <c r="GW119" s="15"/>
      <c r="GX119" s="15"/>
      <c r="GY119" s="15"/>
      <c r="GZ119" s="15"/>
      <c r="HA119" s="15"/>
      <c r="HB119" s="15"/>
      <c r="HC119" s="16"/>
      <c r="HD119" s="12"/>
      <c r="HE119" s="12"/>
      <c r="HY119" s="13"/>
      <c r="HZ119" s="43"/>
      <c r="IA119" s="45"/>
      <c r="IQ119" s="42"/>
      <c r="IR119" s="43"/>
      <c r="IS119" s="12"/>
      <c r="JP119" s="13"/>
      <c r="JR119" s="12"/>
      <c r="KI119" s="13"/>
      <c r="KK119" s="12"/>
      <c r="LJ119" s="13"/>
      <c r="LK119" s="43"/>
      <c r="LL119" s="45"/>
    </row>
    <row r="120" spans="7:324" ht="18" customHeight="1">
      <c r="G120" s="4"/>
      <c r="S120" s="42"/>
      <c r="T120" s="43"/>
      <c r="U120" s="12"/>
      <c r="AR120" s="13"/>
      <c r="AS120" s="13"/>
      <c r="AT120" s="12"/>
      <c r="AY120" s="9"/>
      <c r="AZ120" s="10"/>
      <c r="BA120" s="10"/>
      <c r="BB120" s="10"/>
      <c r="BC120" s="11"/>
      <c r="BE120" s="9"/>
      <c r="BF120" s="10"/>
      <c r="BG120" s="10"/>
      <c r="BH120" s="10"/>
      <c r="BI120" s="11"/>
      <c r="BN120" s="13"/>
      <c r="BO120" s="43"/>
      <c r="BP120" s="45"/>
      <c r="CC120" s="13"/>
      <c r="CD120" s="13"/>
      <c r="CW120" s="42"/>
      <c r="CX120" s="43"/>
      <c r="CY120" s="12"/>
      <c r="DW120" s="18"/>
      <c r="EC120" s="9"/>
      <c r="ED120" s="10"/>
      <c r="EE120" s="10"/>
      <c r="EF120" s="10"/>
      <c r="EG120" s="11"/>
      <c r="EI120" s="9"/>
      <c r="EJ120" s="10"/>
      <c r="EK120" s="10"/>
      <c r="EL120" s="10"/>
      <c r="EM120" s="11"/>
      <c r="ER120" s="13"/>
      <c r="ES120" s="43"/>
      <c r="ET120" s="45"/>
      <c r="FH120" s="42"/>
      <c r="FI120" s="43"/>
      <c r="FJ120" s="12"/>
      <c r="FU120" s="13"/>
      <c r="GH120" s="18"/>
      <c r="GN120" s="9"/>
      <c r="GO120" s="10"/>
      <c r="GP120" s="10"/>
      <c r="GQ120" s="10"/>
      <c r="GR120" s="11"/>
      <c r="GT120" s="9"/>
      <c r="GU120" s="10"/>
      <c r="GV120" s="10"/>
      <c r="GW120" s="10"/>
      <c r="GX120" s="11"/>
      <c r="HC120" s="13"/>
      <c r="HD120" s="12"/>
      <c r="HE120" s="12"/>
      <c r="HY120" s="13"/>
      <c r="HZ120" s="43"/>
      <c r="IA120" s="45"/>
      <c r="IQ120" s="42"/>
      <c r="IR120" s="43"/>
      <c r="IS120" s="12"/>
      <c r="JP120" s="13"/>
      <c r="JR120" s="12"/>
      <c r="KI120" s="13"/>
      <c r="KK120" s="12"/>
      <c r="LJ120" s="13"/>
      <c r="LK120" s="43"/>
      <c r="LL120" s="45"/>
    </row>
    <row r="121" spans="7:324" ht="18" customHeight="1">
      <c r="G121" s="4"/>
      <c r="S121" s="42"/>
      <c r="T121" s="43"/>
      <c r="U121" s="12"/>
      <c r="AR121" s="13"/>
      <c r="AS121" s="13"/>
      <c r="AT121" s="12"/>
      <c r="AY121" s="12"/>
      <c r="BC121" s="13"/>
      <c r="BE121" s="12"/>
      <c r="BI121" s="13"/>
      <c r="BN121" s="13"/>
      <c r="BO121" s="43"/>
      <c r="BP121" s="45"/>
      <c r="CC121" s="13"/>
      <c r="CD121" s="13"/>
      <c r="CW121" s="42"/>
      <c r="CX121" s="43"/>
      <c r="CY121" s="12"/>
      <c r="DW121" s="18"/>
      <c r="EC121" s="12"/>
      <c r="EG121" s="13"/>
      <c r="EI121" s="12"/>
      <c r="EM121" s="13"/>
      <c r="ER121" s="13"/>
      <c r="ES121" s="43"/>
      <c r="ET121" s="45"/>
      <c r="FH121" s="42"/>
      <c r="FI121" s="43"/>
      <c r="FJ121" s="12"/>
      <c r="FU121" s="13"/>
      <c r="GH121" s="18"/>
      <c r="GN121" s="12"/>
      <c r="GR121" s="13"/>
      <c r="GT121" s="12"/>
      <c r="GX121" s="13"/>
      <c r="HC121" s="13"/>
      <c r="HD121" s="12"/>
      <c r="HE121" s="12"/>
      <c r="HY121" s="13"/>
      <c r="HZ121" s="43"/>
      <c r="IA121" s="45"/>
      <c r="IQ121" s="42"/>
      <c r="IR121" s="43"/>
      <c r="IS121" s="12"/>
      <c r="JP121" s="13"/>
      <c r="JR121" s="12"/>
      <c r="KI121" s="13"/>
      <c r="KK121" s="12"/>
      <c r="LJ121" s="13"/>
      <c r="LK121" s="43"/>
      <c r="LL121" s="45"/>
    </row>
    <row r="122" spans="7:324" ht="18" customHeight="1">
      <c r="G122" s="4"/>
      <c r="S122" s="42"/>
      <c r="T122" s="43"/>
      <c r="U122" s="12"/>
      <c r="AR122" s="13"/>
      <c r="AS122" s="13"/>
      <c r="AT122" s="12"/>
      <c r="AY122" s="12"/>
      <c r="BC122" s="13"/>
      <c r="BE122" s="12"/>
      <c r="BI122" s="13"/>
      <c r="BN122" s="13"/>
      <c r="BO122" s="43"/>
      <c r="BP122" s="45"/>
      <c r="CC122" s="13"/>
      <c r="CD122" s="13"/>
      <c r="CW122" s="42"/>
      <c r="CX122" s="43"/>
      <c r="CY122" s="12"/>
      <c r="DW122" s="18"/>
      <c r="EC122" s="12"/>
      <c r="EG122" s="13"/>
      <c r="EI122" s="12"/>
      <c r="EM122" s="13"/>
      <c r="ER122" s="13"/>
      <c r="ES122" s="43"/>
      <c r="ET122" s="45"/>
      <c r="FH122" s="42"/>
      <c r="FI122" s="43"/>
      <c r="FJ122" s="12"/>
      <c r="FU122" s="13"/>
      <c r="GH122" s="18"/>
      <c r="GN122" s="12"/>
      <c r="GR122" s="13"/>
      <c r="GT122" s="12"/>
      <c r="GX122" s="13"/>
      <c r="HC122" s="13"/>
      <c r="HD122" s="12"/>
      <c r="HE122" s="12"/>
      <c r="HY122" s="13"/>
      <c r="HZ122" s="43"/>
      <c r="IA122" s="45"/>
      <c r="IQ122" s="42"/>
      <c r="IR122" s="43"/>
      <c r="IS122" s="12"/>
      <c r="JP122" s="13"/>
      <c r="JR122" s="12"/>
      <c r="KI122" s="13"/>
      <c r="KK122" s="12"/>
      <c r="LJ122" s="13"/>
      <c r="LK122" s="43"/>
      <c r="LL122" s="45"/>
    </row>
    <row r="123" spans="7:324" ht="18" customHeight="1">
      <c r="G123" s="4"/>
      <c r="S123" s="42"/>
      <c r="T123" s="43"/>
      <c r="U123" s="12"/>
      <c r="AR123" s="13"/>
      <c r="AS123" s="13"/>
      <c r="AT123" s="12"/>
      <c r="AY123" s="12"/>
      <c r="BC123" s="13"/>
      <c r="BE123" s="12"/>
      <c r="BI123" s="13"/>
      <c r="BN123" s="13"/>
      <c r="BO123" s="43"/>
      <c r="BP123" s="45"/>
      <c r="CC123" s="13"/>
      <c r="CD123" s="13"/>
      <c r="CW123" s="42"/>
      <c r="CX123" s="43"/>
      <c r="CY123" s="12"/>
      <c r="DW123" s="18"/>
      <c r="EC123" s="12"/>
      <c r="EG123" s="13"/>
      <c r="EI123" s="12"/>
      <c r="EM123" s="13"/>
      <c r="ER123" s="13"/>
      <c r="ES123" s="43"/>
      <c r="ET123" s="45"/>
      <c r="FH123" s="42"/>
      <c r="FI123" s="43"/>
      <c r="FJ123" s="12"/>
      <c r="FU123" s="13"/>
      <c r="GH123" s="18"/>
      <c r="GN123" s="12"/>
      <c r="GR123" s="13"/>
      <c r="GT123" s="12"/>
      <c r="GX123" s="13"/>
      <c r="HC123" s="13"/>
      <c r="HD123" s="12"/>
      <c r="HE123" s="12"/>
      <c r="HY123" s="13"/>
      <c r="HZ123" s="43"/>
      <c r="IA123" s="45"/>
      <c r="IQ123" s="42"/>
      <c r="IR123" s="43"/>
      <c r="IS123" s="12"/>
      <c r="JP123" s="13"/>
      <c r="JR123" s="12"/>
      <c r="KI123" s="13"/>
      <c r="KK123" s="12"/>
      <c r="LJ123" s="13"/>
      <c r="LK123" s="43"/>
      <c r="LL123" s="45"/>
    </row>
    <row r="124" spans="7:324" ht="18" customHeight="1">
      <c r="G124" s="4"/>
      <c r="S124" s="42"/>
      <c r="T124" s="43"/>
      <c r="U124" s="12"/>
      <c r="AR124" s="13"/>
      <c r="AS124" s="23"/>
      <c r="AT124" s="12"/>
      <c r="AY124" s="14"/>
      <c r="AZ124" s="15"/>
      <c r="BA124" s="15"/>
      <c r="BB124" s="15"/>
      <c r="BC124" s="16"/>
      <c r="BE124" s="14"/>
      <c r="BF124" s="15"/>
      <c r="BG124" s="15"/>
      <c r="BH124" s="15"/>
      <c r="BI124" s="16"/>
      <c r="BN124" s="13"/>
      <c r="BO124" s="43"/>
      <c r="BP124" s="45"/>
      <c r="CC124" s="13"/>
      <c r="CD124" s="13"/>
      <c r="CW124" s="42"/>
      <c r="CX124" s="43"/>
      <c r="CY124" s="12"/>
      <c r="DW124" s="23"/>
      <c r="EC124" s="14"/>
      <c r="ED124" s="15"/>
      <c r="EE124" s="15"/>
      <c r="EF124" s="15"/>
      <c r="EG124" s="16"/>
      <c r="EI124" s="14"/>
      <c r="EJ124" s="15"/>
      <c r="EK124" s="15"/>
      <c r="EL124" s="15"/>
      <c r="EM124" s="16"/>
      <c r="ER124" s="13"/>
      <c r="ES124" s="43"/>
      <c r="ET124" s="45"/>
      <c r="FH124" s="42"/>
      <c r="FI124" s="43"/>
      <c r="FJ124" s="12"/>
      <c r="FU124" s="13"/>
      <c r="GH124" s="23"/>
      <c r="GN124" s="14"/>
      <c r="GO124" s="15"/>
      <c r="GP124" s="15"/>
      <c r="GQ124" s="15"/>
      <c r="GR124" s="16"/>
      <c r="GT124" s="14"/>
      <c r="GU124" s="15"/>
      <c r="GV124" s="15"/>
      <c r="GW124" s="15"/>
      <c r="GX124" s="16"/>
      <c r="HC124" s="13"/>
      <c r="HD124" s="12"/>
      <c r="HE124" s="12"/>
      <c r="HY124" s="13"/>
      <c r="HZ124" s="43"/>
      <c r="IA124" s="45"/>
      <c r="IQ124" s="42"/>
      <c r="IR124" s="43"/>
      <c r="IS124" s="12"/>
      <c r="JP124" s="13"/>
      <c r="JR124" s="12"/>
      <c r="KI124" s="13"/>
      <c r="KK124" s="12"/>
      <c r="LJ124" s="13"/>
      <c r="LK124" s="43"/>
      <c r="LL124" s="45"/>
    </row>
    <row r="125" spans="7:324" ht="18" customHeight="1">
      <c r="G125" s="4"/>
      <c r="S125" s="42"/>
      <c r="T125" s="43"/>
      <c r="U125" s="12"/>
      <c r="AR125" s="13"/>
      <c r="AS125" s="24"/>
      <c r="AT125" s="12"/>
      <c r="AY125" s="12"/>
      <c r="BC125" s="13"/>
      <c r="BE125" s="12"/>
      <c r="BI125" s="13"/>
      <c r="BN125" s="13"/>
      <c r="BO125" s="43"/>
      <c r="BP125" s="45"/>
      <c r="CC125" s="13"/>
      <c r="CD125" s="13"/>
      <c r="CW125" s="42"/>
      <c r="CX125" s="43"/>
      <c r="CY125" s="12"/>
      <c r="DW125" s="24"/>
      <c r="EC125" s="12"/>
      <c r="EG125" s="13"/>
      <c r="EI125" s="12"/>
      <c r="EM125" s="13"/>
      <c r="ER125" s="13"/>
      <c r="ES125" s="43"/>
      <c r="ET125" s="45"/>
      <c r="FH125" s="42"/>
      <c r="FI125" s="43"/>
      <c r="FJ125" s="12"/>
      <c r="FU125" s="13"/>
      <c r="GH125" s="24"/>
      <c r="GN125" s="12"/>
      <c r="GR125" s="13"/>
      <c r="GT125" s="12"/>
      <c r="GX125" s="13"/>
      <c r="HC125" s="13"/>
      <c r="HD125" s="12"/>
      <c r="HE125" s="12"/>
      <c r="HY125" s="13"/>
      <c r="HZ125" s="43"/>
      <c r="IA125" s="45"/>
      <c r="IQ125" s="42"/>
      <c r="IR125" s="43"/>
      <c r="IS125" s="12"/>
      <c r="JP125" s="13"/>
      <c r="JR125" s="12"/>
      <c r="KI125" s="13"/>
      <c r="KK125" s="12"/>
      <c r="LJ125" s="13"/>
      <c r="LK125" s="43"/>
      <c r="LL125" s="45"/>
    </row>
    <row r="126" spans="7:324" ht="18" customHeight="1">
      <c r="G126" s="4"/>
      <c r="S126" s="42"/>
      <c r="T126" s="43"/>
      <c r="U126" s="12"/>
      <c r="AR126" s="13"/>
      <c r="AS126" s="24"/>
      <c r="AT126" s="12"/>
      <c r="AY126" s="12"/>
      <c r="BC126" s="13"/>
      <c r="BE126" s="12"/>
      <c r="BI126" s="13"/>
      <c r="BN126" s="13"/>
      <c r="BO126" s="43"/>
      <c r="BP126" s="45"/>
      <c r="CC126" s="13"/>
      <c r="CD126" s="13"/>
      <c r="CW126" s="42"/>
      <c r="CX126" s="43"/>
      <c r="CY126" s="12"/>
      <c r="DW126" s="24"/>
      <c r="EC126" s="12"/>
      <c r="EG126" s="13"/>
      <c r="EI126" s="12"/>
      <c r="EM126" s="13"/>
      <c r="ER126" s="13"/>
      <c r="ES126" s="43"/>
      <c r="ET126" s="45"/>
      <c r="FH126" s="42"/>
      <c r="FI126" s="43"/>
      <c r="FJ126" s="12"/>
      <c r="FU126" s="13"/>
      <c r="GH126" s="24"/>
      <c r="GN126" s="12"/>
      <c r="GR126" s="13"/>
      <c r="GT126" s="12"/>
      <c r="GX126" s="13"/>
      <c r="HC126" s="13"/>
      <c r="HD126" s="12"/>
      <c r="HE126" s="12"/>
      <c r="HY126" s="13"/>
      <c r="HZ126" s="43"/>
      <c r="IA126" s="45"/>
      <c r="IQ126" s="42"/>
      <c r="IR126" s="43"/>
      <c r="IS126" s="12"/>
      <c r="JP126" s="13"/>
      <c r="JR126" s="12"/>
      <c r="KI126" s="13"/>
      <c r="KK126" s="12"/>
      <c r="LJ126" s="13"/>
      <c r="LK126" s="43"/>
      <c r="LL126" s="45"/>
    </row>
    <row r="127" spans="7:324" ht="18" customHeight="1">
      <c r="G127" s="4"/>
      <c r="S127" s="42"/>
      <c r="T127" s="43"/>
      <c r="U127" s="12"/>
      <c r="AR127" s="13"/>
      <c r="AS127" s="24"/>
      <c r="AT127" s="12"/>
      <c r="AY127" s="12"/>
      <c r="BC127" s="13"/>
      <c r="BE127" s="12"/>
      <c r="BI127" s="13"/>
      <c r="BN127" s="13"/>
      <c r="BO127" s="43"/>
      <c r="BP127" s="45"/>
      <c r="CC127" s="13"/>
      <c r="CD127" s="13"/>
      <c r="CW127" s="42"/>
      <c r="CX127" s="43"/>
      <c r="CY127" s="12"/>
      <c r="DW127" s="24"/>
      <c r="EC127" s="12"/>
      <c r="EG127" s="13"/>
      <c r="EI127" s="12"/>
      <c r="EM127" s="13"/>
      <c r="ER127" s="13"/>
      <c r="ES127" s="43"/>
      <c r="ET127" s="45"/>
      <c r="FH127" s="42"/>
      <c r="FI127" s="43"/>
      <c r="FJ127" s="12"/>
      <c r="FU127" s="13"/>
      <c r="GH127" s="24"/>
      <c r="GN127" s="12"/>
      <c r="GR127" s="13"/>
      <c r="GT127" s="12"/>
      <c r="GX127" s="13"/>
      <c r="HC127" s="13"/>
      <c r="HD127" s="12"/>
      <c r="HE127" s="12"/>
      <c r="HY127" s="13"/>
      <c r="HZ127" s="43"/>
      <c r="IA127" s="45"/>
      <c r="IQ127" s="42"/>
      <c r="IR127" s="43"/>
      <c r="IS127" s="12"/>
      <c r="JP127" s="13"/>
      <c r="JR127" s="12"/>
      <c r="KI127" s="13"/>
      <c r="KK127" s="12"/>
      <c r="LJ127" s="13"/>
      <c r="LK127" s="43"/>
      <c r="LL127" s="45"/>
    </row>
    <row r="128" spans="7:324" ht="18" customHeight="1">
      <c r="G128" s="4"/>
      <c r="S128" s="42"/>
      <c r="T128" s="43"/>
      <c r="U128" s="12"/>
      <c r="AR128" s="13"/>
      <c r="AS128" s="25"/>
      <c r="AT128" s="12"/>
      <c r="AY128" s="12"/>
      <c r="BC128" s="13"/>
      <c r="BE128" s="12"/>
      <c r="BI128" s="13"/>
      <c r="BN128" s="13"/>
      <c r="BO128" s="43"/>
      <c r="BP128" s="45"/>
      <c r="CC128" s="13"/>
      <c r="CD128" s="13"/>
      <c r="CW128" s="42"/>
      <c r="CX128" s="43"/>
      <c r="CY128" s="12"/>
      <c r="DW128" s="25"/>
      <c r="EC128" s="12"/>
      <c r="EG128" s="13"/>
      <c r="EI128" s="12"/>
      <c r="EM128" s="13"/>
      <c r="ER128" s="13"/>
      <c r="ES128" s="43"/>
      <c r="ET128" s="45"/>
      <c r="FH128" s="42"/>
      <c r="FI128" s="43"/>
      <c r="FJ128" s="12"/>
      <c r="FU128" s="13"/>
      <c r="GH128" s="25"/>
      <c r="GN128" s="12"/>
      <c r="GR128" s="13"/>
      <c r="GT128" s="12"/>
      <c r="GX128" s="13"/>
      <c r="HC128" s="13"/>
      <c r="HD128" s="12"/>
      <c r="HE128" s="12"/>
      <c r="HY128" s="13"/>
      <c r="HZ128" s="43"/>
      <c r="IA128" s="45"/>
      <c r="IQ128" s="42"/>
      <c r="IR128" s="43"/>
      <c r="IS128" s="12"/>
      <c r="JP128" s="13"/>
      <c r="JR128" s="12"/>
      <c r="KI128" s="13"/>
      <c r="KK128" s="12"/>
      <c r="LJ128" s="13"/>
      <c r="LK128" s="43"/>
      <c r="LL128" s="45"/>
    </row>
    <row r="129" spans="7:324" ht="18" customHeight="1">
      <c r="G129" s="4"/>
      <c r="S129" s="42"/>
      <c r="T129" s="43"/>
      <c r="U129" s="12"/>
      <c r="AR129" s="13"/>
      <c r="AS129" s="13"/>
      <c r="AT129" s="14"/>
      <c r="AU129" s="15"/>
      <c r="AV129" s="15"/>
      <c r="AW129" s="15"/>
      <c r="AX129" s="15"/>
      <c r="AY129" s="14"/>
      <c r="AZ129" s="15"/>
      <c r="BA129" s="15"/>
      <c r="BB129" s="15"/>
      <c r="BC129" s="16"/>
      <c r="BE129" s="14"/>
      <c r="BF129" s="15"/>
      <c r="BG129" s="15"/>
      <c r="BH129" s="15"/>
      <c r="BI129" s="16"/>
      <c r="BJ129" s="15"/>
      <c r="BK129" s="15"/>
      <c r="BL129" s="15"/>
      <c r="BM129" s="15"/>
      <c r="BN129" s="16"/>
      <c r="BO129" s="43"/>
      <c r="BP129" s="45"/>
      <c r="CC129" s="13"/>
      <c r="CD129" s="13"/>
      <c r="CW129" s="42"/>
      <c r="CX129" s="43"/>
      <c r="CY129" s="12"/>
      <c r="DW129" s="18"/>
      <c r="DX129" s="15"/>
      <c r="DY129" s="15"/>
      <c r="DZ129" s="15"/>
      <c r="EA129" s="15"/>
      <c r="EB129" s="15"/>
      <c r="EC129" s="14"/>
      <c r="ED129" s="15"/>
      <c r="EE129" s="15"/>
      <c r="EF129" s="15"/>
      <c r="EG129" s="16"/>
      <c r="EI129" s="14"/>
      <c r="EJ129" s="15"/>
      <c r="EK129" s="15"/>
      <c r="EL129" s="15"/>
      <c r="EM129" s="16"/>
      <c r="EN129" s="15"/>
      <c r="EO129" s="15"/>
      <c r="EP129" s="15"/>
      <c r="EQ129" s="15"/>
      <c r="ER129" s="16"/>
      <c r="ES129" s="43"/>
      <c r="ET129" s="45"/>
      <c r="FH129" s="42"/>
      <c r="FI129" s="43"/>
      <c r="FJ129" s="14"/>
      <c r="FK129" s="15"/>
      <c r="FL129" s="15"/>
      <c r="FM129" s="15"/>
      <c r="FN129" s="15"/>
      <c r="FO129" s="15"/>
      <c r="FP129" s="15"/>
      <c r="FQ129" s="15"/>
      <c r="FR129" s="15"/>
      <c r="FS129" s="15"/>
      <c r="FT129" s="15"/>
      <c r="FU129" s="16"/>
      <c r="GH129" s="18"/>
      <c r="GI129" s="15"/>
      <c r="GJ129" s="15"/>
      <c r="GK129" s="15"/>
      <c r="GL129" s="15"/>
      <c r="GM129" s="15"/>
      <c r="GN129" s="14"/>
      <c r="GO129" s="15"/>
      <c r="GP129" s="15"/>
      <c r="GQ129" s="15"/>
      <c r="GR129" s="16"/>
      <c r="GT129" s="14"/>
      <c r="GU129" s="15"/>
      <c r="GV129" s="15"/>
      <c r="GW129" s="15"/>
      <c r="GX129" s="16"/>
      <c r="GY129" s="15"/>
      <c r="GZ129" s="15"/>
      <c r="HA129" s="15"/>
      <c r="HB129" s="15"/>
      <c r="HC129" s="16"/>
      <c r="HD129" s="12"/>
      <c r="HE129" s="14"/>
      <c r="HF129" s="15"/>
      <c r="HG129" s="15"/>
      <c r="HH129" s="15"/>
      <c r="HI129" s="15"/>
      <c r="HJ129" s="15"/>
      <c r="HK129" s="15"/>
      <c r="HL129" s="15"/>
      <c r="HM129" s="15"/>
      <c r="HN129" s="15"/>
      <c r="HO129" s="15"/>
      <c r="HP129" s="15"/>
      <c r="HQ129" s="15"/>
      <c r="HR129" s="15"/>
      <c r="HS129" s="15"/>
      <c r="HT129" s="15"/>
      <c r="HU129" s="15"/>
      <c r="HV129" s="15"/>
      <c r="HW129" s="15"/>
      <c r="HX129" s="15"/>
      <c r="HY129" s="16"/>
      <c r="HZ129" s="43"/>
      <c r="IA129" s="45"/>
      <c r="IQ129" s="42"/>
      <c r="IR129" s="43"/>
      <c r="IS129" s="12"/>
      <c r="JP129" s="13"/>
      <c r="JR129" s="12"/>
      <c r="KI129" s="13"/>
      <c r="KK129" s="12"/>
      <c r="LJ129" s="13"/>
      <c r="LK129" s="43"/>
      <c r="LL129" s="45"/>
    </row>
    <row r="130" spans="7:324" ht="18" customHeight="1">
      <c r="G130" s="4"/>
      <c r="S130" s="40"/>
      <c r="T130" s="125"/>
      <c r="AR130" s="13"/>
      <c r="AS130" s="12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26"/>
      <c r="BJ130" s="27"/>
      <c r="BK130" s="27"/>
      <c r="BL130" s="27"/>
      <c r="BM130" s="28"/>
      <c r="BN130" s="22"/>
      <c r="BO130" s="43"/>
      <c r="BP130" s="45"/>
      <c r="CC130" s="13"/>
      <c r="CD130" s="13"/>
      <c r="CW130" s="42"/>
      <c r="CX130" s="43"/>
      <c r="CY130" s="12"/>
      <c r="DW130" s="18"/>
      <c r="DX130" s="15"/>
      <c r="DY130" s="15"/>
      <c r="DZ130" s="15"/>
      <c r="EA130" s="15"/>
      <c r="EB130" s="15"/>
      <c r="EC130" s="15"/>
      <c r="ED130" s="15"/>
      <c r="EE130" s="15"/>
      <c r="EF130" s="15"/>
      <c r="EG130" s="15"/>
      <c r="EH130" s="15"/>
      <c r="EI130" s="15"/>
      <c r="EJ130" s="15"/>
      <c r="EK130" s="15"/>
      <c r="EL130" s="15"/>
      <c r="EM130" s="26"/>
      <c r="EN130" s="27"/>
      <c r="EO130" s="27"/>
      <c r="EP130" s="27"/>
      <c r="EQ130" s="28"/>
      <c r="ER130" s="22"/>
      <c r="ES130" s="43"/>
      <c r="ET130" s="45"/>
      <c r="FH130" s="42"/>
      <c r="FI130" s="43"/>
      <c r="FJ130" s="12"/>
      <c r="GH130" s="18"/>
      <c r="GI130" s="15"/>
      <c r="GJ130" s="15"/>
      <c r="GK130" s="15"/>
      <c r="GL130" s="15"/>
      <c r="GM130" s="15"/>
      <c r="GN130" s="15"/>
      <c r="GO130" s="15"/>
      <c r="GP130" s="15"/>
      <c r="GQ130" s="15"/>
      <c r="GR130" s="15"/>
      <c r="GS130" s="15"/>
      <c r="GT130" s="15"/>
      <c r="GU130" s="15"/>
      <c r="GV130" s="15"/>
      <c r="GW130" s="15"/>
      <c r="GX130" s="26"/>
      <c r="GY130" s="27"/>
      <c r="GZ130" s="27"/>
      <c r="HA130" s="27"/>
      <c r="HB130" s="28"/>
      <c r="HC130" s="22"/>
      <c r="HD130" s="18"/>
      <c r="HE130" s="15"/>
      <c r="HF130" s="15"/>
      <c r="HG130" s="15"/>
      <c r="HH130" s="15"/>
      <c r="HI130" s="15"/>
      <c r="HJ130" s="15"/>
      <c r="HK130" s="15"/>
      <c r="HL130" s="15"/>
      <c r="HM130" s="15"/>
      <c r="HN130" s="15"/>
      <c r="HO130" s="15"/>
      <c r="HP130" s="15"/>
      <c r="HQ130" s="15"/>
      <c r="HR130" s="15"/>
      <c r="HS130" s="15"/>
      <c r="HT130" s="72"/>
      <c r="HU130" s="100"/>
      <c r="HV130" s="100"/>
      <c r="HW130" s="100"/>
      <c r="HX130" s="73"/>
      <c r="HY130" s="16"/>
      <c r="HZ130" s="43"/>
      <c r="IA130" s="45"/>
      <c r="IQ130" s="42"/>
      <c r="IR130" s="43"/>
      <c r="IS130" s="12"/>
      <c r="JP130" s="13"/>
      <c r="JR130" s="12"/>
      <c r="KI130" s="13"/>
      <c r="KK130" s="12"/>
      <c r="LJ130" s="13"/>
      <c r="LK130" s="43"/>
      <c r="LL130" s="45"/>
    </row>
    <row r="131" spans="7:324" ht="18" customHeight="1">
      <c r="G131" s="4"/>
      <c r="S131" s="42"/>
      <c r="T131" s="108"/>
      <c r="AR131" s="13"/>
      <c r="AT131" s="9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1"/>
      <c r="BO131" s="43"/>
      <c r="BP131" s="45"/>
      <c r="CC131" s="13"/>
      <c r="CD131" s="13"/>
      <c r="CW131" s="42"/>
      <c r="CX131" s="43"/>
      <c r="CY131" s="12"/>
      <c r="DW131" s="18"/>
      <c r="DX131" s="10"/>
      <c r="DY131" s="10"/>
      <c r="DZ131" s="10"/>
      <c r="EA131" s="10"/>
      <c r="EB131" s="10"/>
      <c r="EC131" s="10"/>
      <c r="ED131" s="10"/>
      <c r="EE131" s="10"/>
      <c r="EF131" s="10"/>
      <c r="EG131" s="10"/>
      <c r="EH131" s="10"/>
      <c r="EI131" s="10"/>
      <c r="EJ131" s="10"/>
      <c r="EK131" s="10"/>
      <c r="EL131" s="10"/>
      <c r="EM131" s="10"/>
      <c r="EN131" s="10"/>
      <c r="EO131" s="10"/>
      <c r="EP131" s="10"/>
      <c r="EQ131" s="10"/>
      <c r="ER131" s="11"/>
      <c r="ES131" s="43"/>
      <c r="ET131" s="45"/>
      <c r="FH131" s="42"/>
      <c r="FI131" s="43"/>
      <c r="FJ131" s="12"/>
      <c r="GH131" s="18"/>
      <c r="GI131" s="10"/>
      <c r="GJ131" s="10"/>
      <c r="GK131" s="10"/>
      <c r="GL131" s="10"/>
      <c r="GM131" s="10"/>
      <c r="GN131" s="10"/>
      <c r="GO131" s="10"/>
      <c r="GP131" s="10"/>
      <c r="GQ131" s="10"/>
      <c r="GR131" s="10"/>
      <c r="GS131" s="10"/>
      <c r="GT131" s="10"/>
      <c r="GU131" s="10"/>
      <c r="GV131" s="10"/>
      <c r="GW131" s="10"/>
      <c r="GX131" s="10"/>
      <c r="GY131" s="10"/>
      <c r="GZ131" s="10"/>
      <c r="HA131" s="10"/>
      <c r="HB131" s="10"/>
      <c r="HC131" s="10"/>
      <c r="HD131" s="10"/>
      <c r="HE131" s="10"/>
      <c r="HF131" s="10"/>
      <c r="HG131" s="10"/>
      <c r="HH131" s="10"/>
      <c r="HI131" s="10"/>
      <c r="HJ131" s="10"/>
      <c r="HK131" s="10"/>
      <c r="HL131" s="10"/>
      <c r="HM131" s="10"/>
      <c r="HN131" s="10"/>
      <c r="HO131" s="10"/>
      <c r="HP131" s="10"/>
      <c r="HQ131" s="10"/>
      <c r="HR131" s="10"/>
      <c r="HS131" s="10"/>
      <c r="HT131" s="10"/>
      <c r="HU131" s="10"/>
      <c r="HV131" s="10"/>
      <c r="HW131" s="10"/>
      <c r="HX131" s="10"/>
      <c r="HY131" s="11"/>
      <c r="HZ131" s="43"/>
      <c r="IA131" s="45"/>
      <c r="IQ131" s="42"/>
      <c r="IR131" s="43"/>
      <c r="IS131" s="12"/>
      <c r="JP131" s="13"/>
      <c r="JR131" s="12"/>
      <c r="KI131" s="13"/>
      <c r="KK131" s="12"/>
      <c r="LJ131" s="13"/>
      <c r="LK131" s="43"/>
      <c r="LL131" s="45"/>
    </row>
    <row r="132" spans="7:324" ht="18" customHeight="1">
      <c r="G132" s="4"/>
      <c r="S132" s="42"/>
      <c r="T132" s="108"/>
      <c r="AR132" s="13"/>
      <c r="AT132" s="12"/>
      <c r="BO132" s="125"/>
      <c r="BP132" s="44"/>
      <c r="CC132" s="13"/>
      <c r="CD132" s="13"/>
      <c r="CW132" s="42"/>
      <c r="CX132" s="43"/>
      <c r="CY132" s="12"/>
      <c r="DW132" s="23"/>
      <c r="ER132" s="13"/>
      <c r="ES132" s="43"/>
      <c r="ET132" s="45"/>
      <c r="FH132" s="42"/>
      <c r="FI132" s="43"/>
      <c r="FJ132" s="12"/>
      <c r="GH132" s="23"/>
      <c r="HY132" s="13"/>
      <c r="HZ132" s="43"/>
      <c r="IA132" s="45"/>
      <c r="IQ132" s="42"/>
      <c r="IR132" s="43"/>
      <c r="IS132" s="12"/>
      <c r="JP132" s="13"/>
      <c r="JR132" s="14"/>
      <c r="JS132" s="15"/>
      <c r="JT132" s="15"/>
      <c r="JU132" s="15"/>
      <c r="JV132" s="15"/>
      <c r="JW132" s="15"/>
      <c r="JX132" s="15"/>
      <c r="JY132" s="15"/>
      <c r="JZ132" s="15"/>
      <c r="KA132" s="15"/>
      <c r="KB132" s="15"/>
      <c r="KC132" s="15"/>
      <c r="KD132" s="15"/>
      <c r="KE132" s="15"/>
      <c r="KF132" s="15"/>
      <c r="KG132" s="15"/>
      <c r="KH132" s="15"/>
      <c r="KI132" s="16"/>
      <c r="KK132" s="14"/>
      <c r="KL132" s="15"/>
      <c r="KM132" s="15"/>
      <c r="KN132" s="15"/>
      <c r="KO132" s="15"/>
      <c r="KP132" s="15"/>
      <c r="KQ132" s="15"/>
      <c r="KR132" s="15"/>
      <c r="KS132" s="15"/>
      <c r="KT132" s="15"/>
      <c r="KU132" s="15"/>
      <c r="KV132" s="15"/>
      <c r="KW132" s="15"/>
      <c r="KX132" s="15"/>
      <c r="KY132" s="15"/>
      <c r="KZ132" s="15"/>
      <c r="LA132" s="15"/>
      <c r="LB132" s="15"/>
      <c r="LC132" s="15"/>
      <c r="LD132" s="15"/>
      <c r="LE132" s="15"/>
      <c r="LF132" s="15"/>
      <c r="LG132" s="15"/>
      <c r="LH132" s="15"/>
      <c r="LI132" s="15"/>
      <c r="LJ132" s="16"/>
      <c r="LK132" s="43"/>
      <c r="LL132" s="45"/>
    </row>
    <row r="133" spans="7:324" ht="18" customHeight="1">
      <c r="G133" s="4"/>
      <c r="S133" s="42"/>
      <c r="T133" s="108"/>
      <c r="AR133" s="13"/>
      <c r="AS133" s="23"/>
      <c r="AT133" s="12"/>
      <c r="BO133" s="108"/>
      <c r="BP133" s="45"/>
      <c r="CC133" s="13"/>
      <c r="CD133" s="13"/>
      <c r="CW133" s="42"/>
      <c r="CX133" s="43"/>
      <c r="CY133" s="12"/>
      <c r="DW133" s="24"/>
      <c r="ER133" s="13"/>
      <c r="ES133" s="43"/>
      <c r="ET133" s="45"/>
      <c r="FH133" s="42"/>
      <c r="FI133" s="43"/>
      <c r="FJ133" s="12"/>
      <c r="GH133" s="24"/>
      <c r="HY133" s="13"/>
      <c r="HZ133" s="43"/>
      <c r="IA133" s="45"/>
      <c r="IQ133" s="42"/>
      <c r="IR133" s="43"/>
      <c r="IS133" s="12"/>
      <c r="JP133" s="13"/>
      <c r="JR133" s="14"/>
      <c r="JS133" s="100"/>
      <c r="JT133" s="100"/>
      <c r="JU133" s="100"/>
      <c r="JV133" s="100"/>
      <c r="JW133" s="100"/>
      <c r="JX133" s="15"/>
      <c r="JY133" s="15"/>
      <c r="JZ133" s="15"/>
      <c r="KA133" s="15"/>
      <c r="KB133" s="15"/>
      <c r="KC133" s="15"/>
      <c r="KD133" s="15"/>
      <c r="KE133" s="15"/>
      <c r="KF133" s="15"/>
      <c r="KG133" s="15"/>
      <c r="KH133" s="15"/>
      <c r="KI133" s="15"/>
      <c r="KJ133" s="15"/>
      <c r="KK133" s="14"/>
      <c r="KL133" s="15"/>
      <c r="KM133" s="15"/>
      <c r="KN133" s="15"/>
      <c r="KO133" s="15"/>
      <c r="KP133" s="15"/>
      <c r="KQ133" s="15"/>
      <c r="KR133" s="15"/>
      <c r="KS133" s="15"/>
      <c r="KT133" s="15"/>
      <c r="KU133" s="15"/>
      <c r="KV133" s="15"/>
      <c r="KW133" s="15"/>
      <c r="KX133" s="15"/>
      <c r="KY133" s="15"/>
      <c r="KZ133" s="15"/>
      <c r="LA133" s="15"/>
      <c r="LB133" s="15"/>
      <c r="LC133" s="15"/>
      <c r="LD133" s="15"/>
      <c r="LE133" s="100"/>
      <c r="LF133" s="100"/>
      <c r="LG133" s="100"/>
      <c r="LH133" s="100"/>
      <c r="LI133" s="100"/>
      <c r="LJ133" s="16"/>
      <c r="LK133" s="43"/>
      <c r="LL133" s="45"/>
    </row>
    <row r="134" spans="7:324" ht="18" customHeight="1">
      <c r="G134" s="4"/>
      <c r="S134" s="42"/>
      <c r="T134" s="108"/>
      <c r="AR134" s="13"/>
      <c r="AS134" s="24"/>
      <c r="AT134" s="12"/>
      <c r="BO134" s="108"/>
      <c r="BP134" s="45"/>
      <c r="CC134" s="13"/>
      <c r="CD134" s="13"/>
      <c r="CW134" s="42"/>
      <c r="CX134" s="43"/>
      <c r="CY134" s="12"/>
      <c r="DW134" s="24"/>
      <c r="ER134" s="13"/>
      <c r="ES134" s="125"/>
      <c r="ET134" s="125"/>
      <c r="FH134" s="42"/>
      <c r="FI134" s="43"/>
      <c r="FJ134" s="12"/>
      <c r="GH134" s="24"/>
      <c r="HY134" s="13"/>
      <c r="HZ134" s="43"/>
      <c r="IA134" s="45"/>
      <c r="IQ134" s="42"/>
      <c r="IR134" s="43"/>
      <c r="IS134" s="12"/>
      <c r="JP134" s="13"/>
      <c r="JR134" s="9"/>
      <c r="JS134" s="10"/>
      <c r="JT134" s="10"/>
      <c r="JU134" s="10"/>
      <c r="JV134" s="10"/>
      <c r="JW134" s="10"/>
      <c r="JX134" s="10"/>
      <c r="JY134" s="10"/>
      <c r="JZ134" s="10"/>
      <c r="KA134" s="10"/>
      <c r="KB134" s="10"/>
      <c r="KC134" s="10"/>
      <c r="KD134" s="10"/>
      <c r="KE134" s="10"/>
      <c r="KF134" s="10"/>
      <c r="KG134" s="10"/>
      <c r="KH134" s="10"/>
      <c r="KI134" s="10"/>
      <c r="KJ134" s="10"/>
      <c r="KK134" s="10"/>
      <c r="KL134" s="10"/>
      <c r="KM134" s="10"/>
      <c r="KN134" s="10"/>
      <c r="KO134" s="10"/>
      <c r="KP134" s="10"/>
      <c r="KQ134" s="10"/>
      <c r="KR134" s="10"/>
      <c r="KS134" s="10"/>
      <c r="KT134" s="10"/>
      <c r="KU134" s="10"/>
      <c r="KV134" s="10"/>
      <c r="KW134" s="10"/>
      <c r="KX134" s="10"/>
      <c r="KY134" s="10"/>
      <c r="KZ134" s="10"/>
      <c r="LA134" s="10"/>
      <c r="LB134" s="10"/>
      <c r="LC134" s="10"/>
      <c r="LD134" s="10"/>
      <c r="LE134" s="10"/>
      <c r="LF134" s="10"/>
      <c r="LG134" s="10"/>
      <c r="LH134" s="10"/>
      <c r="LI134" s="10"/>
      <c r="LJ134" s="11"/>
      <c r="LK134" s="43"/>
      <c r="LL134" s="45"/>
    </row>
    <row r="135" spans="7:324" ht="18" customHeight="1">
      <c r="G135" s="4"/>
      <c r="S135" s="46"/>
      <c r="T135" s="126"/>
      <c r="AR135" s="13"/>
      <c r="AS135" s="24"/>
      <c r="AT135" s="12"/>
      <c r="BO135" s="108"/>
      <c r="BP135" s="45"/>
      <c r="CC135" s="13"/>
      <c r="CD135" s="13"/>
      <c r="CW135" s="42"/>
      <c r="CX135" s="43"/>
      <c r="CY135" s="12"/>
      <c r="DW135" s="24"/>
      <c r="ER135" s="13"/>
      <c r="ES135" s="108"/>
      <c r="ET135" s="108"/>
      <c r="FH135" s="42"/>
      <c r="FI135" s="43"/>
      <c r="FJ135" s="12"/>
      <c r="GH135" s="24"/>
      <c r="HY135" s="13"/>
      <c r="HZ135" s="43"/>
      <c r="IA135" s="45"/>
      <c r="IQ135" s="42"/>
      <c r="IR135" s="43"/>
      <c r="IS135" s="12"/>
      <c r="JP135" s="13"/>
      <c r="JQ135" s="127"/>
      <c r="JR135" s="12"/>
      <c r="LJ135" s="13"/>
      <c r="LK135" s="43"/>
      <c r="LL135" s="45"/>
    </row>
    <row r="136" spans="7:324" ht="18" customHeight="1">
      <c r="G136" s="4"/>
      <c r="S136" s="42"/>
      <c r="T136" s="43"/>
      <c r="U136" s="12"/>
      <c r="AR136" s="13"/>
      <c r="AS136" s="24"/>
      <c r="AT136" s="12"/>
      <c r="BO136" s="126"/>
      <c r="BP136" s="48"/>
      <c r="CC136" s="13"/>
      <c r="CD136" s="13"/>
      <c r="CW136" s="42"/>
      <c r="CX136" s="43"/>
      <c r="CY136" s="12"/>
      <c r="DW136" s="25"/>
      <c r="ER136" s="13"/>
      <c r="ES136" s="108"/>
      <c r="ET136" s="108"/>
      <c r="FH136" s="42"/>
      <c r="FI136" s="43"/>
      <c r="FJ136" s="12"/>
      <c r="GH136" s="25"/>
      <c r="HY136" s="13"/>
      <c r="HZ136" s="43"/>
      <c r="IA136" s="45"/>
      <c r="IQ136" s="42"/>
      <c r="IR136" s="43"/>
      <c r="IS136" s="12"/>
      <c r="JP136" s="13"/>
      <c r="JQ136" s="127"/>
      <c r="JR136" s="12"/>
      <c r="LJ136" s="13"/>
      <c r="LK136" s="43"/>
      <c r="LL136" s="45"/>
    </row>
    <row r="137" spans="7:324" ht="18" customHeight="1">
      <c r="G137" s="4"/>
      <c r="S137" s="42"/>
      <c r="T137" s="43"/>
      <c r="U137" s="12"/>
      <c r="AR137" s="13"/>
      <c r="AS137" s="24"/>
      <c r="AT137" s="12"/>
      <c r="BN137" s="13"/>
      <c r="BO137" s="43"/>
      <c r="BP137" s="45"/>
      <c r="CC137" s="13"/>
      <c r="CD137" s="13"/>
      <c r="CW137" s="42"/>
      <c r="CX137" s="43"/>
      <c r="CY137" s="14"/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  <c r="DL137" s="15"/>
      <c r="DM137" s="15"/>
      <c r="DN137" s="15"/>
      <c r="DO137" s="15"/>
      <c r="DP137" s="15"/>
      <c r="DQ137" s="15"/>
      <c r="DR137" s="15"/>
      <c r="DS137" s="15"/>
      <c r="DT137" s="15"/>
      <c r="DU137" s="15"/>
      <c r="DV137" s="15"/>
      <c r="DW137" s="18"/>
      <c r="ER137" s="13"/>
      <c r="ES137" s="108"/>
      <c r="ET137" s="108"/>
      <c r="FH137" s="42"/>
      <c r="FI137" s="43"/>
      <c r="FJ137" s="14"/>
      <c r="FK137" s="15"/>
      <c r="FL137" s="15"/>
      <c r="FM137" s="15"/>
      <c r="FN137" s="15"/>
      <c r="FO137" s="15"/>
      <c r="FP137" s="15"/>
      <c r="FQ137" s="15"/>
      <c r="FR137" s="15"/>
      <c r="FS137" s="15"/>
      <c r="FT137" s="15"/>
      <c r="FU137" s="15"/>
      <c r="FV137" s="15"/>
      <c r="FW137" s="15"/>
      <c r="FX137" s="15"/>
      <c r="FY137" s="15"/>
      <c r="FZ137" s="15"/>
      <c r="GA137" s="15"/>
      <c r="GB137" s="15"/>
      <c r="GC137" s="15"/>
      <c r="GD137" s="15"/>
      <c r="GE137" s="15"/>
      <c r="GF137" s="15"/>
      <c r="GG137" s="15"/>
      <c r="GH137" s="18"/>
      <c r="HY137" s="13"/>
      <c r="HZ137" s="43"/>
      <c r="IA137" s="45"/>
      <c r="IQ137" s="42"/>
      <c r="IR137" s="43"/>
      <c r="IS137" s="12"/>
      <c r="JP137" s="13"/>
      <c r="JQ137" s="127"/>
      <c r="JR137" s="12"/>
      <c r="LJ137" s="13"/>
      <c r="LK137" s="43"/>
      <c r="LL137" s="45"/>
    </row>
    <row r="138" spans="7:324" ht="18" customHeight="1">
      <c r="G138" s="4"/>
      <c r="S138" s="42"/>
      <c r="T138" s="43"/>
      <c r="U138" s="12"/>
      <c r="AR138" s="13"/>
      <c r="AS138" s="25"/>
      <c r="BN138" s="13"/>
      <c r="BO138" s="43" t="s">
        <v>6</v>
      </c>
      <c r="BP138" s="45"/>
      <c r="CC138" s="13"/>
      <c r="CD138" s="13"/>
      <c r="CW138" s="42"/>
      <c r="CX138" s="43"/>
      <c r="DW138" s="18"/>
      <c r="ER138" s="13"/>
      <c r="ES138" s="108"/>
      <c r="ET138" s="108"/>
      <c r="FH138" s="42"/>
      <c r="FI138" s="43"/>
      <c r="FJ138" s="12"/>
      <c r="FU138" s="21"/>
      <c r="FW138" s="21"/>
      <c r="GG138" s="21"/>
      <c r="GH138" s="18"/>
      <c r="HY138" s="13"/>
      <c r="HZ138" s="43"/>
      <c r="IA138" s="45"/>
      <c r="IQ138" s="42"/>
      <c r="IR138" s="43"/>
      <c r="IS138" s="12"/>
      <c r="JP138" s="13"/>
      <c r="JQ138" s="127"/>
      <c r="JR138" s="12"/>
      <c r="LJ138" s="13"/>
      <c r="LK138" s="43"/>
      <c r="LL138" s="45"/>
    </row>
    <row r="139" spans="7:324" ht="18" customHeight="1">
      <c r="G139" s="4"/>
      <c r="S139" s="42"/>
      <c r="T139" s="43"/>
      <c r="U139" s="14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6"/>
      <c r="AS139" s="13"/>
      <c r="BN139" s="13"/>
      <c r="BO139" s="43"/>
      <c r="BP139" s="45"/>
      <c r="CC139" s="13"/>
      <c r="CD139" s="13"/>
      <c r="CW139" s="42"/>
      <c r="CX139" s="43"/>
      <c r="CY139" s="9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  <c r="DV139" s="10"/>
      <c r="DW139" s="18"/>
      <c r="ER139" s="13"/>
      <c r="ES139" s="126"/>
      <c r="ET139" s="126"/>
      <c r="FH139" s="42"/>
      <c r="FI139" s="43"/>
      <c r="FJ139" s="9"/>
      <c r="FK139" s="10"/>
      <c r="FL139" s="10"/>
      <c r="FM139" s="11"/>
      <c r="FN139" s="10"/>
      <c r="FO139" s="10"/>
      <c r="FP139" s="10"/>
      <c r="FQ139" s="10"/>
      <c r="FR139" s="9"/>
      <c r="FS139" s="10"/>
      <c r="FT139" s="10"/>
      <c r="FU139" s="11"/>
      <c r="FV139" s="10"/>
      <c r="FW139" s="10"/>
      <c r="FX139" s="10"/>
      <c r="FY139" s="10"/>
      <c r="FZ139" s="9"/>
      <c r="GA139" s="10"/>
      <c r="GB139" s="10"/>
      <c r="GC139" s="11"/>
      <c r="GD139" s="10"/>
      <c r="GE139" s="10"/>
      <c r="GF139" s="10"/>
      <c r="GG139" s="10"/>
      <c r="GH139" s="18"/>
      <c r="HY139" s="13"/>
      <c r="HZ139" s="43"/>
      <c r="IA139" s="45"/>
      <c r="IQ139" s="42"/>
      <c r="IR139" s="43"/>
      <c r="IS139" s="12"/>
      <c r="JP139" s="13"/>
      <c r="JQ139" s="127"/>
      <c r="JR139" s="12"/>
      <c r="LJ139" s="13"/>
      <c r="LK139" s="43"/>
      <c r="LL139" s="45"/>
    </row>
    <row r="140" spans="7:324" ht="18" customHeight="1">
      <c r="G140" s="4"/>
      <c r="S140" s="42"/>
      <c r="T140" s="43"/>
      <c r="U140" s="12"/>
      <c r="AF140" s="21"/>
      <c r="AH140" s="21"/>
      <c r="AR140" s="21"/>
      <c r="AS140" s="13"/>
      <c r="BN140" s="13"/>
      <c r="BO140" s="43"/>
      <c r="BP140" s="45"/>
      <c r="CC140" s="13"/>
      <c r="CD140" s="13"/>
      <c r="CW140" s="42"/>
      <c r="CX140" s="43"/>
      <c r="CY140" s="12"/>
      <c r="DW140" s="23"/>
      <c r="ER140" s="13"/>
      <c r="ES140" s="43"/>
      <c r="ET140" s="45"/>
      <c r="FH140" s="42"/>
      <c r="FI140" s="43"/>
      <c r="FJ140" s="12"/>
      <c r="FM140" s="13"/>
      <c r="FR140" s="12"/>
      <c r="FU140" s="13"/>
      <c r="FZ140" s="12"/>
      <c r="GC140" s="13"/>
      <c r="GH140" s="18"/>
      <c r="HY140" s="13"/>
      <c r="HZ140" s="43"/>
      <c r="IA140" s="45"/>
      <c r="IQ140" s="42"/>
      <c r="IR140" s="43"/>
      <c r="IS140" s="14"/>
      <c r="IT140" s="15"/>
      <c r="IU140" s="15"/>
      <c r="IV140" s="15"/>
      <c r="IW140" s="15"/>
      <c r="IX140" s="15"/>
      <c r="IY140" s="15"/>
      <c r="IZ140" s="15"/>
      <c r="JA140" s="15"/>
      <c r="JB140" s="15"/>
      <c r="JC140" s="15"/>
      <c r="JD140" s="15"/>
      <c r="JE140" s="15"/>
      <c r="JF140" s="15"/>
      <c r="JG140" s="15"/>
      <c r="JH140" s="15"/>
      <c r="JI140" s="15"/>
      <c r="JJ140" s="15"/>
      <c r="JK140" s="15"/>
      <c r="JL140" s="15"/>
      <c r="JM140" s="15"/>
      <c r="JN140" s="15"/>
      <c r="JO140" s="15"/>
      <c r="JP140" s="16"/>
      <c r="JR140" s="12"/>
      <c r="LJ140" s="13"/>
      <c r="LK140" s="43"/>
      <c r="LL140" s="45"/>
    </row>
    <row r="141" spans="7:324" ht="18" customHeight="1">
      <c r="G141" s="4"/>
      <c r="S141" s="42"/>
      <c r="T141" s="43"/>
      <c r="U141" s="9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1"/>
      <c r="AS141" s="13"/>
      <c r="BN141" s="13"/>
      <c r="BO141" s="43"/>
      <c r="BP141" s="45"/>
      <c r="CC141" s="13"/>
      <c r="CD141" s="13"/>
      <c r="CW141" s="42"/>
      <c r="CX141" s="43"/>
      <c r="CY141" s="12"/>
      <c r="DW141" s="24"/>
      <c r="ER141" s="13"/>
      <c r="ES141" s="43"/>
      <c r="ET141" s="45"/>
      <c r="FH141" s="42"/>
      <c r="FI141" s="43"/>
      <c r="FJ141" s="12"/>
      <c r="FM141" s="13"/>
      <c r="FR141" s="12"/>
      <c r="FU141" s="13"/>
      <c r="FZ141" s="12"/>
      <c r="GC141" s="13"/>
      <c r="GH141" s="18"/>
      <c r="HY141" s="13"/>
      <c r="HZ141" s="43"/>
      <c r="IA141" s="45"/>
      <c r="IQ141" s="42"/>
      <c r="IR141" s="43"/>
      <c r="IS141" s="12"/>
      <c r="JQ141" s="12"/>
      <c r="JR141" s="12"/>
      <c r="LJ141" s="13"/>
      <c r="LK141" s="43"/>
      <c r="LL141" s="45"/>
    </row>
    <row r="142" spans="7:324" ht="18" customHeight="1">
      <c r="G142" s="4"/>
      <c r="S142" s="42"/>
      <c r="T142" s="43"/>
      <c r="U142" s="12"/>
      <c r="AR142" s="13"/>
      <c r="AS142" s="13"/>
      <c r="BN142" s="13"/>
      <c r="BO142" s="43"/>
      <c r="BP142" s="45"/>
      <c r="CC142" s="13"/>
      <c r="CD142" s="13"/>
      <c r="CW142" s="42"/>
      <c r="CX142" s="43"/>
      <c r="CY142" s="12"/>
      <c r="DW142" s="24"/>
      <c r="ER142" s="13"/>
      <c r="ES142" s="43"/>
      <c r="ET142" s="45"/>
      <c r="FH142" s="42"/>
      <c r="FI142" s="43"/>
      <c r="FJ142" s="14"/>
      <c r="FK142" s="15"/>
      <c r="FL142" s="15"/>
      <c r="FM142" s="16"/>
      <c r="FR142" s="14"/>
      <c r="FS142" s="15"/>
      <c r="FT142" s="15"/>
      <c r="FU142" s="16"/>
      <c r="FZ142" s="14"/>
      <c r="GA142" s="15"/>
      <c r="GB142" s="15"/>
      <c r="GC142" s="16"/>
      <c r="GH142" s="19"/>
      <c r="HY142" s="13"/>
      <c r="HZ142" s="43"/>
      <c r="IA142" s="45"/>
      <c r="IQ142" s="42"/>
      <c r="IR142" s="43"/>
      <c r="IS142" s="9"/>
      <c r="IT142" s="10"/>
      <c r="IU142" s="10"/>
      <c r="IV142" s="10"/>
      <c r="IW142" s="10"/>
      <c r="IX142" s="10"/>
      <c r="IY142" s="10"/>
      <c r="IZ142" s="10"/>
      <c r="JA142" s="10"/>
      <c r="JB142" s="10"/>
      <c r="JC142" s="10"/>
      <c r="JD142" s="10"/>
      <c r="JE142" s="10"/>
      <c r="JF142" s="10"/>
      <c r="JG142" s="10"/>
      <c r="JH142" s="10"/>
      <c r="JI142" s="10"/>
      <c r="JJ142" s="10"/>
      <c r="JK142" s="10"/>
      <c r="JL142" s="10"/>
      <c r="JM142" s="10"/>
      <c r="JN142" s="10"/>
      <c r="JO142" s="10"/>
      <c r="JP142" s="11"/>
      <c r="JQ142" s="12"/>
      <c r="JR142" s="12"/>
      <c r="LJ142" s="13"/>
      <c r="LK142" s="43"/>
      <c r="LL142" s="45"/>
    </row>
    <row r="143" spans="7:324" ht="18" customHeight="1">
      <c r="G143" s="4"/>
      <c r="S143" s="42"/>
      <c r="T143" s="43"/>
      <c r="U143" s="12"/>
      <c r="AR143" s="13"/>
      <c r="AS143" s="13"/>
      <c r="BN143" s="13"/>
      <c r="BO143" s="43"/>
      <c r="BP143" s="45"/>
      <c r="CC143" s="13"/>
      <c r="CD143" s="13"/>
      <c r="CW143" s="42"/>
      <c r="CX143" s="43"/>
      <c r="CY143" s="12"/>
      <c r="DW143" s="24"/>
      <c r="ER143" s="13"/>
      <c r="ES143" s="43"/>
      <c r="ET143" s="45"/>
      <c r="FH143" s="42"/>
      <c r="FI143" s="43"/>
      <c r="FJ143" s="9"/>
      <c r="FK143" s="10"/>
      <c r="FL143" s="10"/>
      <c r="FM143" s="11"/>
      <c r="FN143" s="9"/>
      <c r="FO143" s="10"/>
      <c r="FP143" s="10"/>
      <c r="FQ143" s="10"/>
      <c r="FR143" s="10"/>
      <c r="FS143" s="10"/>
      <c r="FT143" s="10"/>
      <c r="FU143" s="10"/>
      <c r="FV143" s="10"/>
      <c r="FW143" s="10"/>
      <c r="FX143" s="10"/>
      <c r="FY143" s="10"/>
      <c r="FZ143" s="10"/>
      <c r="GA143" s="10"/>
      <c r="GB143" s="10"/>
      <c r="GC143" s="10"/>
      <c r="GD143" s="9"/>
      <c r="GE143" s="10"/>
      <c r="GF143" s="10"/>
      <c r="GG143" s="11"/>
      <c r="GH143" s="18"/>
      <c r="HY143" s="13"/>
      <c r="HZ143" s="43"/>
      <c r="IA143" s="45"/>
      <c r="IQ143" s="42"/>
      <c r="IR143" s="43"/>
      <c r="IS143" s="12"/>
      <c r="JP143" s="13"/>
      <c r="JQ143" s="12"/>
      <c r="JR143" s="12"/>
      <c r="LJ143" s="13"/>
      <c r="LK143" s="43"/>
      <c r="LL143" s="45"/>
    </row>
    <row r="144" spans="7:324" ht="18" customHeight="1">
      <c r="G144" s="4"/>
      <c r="S144" s="42"/>
      <c r="T144" s="43"/>
      <c r="U144" s="12"/>
      <c r="AR144" s="13"/>
      <c r="AS144" s="13"/>
      <c r="BN144" s="13"/>
      <c r="BO144" s="43"/>
      <c r="BP144" s="45"/>
      <c r="CC144" s="13"/>
      <c r="CD144" s="13"/>
      <c r="CW144" s="42"/>
      <c r="CX144" s="43"/>
      <c r="CY144" s="12"/>
      <c r="DW144" s="25"/>
      <c r="ER144" s="13"/>
      <c r="ES144" s="43"/>
      <c r="ET144" s="45"/>
      <c r="FH144" s="42"/>
      <c r="FI144" s="43"/>
      <c r="FJ144" s="12"/>
      <c r="FM144" s="13"/>
      <c r="FN144" s="12"/>
      <c r="GD144" s="12"/>
      <c r="GG144" s="13"/>
      <c r="GH144" s="18"/>
      <c r="HY144" s="13"/>
      <c r="HZ144" s="43"/>
      <c r="IA144" s="45"/>
      <c r="IQ144" s="42"/>
      <c r="IR144" s="43"/>
      <c r="IS144" s="12"/>
      <c r="JP144" s="13"/>
      <c r="JQ144" s="12"/>
      <c r="JR144" s="12"/>
      <c r="LJ144" s="13"/>
      <c r="LK144" s="43"/>
      <c r="LL144" s="45"/>
    </row>
    <row r="145" spans="7:324" ht="18" customHeight="1">
      <c r="G145" s="4"/>
      <c r="S145" s="42"/>
      <c r="T145" s="43"/>
      <c r="U145" s="12"/>
      <c r="Y145" s="9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1"/>
      <c r="AR145" s="13"/>
      <c r="AS145" s="13"/>
      <c r="BN145" s="13"/>
      <c r="BO145" s="43"/>
      <c r="BP145" s="45"/>
      <c r="CC145" s="13"/>
      <c r="CD145" s="13"/>
      <c r="CW145" s="42"/>
      <c r="CX145" s="43"/>
      <c r="CY145" s="12"/>
      <c r="DW145" s="18"/>
      <c r="DX145" s="12"/>
      <c r="ER145" s="13"/>
      <c r="ES145" s="43"/>
      <c r="ET145" s="45"/>
      <c r="FH145" s="42"/>
      <c r="FI145" s="43"/>
      <c r="FJ145" s="12"/>
      <c r="FM145" s="13"/>
      <c r="FN145" s="12"/>
      <c r="GD145" s="12"/>
      <c r="GG145" s="13"/>
      <c r="GH145" s="18"/>
      <c r="HY145" s="13"/>
      <c r="HZ145" s="43"/>
      <c r="IA145" s="45"/>
      <c r="IQ145" s="42"/>
      <c r="IR145" s="43"/>
      <c r="IS145" s="12"/>
      <c r="JP145" s="13"/>
      <c r="JQ145" s="12"/>
      <c r="JR145" s="12"/>
      <c r="LJ145" s="13"/>
      <c r="LK145" s="43"/>
      <c r="LL145" s="45"/>
    </row>
    <row r="146" spans="7:324" ht="18" customHeight="1">
      <c r="G146" s="4"/>
      <c r="S146" s="40"/>
      <c r="T146" s="125"/>
      <c r="Y146" s="12"/>
      <c r="AN146" s="13"/>
      <c r="AR146" s="13"/>
      <c r="AS146" s="13"/>
      <c r="BN146" s="13"/>
      <c r="BO146" s="43"/>
      <c r="BP146" s="45"/>
      <c r="CC146" s="13"/>
      <c r="CD146" s="13"/>
      <c r="CW146" s="42"/>
      <c r="CX146" s="43"/>
      <c r="CY146" s="12"/>
      <c r="DW146" s="18"/>
      <c r="DX146" s="12"/>
      <c r="ER146" s="13"/>
      <c r="ES146" s="43"/>
      <c r="ET146" s="45"/>
      <c r="FH146" s="42"/>
      <c r="FI146" s="43"/>
      <c r="FJ146" s="14"/>
      <c r="FK146" s="15"/>
      <c r="FL146" s="15"/>
      <c r="FM146" s="16"/>
      <c r="FN146" s="12"/>
      <c r="GD146" s="14"/>
      <c r="GE146" s="15"/>
      <c r="GF146" s="15"/>
      <c r="GG146" s="16"/>
      <c r="GH146" s="19"/>
      <c r="HY146" s="13"/>
      <c r="HZ146" s="43"/>
      <c r="IA146" s="45"/>
      <c r="IQ146" s="42"/>
      <c r="IR146" s="43"/>
      <c r="IS146" s="12"/>
      <c r="IW146" s="9"/>
      <c r="IX146" s="10"/>
      <c r="IY146" s="10"/>
      <c r="IZ146" s="10"/>
      <c r="JA146" s="10"/>
      <c r="JB146" s="10"/>
      <c r="JC146" s="10"/>
      <c r="JD146" s="10"/>
      <c r="JE146" s="10"/>
      <c r="JF146" s="10"/>
      <c r="JG146" s="10"/>
      <c r="JH146" s="10"/>
      <c r="JI146" s="10"/>
      <c r="JJ146" s="10"/>
      <c r="JK146" s="10"/>
      <c r="JL146" s="10"/>
      <c r="JM146" s="10"/>
      <c r="JN146" s="10"/>
      <c r="JO146" s="10"/>
      <c r="JP146" s="11"/>
      <c r="JQ146" s="12"/>
      <c r="JR146" s="12"/>
      <c r="LJ146" s="13"/>
      <c r="LK146" s="43"/>
      <c r="LL146" s="45"/>
    </row>
    <row r="147" spans="7:324" ht="18" customHeight="1">
      <c r="G147" s="4"/>
      <c r="S147" s="42"/>
      <c r="T147" s="108"/>
      <c r="Y147" s="12"/>
      <c r="AN147" s="13"/>
      <c r="AR147" s="13"/>
      <c r="AS147" s="13"/>
      <c r="BN147" s="13"/>
      <c r="BO147" s="43"/>
      <c r="BP147" s="45"/>
      <c r="CC147" s="13"/>
      <c r="CD147" s="13"/>
      <c r="CW147" s="42"/>
      <c r="CX147" s="43"/>
      <c r="CY147" s="12"/>
      <c r="DW147" s="18"/>
      <c r="DX147" s="12"/>
      <c r="ER147" s="13"/>
      <c r="ES147" s="43"/>
      <c r="ET147" s="45"/>
      <c r="FH147" s="42"/>
      <c r="FI147" s="43"/>
      <c r="FJ147" s="9"/>
      <c r="FK147" s="10"/>
      <c r="FL147" s="10"/>
      <c r="FM147" s="11"/>
      <c r="FN147" s="12"/>
      <c r="HY147" s="13"/>
      <c r="HZ147" s="43"/>
      <c r="IA147" s="45"/>
      <c r="IQ147" s="42"/>
      <c r="IR147" s="43"/>
      <c r="IS147" s="12"/>
      <c r="IW147" s="12"/>
      <c r="JP147" s="13"/>
      <c r="JQ147" s="12"/>
      <c r="JR147" s="12"/>
      <c r="LJ147" s="13"/>
      <c r="LK147" s="43"/>
      <c r="LL147" s="45"/>
    </row>
    <row r="148" spans="7:324" ht="18" customHeight="1">
      <c r="G148" s="4"/>
      <c r="S148" s="42"/>
      <c r="T148" s="108"/>
      <c r="Y148" s="12"/>
      <c r="AN148" s="13"/>
      <c r="AR148" s="13"/>
      <c r="AS148" s="13"/>
      <c r="BN148" s="13"/>
      <c r="BO148" s="43"/>
      <c r="BP148" s="45"/>
      <c r="CC148" s="13"/>
      <c r="CD148" s="13"/>
      <c r="CW148" s="42"/>
      <c r="CX148" s="43"/>
      <c r="CY148" s="12"/>
      <c r="DW148" s="18"/>
      <c r="DX148" s="12"/>
      <c r="ER148" s="13"/>
      <c r="ES148" s="43"/>
      <c r="ET148" s="45"/>
      <c r="FH148" s="42"/>
      <c r="FI148" s="43"/>
      <c r="FJ148" s="12"/>
      <c r="FM148" s="13"/>
      <c r="FN148" s="12"/>
      <c r="HY148" s="13"/>
      <c r="HZ148" s="43"/>
      <c r="IA148" s="45"/>
      <c r="IQ148" s="42"/>
      <c r="IR148" s="43"/>
      <c r="IS148" s="12"/>
      <c r="IW148" s="12"/>
      <c r="JP148" s="13"/>
      <c r="JQ148" s="12"/>
      <c r="JR148" s="12"/>
      <c r="LJ148" s="13"/>
      <c r="LK148" s="43"/>
      <c r="LL148" s="45"/>
    </row>
    <row r="149" spans="7:324" ht="18" customHeight="1">
      <c r="G149" s="4"/>
      <c r="S149" s="42"/>
      <c r="T149" s="108"/>
      <c r="Y149" s="12"/>
      <c r="AN149" s="13"/>
      <c r="AR149" s="13"/>
      <c r="AS149" s="13"/>
      <c r="BN149" s="13"/>
      <c r="BO149" s="43"/>
      <c r="BP149" s="45"/>
      <c r="CC149" s="13"/>
      <c r="CD149" s="13"/>
      <c r="CW149" s="42"/>
      <c r="CX149" s="43"/>
      <c r="CY149" s="12"/>
      <c r="DW149" s="18"/>
      <c r="DX149" s="12"/>
      <c r="ER149" s="13"/>
      <c r="ES149" s="43"/>
      <c r="ET149" s="45"/>
      <c r="FH149" s="42"/>
      <c r="FI149" s="43"/>
      <c r="FJ149" s="12"/>
      <c r="FM149" s="13"/>
      <c r="FN149" s="12"/>
      <c r="HY149" s="13"/>
      <c r="HZ149" s="43"/>
      <c r="IA149" s="45"/>
      <c r="IQ149" s="42"/>
      <c r="IR149" s="43"/>
      <c r="IS149" s="12"/>
      <c r="IW149" s="12"/>
      <c r="JP149" s="13"/>
      <c r="JQ149" s="12"/>
      <c r="JR149" s="12"/>
      <c r="LJ149" s="13"/>
      <c r="LK149" s="43"/>
      <c r="LL149" s="45"/>
    </row>
    <row r="150" spans="7:324" ht="18" customHeight="1">
      <c r="G150" s="4"/>
      <c r="S150" s="42"/>
      <c r="T150" s="108"/>
      <c r="Y150" s="12"/>
      <c r="AN150" s="13"/>
      <c r="AR150" s="13"/>
      <c r="AS150" s="16"/>
      <c r="BN150" s="13"/>
      <c r="BO150" s="43"/>
      <c r="BP150" s="45"/>
      <c r="CC150" s="13"/>
      <c r="CD150" s="13"/>
      <c r="CW150" s="42"/>
      <c r="CX150" s="43"/>
      <c r="CY150" s="12"/>
      <c r="DW150" s="18"/>
      <c r="DX150" s="12"/>
      <c r="ER150" s="13"/>
      <c r="ES150" s="43"/>
      <c r="ET150" s="45"/>
      <c r="FH150" s="42"/>
      <c r="FI150" s="43"/>
      <c r="FJ150" s="14"/>
      <c r="FK150" s="15"/>
      <c r="FL150" s="15"/>
      <c r="FM150" s="16"/>
      <c r="FN150" s="12"/>
      <c r="HY150" s="13"/>
      <c r="HZ150" s="43"/>
      <c r="IA150" s="45"/>
      <c r="IQ150" s="42"/>
      <c r="IR150" s="43"/>
      <c r="IS150" s="12"/>
      <c r="IW150" s="12"/>
      <c r="JP150" s="13"/>
      <c r="JQ150" s="12"/>
      <c r="JR150" s="12"/>
      <c r="LJ150" s="13"/>
      <c r="LK150" s="43"/>
      <c r="LL150" s="45"/>
    </row>
    <row r="151" spans="7:324" ht="18" customHeight="1">
      <c r="G151" s="4"/>
      <c r="S151" s="46"/>
      <c r="T151" s="126"/>
      <c r="Y151" s="12"/>
      <c r="AO151" s="10"/>
      <c r="AP151" s="10"/>
      <c r="AQ151" s="10"/>
      <c r="AR151" s="10"/>
      <c r="BN151" s="13"/>
      <c r="BO151" s="43"/>
      <c r="BP151" s="45"/>
      <c r="CC151" s="13"/>
      <c r="CD151" s="13"/>
      <c r="CW151" s="42"/>
      <c r="CX151" s="43"/>
      <c r="CY151" s="12"/>
      <c r="DW151" s="18"/>
      <c r="DX151" s="12"/>
      <c r="ER151" s="13"/>
      <c r="ES151" s="43"/>
      <c r="ET151" s="45"/>
      <c r="FH151" s="42"/>
      <c r="FI151" s="43"/>
      <c r="FJ151" s="9"/>
      <c r="FK151" s="10"/>
      <c r="FL151" s="10"/>
      <c r="FM151" s="11"/>
      <c r="FN151" s="12"/>
      <c r="HY151" s="13"/>
      <c r="HZ151" s="43"/>
      <c r="IA151" s="45"/>
      <c r="IQ151" s="42"/>
      <c r="IR151" s="43"/>
      <c r="IS151" s="12"/>
      <c r="IW151" s="12"/>
      <c r="JP151" s="13"/>
      <c r="JQ151" s="12"/>
      <c r="JR151" s="12"/>
      <c r="LJ151" s="13"/>
      <c r="LK151" s="43"/>
      <c r="LL151" s="45"/>
    </row>
    <row r="152" spans="7:324" ht="18" customHeight="1">
      <c r="G152" s="4"/>
      <c r="S152" s="42"/>
      <c r="T152" s="43"/>
      <c r="U152" s="12"/>
      <c r="Y152" s="12"/>
      <c r="BN152" s="13"/>
      <c r="BO152" s="43"/>
      <c r="BP152" s="45"/>
      <c r="CC152" s="13"/>
      <c r="CD152" s="13"/>
      <c r="CW152" s="42"/>
      <c r="CX152" s="43"/>
      <c r="CY152" s="12"/>
      <c r="DW152" s="18"/>
      <c r="DX152" s="12"/>
      <c r="ER152" s="13"/>
      <c r="ES152" s="43"/>
      <c r="ET152" s="45"/>
      <c r="FH152" s="42"/>
      <c r="FI152" s="43"/>
      <c r="FJ152" s="12"/>
      <c r="FM152" s="13"/>
      <c r="FN152" s="12"/>
      <c r="HY152" s="13"/>
      <c r="HZ152" s="43"/>
      <c r="IA152" s="45"/>
      <c r="IQ152" s="42"/>
      <c r="IR152" s="43"/>
      <c r="IS152" s="12"/>
      <c r="IW152" s="12"/>
      <c r="JP152" s="13"/>
      <c r="JQ152" s="12"/>
      <c r="JR152" s="12"/>
      <c r="LJ152" s="13"/>
      <c r="LK152" s="43"/>
      <c r="LL152" s="45"/>
    </row>
    <row r="153" spans="7:324" ht="18" customHeight="1">
      <c r="G153" s="4"/>
      <c r="S153" s="42"/>
      <c r="T153" s="43"/>
      <c r="U153" s="12"/>
      <c r="Y153" s="12"/>
      <c r="BN153" s="13"/>
      <c r="BO153" s="43"/>
      <c r="BP153" s="45"/>
      <c r="CC153" s="13"/>
      <c r="CD153" s="13"/>
      <c r="CW153" s="42"/>
      <c r="CX153" s="43"/>
      <c r="CY153" s="12"/>
      <c r="DW153" s="18"/>
      <c r="DX153" s="12"/>
      <c r="ER153" s="13"/>
      <c r="ES153" s="43"/>
      <c r="ET153" s="45"/>
      <c r="FH153" s="42"/>
      <c r="FI153" s="43"/>
      <c r="FJ153" s="12"/>
      <c r="FM153" s="13"/>
      <c r="FN153" s="12"/>
      <c r="HY153" s="13"/>
      <c r="HZ153" s="43"/>
      <c r="IA153" s="45"/>
      <c r="IQ153" s="42"/>
      <c r="IR153" s="43"/>
      <c r="IS153" s="12"/>
      <c r="IW153" s="14"/>
      <c r="IX153" s="15"/>
      <c r="IY153" s="15"/>
      <c r="IZ153" s="15"/>
      <c r="JA153" s="15"/>
      <c r="JB153" s="15"/>
      <c r="JC153" s="15"/>
      <c r="JD153" s="15"/>
      <c r="JE153" s="15"/>
      <c r="JF153" s="15"/>
      <c r="JG153" s="15"/>
      <c r="JH153" s="15"/>
      <c r="JI153" s="15"/>
      <c r="JJ153" s="15"/>
      <c r="JK153" s="15"/>
      <c r="JL153" s="15"/>
      <c r="JM153" s="15"/>
      <c r="JN153" s="15"/>
      <c r="JO153" s="15"/>
      <c r="JP153" s="16"/>
      <c r="JQ153" s="12"/>
      <c r="JR153" s="12"/>
      <c r="LJ153" s="13"/>
      <c r="LK153" s="43"/>
      <c r="LL153" s="45"/>
    </row>
    <row r="154" spans="7:324" ht="18" customHeight="1">
      <c r="G154" s="4"/>
      <c r="S154" s="42"/>
      <c r="T154" s="43"/>
      <c r="U154" s="12"/>
      <c r="Y154" s="12"/>
      <c r="BN154" s="13"/>
      <c r="BO154" s="43"/>
      <c r="BP154" s="45"/>
      <c r="CC154" s="13"/>
      <c r="CD154" s="13"/>
      <c r="CW154" s="42"/>
      <c r="CX154" s="43"/>
      <c r="CY154" s="12"/>
      <c r="DW154" s="18"/>
      <c r="DX154" s="12"/>
      <c r="ER154" s="13"/>
      <c r="ES154" s="43"/>
      <c r="ET154" s="45"/>
      <c r="FH154" s="42"/>
      <c r="FI154" s="43"/>
      <c r="FJ154" s="14"/>
      <c r="FK154" s="15"/>
      <c r="FL154" s="15"/>
      <c r="FM154" s="16"/>
      <c r="FN154" s="14"/>
      <c r="FO154" s="15"/>
      <c r="FP154" s="15"/>
      <c r="FQ154" s="15"/>
      <c r="FR154" s="15"/>
      <c r="FS154" s="15"/>
      <c r="FT154" s="15"/>
      <c r="FU154" s="15"/>
      <c r="FV154" s="15"/>
      <c r="FW154" s="15"/>
      <c r="FX154" s="15"/>
      <c r="FY154" s="15"/>
      <c r="FZ154" s="15"/>
      <c r="GA154" s="15"/>
      <c r="GB154" s="15"/>
      <c r="GC154" s="15"/>
      <c r="GD154" s="15"/>
      <c r="GE154" s="15"/>
      <c r="GF154" s="15"/>
      <c r="GG154" s="15"/>
      <c r="GH154" s="15"/>
      <c r="GI154" s="15"/>
      <c r="GJ154" s="15"/>
      <c r="GK154" s="15"/>
      <c r="GL154" s="15"/>
      <c r="GS154" s="15"/>
      <c r="GT154" s="15"/>
      <c r="GU154" s="15"/>
      <c r="GV154" s="15"/>
      <c r="GW154" s="15"/>
      <c r="GX154" s="15"/>
      <c r="GY154" s="15"/>
      <c r="GZ154" s="15"/>
      <c r="HA154" s="15"/>
      <c r="HB154" s="15"/>
      <c r="HC154" s="15"/>
      <c r="HH154" s="15"/>
      <c r="HO154" s="15"/>
      <c r="HP154" s="15"/>
      <c r="HQ154" s="15"/>
      <c r="HR154" s="15"/>
      <c r="HS154" s="15"/>
      <c r="HT154" s="15"/>
      <c r="HU154" s="15"/>
      <c r="HV154" s="15"/>
      <c r="HW154" s="15"/>
      <c r="HX154" s="15"/>
      <c r="HY154" s="16"/>
      <c r="HZ154" s="43"/>
      <c r="IA154" s="45"/>
      <c r="IQ154" s="42"/>
      <c r="IR154" s="43"/>
      <c r="IS154" s="12"/>
      <c r="JP154" s="13"/>
      <c r="JR154" s="12"/>
      <c r="LJ154" s="13"/>
      <c r="LK154" s="43"/>
      <c r="LL154" s="45"/>
    </row>
    <row r="155" spans="7:324" ht="18" customHeight="1">
      <c r="G155" s="4"/>
      <c r="S155" s="42"/>
      <c r="T155" s="43"/>
      <c r="U155" s="12"/>
      <c r="Y155" s="12"/>
      <c r="BN155" s="13"/>
      <c r="BO155" s="43"/>
      <c r="BP155" s="45"/>
      <c r="CC155" s="13"/>
      <c r="CD155" s="13"/>
      <c r="CW155" s="42"/>
      <c r="CX155" s="43"/>
      <c r="CY155" s="12"/>
      <c r="DW155" s="18"/>
      <c r="DX155" s="12"/>
      <c r="ER155" s="13"/>
      <c r="ES155" s="43"/>
      <c r="ET155" s="45"/>
      <c r="FH155" s="42"/>
      <c r="FI155" s="43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3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3"/>
      <c r="HQ155" s="43"/>
      <c r="HR155" s="43"/>
      <c r="HS155" s="70"/>
      <c r="HT155" s="92"/>
      <c r="HU155" s="92"/>
      <c r="HV155" s="92"/>
      <c r="HW155" s="92"/>
      <c r="HX155" s="71"/>
      <c r="HY155" s="43"/>
      <c r="HZ155" s="43"/>
      <c r="IA155" s="45"/>
      <c r="IQ155" s="42"/>
      <c r="IR155" s="43"/>
      <c r="IS155" s="12"/>
      <c r="JP155" s="13"/>
      <c r="JR155" s="12"/>
      <c r="LJ155" s="13"/>
      <c r="LK155" s="43"/>
      <c r="LL155" s="45"/>
    </row>
    <row r="156" spans="7:324" ht="18" customHeight="1">
      <c r="G156" s="4"/>
      <c r="S156" s="42"/>
      <c r="T156" s="43"/>
      <c r="U156" s="12"/>
      <c r="Y156" s="12"/>
      <c r="BN156" s="13"/>
      <c r="BO156" s="43"/>
      <c r="BP156" s="45"/>
      <c r="CC156" s="13"/>
      <c r="CD156" s="13"/>
      <c r="CW156" s="42"/>
      <c r="CX156" s="43"/>
      <c r="CY156" s="12"/>
      <c r="DW156" s="18"/>
      <c r="DX156" s="12"/>
      <c r="ER156" s="13"/>
      <c r="ES156" s="43"/>
      <c r="ET156" s="45"/>
      <c r="FH156" s="42"/>
      <c r="FI156" s="43"/>
      <c r="FJ156" s="43"/>
      <c r="FK156" s="43"/>
      <c r="FL156" s="43"/>
      <c r="FM156" s="43"/>
      <c r="FN156" s="43"/>
      <c r="FO156" s="43"/>
      <c r="FP156" s="43"/>
      <c r="FQ156" s="43"/>
      <c r="FR156" s="43"/>
      <c r="FS156" s="43"/>
      <c r="FT156" s="43"/>
      <c r="FU156" s="43"/>
      <c r="FV156" s="43"/>
      <c r="FW156" s="43"/>
      <c r="FX156" s="43"/>
      <c r="FY156" s="43"/>
      <c r="FZ156" s="43"/>
      <c r="GA156" s="43"/>
      <c r="GB156" s="43"/>
      <c r="GC156" s="43"/>
      <c r="GD156" s="43"/>
      <c r="GE156" s="43"/>
      <c r="GF156" s="43"/>
      <c r="GG156" s="43"/>
      <c r="GH156" s="43"/>
      <c r="GI156" s="43"/>
      <c r="GJ156" s="43"/>
      <c r="GK156" s="43"/>
      <c r="GL156" s="43"/>
      <c r="GM156" s="43"/>
      <c r="GN156" s="43"/>
      <c r="GO156" s="43"/>
      <c r="GP156" s="43"/>
      <c r="GQ156" s="43"/>
      <c r="GR156" s="43"/>
      <c r="GS156" s="43"/>
      <c r="GT156" s="43"/>
      <c r="GU156" s="43"/>
      <c r="GV156" s="43"/>
      <c r="GW156" s="43"/>
      <c r="GX156" s="43"/>
      <c r="GY156" s="43"/>
      <c r="GZ156" s="43"/>
      <c r="HA156" s="43"/>
      <c r="HB156" s="43"/>
      <c r="HC156" s="43"/>
      <c r="HD156" s="43"/>
      <c r="HE156" s="43"/>
      <c r="HF156" s="43"/>
      <c r="HG156" s="43"/>
      <c r="HH156" s="43"/>
      <c r="HI156" s="43"/>
      <c r="HJ156" s="43"/>
      <c r="HK156" s="43"/>
      <c r="HL156" s="43"/>
      <c r="HM156" s="43"/>
      <c r="HN156" s="43"/>
      <c r="HO156" s="43"/>
      <c r="HP156" s="43"/>
      <c r="HQ156" s="43"/>
      <c r="HR156" s="43"/>
      <c r="HS156" s="107"/>
      <c r="HT156" s="127"/>
      <c r="HU156" s="127"/>
      <c r="HV156" s="127"/>
      <c r="HW156" s="127"/>
      <c r="HX156" s="90"/>
      <c r="HY156" s="43"/>
      <c r="HZ156" s="43"/>
      <c r="IA156" s="45"/>
      <c r="IQ156" s="42"/>
      <c r="IR156" s="43"/>
      <c r="IS156" s="12"/>
      <c r="JP156" s="13"/>
      <c r="JR156" s="12"/>
      <c r="LJ156" s="13"/>
      <c r="LK156" s="43"/>
      <c r="LL156" s="45"/>
    </row>
    <row r="157" spans="7:324" ht="18" customHeight="1">
      <c r="G157" s="4"/>
      <c r="S157" s="42"/>
      <c r="T157" s="43"/>
      <c r="U157" s="12"/>
      <c r="Y157" s="12"/>
      <c r="BN157" s="13"/>
      <c r="BO157" s="43"/>
      <c r="BP157" s="45"/>
      <c r="CC157" s="13"/>
      <c r="CD157" s="13"/>
      <c r="CW157" s="42"/>
      <c r="CX157" s="43"/>
      <c r="CY157" s="12"/>
      <c r="DW157" s="18"/>
      <c r="DX157" s="12"/>
      <c r="ER157" s="13"/>
      <c r="ES157" s="43"/>
      <c r="ET157" s="45"/>
      <c r="FH157" s="9"/>
      <c r="FI157" s="9"/>
      <c r="FJ157" s="10"/>
      <c r="FK157" s="10"/>
      <c r="FL157" s="10"/>
      <c r="FM157" s="10"/>
      <c r="FN157" s="10"/>
      <c r="FO157" s="10"/>
      <c r="FP157" s="10"/>
      <c r="FQ157" s="10"/>
      <c r="FR157" s="10"/>
      <c r="FS157" s="10"/>
      <c r="FT157" s="10"/>
      <c r="FU157" s="10"/>
      <c r="FV157" s="10"/>
      <c r="FW157" s="10"/>
      <c r="FX157" s="10"/>
      <c r="FY157" s="10"/>
      <c r="FZ157" s="10"/>
      <c r="GA157" s="10"/>
      <c r="GB157" s="10"/>
      <c r="GC157" s="10"/>
      <c r="GD157" s="10"/>
      <c r="GE157" s="10"/>
      <c r="GF157" s="10"/>
      <c r="GG157" s="10"/>
      <c r="GH157" s="10"/>
      <c r="GI157" s="10"/>
      <c r="GJ157" s="10"/>
      <c r="GK157" s="10"/>
      <c r="GL157" s="10"/>
      <c r="GM157" s="10"/>
      <c r="GN157" s="10"/>
      <c r="GO157" s="10"/>
      <c r="GP157" s="10"/>
      <c r="GQ157" s="10"/>
      <c r="GR157" s="10"/>
      <c r="GS157" s="10"/>
      <c r="GT157" s="10"/>
      <c r="GU157" s="10"/>
      <c r="GV157" s="10"/>
      <c r="GW157" s="10"/>
      <c r="GX157" s="10"/>
      <c r="GY157" s="10"/>
      <c r="GZ157" s="10"/>
      <c r="HA157" s="10"/>
      <c r="HB157" s="10"/>
      <c r="HC157" s="10"/>
      <c r="HD157" s="10"/>
      <c r="HE157" s="10"/>
      <c r="HF157" s="10"/>
      <c r="HG157" s="10"/>
      <c r="HH157" s="10"/>
      <c r="HI157" s="10"/>
      <c r="HJ157" s="10"/>
      <c r="HK157" s="10"/>
      <c r="HL157" s="10"/>
      <c r="HM157" s="10"/>
      <c r="HN157" s="10"/>
      <c r="HO157" s="10"/>
      <c r="HP157" s="10"/>
      <c r="HQ157" s="10"/>
      <c r="HR157" s="10"/>
      <c r="HS157" s="10"/>
      <c r="HT157" s="10"/>
      <c r="HU157" s="10"/>
      <c r="HV157" s="10"/>
      <c r="HW157" s="10"/>
      <c r="HX157" s="10"/>
      <c r="HY157" s="10"/>
      <c r="HZ157" s="11"/>
      <c r="IA157" s="11"/>
      <c r="IQ157" s="42"/>
      <c r="IR157" s="43"/>
      <c r="IS157" s="14"/>
      <c r="IT157" s="15"/>
      <c r="IU157" s="15"/>
      <c r="IV157" s="15"/>
      <c r="IW157" s="15"/>
      <c r="IX157" s="15"/>
      <c r="IY157" s="15"/>
      <c r="IZ157" s="15"/>
      <c r="JA157" s="15"/>
      <c r="JB157" s="15"/>
      <c r="JC157" s="15"/>
      <c r="JD157" s="15"/>
      <c r="JE157" s="15"/>
      <c r="JF157" s="15"/>
      <c r="JG157" s="15"/>
      <c r="JH157" s="15"/>
      <c r="JI157" s="15"/>
      <c r="JJ157" s="15"/>
      <c r="JK157" s="15"/>
      <c r="JL157" s="15"/>
      <c r="JM157" s="15"/>
      <c r="JN157" s="15"/>
      <c r="JO157" s="15"/>
      <c r="JP157" s="16"/>
      <c r="JQ157" s="15"/>
      <c r="JR157" s="14"/>
      <c r="JS157" s="15"/>
      <c r="JT157" s="15"/>
      <c r="JU157" s="15"/>
      <c r="JV157" s="15"/>
      <c r="JW157" s="15"/>
      <c r="JX157" s="15"/>
      <c r="JY157" s="15"/>
      <c r="JZ157" s="15"/>
      <c r="KA157" s="15"/>
      <c r="KB157" s="15"/>
      <c r="KC157" s="15"/>
      <c r="KD157" s="15"/>
      <c r="KE157" s="15"/>
      <c r="KF157" s="15"/>
      <c r="KG157" s="15"/>
      <c r="KH157" s="15"/>
      <c r="KI157" s="15"/>
      <c r="KJ157" s="15"/>
      <c r="KK157" s="15"/>
      <c r="KL157" s="15"/>
      <c r="KM157" s="15"/>
      <c r="KN157" s="15"/>
      <c r="KO157" s="15"/>
      <c r="KP157" s="15"/>
      <c r="KQ157" s="15"/>
      <c r="KR157" s="15"/>
      <c r="KS157" s="15"/>
      <c r="KT157" s="15"/>
      <c r="KU157" s="15"/>
      <c r="KV157" s="15"/>
      <c r="KW157" s="15"/>
      <c r="KX157" s="15"/>
      <c r="KY157" s="15"/>
      <c r="KZ157" s="15"/>
      <c r="LA157" s="15"/>
      <c r="LB157" s="15"/>
      <c r="LC157" s="15"/>
      <c r="LD157" s="15"/>
      <c r="LE157" s="15"/>
      <c r="LF157" s="15"/>
      <c r="LG157" s="15"/>
      <c r="LH157" s="15"/>
      <c r="LI157" s="15"/>
      <c r="LJ157" s="16"/>
      <c r="LK157" s="43"/>
      <c r="LL157" s="45"/>
    </row>
    <row r="158" spans="7:324" ht="18" customHeight="1">
      <c r="G158" s="4"/>
      <c r="S158" s="42"/>
      <c r="T158" s="43"/>
      <c r="U158" s="14"/>
      <c r="V158" s="15"/>
      <c r="W158" s="15"/>
      <c r="X158" s="15"/>
      <c r="Y158" s="14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6"/>
      <c r="BO158" s="43"/>
      <c r="BP158" s="45"/>
      <c r="CC158" s="13"/>
      <c r="CD158" s="13"/>
      <c r="CW158" s="42"/>
      <c r="CX158" s="43"/>
      <c r="CY158" s="14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5"/>
      <c r="DP158" s="15"/>
      <c r="DQ158" s="15"/>
      <c r="DR158" s="15"/>
      <c r="DS158" s="15"/>
      <c r="DT158" s="15"/>
      <c r="DU158" s="15"/>
      <c r="DV158" s="15"/>
      <c r="DW158" s="18"/>
      <c r="DX158" s="12"/>
      <c r="ER158" s="13"/>
      <c r="ES158" s="43"/>
      <c r="ET158" s="45"/>
      <c r="FH158" s="12"/>
      <c r="FI158" s="12"/>
      <c r="HZ158" s="13"/>
      <c r="IA158" s="13"/>
      <c r="IQ158" s="42"/>
      <c r="IR158" s="43"/>
      <c r="IS158" s="43"/>
      <c r="IT158" s="43"/>
      <c r="IU158" s="43"/>
      <c r="IV158" s="43"/>
      <c r="IW158" s="43"/>
      <c r="IX158" s="43"/>
      <c r="IY158" s="43"/>
      <c r="IZ158" s="43"/>
      <c r="JA158" s="43"/>
      <c r="JB158" s="43"/>
      <c r="JC158" s="43"/>
      <c r="JD158" s="43"/>
      <c r="JE158" s="43"/>
      <c r="JF158" s="43"/>
      <c r="JG158" s="43"/>
      <c r="JH158" s="43"/>
      <c r="JI158" s="43"/>
      <c r="JJ158" s="43"/>
      <c r="JK158" s="43"/>
      <c r="JL158" s="43"/>
      <c r="JM158" s="43"/>
      <c r="JN158" s="43"/>
      <c r="JO158" s="43"/>
      <c r="JP158" s="43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3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3"/>
      <c r="LB158" s="43"/>
      <c r="LC158" s="43"/>
      <c r="LD158" s="70"/>
      <c r="LE158" s="92"/>
      <c r="LF158" s="92"/>
      <c r="LG158" s="92"/>
      <c r="LH158" s="92"/>
      <c r="LI158" s="71"/>
      <c r="LJ158" s="43"/>
      <c r="LK158" s="43"/>
      <c r="LL158" s="45"/>
    </row>
    <row r="159" spans="7:324" ht="18" customHeight="1">
      <c r="G159" s="4"/>
      <c r="S159" s="42"/>
      <c r="T159" s="43"/>
      <c r="AL159" s="26"/>
      <c r="AM159" s="27"/>
      <c r="AN159" s="27"/>
      <c r="AO159" s="27"/>
      <c r="AP159" s="27"/>
      <c r="AQ159" s="28"/>
      <c r="AS159" s="40"/>
      <c r="AT159" s="43"/>
      <c r="AU159" s="43"/>
      <c r="AV159" s="43"/>
      <c r="AW159" s="43"/>
      <c r="AX159" s="123"/>
      <c r="AY159" s="109"/>
      <c r="AZ159" s="109"/>
      <c r="BA159" s="109"/>
      <c r="BB159" s="109"/>
      <c r="BC159" s="124"/>
      <c r="BD159" s="43"/>
      <c r="BE159" s="43"/>
      <c r="BF159" s="43"/>
      <c r="BG159" s="43"/>
      <c r="BH159" s="70"/>
      <c r="BI159" s="92"/>
      <c r="BJ159" s="92"/>
      <c r="BK159" s="92"/>
      <c r="BL159" s="92"/>
      <c r="BM159" s="71"/>
      <c r="BN159" s="43"/>
      <c r="BO159" s="43"/>
      <c r="BP159" s="45"/>
      <c r="CC159" s="13"/>
      <c r="CD159" s="13"/>
      <c r="CW159" s="42"/>
      <c r="CX159" s="43"/>
      <c r="CY159" s="12"/>
      <c r="DJ159" s="21"/>
      <c r="DL159" s="21"/>
      <c r="DV159" s="21"/>
      <c r="DW159" s="18"/>
      <c r="DX159" s="12"/>
      <c r="ER159" s="13"/>
      <c r="ES159" s="43"/>
      <c r="ET159" s="45"/>
      <c r="FH159" s="12"/>
      <c r="FI159" s="12"/>
      <c r="HZ159" s="13"/>
      <c r="IA159" s="13"/>
      <c r="IQ159" s="46"/>
      <c r="IR159" s="47"/>
      <c r="IS159" s="47"/>
      <c r="IT159" s="47"/>
      <c r="IU159" s="47"/>
      <c r="IV159" s="47"/>
      <c r="IW159" s="47"/>
      <c r="IX159" s="47"/>
      <c r="IY159" s="47"/>
      <c r="IZ159" s="47"/>
      <c r="JA159" s="47"/>
      <c r="JB159" s="47"/>
      <c r="JC159" s="47"/>
      <c r="JD159" s="47"/>
      <c r="JE159" s="47"/>
      <c r="JF159" s="47"/>
      <c r="JG159" s="47"/>
      <c r="JH159" s="47"/>
      <c r="JI159" s="47"/>
      <c r="JJ159" s="47"/>
      <c r="JK159" s="47"/>
      <c r="JL159" s="47"/>
      <c r="JM159" s="47"/>
      <c r="JN159" s="47"/>
      <c r="JO159" s="47"/>
      <c r="JP159" s="47"/>
      <c r="JQ159" s="47"/>
      <c r="JR159" s="47"/>
      <c r="JS159" s="47"/>
      <c r="JT159" s="47"/>
      <c r="JU159" s="47"/>
      <c r="JV159" s="47"/>
      <c r="JW159" s="47"/>
      <c r="JX159" s="47"/>
      <c r="JY159" s="47"/>
      <c r="JZ159" s="47"/>
      <c r="KA159" s="47"/>
      <c r="KB159" s="47"/>
      <c r="KC159" s="47"/>
      <c r="KD159" s="47"/>
      <c r="KE159" s="47"/>
      <c r="KF159" s="47"/>
      <c r="KG159" s="47"/>
      <c r="KH159" s="47"/>
      <c r="KI159" s="47"/>
      <c r="KJ159" s="47"/>
      <c r="KK159" s="47"/>
      <c r="KL159" s="47"/>
      <c r="KM159" s="47"/>
      <c r="KN159" s="47"/>
      <c r="KO159" s="47"/>
      <c r="KP159" s="47"/>
      <c r="KQ159" s="47"/>
      <c r="KR159" s="47"/>
      <c r="KS159" s="47"/>
      <c r="KT159" s="47"/>
      <c r="KU159" s="47"/>
      <c r="KV159" s="47"/>
      <c r="KW159" s="47"/>
      <c r="KX159" s="47"/>
      <c r="KY159" s="47"/>
      <c r="KZ159" s="47"/>
      <c r="LA159" s="47"/>
      <c r="LB159" s="47"/>
      <c r="LC159" s="47"/>
      <c r="LD159" s="72"/>
      <c r="LE159" s="100"/>
      <c r="LF159" s="100"/>
      <c r="LG159" s="100"/>
      <c r="LH159" s="100"/>
      <c r="LI159" s="73"/>
      <c r="LJ159" s="47"/>
      <c r="LK159" s="47"/>
      <c r="LL159" s="48"/>
    </row>
    <row r="160" spans="7:324" ht="18" customHeight="1">
      <c r="G160" s="4"/>
      <c r="S160" s="42"/>
      <c r="T160" s="45"/>
      <c r="U160" s="9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1"/>
      <c r="AS160" s="42"/>
      <c r="AT160" s="43"/>
      <c r="AU160" s="47"/>
      <c r="AV160" s="47"/>
      <c r="AW160" s="47"/>
      <c r="AX160" s="46"/>
      <c r="AY160" s="47"/>
      <c r="AZ160" s="47"/>
      <c r="BA160" s="47"/>
      <c r="BB160" s="47"/>
      <c r="BC160" s="48"/>
      <c r="BD160" s="47"/>
      <c r="BE160" s="47"/>
      <c r="BF160" s="47"/>
      <c r="BG160" s="47"/>
      <c r="BH160" s="72"/>
      <c r="BI160" s="100"/>
      <c r="BJ160" s="100"/>
      <c r="BK160" s="100"/>
      <c r="BL160" s="100"/>
      <c r="BM160" s="73"/>
      <c r="BN160" s="47"/>
      <c r="BO160" s="47"/>
      <c r="BP160" s="48"/>
      <c r="CC160" s="13"/>
      <c r="CD160" s="13"/>
      <c r="CW160" s="42"/>
      <c r="CX160" s="43"/>
      <c r="CY160" s="9"/>
      <c r="CZ160" s="10"/>
      <c r="DA160" s="10"/>
      <c r="DB160" s="11"/>
      <c r="DC160" s="10"/>
      <c r="DD160" s="10"/>
      <c r="DE160" s="10"/>
      <c r="DF160" s="10"/>
      <c r="DG160" s="9"/>
      <c r="DH160" s="10"/>
      <c r="DI160" s="10"/>
      <c r="DJ160" s="11"/>
      <c r="DK160" s="10"/>
      <c r="DL160" s="10"/>
      <c r="DM160" s="10"/>
      <c r="DN160" s="10"/>
      <c r="DO160" s="9"/>
      <c r="DP160" s="10"/>
      <c r="DQ160" s="10"/>
      <c r="DR160" s="11"/>
      <c r="DS160" s="10"/>
      <c r="DT160" s="10"/>
      <c r="DU160" s="10"/>
      <c r="DV160" s="10"/>
      <c r="DW160" s="18"/>
      <c r="DX160" s="12"/>
      <c r="ER160" s="13"/>
      <c r="ES160" s="43"/>
      <c r="ET160" s="45"/>
      <c r="FH160" s="12"/>
      <c r="FI160" s="12"/>
      <c r="HZ160" s="13"/>
      <c r="IA160" s="13"/>
    </row>
    <row r="161" spans="7:235" ht="18" customHeight="1">
      <c r="G161" s="4"/>
      <c r="S161" s="42"/>
      <c r="T161" s="43"/>
      <c r="U161" s="12"/>
      <c r="AR161" s="13"/>
      <c r="AS161" s="43"/>
      <c r="AT161" s="45"/>
      <c r="CC161" s="13"/>
      <c r="CD161" s="13"/>
      <c r="CW161" s="42"/>
      <c r="CX161" s="43"/>
      <c r="CY161" s="12"/>
      <c r="DB161" s="13"/>
      <c r="DC161" s="128"/>
      <c r="DD161" s="99"/>
      <c r="DG161" s="12"/>
      <c r="DH161" s="129"/>
      <c r="DJ161" s="13"/>
      <c r="DL161" s="128"/>
      <c r="DN161" s="13"/>
      <c r="DR161" s="13"/>
      <c r="DT161" s="128"/>
      <c r="DW161" s="18"/>
      <c r="DX161" s="12"/>
      <c r="ER161" s="13"/>
      <c r="ES161" s="43"/>
      <c r="ET161" s="45"/>
      <c r="FH161" s="12"/>
      <c r="FI161" s="12"/>
      <c r="HZ161" s="13"/>
      <c r="IA161" s="13"/>
    </row>
    <row r="162" spans="7:235" ht="18" customHeight="1">
      <c r="G162" s="4"/>
      <c r="S162" s="42"/>
      <c r="T162" s="43"/>
      <c r="U162" s="12"/>
      <c r="AR162" s="13"/>
      <c r="AS162" s="43"/>
      <c r="AT162" s="45"/>
      <c r="CC162" s="13"/>
      <c r="CD162" s="16"/>
      <c r="CW162" s="42"/>
      <c r="CX162" s="43"/>
      <c r="CY162" s="12"/>
      <c r="DB162" s="13"/>
      <c r="DG162" s="12"/>
      <c r="DJ162" s="13"/>
      <c r="DN162" s="13"/>
      <c r="DR162" s="13"/>
      <c r="DW162" s="18"/>
      <c r="DX162" s="12"/>
      <c r="ER162" s="13"/>
      <c r="ES162" s="43"/>
      <c r="ET162" s="45"/>
      <c r="FH162" s="12"/>
      <c r="FI162" s="12"/>
      <c r="HZ162" s="13"/>
      <c r="IA162" s="13"/>
    </row>
    <row r="163" spans="7:235" ht="18" customHeight="1">
      <c r="G163" s="4"/>
      <c r="S163" s="42"/>
      <c r="T163" s="43"/>
      <c r="U163" s="12"/>
      <c r="AR163" s="13"/>
      <c r="AS163" s="43"/>
      <c r="AT163" s="45"/>
      <c r="CD163" s="10"/>
      <c r="CE163" s="9"/>
      <c r="CF163" s="11"/>
      <c r="CG163" s="9"/>
      <c r="CH163" s="11"/>
      <c r="CW163" s="42"/>
      <c r="CX163" s="43"/>
      <c r="CY163" s="14"/>
      <c r="CZ163" s="15"/>
      <c r="DA163" s="15"/>
      <c r="DB163" s="16"/>
      <c r="DG163" s="14"/>
      <c r="DH163" s="15"/>
      <c r="DI163" s="15"/>
      <c r="DJ163" s="16"/>
      <c r="DO163" s="14"/>
      <c r="DP163" s="15"/>
      <c r="DQ163" s="15"/>
      <c r="DR163" s="16"/>
      <c r="DW163" s="19"/>
      <c r="DX163" s="12"/>
      <c r="ER163" s="13"/>
      <c r="ES163" s="43"/>
      <c r="ET163" s="45"/>
      <c r="FH163" s="12"/>
      <c r="FI163" s="12"/>
      <c r="HZ163" s="13"/>
      <c r="IA163" s="13"/>
    </row>
    <row r="164" spans="7:235" ht="18" customHeight="1">
      <c r="G164" s="4"/>
      <c r="S164" s="42"/>
      <c r="T164" s="43"/>
      <c r="U164" s="12"/>
      <c r="AR164" s="13"/>
      <c r="AS164" s="43"/>
      <c r="AT164" s="45"/>
      <c r="CE164" s="12"/>
      <c r="CF164" s="13"/>
      <c r="CG164" s="12"/>
      <c r="CH164" s="13"/>
      <c r="CW164" s="42"/>
      <c r="CX164" s="43"/>
      <c r="CY164" s="9"/>
      <c r="CZ164" s="10"/>
      <c r="DA164" s="10"/>
      <c r="DB164" s="11"/>
      <c r="DC164" s="9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  <c r="DV164" s="10"/>
      <c r="DW164" s="10"/>
      <c r="ER164" s="13"/>
      <c r="ES164" s="43"/>
      <c r="ET164" s="45"/>
      <c r="FH164" s="12"/>
      <c r="FI164" s="12"/>
      <c r="HZ164" s="13"/>
      <c r="IA164" s="13"/>
    </row>
    <row r="165" spans="7:235" ht="18" customHeight="1">
      <c r="G165" s="4"/>
      <c r="S165" s="42"/>
      <c r="T165" s="43"/>
      <c r="U165" s="12"/>
      <c r="AR165" s="13"/>
      <c r="AS165" s="43"/>
      <c r="AT165" s="45"/>
      <c r="CE165" s="12"/>
      <c r="CF165" s="13"/>
      <c r="CG165" s="12"/>
      <c r="CH165" s="13"/>
      <c r="CW165" s="42"/>
      <c r="CX165" s="43"/>
      <c r="CY165" s="12"/>
      <c r="DB165" s="13"/>
      <c r="DC165" s="12"/>
      <c r="DD165" s="129"/>
      <c r="DH165" s="129"/>
      <c r="DL165" s="129"/>
      <c r="DP165" s="129"/>
      <c r="ER165" s="13"/>
      <c r="ES165" s="43"/>
      <c r="ET165" s="45"/>
      <c r="FH165" s="12"/>
      <c r="FI165" s="12"/>
      <c r="HZ165" s="13"/>
      <c r="IA165" s="13"/>
    </row>
    <row r="166" spans="7:235" ht="18" customHeight="1">
      <c r="G166" s="4"/>
      <c r="S166" s="42"/>
      <c r="T166" s="43"/>
      <c r="U166" s="12"/>
      <c r="AR166" s="13"/>
      <c r="AS166" s="43"/>
      <c r="AT166" s="45"/>
      <c r="CE166" s="12"/>
      <c r="CF166" s="13"/>
      <c r="CG166" s="12"/>
      <c r="CH166" s="13"/>
      <c r="CW166" s="42"/>
      <c r="CX166" s="43"/>
      <c r="CY166" s="12"/>
      <c r="CZ166" s="128"/>
      <c r="DB166" s="13"/>
      <c r="DC166" s="12"/>
      <c r="DD166" s="129"/>
      <c r="DH166" s="129"/>
      <c r="DL166" s="129"/>
      <c r="DP166" s="129"/>
      <c r="ER166" s="13"/>
      <c r="ES166" s="43"/>
      <c r="ET166" s="45"/>
      <c r="FH166" s="12"/>
      <c r="FI166" s="12"/>
      <c r="HZ166" s="13"/>
      <c r="IA166" s="13"/>
    </row>
    <row r="167" spans="7:235" ht="18" customHeight="1">
      <c r="G167" s="4"/>
      <c r="S167" s="42"/>
      <c r="T167" s="43"/>
      <c r="U167" s="12"/>
      <c r="AR167" s="13"/>
      <c r="AS167" s="43"/>
      <c r="AT167" s="45"/>
      <c r="CE167" s="12"/>
      <c r="CF167" s="13"/>
      <c r="CG167" s="12"/>
      <c r="CH167" s="13"/>
      <c r="CW167" s="42"/>
      <c r="CX167" s="43"/>
      <c r="CY167" s="14"/>
      <c r="CZ167" s="15"/>
      <c r="DA167" s="15"/>
      <c r="DB167" s="16"/>
      <c r="DC167" s="12"/>
      <c r="ER167" s="13"/>
      <c r="ES167" s="43"/>
      <c r="ET167" s="45"/>
      <c r="FH167" s="12"/>
      <c r="FI167" s="12"/>
      <c r="HZ167" s="13"/>
      <c r="IA167" s="13"/>
    </row>
    <row r="168" spans="7:235" ht="18" customHeight="1">
      <c r="G168" s="4"/>
      <c r="S168" s="42"/>
      <c r="T168" s="43"/>
      <c r="U168" s="12"/>
      <c r="AR168" s="13"/>
      <c r="AS168" s="43"/>
      <c r="AT168" s="45"/>
      <c r="CE168" s="12"/>
      <c r="CF168" s="13"/>
      <c r="CG168" s="12"/>
      <c r="CH168" s="13"/>
      <c r="CW168" s="42"/>
      <c r="CX168" s="43"/>
      <c r="CY168" s="9"/>
      <c r="CZ168" s="10"/>
      <c r="DA168" s="10"/>
      <c r="DB168" s="11"/>
      <c r="DC168" s="12"/>
      <c r="ER168" s="13"/>
      <c r="ES168" s="43"/>
      <c r="ET168" s="45"/>
      <c r="FH168" s="12"/>
      <c r="FI168" s="12"/>
      <c r="HZ168" s="13"/>
      <c r="IA168" s="13"/>
    </row>
    <row r="169" spans="7:235" ht="18" customHeight="1">
      <c r="G169" s="4"/>
      <c r="S169" s="42"/>
      <c r="T169" s="43"/>
      <c r="U169" s="12"/>
      <c r="AR169" s="13"/>
      <c r="AS169" s="43"/>
      <c r="AT169" s="45"/>
      <c r="CE169" s="12"/>
      <c r="CF169" s="13"/>
      <c r="CG169" s="12"/>
      <c r="CH169" s="13"/>
      <c r="CW169" s="42"/>
      <c r="CX169" s="43"/>
      <c r="CY169" s="12"/>
      <c r="DB169" s="13"/>
      <c r="DC169" s="12"/>
      <c r="ER169" s="13"/>
      <c r="ES169" s="43"/>
      <c r="ET169" s="45"/>
      <c r="FH169" s="12"/>
      <c r="FI169" s="12"/>
      <c r="HZ169" s="13"/>
      <c r="IA169" s="13"/>
    </row>
    <row r="170" spans="7:235" ht="18" customHeight="1">
      <c r="G170" s="4"/>
      <c r="S170" s="42"/>
      <c r="T170" s="43"/>
      <c r="U170" s="12"/>
      <c r="AR170" s="13"/>
      <c r="AS170" s="43"/>
      <c r="AT170" s="45"/>
      <c r="CD170" s="15"/>
      <c r="CE170" s="14"/>
      <c r="CF170" s="16"/>
      <c r="CG170" s="14"/>
      <c r="CH170" s="16"/>
      <c r="CW170" s="42"/>
      <c r="CX170" s="43"/>
      <c r="CY170" s="12"/>
      <c r="CZ170" s="128"/>
      <c r="DB170" s="13"/>
      <c r="DC170" s="12"/>
      <c r="ER170" s="13"/>
      <c r="ES170" s="43"/>
      <c r="ET170" s="45"/>
      <c r="FH170" s="12"/>
      <c r="FI170" s="12"/>
      <c r="HZ170" s="13"/>
      <c r="IA170" s="13"/>
    </row>
    <row r="171" spans="7:235" ht="18" customHeight="1">
      <c r="G171" s="4"/>
      <c r="S171" s="42"/>
      <c r="T171" s="43"/>
      <c r="U171" s="12"/>
      <c r="AR171" s="13"/>
      <c r="AS171" s="43"/>
      <c r="AT171" s="45"/>
      <c r="CC171" s="13"/>
      <c r="CD171" s="13"/>
      <c r="CW171" s="42"/>
      <c r="CX171" s="43"/>
      <c r="CY171" s="14"/>
      <c r="CZ171" s="15"/>
      <c r="DA171" s="15"/>
      <c r="DB171" s="16"/>
      <c r="DC171" s="12"/>
      <c r="ER171" s="13"/>
      <c r="ES171" s="43"/>
      <c r="ET171" s="45"/>
      <c r="FH171" s="12"/>
      <c r="FI171" s="12"/>
      <c r="HZ171" s="13"/>
      <c r="IA171" s="13"/>
    </row>
    <row r="172" spans="7:235" ht="18" customHeight="1">
      <c r="G172" s="4"/>
      <c r="S172" s="42"/>
      <c r="T172" s="43"/>
      <c r="U172" s="12"/>
      <c r="AR172" s="13"/>
      <c r="AS172" s="43"/>
      <c r="AT172" s="45"/>
      <c r="CC172" s="13"/>
      <c r="CD172" s="13"/>
      <c r="CW172" s="42"/>
      <c r="CX172" s="43"/>
      <c r="CY172" s="9"/>
      <c r="CZ172" s="10"/>
      <c r="DA172" s="10"/>
      <c r="DB172" s="11"/>
      <c r="DC172" s="10"/>
      <c r="DD172" s="10"/>
      <c r="DE172" s="10"/>
      <c r="DF172" s="10"/>
      <c r="DG172" s="9"/>
      <c r="DH172" s="10"/>
      <c r="DI172" s="10"/>
      <c r="DJ172" s="10"/>
      <c r="DK172" s="9"/>
      <c r="DL172" s="10"/>
      <c r="DM172" s="10"/>
      <c r="DN172" s="11"/>
      <c r="ER172" s="13"/>
      <c r="ES172" s="43"/>
      <c r="ET172" s="45"/>
      <c r="FH172" s="12"/>
      <c r="FI172" s="14"/>
      <c r="FJ172" s="15"/>
      <c r="FK172" s="15"/>
      <c r="FL172" s="15"/>
      <c r="FM172" s="15"/>
      <c r="FN172" s="15"/>
      <c r="FO172" s="15"/>
      <c r="FP172" s="15"/>
      <c r="FQ172" s="15"/>
      <c r="FR172" s="15"/>
      <c r="FS172" s="15"/>
      <c r="FT172" s="15"/>
      <c r="FU172" s="15"/>
      <c r="FV172" s="15"/>
      <c r="FW172" s="15"/>
      <c r="FX172" s="15"/>
      <c r="FY172" s="15"/>
      <c r="FZ172" s="15"/>
      <c r="GA172" s="15"/>
      <c r="GB172" s="15"/>
      <c r="GC172" s="15"/>
      <c r="GD172" s="15"/>
      <c r="GE172" s="15"/>
      <c r="GF172" s="15"/>
      <c r="GG172" s="15"/>
      <c r="GH172" s="15"/>
      <c r="GI172" s="15"/>
      <c r="GJ172" s="15"/>
      <c r="GK172" s="15"/>
      <c r="GL172" s="15"/>
      <c r="GM172" s="15"/>
      <c r="GN172" s="15"/>
      <c r="GO172" s="15"/>
      <c r="GP172" s="15"/>
      <c r="GQ172" s="15"/>
      <c r="GR172" s="15"/>
      <c r="GS172" s="15"/>
      <c r="GT172" s="15"/>
      <c r="GU172" s="15"/>
      <c r="GV172" s="15"/>
      <c r="GW172" s="15"/>
      <c r="GX172" s="15"/>
      <c r="GY172" s="15"/>
      <c r="GZ172" s="15"/>
      <c r="HA172" s="15"/>
      <c r="HB172" s="15"/>
      <c r="HC172" s="15"/>
      <c r="HD172" s="15"/>
      <c r="HE172" s="15"/>
      <c r="HF172" s="15"/>
      <c r="HG172" s="15"/>
      <c r="HH172" s="15"/>
      <c r="HI172" s="15"/>
      <c r="HJ172" s="15"/>
      <c r="HK172" s="15"/>
      <c r="HL172" s="15"/>
      <c r="HM172" s="15"/>
      <c r="HN172" s="15"/>
      <c r="HO172" s="15"/>
      <c r="HP172" s="15"/>
      <c r="HQ172" s="15"/>
      <c r="HR172" s="15"/>
      <c r="HS172" s="15"/>
      <c r="HT172" s="15"/>
      <c r="HU172" s="15"/>
      <c r="HV172" s="15"/>
      <c r="HW172" s="15"/>
      <c r="HX172" s="15"/>
      <c r="HY172" s="15"/>
      <c r="HZ172" s="16"/>
      <c r="IA172" s="13"/>
    </row>
    <row r="173" spans="7:235" ht="18" customHeight="1">
      <c r="G173" s="4"/>
      <c r="S173" s="42"/>
      <c r="T173" s="43"/>
      <c r="U173" s="12"/>
      <c r="AR173" s="13"/>
      <c r="AS173" s="43"/>
      <c r="AT173" s="45"/>
      <c r="CC173" s="13"/>
      <c r="CD173" s="13"/>
      <c r="CW173" s="42"/>
      <c r="CX173" s="43"/>
      <c r="CY173" s="12"/>
      <c r="DB173" s="13"/>
      <c r="DC173" s="128"/>
      <c r="DD173" s="99"/>
      <c r="DG173" s="12"/>
      <c r="DH173" s="129"/>
      <c r="DK173" s="12"/>
      <c r="DL173" s="129"/>
      <c r="DN173" s="13"/>
      <c r="ER173" s="13"/>
      <c r="ES173" s="43"/>
      <c r="ET173" s="45"/>
      <c r="FH173" s="14"/>
      <c r="FI173" s="15"/>
      <c r="FJ173" s="15"/>
      <c r="FK173" s="15"/>
      <c r="FL173" s="15"/>
      <c r="FM173" s="15"/>
      <c r="FN173" s="15"/>
      <c r="FO173" s="15"/>
      <c r="FP173" s="15"/>
      <c r="FQ173" s="15"/>
      <c r="FR173" s="15"/>
      <c r="FS173" s="15"/>
      <c r="FT173" s="15"/>
      <c r="FU173" s="15"/>
      <c r="FV173" s="15"/>
      <c r="FW173" s="15"/>
      <c r="FX173" s="15"/>
      <c r="FY173" s="15"/>
      <c r="FZ173" s="15"/>
      <c r="GA173" s="15"/>
      <c r="GB173" s="15"/>
      <c r="GC173" s="15"/>
      <c r="GD173" s="15"/>
      <c r="GE173" s="15"/>
      <c r="GF173" s="15"/>
      <c r="GG173" s="15"/>
      <c r="GH173" s="15"/>
      <c r="GI173" s="15"/>
      <c r="GJ173" s="15"/>
      <c r="GK173" s="15"/>
      <c r="GL173" s="15"/>
      <c r="GM173" s="15"/>
      <c r="GN173" s="15"/>
      <c r="GO173" s="15"/>
      <c r="GP173" s="15"/>
      <c r="GQ173" s="15"/>
      <c r="GR173" s="15"/>
      <c r="GS173" s="15"/>
      <c r="GT173" s="15"/>
      <c r="GU173" s="15"/>
      <c r="GV173" s="15"/>
      <c r="GW173" s="15"/>
      <c r="GX173" s="15"/>
      <c r="GY173" s="15"/>
      <c r="GZ173" s="15"/>
      <c r="HA173" s="15"/>
      <c r="HB173" s="15"/>
      <c r="HC173" s="15"/>
      <c r="HD173" s="15"/>
      <c r="HE173" s="15"/>
      <c r="HF173" s="15"/>
      <c r="HG173" s="15"/>
      <c r="HH173" s="15"/>
      <c r="HI173" s="15"/>
      <c r="HJ173" s="15"/>
      <c r="HK173" s="15"/>
      <c r="HL173" s="15"/>
      <c r="HM173" s="15"/>
      <c r="HN173" s="15"/>
      <c r="HO173" s="15"/>
      <c r="HP173" s="15"/>
      <c r="HQ173" s="15"/>
      <c r="HR173" s="15"/>
      <c r="HS173" s="15"/>
      <c r="HT173" s="15"/>
      <c r="HU173" s="15"/>
      <c r="HV173" s="15"/>
      <c r="HW173" s="15"/>
      <c r="HX173" s="15"/>
      <c r="HY173" s="15"/>
      <c r="HZ173" s="15"/>
      <c r="IA173" s="16"/>
    </row>
    <row r="174" spans="7:235" ht="18" customHeight="1">
      <c r="G174" s="4"/>
      <c r="S174" s="42"/>
      <c r="T174" s="43"/>
      <c r="U174" s="12"/>
      <c r="AR174" s="13"/>
      <c r="AS174" s="43"/>
      <c r="AT174" s="45"/>
      <c r="CC174" s="13"/>
      <c r="CD174" s="13"/>
      <c r="CW174" s="42"/>
      <c r="CX174" s="43"/>
      <c r="CY174" s="12"/>
      <c r="DB174" s="13"/>
      <c r="DG174" s="12"/>
      <c r="DK174" s="12"/>
      <c r="DN174" s="13"/>
      <c r="ER174" s="13"/>
      <c r="ES174" s="43"/>
      <c r="ET174" s="45"/>
    </row>
    <row r="175" spans="7:235" ht="18" customHeight="1">
      <c r="G175" s="4"/>
      <c r="S175" s="42"/>
      <c r="T175" s="43"/>
      <c r="U175" s="12"/>
      <c r="AR175" s="13"/>
      <c r="AS175" s="42"/>
      <c r="AT175" s="45"/>
      <c r="CC175" s="13"/>
      <c r="CD175" s="13"/>
      <c r="CW175" s="42"/>
      <c r="CX175" s="43"/>
      <c r="CY175" s="14"/>
      <c r="CZ175" s="15"/>
      <c r="DA175" s="15"/>
      <c r="DB175" s="16"/>
      <c r="DG175" s="14"/>
      <c r="DH175" s="15"/>
      <c r="DI175" s="15"/>
      <c r="DK175" s="14"/>
      <c r="DL175" s="15"/>
      <c r="DM175" s="15"/>
      <c r="DN175" s="16"/>
      <c r="DO175" s="15"/>
      <c r="DP175" s="15"/>
      <c r="DQ175" s="15"/>
      <c r="DR175" s="15"/>
      <c r="DS175" s="15"/>
      <c r="DT175" s="15"/>
      <c r="DU175" s="15"/>
      <c r="DV175" s="15"/>
      <c r="DW175" s="15"/>
      <c r="DX175" s="15"/>
      <c r="DY175" s="15"/>
      <c r="DZ175" s="15"/>
      <c r="EA175" s="15"/>
      <c r="EH175" s="15"/>
      <c r="EI175" s="15"/>
      <c r="EJ175" s="15"/>
      <c r="EK175" s="15"/>
      <c r="EL175" s="15"/>
      <c r="EM175" s="15"/>
      <c r="EN175" s="15"/>
      <c r="EO175" s="15"/>
      <c r="EP175" s="15"/>
      <c r="EQ175" s="15"/>
      <c r="ER175" s="16"/>
      <c r="ES175" s="43"/>
      <c r="ET175" s="45"/>
    </row>
    <row r="176" spans="7:235" ht="18" customHeight="1">
      <c r="G176" s="4"/>
      <c r="S176" s="42"/>
      <c r="T176" s="43"/>
      <c r="U176" s="41"/>
      <c r="V176" s="41"/>
      <c r="W176" s="41"/>
      <c r="X176" s="41"/>
      <c r="Y176" s="123"/>
      <c r="Z176" s="109"/>
      <c r="AA176" s="109"/>
      <c r="AB176" s="109"/>
      <c r="AC176" s="124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3"/>
      <c r="AT176" s="4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  <c r="CA176" s="15"/>
      <c r="CB176" s="15"/>
      <c r="CC176" s="16"/>
      <c r="CD176" s="13"/>
      <c r="CW176" s="42"/>
      <c r="CX176" s="43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3"/>
      <c r="EJ176" s="43"/>
      <c r="EK176" s="43"/>
      <c r="EL176" s="70"/>
      <c r="EM176" s="92"/>
      <c r="EN176" s="92"/>
      <c r="EO176" s="92"/>
      <c r="EP176" s="92"/>
      <c r="EQ176" s="71"/>
      <c r="ER176" s="43"/>
      <c r="ES176" s="43"/>
      <c r="ET176" s="45"/>
    </row>
    <row r="177" spans="7:154" ht="18" customHeight="1">
      <c r="G177" s="4"/>
      <c r="S177" s="46"/>
      <c r="T177" s="47"/>
      <c r="U177" s="47"/>
      <c r="V177" s="47"/>
      <c r="W177" s="47"/>
      <c r="X177" s="47"/>
      <c r="Y177" s="46"/>
      <c r="Z177" s="47"/>
      <c r="AA177" s="47"/>
      <c r="AB177" s="47"/>
      <c r="AC177" s="48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8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  <c r="CA177" s="15"/>
      <c r="CB177" s="15"/>
      <c r="CC177" s="15"/>
      <c r="CD177" s="16"/>
      <c r="CW177" s="42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107"/>
      <c r="EM177" s="127"/>
      <c r="EN177" s="127"/>
      <c r="EO177" s="127"/>
      <c r="EP177" s="127"/>
      <c r="EQ177" s="90"/>
      <c r="ER177" s="43"/>
      <c r="ES177" s="43"/>
      <c r="ET177" s="45"/>
    </row>
    <row r="178" spans="7:154" ht="18" customHeight="1">
      <c r="G178" s="4"/>
      <c r="CW178" s="9"/>
      <c r="CX178" s="9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10"/>
      <c r="DP178" s="10"/>
      <c r="DQ178" s="10"/>
      <c r="DR178" s="10"/>
      <c r="DS178" s="10"/>
      <c r="DT178" s="10"/>
      <c r="DU178" s="10"/>
      <c r="DV178" s="10"/>
      <c r="DW178" s="10"/>
      <c r="DX178" s="10"/>
      <c r="DY178" s="10"/>
      <c r="DZ178" s="10"/>
      <c r="EA178" s="10"/>
      <c r="EB178" s="10"/>
      <c r="EC178" s="10"/>
      <c r="ED178" s="10"/>
      <c r="EE178" s="10"/>
      <c r="EF178" s="10"/>
      <c r="EG178" s="10"/>
      <c r="EH178" s="10"/>
      <c r="EI178" s="10"/>
      <c r="EJ178" s="10"/>
      <c r="EK178" s="10"/>
      <c r="EL178" s="10"/>
      <c r="EM178" s="10"/>
      <c r="EN178" s="10"/>
      <c r="EO178" s="10"/>
      <c r="EP178" s="10"/>
      <c r="EQ178" s="10"/>
      <c r="ER178" s="10"/>
      <c r="ES178" s="11"/>
      <c r="ET178" s="11"/>
    </row>
    <row r="179" spans="7:154" ht="18" customHeight="1">
      <c r="G179" s="4"/>
      <c r="CW179" s="12"/>
      <c r="CX179" s="12"/>
      <c r="ES179" s="13"/>
      <c r="ET179" s="13"/>
    </row>
    <row r="180" spans="7:154" ht="18" customHeight="1">
      <c r="G180" s="4"/>
      <c r="CW180" s="12"/>
      <c r="CX180" s="12"/>
      <c r="ES180" s="13"/>
      <c r="ET180" s="13"/>
    </row>
    <row r="181" spans="7:154" ht="18" customHeight="1">
      <c r="G181" s="4"/>
      <c r="CW181" s="12"/>
      <c r="CX181" s="12"/>
      <c r="ES181" s="13"/>
      <c r="ET181" s="16"/>
    </row>
    <row r="182" spans="7:154" ht="18" customHeight="1">
      <c r="G182" s="4"/>
      <c r="CW182" s="12"/>
      <c r="CX182" s="12"/>
      <c r="ET182" s="10"/>
      <c r="EU182" s="9"/>
      <c r="EV182" s="11"/>
      <c r="EW182" s="9"/>
      <c r="EX182" s="11"/>
    </row>
    <row r="183" spans="7:154" ht="18" customHeight="1">
      <c r="G183" s="4"/>
      <c r="CW183" s="12"/>
      <c r="CX183" s="12"/>
      <c r="EU183" s="12"/>
      <c r="EV183" s="13"/>
      <c r="EW183" s="12"/>
      <c r="EX183" s="13"/>
    </row>
    <row r="184" spans="7:154" ht="18" customHeight="1">
      <c r="G184" s="4"/>
      <c r="CW184" s="12"/>
      <c r="CX184" s="12"/>
      <c r="EU184" s="12"/>
      <c r="EV184" s="13"/>
      <c r="EW184" s="12"/>
      <c r="EX184" s="13"/>
    </row>
    <row r="185" spans="7:154" ht="18" customHeight="1">
      <c r="G185" s="4"/>
      <c r="CW185" s="12"/>
      <c r="CX185" s="12"/>
      <c r="EU185" s="12"/>
      <c r="EV185" s="13"/>
      <c r="EW185" s="12"/>
      <c r="EX185" s="13"/>
    </row>
    <row r="186" spans="7:154" ht="18" customHeight="1">
      <c r="G186" s="4"/>
      <c r="CW186" s="12"/>
      <c r="CX186" s="12"/>
      <c r="EU186" s="12"/>
      <c r="EV186" s="13"/>
      <c r="EW186" s="12"/>
      <c r="EX186" s="13"/>
    </row>
    <row r="187" spans="7:154" ht="18" customHeight="1">
      <c r="G187" s="4"/>
      <c r="CW187" s="12"/>
      <c r="CX187" s="12"/>
      <c r="EU187" s="12"/>
      <c r="EV187" s="13"/>
      <c r="EW187" s="12"/>
      <c r="EX187" s="13"/>
    </row>
    <row r="188" spans="7:154" ht="18" customHeight="1">
      <c r="G188" s="4"/>
      <c r="CW188" s="12"/>
      <c r="CX188" s="12"/>
      <c r="EU188" s="12"/>
      <c r="EV188" s="13"/>
      <c r="EW188" s="12"/>
      <c r="EX188" s="13"/>
    </row>
    <row r="189" spans="7:154" ht="18" customHeight="1">
      <c r="G189" s="4"/>
      <c r="CW189" s="12"/>
      <c r="CX189" s="12"/>
      <c r="ET189" s="15"/>
      <c r="EU189" s="14"/>
      <c r="EV189" s="16"/>
      <c r="EW189" s="14"/>
      <c r="EX189" s="16"/>
    </row>
    <row r="190" spans="7:154" ht="18" customHeight="1">
      <c r="G190" s="4"/>
      <c r="CW190" s="12"/>
      <c r="CX190" s="12"/>
      <c r="ES190" s="13"/>
      <c r="ET190" s="13"/>
    </row>
    <row r="191" spans="7:154" ht="18" customHeight="1">
      <c r="G191" s="4"/>
      <c r="CW191" s="12"/>
      <c r="CX191" s="12"/>
      <c r="ES191" s="13"/>
      <c r="ET191" s="13"/>
    </row>
    <row r="192" spans="7:154" ht="18" customHeight="1">
      <c r="G192" s="4"/>
      <c r="CW192" s="12"/>
      <c r="CX192" s="12"/>
      <c r="ES192" s="13"/>
      <c r="ET192" s="13"/>
    </row>
    <row r="193" spans="7:150" ht="18" customHeight="1">
      <c r="G193" s="4"/>
      <c r="CW193" s="12"/>
      <c r="CX193" s="14"/>
      <c r="CY193" s="15"/>
      <c r="CZ193" s="15"/>
      <c r="DA193" s="15"/>
      <c r="DB193" s="15"/>
      <c r="DC193" s="15"/>
      <c r="DD193" s="15"/>
      <c r="DE193" s="15"/>
      <c r="DF193" s="15"/>
      <c r="DG193" s="15"/>
      <c r="DH193" s="15"/>
      <c r="DI193" s="15"/>
      <c r="DJ193" s="15"/>
      <c r="DK193" s="15"/>
      <c r="DL193" s="15"/>
      <c r="DM193" s="15"/>
      <c r="DN193" s="15"/>
      <c r="DO193" s="15"/>
      <c r="DP193" s="15"/>
      <c r="DQ193" s="15"/>
      <c r="DR193" s="15"/>
      <c r="DS193" s="15"/>
      <c r="DT193" s="15"/>
      <c r="DU193" s="15"/>
      <c r="DV193" s="15"/>
      <c r="DW193" s="15"/>
      <c r="DX193" s="15"/>
      <c r="DY193" s="15"/>
      <c r="DZ193" s="15"/>
      <c r="EA193" s="15"/>
      <c r="EB193" s="15"/>
      <c r="EC193" s="15"/>
      <c r="ED193" s="15"/>
      <c r="EE193" s="15"/>
      <c r="EF193" s="15"/>
      <c r="EG193" s="15"/>
      <c r="EH193" s="15"/>
      <c r="EI193" s="15"/>
      <c r="EJ193" s="15"/>
      <c r="EK193" s="15"/>
      <c r="EL193" s="15"/>
      <c r="EM193" s="15"/>
      <c r="EN193" s="15"/>
      <c r="EO193" s="15"/>
      <c r="EP193" s="15"/>
      <c r="EQ193" s="15"/>
      <c r="ER193" s="15"/>
      <c r="ES193" s="16"/>
      <c r="ET193" s="13"/>
    </row>
    <row r="194" spans="7:150" ht="18" customHeight="1">
      <c r="G194" s="4"/>
      <c r="CW194" s="14"/>
      <c r="CX194" s="15"/>
      <c r="CY194" s="15"/>
      <c r="CZ194" s="15"/>
      <c r="DA194" s="15"/>
      <c r="DB194" s="15"/>
      <c r="DC194" s="15"/>
      <c r="DD194" s="15"/>
      <c r="DE194" s="15"/>
      <c r="DF194" s="15"/>
      <c r="DG194" s="15"/>
      <c r="DH194" s="15"/>
      <c r="DI194" s="15"/>
      <c r="DJ194" s="15"/>
      <c r="DK194" s="15"/>
      <c r="DL194" s="15"/>
      <c r="DM194" s="15"/>
      <c r="DN194" s="15"/>
      <c r="DO194" s="15"/>
      <c r="DP194" s="15"/>
      <c r="DQ194" s="15"/>
      <c r="DR194" s="15"/>
      <c r="DS194" s="15"/>
      <c r="DT194" s="15"/>
      <c r="DU194" s="15"/>
      <c r="DV194" s="15"/>
      <c r="DW194" s="15"/>
      <c r="DX194" s="15"/>
      <c r="DY194" s="15"/>
      <c r="DZ194" s="15"/>
      <c r="EA194" s="15"/>
      <c r="EB194" s="15"/>
      <c r="EC194" s="15"/>
      <c r="ED194" s="15"/>
      <c r="EE194" s="15"/>
      <c r="EF194" s="15"/>
      <c r="EG194" s="15"/>
      <c r="EH194" s="15"/>
      <c r="EI194" s="15"/>
      <c r="EJ194" s="15"/>
      <c r="EK194" s="15"/>
      <c r="EL194" s="15"/>
      <c r="EM194" s="15"/>
      <c r="EN194" s="15"/>
      <c r="EO194" s="15"/>
      <c r="EP194" s="15"/>
      <c r="EQ194" s="15"/>
      <c r="ER194" s="15"/>
      <c r="ES194" s="15"/>
      <c r="ET194" s="16"/>
    </row>
    <row r="195" spans="7:150" ht="18" customHeight="1">
      <c r="G195" s="4"/>
    </row>
    <row r="196" spans="7:150" ht="18" customHeight="1" thickBot="1">
      <c r="G196" s="6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</row>
    <row r="212" spans="17:247" ht="18" customHeight="1">
      <c r="GP212" s="40"/>
      <c r="GQ212" s="41"/>
      <c r="GR212" s="41"/>
      <c r="GS212" s="41"/>
      <c r="GT212" s="41"/>
      <c r="GU212" s="41"/>
      <c r="GV212" s="41"/>
      <c r="GW212" s="41"/>
      <c r="GX212" s="41"/>
      <c r="GY212" s="41"/>
      <c r="GZ212" s="41"/>
      <c r="HA212" s="41"/>
      <c r="HB212" s="41"/>
      <c r="HC212" s="41"/>
      <c r="HD212" s="41"/>
      <c r="HE212" s="41"/>
      <c r="HF212" s="41"/>
      <c r="HG212" s="40"/>
      <c r="HH212" s="41"/>
      <c r="HI212" s="41"/>
      <c r="HJ212" s="41"/>
      <c r="HK212" s="44"/>
      <c r="HL212" s="41"/>
      <c r="HM212" s="41"/>
      <c r="HN212" s="41"/>
      <c r="HO212" s="41"/>
      <c r="HP212" s="41"/>
      <c r="HQ212" s="41"/>
      <c r="HR212" s="41"/>
      <c r="HS212" s="41"/>
      <c r="HT212" s="40"/>
      <c r="HU212" s="41"/>
      <c r="HV212" s="41"/>
      <c r="HW212" s="44"/>
      <c r="HX212" s="41"/>
      <c r="HY212" s="41"/>
      <c r="HZ212" s="41"/>
      <c r="IA212" s="41"/>
      <c r="IB212" s="41"/>
      <c r="IC212" s="41"/>
      <c r="ID212" s="41"/>
      <c r="IE212" s="40"/>
      <c r="IF212" s="41"/>
      <c r="IG212" s="41"/>
      <c r="IH212" s="44"/>
      <c r="II212" s="41"/>
      <c r="IJ212" s="41"/>
      <c r="IK212" s="41"/>
      <c r="IL212" s="41"/>
      <c r="IM212" s="44"/>
    </row>
    <row r="213" spans="17:247" ht="18" customHeight="1">
      <c r="Q213" s="9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M213" s="10"/>
      <c r="BN213" s="10"/>
      <c r="BO213" s="11"/>
      <c r="CV213" s="40"/>
      <c r="CW213" s="41"/>
      <c r="CX213" s="41"/>
      <c r="CY213" s="41"/>
      <c r="CZ213" s="41"/>
      <c r="DA213" s="41"/>
      <c r="DB213" s="41"/>
      <c r="DC213" s="41"/>
      <c r="DD213" s="41"/>
      <c r="DE213" s="41"/>
      <c r="DF213" s="41"/>
      <c r="DG213" s="41"/>
      <c r="DH213" s="41"/>
      <c r="DI213" s="41"/>
      <c r="DJ213" s="41"/>
      <c r="DK213" s="41"/>
      <c r="DL213" s="41"/>
      <c r="DM213" s="41"/>
      <c r="DN213" s="41"/>
      <c r="DO213" s="41"/>
      <c r="DP213" s="41"/>
      <c r="DQ213" s="41"/>
      <c r="DR213" s="41"/>
      <c r="DS213" s="41"/>
      <c r="DT213" s="41"/>
      <c r="DU213" s="41"/>
      <c r="DV213" s="41"/>
      <c r="DW213" s="41"/>
      <c r="DX213" s="41"/>
      <c r="DY213" s="41"/>
      <c r="DZ213" s="41"/>
      <c r="EA213" s="41"/>
      <c r="EB213" s="41"/>
      <c r="EC213" s="41"/>
      <c r="ED213" s="41"/>
      <c r="EE213" s="41"/>
      <c r="EF213" s="41"/>
      <c r="EG213" s="41"/>
      <c r="EH213" s="41"/>
      <c r="EI213" s="41"/>
      <c r="EJ213" s="41"/>
      <c r="EK213" s="41"/>
      <c r="EL213" s="41"/>
      <c r="EM213" s="41"/>
      <c r="EN213" s="41"/>
      <c r="EO213" s="41"/>
      <c r="EP213" s="41"/>
      <c r="EQ213" s="41"/>
      <c r="ER213" s="41"/>
      <c r="ES213" s="44"/>
      <c r="GP213" s="42"/>
      <c r="GQ213" s="43"/>
      <c r="GR213" s="43"/>
      <c r="GS213" s="43"/>
      <c r="GT213" s="43"/>
      <c r="GU213" s="43"/>
      <c r="GV213" s="43"/>
      <c r="GW213" s="43"/>
      <c r="GX213" s="43"/>
      <c r="GY213" s="43"/>
      <c r="GZ213" s="43"/>
      <c r="HA213" s="43"/>
      <c r="HB213" s="43"/>
      <c r="HC213" s="43"/>
      <c r="HD213" s="43"/>
      <c r="HE213" s="43"/>
      <c r="HF213" s="43"/>
      <c r="HG213" s="40"/>
      <c r="HH213" s="41"/>
      <c r="HI213" s="41"/>
      <c r="HJ213" s="41"/>
      <c r="HK213" s="44"/>
      <c r="HL213" s="43"/>
      <c r="HM213" s="43"/>
      <c r="HN213" s="43"/>
      <c r="HO213" s="43"/>
      <c r="HP213" s="43"/>
      <c r="HQ213" s="43"/>
      <c r="HR213" s="43"/>
      <c r="HS213" s="43"/>
      <c r="HT213" s="123"/>
      <c r="HU213" s="109"/>
      <c r="HV213" s="109"/>
      <c r="HW213" s="124"/>
      <c r="HX213" s="43"/>
      <c r="HY213" s="43"/>
      <c r="HZ213" s="43"/>
      <c r="IA213" s="43"/>
      <c r="IB213" s="43"/>
      <c r="IC213" s="43"/>
      <c r="ID213" s="43"/>
      <c r="IE213" s="123"/>
      <c r="IF213" s="109"/>
      <c r="IG213" s="109"/>
      <c r="IH213" s="124"/>
      <c r="II213" s="43"/>
      <c r="IJ213" s="43"/>
      <c r="IK213" s="43"/>
      <c r="IL213" s="43"/>
      <c r="IM213" s="45"/>
    </row>
    <row r="214" spans="17:247" ht="18" customHeight="1">
      <c r="Q214" s="12"/>
      <c r="BO214" s="13"/>
      <c r="CV214" s="42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  <c r="EA214" s="43"/>
      <c r="EB214" s="43"/>
      <c r="EC214" s="43"/>
      <c r="ED214" s="43"/>
      <c r="EE214" s="43"/>
      <c r="EF214" s="43"/>
      <c r="EG214" s="43"/>
      <c r="EH214" s="43"/>
      <c r="EI214" s="43"/>
      <c r="EJ214" s="43"/>
      <c r="EK214" s="43"/>
      <c r="EL214" s="43"/>
      <c r="EM214" s="43"/>
      <c r="EN214" s="43"/>
      <c r="EO214" s="43"/>
      <c r="EP214" s="43"/>
      <c r="EQ214" s="43"/>
      <c r="ER214" s="43"/>
      <c r="ES214" s="45"/>
      <c r="GP214" s="42"/>
      <c r="GQ214" s="43"/>
      <c r="GR214" s="9"/>
      <c r="GS214" s="10"/>
      <c r="GT214" s="10"/>
      <c r="GU214" s="10"/>
      <c r="GV214" s="10"/>
      <c r="GW214" s="10"/>
      <c r="GX214" s="10"/>
      <c r="GY214" s="10"/>
      <c r="GZ214" s="10"/>
      <c r="HA214" s="10"/>
      <c r="HB214" s="10"/>
      <c r="HC214" s="10"/>
      <c r="HD214" s="10"/>
      <c r="HE214" s="10"/>
      <c r="HF214" s="10"/>
      <c r="HG214" s="10"/>
      <c r="HH214" s="10"/>
      <c r="HI214" s="10"/>
      <c r="HJ214" s="10"/>
      <c r="HK214" s="10"/>
      <c r="HL214" s="10"/>
      <c r="HM214" s="10"/>
      <c r="HN214" s="10"/>
      <c r="HO214" s="10"/>
      <c r="HP214" s="17"/>
      <c r="HQ214" s="10"/>
      <c r="HR214" s="10"/>
      <c r="HS214" s="10"/>
      <c r="HT214" s="10"/>
      <c r="HU214" s="10"/>
      <c r="HV214" s="10"/>
      <c r="HW214" s="10"/>
      <c r="HX214" s="10"/>
      <c r="HY214" s="10"/>
      <c r="HZ214" s="11"/>
      <c r="IA214" s="10"/>
      <c r="IB214" s="9"/>
      <c r="IC214" s="10"/>
      <c r="ID214" s="10"/>
      <c r="IE214" s="10"/>
      <c r="IF214" s="10"/>
      <c r="IG214" s="10"/>
      <c r="IH214" s="10"/>
      <c r="II214" s="10"/>
      <c r="IJ214" s="10"/>
      <c r="IK214" s="11"/>
      <c r="IL214" s="43"/>
      <c r="IM214" s="45"/>
    </row>
    <row r="215" spans="17:247" ht="18" customHeight="1">
      <c r="Q215" s="12"/>
      <c r="S215" s="9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7"/>
      <c r="AT215" s="9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1"/>
      <c r="BO215" s="13"/>
      <c r="CV215" s="42"/>
      <c r="CW215" s="43"/>
      <c r="CX215" s="9"/>
      <c r="CY215" s="10"/>
      <c r="CZ215" s="10"/>
      <c r="DA215" s="10"/>
      <c r="DB215" s="10"/>
      <c r="DC215" s="10"/>
      <c r="DD215" s="10"/>
      <c r="DE215" s="10"/>
      <c r="DF215" s="10"/>
      <c r="DG215" s="10"/>
      <c r="DH215" s="10"/>
      <c r="DI215" s="10"/>
      <c r="DJ215" s="10"/>
      <c r="DK215" s="10"/>
      <c r="DL215" s="10"/>
      <c r="DM215" s="10"/>
      <c r="DN215" s="10"/>
      <c r="DO215" s="10"/>
      <c r="DP215" s="10"/>
      <c r="DQ215" s="10"/>
      <c r="DR215" s="10"/>
      <c r="DS215" s="10"/>
      <c r="DT215" s="10"/>
      <c r="DU215" s="10"/>
      <c r="DV215" s="17"/>
      <c r="DW215" s="10"/>
      <c r="DX215" s="10"/>
      <c r="DY215" s="10"/>
      <c r="DZ215" s="10"/>
      <c r="EA215" s="10"/>
      <c r="EB215" s="10"/>
      <c r="EC215" s="10"/>
      <c r="ED215" s="10"/>
      <c r="EE215" s="10"/>
      <c r="EF215" s="11"/>
      <c r="EG215" s="17"/>
      <c r="EH215" s="9"/>
      <c r="EI215" s="10"/>
      <c r="EJ215" s="10"/>
      <c r="EK215" s="10"/>
      <c r="EL215" s="10"/>
      <c r="EM215" s="10"/>
      <c r="EN215" s="10"/>
      <c r="EO215" s="10"/>
      <c r="EP215" s="10"/>
      <c r="EQ215" s="11"/>
      <c r="ER215" s="43"/>
      <c r="ES215" s="45"/>
      <c r="GP215" s="42"/>
      <c r="GQ215" s="43"/>
      <c r="GR215" s="12"/>
      <c r="HP215" s="18"/>
      <c r="HZ215" s="13"/>
      <c r="IB215" s="12"/>
      <c r="IK215" s="13"/>
      <c r="IL215" s="43"/>
      <c r="IM215" s="45"/>
    </row>
    <row r="216" spans="17:247" ht="18" customHeight="1">
      <c r="Q216" s="12"/>
      <c r="S216" s="12"/>
      <c r="AS216" s="18"/>
      <c r="AT216" s="12"/>
      <c r="BM216" s="13"/>
      <c r="BO216" s="13"/>
      <c r="CV216" s="42"/>
      <c r="CW216" s="43"/>
      <c r="CX216" s="12"/>
      <c r="DS216" s="9"/>
      <c r="DT216" s="10"/>
      <c r="DU216" s="11"/>
      <c r="DV216" s="18"/>
      <c r="EF216" s="13"/>
      <c r="EG216" s="18"/>
      <c r="EH216" s="12"/>
      <c r="EQ216" s="13"/>
      <c r="ER216" s="43"/>
      <c r="ES216" s="45"/>
      <c r="GP216" s="42"/>
      <c r="GQ216" s="43"/>
      <c r="GR216" s="12"/>
      <c r="HP216" s="18"/>
      <c r="HZ216" s="13"/>
      <c r="IB216" s="12"/>
      <c r="IK216" s="13"/>
      <c r="IL216" s="43"/>
      <c r="IM216" s="45"/>
    </row>
    <row r="217" spans="17:247" ht="18" customHeight="1">
      <c r="Q217" s="12"/>
      <c r="S217" s="12"/>
      <c r="AS217" s="18"/>
      <c r="AT217" s="12"/>
      <c r="BM217" s="13"/>
      <c r="BO217" s="13"/>
      <c r="CV217" s="42"/>
      <c r="CW217" s="43"/>
      <c r="CX217" s="12"/>
      <c r="DS217" s="12"/>
      <c r="DU217" s="13"/>
      <c r="DV217" s="18"/>
      <c r="EF217" s="13"/>
      <c r="EG217" s="18"/>
      <c r="EH217" s="12"/>
      <c r="EQ217" s="13"/>
      <c r="ER217" s="43"/>
      <c r="ES217" s="45"/>
      <c r="GP217" s="42"/>
      <c r="GQ217" s="43"/>
      <c r="GR217" s="12"/>
      <c r="HP217" s="18"/>
      <c r="HZ217" s="13"/>
      <c r="IB217" s="12"/>
      <c r="IK217" s="13"/>
      <c r="IL217" s="43"/>
      <c r="IM217" s="45"/>
    </row>
    <row r="218" spans="17:247" ht="18" customHeight="1">
      <c r="Q218" s="12"/>
      <c r="S218" s="12"/>
      <c r="AS218" s="18"/>
      <c r="AT218" s="12"/>
      <c r="BM218" s="13"/>
      <c r="BO218" s="13"/>
      <c r="CV218" s="42"/>
      <c r="CW218" s="43"/>
      <c r="CX218" s="9"/>
      <c r="CY218" s="11"/>
      <c r="DS218" s="12"/>
      <c r="DU218" s="13"/>
      <c r="DV218" s="18"/>
      <c r="EF218" s="13"/>
      <c r="EG218" s="18"/>
      <c r="EH218" s="12"/>
      <c r="EQ218" s="13"/>
      <c r="ER218" s="43"/>
      <c r="ES218" s="45"/>
      <c r="GP218" s="42"/>
      <c r="GQ218" s="43"/>
      <c r="GR218" s="12"/>
      <c r="HP218" s="18"/>
      <c r="HZ218" s="13"/>
      <c r="IB218" s="12"/>
      <c r="IK218" s="13"/>
      <c r="IL218" s="43"/>
      <c r="IM218" s="45"/>
    </row>
    <row r="219" spans="17:247" ht="18" customHeight="1">
      <c r="Q219" s="12"/>
      <c r="S219" s="12"/>
      <c r="AS219" s="18"/>
      <c r="AT219" s="12"/>
      <c r="BM219" s="13"/>
      <c r="BO219" s="13"/>
      <c r="CV219" s="42"/>
      <c r="CW219" s="43"/>
      <c r="CX219" s="12"/>
      <c r="CY219" s="13"/>
      <c r="DS219" s="12"/>
      <c r="DU219" s="13"/>
      <c r="DV219" s="18"/>
      <c r="EF219" s="13"/>
      <c r="EG219" s="18"/>
      <c r="EH219" s="12"/>
      <c r="EQ219" s="13"/>
      <c r="ER219" s="43"/>
      <c r="ES219" s="45"/>
      <c r="GP219" s="42"/>
      <c r="GQ219" s="43"/>
      <c r="GR219" s="12"/>
      <c r="HP219" s="18"/>
      <c r="HZ219" s="13"/>
      <c r="IB219" s="12"/>
      <c r="IK219" s="13"/>
      <c r="IL219" s="43"/>
      <c r="IM219" s="45"/>
    </row>
    <row r="220" spans="17:247" ht="18" customHeight="1">
      <c r="Q220" s="12"/>
      <c r="S220" s="12"/>
      <c r="AS220" s="18"/>
      <c r="AT220" s="12"/>
      <c r="BM220" s="13"/>
      <c r="BO220" s="13"/>
      <c r="CV220" s="42"/>
      <c r="CW220" s="43"/>
      <c r="CX220" s="14"/>
      <c r="CY220" s="16"/>
      <c r="DS220" s="12"/>
      <c r="DU220" s="13"/>
      <c r="DV220" s="18"/>
      <c r="EF220" s="13"/>
      <c r="EG220" s="18"/>
      <c r="EH220" s="12"/>
      <c r="EQ220" s="13"/>
      <c r="ER220" s="43"/>
      <c r="ES220" s="45"/>
      <c r="GP220" s="42"/>
      <c r="GQ220" s="43"/>
      <c r="GR220" s="12"/>
      <c r="HP220" s="18"/>
      <c r="HZ220" s="13"/>
      <c r="IB220" s="12"/>
      <c r="IK220" s="13"/>
      <c r="IL220" s="43"/>
      <c r="IM220" s="45"/>
    </row>
    <row r="221" spans="17:247" ht="18" customHeight="1">
      <c r="Q221" s="12"/>
      <c r="S221" s="12"/>
      <c r="AS221" s="18"/>
      <c r="AT221" s="12"/>
      <c r="BM221" s="13"/>
      <c r="BO221" s="13"/>
      <c r="CV221" s="42"/>
      <c r="CW221" s="43"/>
      <c r="CX221" s="9"/>
      <c r="CY221" s="10"/>
      <c r="CZ221" s="10"/>
      <c r="DA221" s="10"/>
      <c r="DB221" s="10"/>
      <c r="DC221" s="10"/>
      <c r="DD221" s="10"/>
      <c r="DE221" s="10"/>
      <c r="DF221" s="10"/>
      <c r="DG221" s="10"/>
      <c r="DH221" s="10"/>
      <c r="DI221" s="11"/>
      <c r="DS221" s="12"/>
      <c r="DU221" s="13"/>
      <c r="DV221" s="18"/>
      <c r="EF221" s="13"/>
      <c r="EG221" s="18"/>
      <c r="EH221" s="12"/>
      <c r="EQ221" s="13"/>
      <c r="ER221" s="43"/>
      <c r="ES221" s="45"/>
      <c r="GP221" s="42"/>
      <c r="GQ221" s="43"/>
      <c r="GR221" s="12"/>
      <c r="HP221" s="18"/>
      <c r="HQ221" s="15"/>
      <c r="HR221" s="15"/>
      <c r="HS221" s="15"/>
      <c r="HT221" s="15"/>
      <c r="HU221" s="15"/>
      <c r="HV221" s="15"/>
      <c r="HW221" s="15"/>
      <c r="HX221" s="15"/>
      <c r="HY221" s="15"/>
      <c r="HZ221" s="16"/>
      <c r="IB221" s="14"/>
      <c r="IC221" s="15"/>
      <c r="ID221" s="15"/>
      <c r="IE221" s="15"/>
      <c r="IF221" s="15"/>
      <c r="IG221" s="15"/>
      <c r="IH221" s="15"/>
      <c r="II221" s="15"/>
      <c r="IJ221" s="15"/>
      <c r="IK221" s="16"/>
      <c r="IL221" s="43"/>
      <c r="IM221" s="45"/>
    </row>
    <row r="222" spans="17:247" ht="18" customHeight="1">
      <c r="Q222" s="12"/>
      <c r="S222" s="12"/>
      <c r="AS222" s="18"/>
      <c r="AT222" s="12"/>
      <c r="BM222" s="13"/>
      <c r="BO222" s="13"/>
      <c r="CV222" s="42"/>
      <c r="CW222" s="43"/>
      <c r="CX222" s="12"/>
      <c r="DI222" s="13"/>
      <c r="DS222" s="12"/>
      <c r="DU222" s="13"/>
      <c r="DV222" s="18"/>
      <c r="DW222" s="15"/>
      <c r="DX222" s="15"/>
      <c r="DY222" s="15"/>
      <c r="DZ222" s="15"/>
      <c r="EA222" s="15"/>
      <c r="EB222" s="15"/>
      <c r="EC222" s="15"/>
      <c r="ED222" s="15"/>
      <c r="EE222" s="15"/>
      <c r="EF222" s="16"/>
      <c r="EG222" s="18"/>
      <c r="EH222" s="14"/>
      <c r="EI222" s="15"/>
      <c r="EJ222" s="15"/>
      <c r="EK222" s="15"/>
      <c r="EL222" s="15"/>
      <c r="EM222" s="15"/>
      <c r="EN222" s="15"/>
      <c r="EO222" s="15"/>
      <c r="EP222" s="15"/>
      <c r="EQ222" s="16"/>
      <c r="ER222" s="43"/>
      <c r="ES222" s="45"/>
      <c r="GP222" s="42"/>
      <c r="GQ222" s="43"/>
      <c r="GR222" s="12"/>
      <c r="HP222" s="18"/>
      <c r="HV222" s="9"/>
      <c r="HW222" s="10"/>
      <c r="HX222" s="10"/>
      <c r="HY222" s="10"/>
      <c r="HZ222" s="11"/>
      <c r="IB222" s="9"/>
      <c r="IC222" s="10"/>
      <c r="ID222" s="10"/>
      <c r="IE222" s="10"/>
      <c r="IF222" s="11"/>
      <c r="IK222" s="13"/>
      <c r="IL222" s="43"/>
      <c r="IM222" s="45"/>
    </row>
    <row r="223" spans="17:247" ht="18" customHeight="1">
      <c r="Q223" s="12"/>
      <c r="S223" s="12"/>
      <c r="AS223" s="18"/>
      <c r="AT223" s="12"/>
      <c r="BM223" s="13"/>
      <c r="BO223" s="13"/>
      <c r="CV223" s="42"/>
      <c r="CW223" s="43"/>
      <c r="CX223" s="12"/>
      <c r="DI223" s="13"/>
      <c r="DS223" s="12"/>
      <c r="DU223" s="13"/>
      <c r="DV223" s="18"/>
      <c r="EB223" s="9"/>
      <c r="EC223" s="10"/>
      <c r="ED223" s="10"/>
      <c r="EE223" s="10"/>
      <c r="EF223" s="11"/>
      <c r="EG223" s="18"/>
      <c r="EH223" s="9"/>
      <c r="EI223" s="10"/>
      <c r="EJ223" s="10"/>
      <c r="EK223" s="10"/>
      <c r="EL223" s="11"/>
      <c r="EQ223" s="13"/>
      <c r="ER223" s="43"/>
      <c r="ES223" s="45"/>
      <c r="GP223" s="42"/>
      <c r="GQ223" s="43"/>
      <c r="GR223" s="12"/>
      <c r="HP223" s="18"/>
      <c r="HV223" s="12"/>
      <c r="HZ223" s="13"/>
      <c r="IB223" s="12"/>
      <c r="IF223" s="13"/>
      <c r="IK223" s="13"/>
      <c r="IL223" s="43"/>
      <c r="IM223" s="45"/>
    </row>
    <row r="224" spans="17:247" ht="18" customHeight="1">
      <c r="Q224" s="12"/>
      <c r="S224" s="12"/>
      <c r="AS224" s="18"/>
      <c r="AT224" s="12"/>
      <c r="BM224" s="13"/>
      <c r="BO224" s="13"/>
      <c r="CV224" s="42"/>
      <c r="CW224" s="43"/>
      <c r="CX224" s="12"/>
      <c r="DI224" s="13"/>
      <c r="DS224" s="12"/>
      <c r="DU224" s="13"/>
      <c r="DV224" s="18"/>
      <c r="EB224" s="12"/>
      <c r="EF224" s="13"/>
      <c r="EG224" s="18"/>
      <c r="EH224" s="12"/>
      <c r="EL224" s="13"/>
      <c r="EQ224" s="13"/>
      <c r="ER224" s="43"/>
      <c r="ES224" s="45"/>
      <c r="GP224" s="42"/>
      <c r="GQ224" s="43"/>
      <c r="GR224" s="12"/>
      <c r="HP224" s="18"/>
      <c r="HV224" s="12"/>
      <c r="HZ224" s="13"/>
      <c r="IB224" s="12"/>
      <c r="IF224" s="13"/>
      <c r="IK224" s="13"/>
      <c r="IL224" s="43"/>
      <c r="IM224" s="45"/>
    </row>
    <row r="225" spans="17:247" ht="18" customHeight="1">
      <c r="Q225" s="12"/>
      <c r="S225" s="12"/>
      <c r="AS225" s="18"/>
      <c r="AT225" s="12"/>
      <c r="BM225" s="13"/>
      <c r="BO225" s="13"/>
      <c r="CV225" s="42"/>
      <c r="CW225" s="43"/>
      <c r="CX225" s="12"/>
      <c r="DI225" s="13"/>
      <c r="DS225" s="14"/>
      <c r="DT225" s="15"/>
      <c r="DU225" s="16"/>
      <c r="DV225" s="18"/>
      <c r="EB225" s="12"/>
      <c r="EF225" s="13"/>
      <c r="EG225" s="18"/>
      <c r="EH225" s="12"/>
      <c r="EL225" s="13"/>
      <c r="EQ225" s="13"/>
      <c r="ER225" s="43"/>
      <c r="ES225" s="45"/>
      <c r="GP225" s="42"/>
      <c r="GQ225" s="43"/>
      <c r="GR225" s="12"/>
      <c r="HP225" s="18"/>
      <c r="HV225" s="12"/>
      <c r="HZ225" s="13"/>
      <c r="IB225" s="12"/>
      <c r="IF225" s="13"/>
      <c r="IK225" s="13"/>
      <c r="IL225" s="43"/>
      <c r="IM225" s="45"/>
    </row>
    <row r="226" spans="17:247" ht="18" customHeight="1">
      <c r="Q226" s="12"/>
      <c r="S226" s="12"/>
      <c r="AS226" s="18"/>
      <c r="AT226" s="12"/>
      <c r="BM226" s="13"/>
      <c r="BO226" s="13"/>
      <c r="CV226" s="42"/>
      <c r="CW226" s="43"/>
      <c r="CX226" s="12"/>
      <c r="DI226" s="13"/>
      <c r="DV226" s="18"/>
      <c r="EB226" s="12"/>
      <c r="EF226" s="13"/>
      <c r="EG226" s="18"/>
      <c r="EH226" s="12"/>
      <c r="EL226" s="13"/>
      <c r="EQ226" s="13"/>
      <c r="ER226" s="43"/>
      <c r="ES226" s="45"/>
      <c r="GP226" s="42"/>
      <c r="GQ226" s="43"/>
      <c r="GR226" s="12"/>
      <c r="HP226" s="18"/>
      <c r="HV226" s="14"/>
      <c r="HW226" s="15"/>
      <c r="HX226" s="15"/>
      <c r="HY226" s="15"/>
      <c r="HZ226" s="16"/>
      <c r="IB226" s="14"/>
      <c r="IC226" s="15"/>
      <c r="ID226" s="15"/>
      <c r="IE226" s="15"/>
      <c r="IF226" s="16"/>
      <c r="IK226" s="13"/>
      <c r="IL226" s="43"/>
      <c r="IM226" s="45"/>
    </row>
    <row r="227" spans="17:247" ht="18" customHeight="1">
      <c r="Q227" s="12"/>
      <c r="S227" s="12"/>
      <c r="AS227" s="18"/>
      <c r="AT227" s="12"/>
      <c r="BM227" s="13"/>
      <c r="BO227" s="13"/>
      <c r="CV227" s="42"/>
      <c r="CW227" s="43"/>
      <c r="CX227" s="12"/>
      <c r="DI227" s="13"/>
      <c r="DV227" s="24"/>
      <c r="EB227" s="14"/>
      <c r="EC227" s="15"/>
      <c r="ED227" s="15"/>
      <c r="EE227" s="15"/>
      <c r="EF227" s="16"/>
      <c r="EG227" s="18"/>
      <c r="EH227" s="14"/>
      <c r="EI227" s="15"/>
      <c r="EJ227" s="15"/>
      <c r="EK227" s="15"/>
      <c r="EL227" s="16"/>
      <c r="EQ227" s="13"/>
      <c r="ER227" s="43"/>
      <c r="ES227" s="45"/>
      <c r="GP227" s="42"/>
      <c r="GQ227" s="43"/>
      <c r="GR227" s="12"/>
      <c r="HP227" s="18"/>
      <c r="HV227" s="12"/>
      <c r="HZ227" s="13"/>
      <c r="IB227" s="12"/>
      <c r="IF227" s="13"/>
      <c r="IK227" s="13"/>
      <c r="IL227" s="43"/>
      <c r="IM227" s="45"/>
    </row>
    <row r="228" spans="17:247" ht="18" customHeight="1">
      <c r="Q228" s="12"/>
      <c r="S228" s="12"/>
      <c r="AS228" s="18"/>
      <c r="AT228" s="12"/>
      <c r="BM228" s="13"/>
      <c r="BO228" s="13"/>
      <c r="CV228" s="42"/>
      <c r="CW228" s="43"/>
      <c r="CX228" s="12"/>
      <c r="DI228" s="13"/>
      <c r="DV228" s="24"/>
      <c r="EB228" s="12"/>
      <c r="EF228" s="13"/>
      <c r="EG228" s="18"/>
      <c r="EH228" s="12"/>
      <c r="EL228" s="13"/>
      <c r="EQ228" s="13"/>
      <c r="ER228" s="43"/>
      <c r="ES228" s="45"/>
      <c r="GP228" s="42"/>
      <c r="GQ228" s="43"/>
      <c r="GR228" s="12"/>
      <c r="HP228" s="18"/>
      <c r="HV228" s="12"/>
      <c r="HZ228" s="13"/>
      <c r="IB228" s="12"/>
      <c r="IF228" s="13"/>
      <c r="IK228" s="13"/>
      <c r="IL228" s="43"/>
      <c r="IM228" s="45"/>
    </row>
    <row r="229" spans="17:247" ht="18" customHeight="1">
      <c r="Q229" s="12"/>
      <c r="S229" s="12"/>
      <c r="AS229" s="18"/>
      <c r="AT229" s="12"/>
      <c r="BM229" s="13"/>
      <c r="BO229" s="13"/>
      <c r="CV229" s="42"/>
      <c r="CW229" s="43"/>
      <c r="CX229" s="12"/>
      <c r="DI229" s="13"/>
      <c r="DV229" s="24"/>
      <c r="EB229" s="12"/>
      <c r="EC229" s="32"/>
      <c r="ED229" s="32"/>
      <c r="EF229" s="13"/>
      <c r="EG229" s="18"/>
      <c r="EH229" s="12"/>
      <c r="EJ229" s="32"/>
      <c r="EK229" s="32"/>
      <c r="EL229" s="13"/>
      <c r="EQ229" s="13"/>
      <c r="ER229" s="43"/>
      <c r="ES229" s="45"/>
      <c r="GP229" s="42"/>
      <c r="GQ229" s="43"/>
      <c r="GR229" s="12"/>
      <c r="HP229" s="18"/>
      <c r="HV229" s="12"/>
      <c r="HZ229" s="13"/>
      <c r="IB229" s="12"/>
      <c r="IF229" s="13"/>
      <c r="IK229" s="13"/>
      <c r="IL229" s="43"/>
      <c r="IM229" s="45"/>
    </row>
    <row r="230" spans="17:247" ht="18" customHeight="1">
      <c r="Q230" s="12"/>
      <c r="S230" s="12"/>
      <c r="AS230" s="18"/>
      <c r="AT230" s="12"/>
      <c r="BM230" s="13"/>
      <c r="BO230" s="13"/>
      <c r="CV230" s="42"/>
      <c r="CW230" s="43"/>
      <c r="CX230" s="12"/>
      <c r="DI230" s="13"/>
      <c r="DV230" s="24"/>
      <c r="EB230" s="12"/>
      <c r="EC230" s="32"/>
      <c r="ED230" s="32"/>
      <c r="EF230" s="13"/>
      <c r="EG230" s="18"/>
      <c r="EH230" s="12"/>
      <c r="EJ230" s="32"/>
      <c r="EK230" s="32"/>
      <c r="EL230" s="13"/>
      <c r="EQ230" s="13"/>
      <c r="ER230" s="43"/>
      <c r="ES230" s="45"/>
      <c r="GP230" s="42"/>
      <c r="GQ230" s="43"/>
      <c r="GR230" s="12"/>
      <c r="HP230" s="18"/>
      <c r="HV230" s="12"/>
      <c r="HZ230" s="13"/>
      <c r="IB230" s="12"/>
      <c r="IF230" s="13"/>
      <c r="IK230" s="13"/>
      <c r="IL230" s="43"/>
      <c r="IM230" s="45"/>
    </row>
    <row r="231" spans="17:247" ht="18" customHeight="1">
      <c r="Q231" s="12"/>
      <c r="S231" s="12"/>
      <c r="AS231" s="18"/>
      <c r="AT231" s="12"/>
      <c r="BM231" s="13"/>
      <c r="BO231" s="13"/>
      <c r="CV231" s="42"/>
      <c r="CW231" s="43"/>
      <c r="CX231" s="12"/>
      <c r="DI231" s="13"/>
      <c r="DV231" s="24"/>
      <c r="EB231" s="12"/>
      <c r="EC231" s="32"/>
      <c r="ED231" s="32"/>
      <c r="EF231" s="13"/>
      <c r="EG231" s="18"/>
      <c r="EH231" s="12"/>
      <c r="EJ231" s="32"/>
      <c r="EK231" s="32"/>
      <c r="EL231" s="13"/>
      <c r="EQ231" s="13"/>
      <c r="ER231" s="43"/>
      <c r="ES231" s="45"/>
      <c r="GP231" s="42"/>
      <c r="GQ231" s="43"/>
      <c r="GR231" s="12"/>
      <c r="HP231" s="18"/>
      <c r="HQ231" s="15"/>
      <c r="HR231" s="15"/>
      <c r="HS231" s="15"/>
      <c r="HT231" s="15"/>
      <c r="HU231" s="15"/>
      <c r="HV231" s="14"/>
      <c r="HW231" s="15"/>
      <c r="HX231" s="15"/>
      <c r="HY231" s="15"/>
      <c r="HZ231" s="16"/>
      <c r="IB231" s="14"/>
      <c r="IC231" s="15"/>
      <c r="ID231" s="15"/>
      <c r="IE231" s="15"/>
      <c r="IF231" s="16"/>
      <c r="IG231" s="15"/>
      <c r="IH231" s="15"/>
      <c r="II231" s="15"/>
      <c r="IJ231" s="15"/>
      <c r="IK231" s="16"/>
      <c r="IL231" s="43"/>
      <c r="IM231" s="45"/>
    </row>
    <row r="232" spans="17:247" ht="18" customHeight="1">
      <c r="Q232" s="12"/>
      <c r="S232" s="12"/>
      <c r="AS232" s="18"/>
      <c r="AT232" s="12"/>
      <c r="BM232" s="13"/>
      <c r="BO232" s="13"/>
      <c r="CV232" s="42"/>
      <c r="CW232" s="43"/>
      <c r="CX232" s="14"/>
      <c r="CY232" s="15"/>
      <c r="CZ232" s="15"/>
      <c r="DA232" s="15"/>
      <c r="DB232" s="15"/>
      <c r="DC232" s="15"/>
      <c r="DD232" s="15"/>
      <c r="DE232" s="15"/>
      <c r="DF232" s="15"/>
      <c r="DG232" s="15"/>
      <c r="DH232" s="15"/>
      <c r="DI232" s="16"/>
      <c r="DV232" s="18"/>
      <c r="DW232" s="15"/>
      <c r="DX232" s="15"/>
      <c r="DY232" s="15"/>
      <c r="DZ232" s="15"/>
      <c r="EA232" s="15"/>
      <c r="EB232" s="14"/>
      <c r="EC232" s="15"/>
      <c r="ED232" s="15"/>
      <c r="EE232" s="15"/>
      <c r="EF232" s="16"/>
      <c r="EG232" s="19"/>
      <c r="EH232" s="14"/>
      <c r="EI232" s="15"/>
      <c r="EJ232" s="15"/>
      <c r="EK232" s="15"/>
      <c r="EL232" s="16"/>
      <c r="EM232" s="15"/>
      <c r="EN232" s="15"/>
      <c r="EO232" s="15"/>
      <c r="EP232" s="15"/>
      <c r="EQ232" s="16"/>
      <c r="ER232" s="43"/>
      <c r="ES232" s="45"/>
      <c r="GP232" s="40"/>
      <c r="GQ232" s="40"/>
      <c r="GR232" s="12"/>
      <c r="HG232" s="9"/>
      <c r="HH232" s="10"/>
      <c r="HI232" s="10"/>
      <c r="HJ232" s="10"/>
      <c r="HK232" s="10"/>
      <c r="HL232" s="10"/>
      <c r="HM232" s="10"/>
      <c r="HN232" s="10"/>
      <c r="HO232" s="11"/>
      <c r="HP232" s="18"/>
      <c r="HQ232" s="15"/>
      <c r="HR232" s="15"/>
      <c r="HS232" s="15"/>
      <c r="HT232" s="15"/>
      <c r="HU232" s="15"/>
      <c r="HV232" s="15"/>
      <c r="HW232" s="15"/>
      <c r="HX232" s="15"/>
      <c r="HY232" s="15"/>
      <c r="HZ232" s="15"/>
      <c r="IA232" s="15"/>
      <c r="IB232" s="15"/>
      <c r="IC232" s="15"/>
      <c r="ID232" s="15"/>
      <c r="IE232" s="15"/>
      <c r="IF232" s="15"/>
      <c r="IG232" s="15"/>
      <c r="IH232" s="15"/>
      <c r="II232" s="15"/>
      <c r="IJ232" s="15"/>
      <c r="IK232" s="22"/>
      <c r="IL232" s="43"/>
      <c r="IM232" s="45"/>
    </row>
    <row r="233" spans="17:247" ht="18" customHeight="1">
      <c r="Q233" s="12"/>
      <c r="S233" s="12"/>
      <c r="AS233" s="18"/>
      <c r="AT233" s="12"/>
      <c r="BM233" s="13"/>
      <c r="BO233" s="13"/>
      <c r="CV233" s="42"/>
      <c r="CW233" s="43"/>
      <c r="CX233" s="9"/>
      <c r="CY233" s="11"/>
      <c r="DV233" s="18"/>
      <c r="DW233" s="15"/>
      <c r="DX233" s="15"/>
      <c r="DY233" s="15"/>
      <c r="DZ233" s="15"/>
      <c r="EA233" s="15"/>
      <c r="EB233" s="15"/>
      <c r="EC233" s="15"/>
      <c r="ED233" s="15"/>
      <c r="EE233" s="15"/>
      <c r="EF233" s="15"/>
      <c r="EG233" s="15"/>
      <c r="EH233" s="15"/>
      <c r="EI233" s="15"/>
      <c r="EJ233" s="15"/>
      <c r="EK233" s="15"/>
      <c r="EL233" s="100"/>
      <c r="EM233" s="100"/>
      <c r="EN233" s="100"/>
      <c r="EO233" s="100"/>
      <c r="EP233" s="100"/>
      <c r="EQ233" s="22"/>
      <c r="ER233" s="43"/>
      <c r="ES233" s="45"/>
      <c r="GP233" s="42"/>
      <c r="GQ233" s="42"/>
      <c r="GR233" s="12"/>
      <c r="HG233" s="12"/>
      <c r="HH233" s="9"/>
      <c r="HI233" s="10"/>
      <c r="HJ233" s="10"/>
      <c r="HK233" s="10"/>
      <c r="HL233" s="10"/>
      <c r="HM233" s="10"/>
      <c r="HN233" s="10"/>
      <c r="HO233" s="11"/>
      <c r="HP233" s="18"/>
      <c r="HQ233" s="10"/>
      <c r="HR233" s="10"/>
      <c r="HS233" s="10"/>
      <c r="HT233" s="10"/>
      <c r="HU233" s="10"/>
      <c r="HV233" s="10"/>
      <c r="HW233" s="10"/>
      <c r="HX233" s="10"/>
      <c r="HY233" s="10"/>
      <c r="HZ233" s="10"/>
      <c r="IA233" s="10"/>
      <c r="IB233" s="10"/>
      <c r="IC233" s="10"/>
      <c r="ID233" s="10"/>
      <c r="IE233" s="10"/>
      <c r="IF233" s="10"/>
      <c r="IG233" s="10"/>
      <c r="IH233" s="10"/>
      <c r="II233" s="10"/>
      <c r="IJ233" s="10"/>
      <c r="IK233" s="11"/>
      <c r="IL233" s="43"/>
      <c r="IM233" s="45"/>
    </row>
    <row r="234" spans="17:247" ht="18" customHeight="1">
      <c r="Q234" s="12"/>
      <c r="S234" s="12"/>
      <c r="AS234" s="18"/>
      <c r="AT234" s="12"/>
      <c r="BM234" s="13"/>
      <c r="BO234" s="13"/>
      <c r="CV234" s="42"/>
      <c r="CW234" s="43"/>
      <c r="CX234" s="12"/>
      <c r="CY234" s="13"/>
      <c r="DV234" s="18"/>
      <c r="DW234" s="10"/>
      <c r="DX234" s="10"/>
      <c r="DY234" s="10"/>
      <c r="DZ234" s="10"/>
      <c r="EA234" s="10"/>
      <c r="EB234" s="10"/>
      <c r="EC234" s="10"/>
      <c r="ED234" s="9"/>
      <c r="EE234" s="38"/>
      <c r="EF234" s="38"/>
      <c r="EG234" s="11"/>
      <c r="EH234" s="10"/>
      <c r="EI234" s="10"/>
      <c r="EJ234" s="10"/>
      <c r="EK234" s="10"/>
      <c r="EL234" s="10"/>
      <c r="EM234" s="10"/>
      <c r="EN234" s="10"/>
      <c r="EO234" s="10"/>
      <c r="EP234" s="10"/>
      <c r="EQ234" s="11"/>
      <c r="ER234" s="43"/>
      <c r="ES234" s="45"/>
      <c r="GP234" s="42"/>
      <c r="GQ234" s="42"/>
      <c r="GR234" s="12"/>
      <c r="HG234" s="12"/>
      <c r="HH234" s="12"/>
      <c r="HO234" s="13"/>
      <c r="HP234" s="18"/>
      <c r="IK234" s="13"/>
      <c r="IL234" s="44"/>
      <c r="IM234" s="44"/>
    </row>
    <row r="235" spans="17:247" ht="18" customHeight="1">
      <c r="Q235" s="12"/>
      <c r="S235" s="12"/>
      <c r="AS235" s="18"/>
      <c r="AT235" s="12"/>
      <c r="BM235" s="13"/>
      <c r="BO235" s="13"/>
      <c r="CV235" s="42"/>
      <c r="CW235" s="43"/>
      <c r="CX235" s="14"/>
      <c r="CY235" s="16"/>
      <c r="DV235" s="24"/>
      <c r="ED235" s="12"/>
      <c r="EE235" s="32"/>
      <c r="EF235" s="32"/>
      <c r="EG235" s="13"/>
      <c r="EQ235" s="13"/>
      <c r="ER235" s="43"/>
      <c r="ES235" s="45"/>
      <c r="GP235" s="42"/>
      <c r="GQ235" s="42"/>
      <c r="GR235" s="12"/>
      <c r="HG235" s="12"/>
      <c r="HH235" s="12"/>
      <c r="HO235" s="13"/>
      <c r="HP235" s="18"/>
      <c r="IK235" s="13"/>
      <c r="IL235" s="45"/>
      <c r="IM235" s="45"/>
    </row>
    <row r="236" spans="17:247" ht="18" customHeight="1">
      <c r="Q236" s="12"/>
      <c r="S236" s="12"/>
      <c r="AS236" s="18"/>
      <c r="AT236" s="12"/>
      <c r="BM236" s="13"/>
      <c r="BO236" s="13"/>
      <c r="CV236" s="42"/>
      <c r="CW236" s="43"/>
      <c r="CX236" s="12"/>
      <c r="DV236" s="24"/>
      <c r="ED236" s="14"/>
      <c r="EE236" s="15"/>
      <c r="EF236" s="15"/>
      <c r="EG236" s="16"/>
      <c r="EQ236" s="13"/>
      <c r="ER236" s="43"/>
      <c r="ES236" s="45"/>
      <c r="GP236" s="42"/>
      <c r="GQ236" s="42"/>
      <c r="GR236" s="12"/>
      <c r="HG236" s="12"/>
      <c r="HH236" s="12"/>
      <c r="HO236" s="13"/>
      <c r="HP236" s="18"/>
      <c r="IK236" s="13"/>
      <c r="IL236" s="45"/>
      <c r="IM236" s="45"/>
    </row>
    <row r="237" spans="17:247" ht="18" customHeight="1">
      <c r="Q237" s="12"/>
      <c r="S237" s="12"/>
      <c r="AS237" s="18"/>
      <c r="AT237" s="12"/>
      <c r="BM237" s="13"/>
      <c r="BO237" s="13"/>
      <c r="CV237" s="42"/>
      <c r="CW237" s="43"/>
      <c r="CX237" s="12"/>
      <c r="DV237" s="24"/>
      <c r="EQ237" s="13"/>
      <c r="ER237" s="125"/>
      <c r="ES237" s="125"/>
      <c r="GP237" s="46"/>
      <c r="GQ237" s="46"/>
      <c r="GR237" s="12"/>
      <c r="HG237" s="12"/>
      <c r="HH237" s="12"/>
      <c r="HO237" s="13"/>
      <c r="HP237" s="18"/>
      <c r="IK237" s="13"/>
      <c r="IL237" s="45"/>
      <c r="IM237" s="45"/>
    </row>
    <row r="238" spans="17:247" ht="18" customHeight="1">
      <c r="Q238" s="12"/>
      <c r="S238" s="12"/>
      <c r="AS238" s="18"/>
      <c r="AT238" s="12"/>
      <c r="BM238" s="13"/>
      <c r="BO238" s="13"/>
      <c r="CV238" s="42"/>
      <c r="CW238" s="43"/>
      <c r="CX238" s="12"/>
      <c r="DV238" s="24"/>
      <c r="EQ238" s="13"/>
      <c r="ER238" s="108"/>
      <c r="ES238" s="108"/>
      <c r="GP238" s="42"/>
      <c r="GQ238" s="43"/>
      <c r="GR238" s="12"/>
      <c r="HG238" s="12"/>
      <c r="HH238" s="12"/>
      <c r="HO238" s="13"/>
      <c r="HP238" s="18"/>
      <c r="IK238" s="13"/>
      <c r="IL238" s="48"/>
      <c r="IM238" s="48"/>
    </row>
    <row r="239" spans="17:247" ht="18" customHeight="1">
      <c r="Q239" s="12"/>
      <c r="S239" s="20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7"/>
      <c r="AF239" s="27"/>
      <c r="AG239" s="27"/>
      <c r="AH239" s="27"/>
      <c r="AI239" s="27"/>
      <c r="AJ239" s="21"/>
      <c r="AK239" s="10"/>
      <c r="AL239" s="21"/>
      <c r="AM239" s="27"/>
      <c r="AN239" s="27"/>
      <c r="AO239" s="27"/>
      <c r="AP239" s="27"/>
      <c r="AQ239" s="27"/>
      <c r="AR239" s="21"/>
      <c r="AS239" s="131"/>
      <c r="AT239" s="20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7"/>
      <c r="BI239" s="27"/>
      <c r="BJ239" s="27"/>
      <c r="BK239" s="27"/>
      <c r="BL239" s="27"/>
      <c r="BM239" s="22"/>
      <c r="BO239" s="13"/>
      <c r="CV239" s="42"/>
      <c r="CW239" s="43"/>
      <c r="CX239" s="12"/>
      <c r="DV239" s="24"/>
      <c r="EQ239" s="13"/>
      <c r="ER239" s="108"/>
      <c r="ES239" s="108"/>
      <c r="GP239" s="42"/>
      <c r="GQ239" s="42"/>
      <c r="GR239" s="12"/>
      <c r="HG239" s="12"/>
      <c r="HH239" s="12"/>
      <c r="HO239" s="13"/>
      <c r="HP239" s="18"/>
      <c r="IK239" s="13"/>
      <c r="IL239" s="43"/>
      <c r="IM239" s="45"/>
    </row>
    <row r="240" spans="17:247" ht="18" customHeight="1">
      <c r="Q240" s="12"/>
      <c r="S240" s="12"/>
      <c r="AK240" s="17"/>
      <c r="BM240" s="13"/>
      <c r="BO240" s="13"/>
      <c r="CV240" s="42"/>
      <c r="CW240" s="43"/>
      <c r="CX240" s="14"/>
      <c r="CY240" s="15"/>
      <c r="CZ240" s="15"/>
      <c r="DA240" s="15"/>
      <c r="DB240" s="15"/>
      <c r="DC240" s="15"/>
      <c r="DD240" s="15"/>
      <c r="DE240" s="15"/>
      <c r="DF240" s="15"/>
      <c r="DG240" s="15"/>
      <c r="DH240" s="15"/>
      <c r="DI240" s="15"/>
      <c r="DJ240" s="15"/>
      <c r="DK240" s="15"/>
      <c r="DL240" s="15"/>
      <c r="DM240" s="15"/>
      <c r="DN240" s="15"/>
      <c r="DO240" s="15"/>
      <c r="DP240" s="15"/>
      <c r="DQ240" s="15"/>
      <c r="DR240" s="15"/>
      <c r="DS240" s="15"/>
      <c r="DT240" s="15"/>
      <c r="DU240" s="15"/>
      <c r="DV240" s="18"/>
      <c r="EQ240" s="13"/>
      <c r="ER240" s="108"/>
      <c r="ES240" s="108"/>
      <c r="GP240" s="42"/>
      <c r="GQ240" s="42"/>
      <c r="GR240" s="14"/>
      <c r="GS240" s="15"/>
      <c r="GT240" s="15"/>
      <c r="GU240" s="15"/>
      <c r="GV240" s="15"/>
      <c r="GW240" s="15"/>
      <c r="GX240" s="15"/>
      <c r="GY240" s="15"/>
      <c r="GZ240" s="15"/>
      <c r="HA240" s="15"/>
      <c r="HB240" s="15"/>
      <c r="HC240" s="15"/>
      <c r="HD240" s="15"/>
      <c r="HE240" s="15"/>
      <c r="HF240" s="15"/>
      <c r="HG240" s="14"/>
      <c r="HH240" s="14"/>
      <c r="HI240" s="15"/>
      <c r="HJ240" s="15"/>
      <c r="HK240" s="15"/>
      <c r="HL240" s="15"/>
      <c r="HM240" s="15"/>
      <c r="HN240" s="15"/>
      <c r="HO240" s="16"/>
      <c r="HP240" s="18"/>
      <c r="HQ240" s="15"/>
      <c r="HR240" s="15"/>
      <c r="IK240" s="13"/>
      <c r="IL240" s="43" t="s">
        <v>6</v>
      </c>
      <c r="IM240" s="45"/>
    </row>
    <row r="241" spans="17:264" ht="18" customHeight="1">
      <c r="Q241" s="12"/>
      <c r="S241" s="12"/>
      <c r="W241" s="128"/>
      <c r="X241" s="99"/>
      <c r="AB241" s="129"/>
      <c r="AH241" s="128"/>
      <c r="AK241" s="18"/>
      <c r="BM241" s="13"/>
      <c r="BO241" s="13"/>
      <c r="CV241" s="42"/>
      <c r="CW241" s="43"/>
      <c r="CX241" s="20"/>
      <c r="CY241" s="21"/>
      <c r="CZ241" s="21"/>
      <c r="DA241" s="21"/>
      <c r="DB241" s="21"/>
      <c r="DC241" s="21"/>
      <c r="DD241" s="21"/>
      <c r="DE241" s="21"/>
      <c r="DF241" s="21"/>
      <c r="DG241" s="21"/>
      <c r="DH241" s="21"/>
      <c r="DI241" s="21"/>
      <c r="DJ241" s="21"/>
      <c r="DK241" s="21"/>
      <c r="DL241" s="21"/>
      <c r="DM241" s="21"/>
      <c r="DN241" s="21"/>
      <c r="DO241" s="21"/>
      <c r="DP241" s="21"/>
      <c r="DQ241" s="21"/>
      <c r="DR241" s="21"/>
      <c r="DS241" s="21"/>
      <c r="DT241" s="21"/>
      <c r="DU241" s="22"/>
      <c r="DV241" s="18"/>
      <c r="EQ241" s="13"/>
      <c r="ER241" s="108"/>
      <c r="ES241" s="108"/>
      <c r="GP241" s="46"/>
      <c r="GQ241" s="46"/>
      <c r="GR241" s="12"/>
      <c r="HP241" s="18"/>
      <c r="HQ241" s="10"/>
      <c r="HR241" s="10"/>
      <c r="HS241" s="11"/>
      <c r="IK241" s="13"/>
      <c r="IL241" s="43"/>
      <c r="IM241" s="45"/>
    </row>
    <row r="242" spans="17:264" ht="18" customHeight="1">
      <c r="Q242" s="12"/>
      <c r="S242" s="12"/>
      <c r="AK242" s="18"/>
      <c r="BM242" s="13"/>
      <c r="BO242" s="13"/>
      <c r="CV242" s="42"/>
      <c r="CW242" s="43"/>
      <c r="CX242" s="9"/>
      <c r="CY242" s="10"/>
      <c r="CZ242" s="10"/>
      <c r="DA242" s="10"/>
      <c r="DB242" s="10"/>
      <c r="DC242" s="10"/>
      <c r="DD242" s="10"/>
      <c r="DE242" s="10"/>
      <c r="DF242" s="10"/>
      <c r="DG242" s="10"/>
      <c r="DH242" s="10"/>
      <c r="DI242" s="10"/>
      <c r="DJ242" s="10"/>
      <c r="DK242" s="10"/>
      <c r="DL242" s="10"/>
      <c r="DM242" s="10"/>
      <c r="DN242" s="10"/>
      <c r="DO242" s="10"/>
      <c r="DP242" s="10"/>
      <c r="DQ242" s="10"/>
      <c r="DR242" s="10"/>
      <c r="DS242" s="10"/>
      <c r="DT242" s="10"/>
      <c r="DU242" s="10"/>
      <c r="DV242" s="18"/>
      <c r="EQ242" s="13"/>
      <c r="ER242" s="126"/>
      <c r="ES242" s="126"/>
      <c r="GP242" s="42"/>
      <c r="GQ242" s="43"/>
      <c r="GR242" s="9"/>
      <c r="GS242" s="10"/>
      <c r="GT242" s="10"/>
      <c r="GU242" s="10"/>
      <c r="GV242" s="10"/>
      <c r="GW242" s="10"/>
      <c r="GX242" s="10"/>
      <c r="GY242" s="10"/>
      <c r="GZ242" s="10"/>
      <c r="HA242" s="10"/>
      <c r="HB242" s="10"/>
      <c r="HC242" s="10"/>
      <c r="HD242" s="10"/>
      <c r="HE242" s="10"/>
      <c r="HF242" s="10"/>
      <c r="HG242" s="10"/>
      <c r="HH242" s="10"/>
      <c r="HI242" s="10"/>
      <c r="HJ242" s="10"/>
      <c r="HK242" s="10"/>
      <c r="HL242" s="10"/>
      <c r="HM242" s="10"/>
      <c r="HN242" s="10"/>
      <c r="HO242" s="10"/>
      <c r="HP242" s="18"/>
      <c r="HS242" s="13"/>
      <c r="IK242" s="13"/>
      <c r="IL242" s="43"/>
      <c r="IM242" s="45"/>
    </row>
    <row r="243" spans="17:264" ht="18" customHeight="1">
      <c r="Q243" s="12"/>
      <c r="S243" s="12"/>
      <c r="AK243" s="18"/>
      <c r="BM243" s="13"/>
      <c r="BO243" s="13"/>
      <c r="CV243" s="42"/>
      <c r="CW243" s="43"/>
      <c r="CX243" s="12"/>
      <c r="DV243" s="24"/>
      <c r="EQ243" s="13"/>
      <c r="ER243" s="43"/>
      <c r="ES243" s="45"/>
      <c r="GP243" s="42"/>
      <c r="GQ243" s="43"/>
      <c r="GR243" s="12"/>
      <c r="HP243" s="18"/>
      <c r="HQ243" s="15"/>
      <c r="HR243" s="15"/>
      <c r="HS243" s="16"/>
      <c r="IK243" s="13"/>
      <c r="IL243" s="43"/>
      <c r="IM243" s="45"/>
    </row>
    <row r="244" spans="17:264" ht="18" customHeight="1">
      <c r="Q244" s="12"/>
      <c r="S244" s="12"/>
      <c r="AK244" s="18"/>
      <c r="BM244" s="13"/>
      <c r="BO244" s="13"/>
      <c r="CV244" s="42"/>
      <c r="CW244" s="43"/>
      <c r="CX244" s="12"/>
      <c r="DV244" s="24"/>
      <c r="EN244" s="9"/>
      <c r="EO244" s="10"/>
      <c r="EP244" s="10"/>
      <c r="EQ244" s="11"/>
      <c r="ER244" s="43"/>
      <c r="ES244" s="45"/>
      <c r="GP244" s="42"/>
      <c r="GQ244" s="43"/>
      <c r="GR244" s="12"/>
      <c r="HP244" s="18"/>
      <c r="HQ244" s="10"/>
      <c r="HR244" s="10"/>
      <c r="HS244" s="10"/>
      <c r="HT244" s="10"/>
      <c r="HU244" s="10"/>
      <c r="HV244" s="11"/>
      <c r="IK244" s="13"/>
      <c r="IL244" s="43"/>
      <c r="IM244" s="45"/>
      <c r="IN244" s="20"/>
      <c r="IO244" s="21"/>
      <c r="IP244" s="21"/>
      <c r="IQ244" s="21"/>
      <c r="IR244" s="21"/>
      <c r="IS244" s="21"/>
      <c r="IT244" s="21"/>
      <c r="IU244" s="21"/>
      <c r="IV244" s="21"/>
      <c r="IW244" s="21"/>
      <c r="IX244" s="21"/>
      <c r="IY244" s="21"/>
      <c r="IZ244" s="21"/>
      <c r="JA244" s="21"/>
      <c r="JB244" s="21"/>
      <c r="JC244" s="21"/>
      <c r="JD244" s="11"/>
    </row>
    <row r="245" spans="17:264" ht="18" customHeight="1">
      <c r="Q245" s="12"/>
      <c r="S245" s="12"/>
      <c r="X245" s="129"/>
      <c r="AB245" s="129"/>
      <c r="AK245" s="18"/>
      <c r="BM245" s="13"/>
      <c r="BO245" s="13"/>
      <c r="CV245" s="42"/>
      <c r="CW245" s="43"/>
      <c r="CX245" s="12"/>
      <c r="DV245" s="24"/>
      <c r="EN245" s="12"/>
      <c r="EQ245" s="13"/>
      <c r="ER245" s="43"/>
      <c r="ES245" s="45"/>
      <c r="GP245" s="42"/>
      <c r="GQ245" s="43"/>
      <c r="GR245" s="12"/>
      <c r="HP245" s="18"/>
      <c r="HQ245" s="10"/>
      <c r="HR245" s="11"/>
      <c r="HS245" s="10"/>
      <c r="HT245" s="10"/>
      <c r="HU245" s="10"/>
      <c r="HV245" s="11"/>
      <c r="IK245" s="13"/>
      <c r="IL245" s="43"/>
      <c r="IM245" s="45"/>
      <c r="JC245" s="13"/>
      <c r="JD245" s="13"/>
    </row>
    <row r="246" spans="17:264" ht="18" customHeight="1">
      <c r="Q246" s="12"/>
      <c r="S246" s="12"/>
      <c r="T246" s="128"/>
      <c r="X246" s="129"/>
      <c r="AB246" s="129"/>
      <c r="AK246" s="18"/>
      <c r="BM246" s="13"/>
      <c r="BO246" s="13"/>
      <c r="CV246" s="42"/>
      <c r="CW246" s="43"/>
      <c r="CX246" s="12"/>
      <c r="DV246" s="24"/>
      <c r="EH246" s="9"/>
      <c r="EI246" s="10"/>
      <c r="EJ246" s="10"/>
      <c r="EK246" s="11"/>
      <c r="EN246" s="12"/>
      <c r="EQ246" s="13"/>
      <c r="ER246" s="43"/>
      <c r="ES246" s="45"/>
      <c r="GP246" s="42"/>
      <c r="GQ246" s="43"/>
      <c r="GR246" s="12"/>
      <c r="HP246" s="18"/>
      <c r="HR246" s="13"/>
      <c r="HV246" s="13"/>
      <c r="IK246" s="13"/>
      <c r="IL246" s="43"/>
      <c r="IM246" s="45"/>
      <c r="JC246" s="13"/>
      <c r="JD246" s="13"/>
    </row>
    <row r="247" spans="17:264" ht="18" customHeight="1">
      <c r="Q247" s="12"/>
      <c r="S247" s="12"/>
      <c r="AK247" s="18"/>
      <c r="BM247" s="13"/>
      <c r="BO247" s="13"/>
      <c r="CV247" s="42"/>
      <c r="CW247" s="43"/>
      <c r="CX247" s="12"/>
      <c r="DV247" s="24"/>
      <c r="EH247" s="12"/>
      <c r="EK247" s="13"/>
      <c r="EN247" s="12"/>
      <c r="EQ247" s="13"/>
      <c r="ER247" s="43"/>
      <c r="ES247" s="45"/>
      <c r="GP247" s="42"/>
      <c r="GQ247" s="43"/>
      <c r="GR247" s="12"/>
      <c r="HP247" s="18"/>
      <c r="HR247" s="13"/>
      <c r="HV247" s="13"/>
      <c r="IK247" s="13"/>
      <c r="IL247" s="43"/>
      <c r="IM247" s="45"/>
      <c r="JC247" s="13"/>
      <c r="JD247" s="13"/>
    </row>
    <row r="248" spans="17:264" ht="18" customHeight="1">
      <c r="Q248" s="12"/>
      <c r="S248" s="12"/>
      <c r="AK248" s="18"/>
      <c r="BM248" s="13"/>
      <c r="BO248" s="13"/>
      <c r="CV248" s="42"/>
      <c r="CW248" s="43"/>
      <c r="CX248" s="12"/>
      <c r="DV248" s="18"/>
      <c r="EH248" s="12"/>
      <c r="EK248" s="13"/>
      <c r="EN248" s="12"/>
      <c r="EQ248" s="13"/>
      <c r="ER248" s="43"/>
      <c r="ES248" s="45"/>
      <c r="GP248" s="42"/>
      <c r="GQ248" s="43"/>
      <c r="GR248" s="12"/>
      <c r="HP248" s="18"/>
      <c r="HR248" s="13"/>
      <c r="HV248" s="13"/>
      <c r="IK248" s="13"/>
      <c r="IL248" s="43"/>
      <c r="IM248" s="45"/>
      <c r="JC248" s="13"/>
      <c r="JD248" s="13"/>
    </row>
    <row r="249" spans="17:264" ht="18" customHeight="1">
      <c r="Q249" s="12"/>
      <c r="S249" s="12"/>
      <c r="AK249" s="18"/>
      <c r="BM249" s="13"/>
      <c r="BO249" s="13"/>
      <c r="CV249" s="42"/>
      <c r="CW249" s="43"/>
      <c r="CX249" s="12"/>
      <c r="DV249" s="18"/>
      <c r="EH249" s="14"/>
      <c r="EI249" s="15"/>
      <c r="EJ249" s="15"/>
      <c r="EK249" s="16"/>
      <c r="EN249" s="12"/>
      <c r="EQ249" s="13"/>
      <c r="ER249" s="43"/>
      <c r="ES249" s="45"/>
      <c r="GP249" s="42"/>
      <c r="GQ249" s="43"/>
      <c r="GR249" s="12"/>
      <c r="HP249" s="18"/>
      <c r="HR249" s="13"/>
      <c r="HS249" s="15"/>
      <c r="HT249" s="15"/>
      <c r="HU249" s="15"/>
      <c r="HV249" s="16"/>
      <c r="IK249" s="13"/>
      <c r="IL249" s="43"/>
      <c r="IM249" s="45"/>
      <c r="JC249" s="13"/>
      <c r="JD249" s="13"/>
    </row>
    <row r="250" spans="17:264" ht="18" customHeight="1">
      <c r="Q250" s="12"/>
      <c r="S250" s="20"/>
      <c r="T250" s="130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18"/>
      <c r="BM250" s="13"/>
      <c r="BO250" s="13"/>
      <c r="CV250" s="42"/>
      <c r="CW250" s="43"/>
      <c r="CX250" s="12"/>
      <c r="DV250" s="18"/>
      <c r="EN250" s="12"/>
      <c r="EQ250" s="13"/>
      <c r="ER250" s="43"/>
      <c r="ES250" s="45"/>
      <c r="GP250" s="42"/>
      <c r="GQ250" s="43"/>
      <c r="GR250" s="12"/>
      <c r="HP250" s="18"/>
      <c r="HR250" s="13"/>
      <c r="HS250" s="10"/>
      <c r="HT250" s="10"/>
      <c r="HU250" s="10"/>
      <c r="HV250" s="11"/>
      <c r="IK250" s="13"/>
      <c r="IL250" s="43"/>
      <c r="IM250" s="45"/>
      <c r="JC250" s="13"/>
      <c r="JD250" s="13"/>
    </row>
    <row r="251" spans="17:264" ht="18" customHeight="1">
      <c r="Q251" s="12"/>
      <c r="S251" s="12"/>
      <c r="T251" s="128"/>
      <c r="X251" s="129"/>
      <c r="AB251" s="129"/>
      <c r="AK251" s="18"/>
      <c r="BM251" s="13"/>
      <c r="BO251" s="13"/>
      <c r="CV251" s="42"/>
      <c r="CW251" s="43"/>
      <c r="CX251" s="12"/>
      <c r="DS251" s="9"/>
      <c r="DT251" s="10"/>
      <c r="DU251" s="11"/>
      <c r="DV251" s="18"/>
      <c r="DW251" s="9"/>
      <c r="DX251" s="10"/>
      <c r="DY251" s="11"/>
      <c r="EN251" s="14"/>
      <c r="EO251" s="15"/>
      <c r="EP251" s="15"/>
      <c r="EQ251" s="16"/>
      <c r="ER251" s="43"/>
      <c r="ES251" s="45"/>
      <c r="GP251" s="42"/>
      <c r="GQ251" s="43"/>
      <c r="GR251" s="12"/>
      <c r="HP251" s="18"/>
      <c r="HR251" s="13"/>
      <c r="HV251" s="13"/>
      <c r="IK251" s="13"/>
      <c r="IL251" s="43"/>
      <c r="IM251" s="45"/>
      <c r="JC251" s="13"/>
      <c r="JD251" s="13"/>
    </row>
    <row r="252" spans="17:264" ht="18" customHeight="1">
      <c r="Q252" s="12"/>
      <c r="S252" s="12"/>
      <c r="AK252" s="24"/>
      <c r="BM252" s="13"/>
      <c r="BO252" s="13"/>
      <c r="CV252" s="42"/>
      <c r="CW252" s="43"/>
      <c r="CX252" s="12"/>
      <c r="DS252" s="12"/>
      <c r="DU252" s="13"/>
      <c r="DV252" s="18"/>
      <c r="DW252" s="12"/>
      <c r="DY252" s="13"/>
      <c r="EO252" s="9"/>
      <c r="EP252" s="10"/>
      <c r="EQ252" s="11"/>
      <c r="ER252" s="43"/>
      <c r="ES252" s="45"/>
      <c r="GP252" s="42"/>
      <c r="GQ252" s="43"/>
      <c r="GR252" s="12"/>
      <c r="HP252" s="18"/>
      <c r="HR252" s="13"/>
      <c r="HV252" s="13"/>
      <c r="IK252" s="13"/>
      <c r="IL252" s="43"/>
      <c r="IM252" s="45"/>
      <c r="JC252" s="13"/>
      <c r="JD252" s="13"/>
    </row>
    <row r="253" spans="17:264" ht="18" customHeight="1">
      <c r="Q253" s="12"/>
      <c r="S253" s="12"/>
      <c r="AK253" s="24"/>
      <c r="BM253" s="13"/>
      <c r="BO253" s="13"/>
      <c r="CV253" s="42"/>
      <c r="CW253" s="43"/>
      <c r="CX253" s="12"/>
      <c r="DS253" s="12"/>
      <c r="DU253" s="13"/>
      <c r="DV253" s="18"/>
      <c r="DW253" s="14"/>
      <c r="DX253" s="15"/>
      <c r="DY253" s="16"/>
      <c r="EO253" s="12"/>
      <c r="EQ253" s="13"/>
      <c r="ER253" s="43"/>
      <c r="ES253" s="45"/>
      <c r="GP253" s="42"/>
      <c r="GQ253" s="43"/>
      <c r="GR253" s="12"/>
      <c r="HP253" s="18"/>
      <c r="HR253" s="13"/>
      <c r="HV253" s="13"/>
      <c r="IK253" s="13"/>
      <c r="IL253" s="43"/>
      <c r="IM253" s="45"/>
      <c r="JC253" s="13"/>
      <c r="JD253" s="13"/>
    </row>
    <row r="254" spans="17:264" ht="18" customHeight="1">
      <c r="Q254" s="12"/>
      <c r="S254" s="12"/>
      <c r="AK254" s="24"/>
      <c r="BM254" s="13"/>
      <c r="BO254" s="13"/>
      <c r="CV254" s="42"/>
      <c r="CW254" s="43"/>
      <c r="CX254" s="12"/>
      <c r="DS254" s="12"/>
      <c r="DU254" s="13"/>
      <c r="DV254" s="18"/>
      <c r="DW254" s="9"/>
      <c r="DX254" s="10"/>
      <c r="DY254" s="10"/>
      <c r="DZ254" s="10"/>
      <c r="EA254" s="10"/>
      <c r="EB254" s="11"/>
      <c r="EO254" s="12"/>
      <c r="EQ254" s="13"/>
      <c r="ER254" s="43"/>
      <c r="ES254" s="45"/>
      <c r="GP254" s="42"/>
      <c r="GQ254" s="43"/>
      <c r="GR254" s="12"/>
      <c r="HP254" s="18"/>
      <c r="HQ254" s="15"/>
      <c r="HR254" s="16"/>
      <c r="HS254" s="15"/>
      <c r="HT254" s="15"/>
      <c r="HU254" s="15"/>
      <c r="HV254" s="16"/>
      <c r="IK254" s="13"/>
      <c r="IL254" s="43"/>
      <c r="IM254" s="45"/>
      <c r="JC254" s="13"/>
      <c r="JD254" s="13"/>
    </row>
    <row r="255" spans="17:264" ht="18" customHeight="1">
      <c r="Q255" s="12"/>
      <c r="S255" s="12"/>
      <c r="T255" s="128"/>
      <c r="AK255" s="24"/>
      <c r="BM255" s="13"/>
      <c r="BO255" s="13"/>
      <c r="CV255" s="42"/>
      <c r="CW255" s="43"/>
      <c r="CX255" s="12"/>
      <c r="DS255" s="12"/>
      <c r="DU255" s="13"/>
      <c r="DV255" s="18"/>
      <c r="DW255" s="9"/>
      <c r="DX255" s="11"/>
      <c r="DY255" s="10"/>
      <c r="DZ255" s="10"/>
      <c r="EA255" s="10"/>
      <c r="EB255" s="11"/>
      <c r="EO255" s="14"/>
      <c r="EP255" s="15"/>
      <c r="EQ255" s="16"/>
      <c r="ER255" s="43"/>
      <c r="ES255" s="45"/>
      <c r="GP255" s="42"/>
      <c r="GQ255" s="43"/>
      <c r="GR255" s="12"/>
      <c r="HP255" s="18"/>
      <c r="HQ255" s="15"/>
      <c r="HR255" s="15"/>
      <c r="HS255" s="15"/>
      <c r="HT255" s="15"/>
      <c r="HU255" s="15"/>
      <c r="HV255" s="16"/>
      <c r="IK255" s="13"/>
      <c r="IL255" s="43"/>
      <c r="IM255" s="45"/>
      <c r="JC255" s="13"/>
      <c r="JD255" s="13"/>
    </row>
    <row r="256" spans="17:264" ht="18" customHeight="1">
      <c r="Q256" s="12"/>
      <c r="S256" s="12"/>
      <c r="AK256" s="24"/>
      <c r="BM256" s="13"/>
      <c r="BO256" s="13"/>
      <c r="CV256" s="42"/>
      <c r="CW256" s="43"/>
      <c r="CX256" s="12"/>
      <c r="DS256" s="12"/>
      <c r="DU256" s="13"/>
      <c r="DV256" s="12"/>
      <c r="DW256" s="12"/>
      <c r="DX256" s="13"/>
      <c r="EB256" s="13"/>
      <c r="EO256" s="9"/>
      <c r="EP256" s="10"/>
      <c r="EQ256" s="11"/>
      <c r="ER256" s="43"/>
      <c r="ES256" s="45"/>
      <c r="GP256" s="42"/>
      <c r="GQ256" s="43"/>
      <c r="GR256" s="12"/>
      <c r="HP256" s="18"/>
      <c r="HQ256" s="9"/>
      <c r="HR256" s="10"/>
      <c r="HS256" s="11"/>
      <c r="IK256" s="13"/>
      <c r="IL256" s="43"/>
      <c r="IM256" s="45"/>
      <c r="JC256" s="13"/>
      <c r="JD256" s="13"/>
    </row>
    <row r="257" spans="17:264" ht="18" customHeight="1">
      <c r="Q257" s="12"/>
      <c r="S257" s="12"/>
      <c r="AK257" s="18"/>
      <c r="BM257" s="13"/>
      <c r="BO257" s="13"/>
      <c r="CV257" s="42"/>
      <c r="CW257" s="43"/>
      <c r="CX257" s="12"/>
      <c r="DS257" s="12"/>
      <c r="DU257" s="13"/>
      <c r="DV257" s="12"/>
      <c r="DW257" s="12"/>
      <c r="DX257" s="13"/>
      <c r="EB257" s="13"/>
      <c r="EO257" s="12"/>
      <c r="EQ257" s="17"/>
      <c r="ER257" s="43"/>
      <c r="ES257" s="45"/>
      <c r="GP257" s="42"/>
      <c r="GQ257" s="43"/>
      <c r="GR257" s="14"/>
      <c r="GS257" s="15"/>
      <c r="GT257" s="15"/>
      <c r="GU257" s="15"/>
      <c r="GV257" s="15"/>
      <c r="GW257" s="15"/>
      <c r="GX257" s="15"/>
      <c r="GY257" s="15"/>
      <c r="GZ257" s="15"/>
      <c r="HA257" s="15"/>
      <c r="HB257" s="15"/>
      <c r="HC257" s="15"/>
      <c r="HD257" s="15"/>
      <c r="HE257" s="15"/>
      <c r="HF257" s="15"/>
      <c r="HG257" s="15"/>
      <c r="HH257" s="15"/>
      <c r="HI257" s="15"/>
      <c r="HJ257" s="15"/>
      <c r="HK257" s="15"/>
      <c r="HL257" s="15"/>
      <c r="HM257" s="15"/>
      <c r="HN257" s="15"/>
      <c r="HO257" s="15"/>
      <c r="HP257" s="18"/>
      <c r="HQ257" s="12"/>
      <c r="HS257" s="13"/>
      <c r="IK257" s="13"/>
      <c r="IL257" s="43"/>
      <c r="IM257" s="45"/>
      <c r="JC257" s="13"/>
      <c r="JD257" s="13"/>
    </row>
    <row r="258" spans="17:264" ht="18" customHeight="1">
      <c r="Q258" s="12"/>
      <c r="S258" s="12"/>
      <c r="W258" s="128"/>
      <c r="X258" s="99"/>
      <c r="AB258" s="129"/>
      <c r="AK258" s="18"/>
      <c r="BM258" s="13"/>
      <c r="BO258" s="13"/>
      <c r="CV258" s="42"/>
      <c r="CW258" s="43"/>
      <c r="CX258" s="12"/>
      <c r="DS258" s="12"/>
      <c r="DU258" s="13"/>
      <c r="DV258" s="12"/>
      <c r="DW258" s="12"/>
      <c r="DX258" s="13"/>
      <c r="EB258" s="13"/>
      <c r="EO258" s="12"/>
      <c r="EQ258" s="18"/>
      <c r="ER258" s="43"/>
      <c r="ES258" s="45"/>
      <c r="GP258" s="42"/>
      <c r="GQ258" s="43"/>
      <c r="GR258" s="12"/>
      <c r="HP258" s="18"/>
      <c r="HQ258" s="14"/>
      <c r="HR258" s="15"/>
      <c r="HS258" s="16"/>
      <c r="IK258" s="13"/>
      <c r="IL258" s="43"/>
      <c r="IM258" s="45"/>
      <c r="JC258" s="13"/>
      <c r="JD258" s="13"/>
    </row>
    <row r="259" spans="17:264" ht="18" customHeight="1">
      <c r="Q259" s="12"/>
      <c r="S259" s="12"/>
      <c r="AK259" s="18"/>
      <c r="BM259" s="13"/>
      <c r="BO259" s="13"/>
      <c r="CV259" s="42"/>
      <c r="CW259" s="43"/>
      <c r="CX259" s="12"/>
      <c r="DS259" s="12"/>
      <c r="DU259" s="13"/>
      <c r="DV259" s="12"/>
      <c r="DW259" s="12"/>
      <c r="DX259" s="13"/>
      <c r="DY259" s="15"/>
      <c r="DZ259" s="15"/>
      <c r="EA259" s="15"/>
      <c r="EB259" s="16"/>
      <c r="EO259" s="12"/>
      <c r="EQ259" s="18"/>
      <c r="ER259" s="43"/>
      <c r="ES259" s="45"/>
      <c r="GP259" s="42"/>
      <c r="GQ259" s="43"/>
      <c r="GR259" s="9"/>
      <c r="GS259" s="10"/>
      <c r="GT259" s="10"/>
      <c r="GU259" s="10"/>
      <c r="GV259" s="10"/>
      <c r="GW259" s="10"/>
      <c r="GX259" s="10"/>
      <c r="GY259" s="10"/>
      <c r="GZ259" s="10"/>
      <c r="HA259" s="10"/>
      <c r="HB259" s="10"/>
      <c r="HC259" s="10"/>
      <c r="HD259" s="10"/>
      <c r="HE259" s="10"/>
      <c r="HF259" s="10"/>
      <c r="HG259" s="10"/>
      <c r="HH259" s="10"/>
      <c r="HI259" s="10"/>
      <c r="HJ259" s="10"/>
      <c r="HK259" s="10"/>
      <c r="HL259" s="10"/>
      <c r="HM259" s="10"/>
      <c r="HN259" s="10"/>
      <c r="HO259" s="10"/>
      <c r="HP259" s="18"/>
      <c r="IK259" s="13"/>
      <c r="IL259" s="43"/>
      <c r="IM259" s="45"/>
      <c r="JC259" s="13"/>
      <c r="JD259" s="13"/>
    </row>
    <row r="260" spans="17:264" ht="18" customHeight="1">
      <c r="Q260" s="12"/>
      <c r="S260" s="14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8"/>
      <c r="BM260" s="13"/>
      <c r="BO260" s="13"/>
      <c r="CV260" s="42"/>
      <c r="CW260" s="43"/>
      <c r="CX260" s="12"/>
      <c r="DS260" s="14"/>
      <c r="DT260" s="15"/>
      <c r="DU260" s="16"/>
      <c r="DV260" s="12"/>
      <c r="DW260" s="12"/>
      <c r="DX260" s="13"/>
      <c r="DY260" s="10"/>
      <c r="DZ260" s="10"/>
      <c r="EA260" s="10"/>
      <c r="EB260" s="11"/>
      <c r="EO260" s="12"/>
      <c r="EQ260" s="18"/>
      <c r="ER260" s="43"/>
      <c r="ES260" s="45"/>
      <c r="GP260" s="42"/>
      <c r="GQ260" s="43"/>
      <c r="GR260" s="12"/>
      <c r="HP260" s="18"/>
      <c r="IK260" s="13"/>
      <c r="IL260" s="43"/>
      <c r="IM260" s="45"/>
      <c r="JC260" s="13"/>
      <c r="JD260" s="13"/>
    </row>
    <row r="261" spans="17:264" ht="18" customHeight="1">
      <c r="Q261" s="12"/>
      <c r="S261" s="12"/>
      <c r="AD261" s="10"/>
      <c r="AF261" s="10"/>
      <c r="AK261" s="18"/>
      <c r="BM261" s="13"/>
      <c r="BO261" s="13"/>
      <c r="CV261" s="42"/>
      <c r="CW261" s="43"/>
      <c r="CX261" s="14"/>
      <c r="CY261" s="15"/>
      <c r="CZ261" s="15"/>
      <c r="DA261" s="15"/>
      <c r="DB261" s="15"/>
      <c r="DC261" s="15"/>
      <c r="DD261" s="15"/>
      <c r="DE261" s="15"/>
      <c r="DF261" s="15"/>
      <c r="DG261" s="15"/>
      <c r="DH261" s="15"/>
      <c r="DI261" s="15"/>
      <c r="DJ261" s="15"/>
      <c r="DK261" s="15"/>
      <c r="DL261" s="15"/>
      <c r="DM261" s="15"/>
      <c r="DN261" s="15"/>
      <c r="DO261" s="15"/>
      <c r="DP261" s="15"/>
      <c r="DQ261" s="15"/>
      <c r="DR261" s="15"/>
      <c r="DS261" s="15"/>
      <c r="DT261" s="15"/>
      <c r="DU261" s="15"/>
      <c r="DV261" s="12"/>
      <c r="DW261" s="12"/>
      <c r="DX261" s="13"/>
      <c r="EB261" s="13"/>
      <c r="EO261" s="12"/>
      <c r="EQ261" s="18"/>
      <c r="ER261" s="43"/>
      <c r="ES261" s="45"/>
      <c r="GP261" s="42"/>
      <c r="GQ261" s="43"/>
      <c r="GR261" s="12"/>
      <c r="HP261" s="18"/>
      <c r="IK261" s="13"/>
      <c r="IL261" s="43"/>
      <c r="IM261" s="45"/>
      <c r="JC261" s="13"/>
      <c r="JD261" s="13"/>
    </row>
    <row r="262" spans="17:264" ht="18" customHeight="1">
      <c r="Q262" s="12"/>
      <c r="S262" s="9"/>
      <c r="T262" s="10"/>
      <c r="U262" s="10"/>
      <c r="V262" s="11"/>
      <c r="W262" s="10"/>
      <c r="X262" s="10"/>
      <c r="Y262" s="10"/>
      <c r="Z262" s="10"/>
      <c r="AA262" s="10"/>
      <c r="AB262" s="10"/>
      <c r="AC262" s="9"/>
      <c r="AD262" s="10"/>
      <c r="AE262" s="10"/>
      <c r="AF262" s="11"/>
      <c r="AG262" s="10"/>
      <c r="AH262" s="10"/>
      <c r="AI262" s="10"/>
      <c r="AJ262" s="10"/>
      <c r="AK262" s="18"/>
      <c r="BM262" s="13"/>
      <c r="BO262" s="13"/>
      <c r="CI262" s="9"/>
      <c r="CJ262" s="10"/>
      <c r="CK262" s="10"/>
      <c r="CL262" s="10"/>
      <c r="CM262" s="10"/>
      <c r="CN262" s="10"/>
      <c r="CO262" s="10"/>
      <c r="CP262" s="10"/>
      <c r="CQ262" s="10"/>
      <c r="CR262" s="10"/>
      <c r="CS262" s="10"/>
      <c r="CT262" s="10"/>
      <c r="CU262" s="11"/>
      <c r="CV262" s="42"/>
      <c r="CW262" s="43"/>
      <c r="CX262" s="12"/>
      <c r="DI262" s="21"/>
      <c r="DK262" s="21"/>
      <c r="DU262" s="21"/>
      <c r="DV262" s="12"/>
      <c r="DW262" s="12"/>
      <c r="DX262" s="13"/>
      <c r="EB262" s="13"/>
      <c r="EO262" s="12"/>
      <c r="EQ262" s="19"/>
      <c r="ER262" s="43"/>
      <c r="ES262" s="45"/>
      <c r="ET262" s="9"/>
      <c r="EU262" s="10"/>
      <c r="EV262" s="10"/>
      <c r="EW262" s="10"/>
      <c r="EX262" s="10"/>
      <c r="EY262" s="10"/>
      <c r="EZ262" s="10"/>
      <c r="FA262" s="10"/>
      <c r="FB262" s="10"/>
      <c r="FC262" s="10"/>
      <c r="FD262" s="10"/>
      <c r="FE262" s="10"/>
      <c r="FF262" s="11"/>
      <c r="GP262" s="42"/>
      <c r="GQ262" s="43"/>
      <c r="GR262" s="12"/>
      <c r="HP262" s="19"/>
      <c r="IK262" s="13"/>
      <c r="IL262" s="43"/>
      <c r="IM262" s="45"/>
      <c r="JC262" s="13"/>
      <c r="JD262" s="13"/>
    </row>
    <row r="263" spans="17:264" ht="18" customHeight="1">
      <c r="Q263" s="12"/>
      <c r="S263" s="12"/>
      <c r="V263" s="13"/>
      <c r="W263" s="128"/>
      <c r="X263" s="99"/>
      <c r="AB263" s="129"/>
      <c r="AC263" s="12"/>
      <c r="AF263" s="13"/>
      <c r="AH263" s="128"/>
      <c r="AK263" s="18"/>
      <c r="BM263" s="13"/>
      <c r="BO263" s="13"/>
      <c r="CI263" s="12"/>
      <c r="CJ263" s="9"/>
      <c r="CK263" s="10"/>
      <c r="CL263" s="10"/>
      <c r="CM263" s="10"/>
      <c r="CN263" s="10"/>
      <c r="CO263" s="10"/>
      <c r="CP263" s="10"/>
      <c r="CQ263" s="10"/>
      <c r="CR263" s="10"/>
      <c r="CS263" s="10"/>
      <c r="CT263" s="10"/>
      <c r="CU263" s="11"/>
      <c r="CV263" s="42"/>
      <c r="CW263" s="43"/>
      <c r="CX263" s="9"/>
      <c r="CY263" s="10"/>
      <c r="CZ263" s="10"/>
      <c r="DA263" s="11"/>
      <c r="DB263" s="10"/>
      <c r="DC263" s="10"/>
      <c r="DD263" s="10"/>
      <c r="DE263" s="10"/>
      <c r="DF263" s="9"/>
      <c r="DG263" s="10"/>
      <c r="DH263" s="10"/>
      <c r="DI263" s="11"/>
      <c r="DJ263" s="85"/>
      <c r="DK263" s="74"/>
      <c r="DL263" s="75"/>
      <c r="DM263" s="85"/>
      <c r="DN263" s="9"/>
      <c r="DO263" s="10"/>
      <c r="DP263" s="10"/>
      <c r="DQ263" s="11"/>
      <c r="DR263" s="141"/>
      <c r="DS263" s="141"/>
      <c r="DT263" s="141"/>
      <c r="DU263" s="141"/>
      <c r="DV263" s="12"/>
      <c r="DW263" s="12"/>
      <c r="DX263" s="13"/>
      <c r="EB263" s="13"/>
      <c r="EO263" s="14"/>
      <c r="EP263" s="15"/>
      <c r="EQ263" s="16"/>
      <c r="ER263" s="43"/>
      <c r="ES263" s="45"/>
      <c r="ET263" s="9"/>
      <c r="EU263" s="10"/>
      <c r="EV263" s="10"/>
      <c r="EW263" s="10"/>
      <c r="EX263" s="10"/>
      <c r="EY263" s="10"/>
      <c r="EZ263" s="10"/>
      <c r="FA263" s="10"/>
      <c r="FB263" s="10"/>
      <c r="FC263" s="10"/>
      <c r="FD263" s="10"/>
      <c r="FE263" s="11"/>
      <c r="FF263" s="13"/>
      <c r="GP263" s="42"/>
      <c r="GQ263" s="43"/>
      <c r="GR263" s="12"/>
      <c r="GV263" s="9"/>
      <c r="GW263" s="10"/>
      <c r="GX263" s="10"/>
      <c r="GY263" s="10"/>
      <c r="GZ263" s="10"/>
      <c r="HA263" s="10"/>
      <c r="HB263" s="10"/>
      <c r="HC263" s="10"/>
      <c r="HD263" s="10"/>
      <c r="HE263" s="10"/>
      <c r="HF263" s="10"/>
      <c r="HG263" s="10"/>
      <c r="HH263" s="10"/>
      <c r="HI263" s="10"/>
      <c r="HJ263" s="10"/>
      <c r="HK263" s="10"/>
      <c r="HL263" s="10"/>
      <c r="HM263" s="10"/>
      <c r="HN263" s="10"/>
      <c r="HO263" s="10"/>
      <c r="IK263" s="13"/>
      <c r="IL263" s="43"/>
      <c r="IM263" s="45"/>
      <c r="JC263" s="13"/>
      <c r="JD263" s="13"/>
    </row>
    <row r="264" spans="17:264" ht="18" customHeight="1">
      <c r="Q264" s="12"/>
      <c r="S264" s="12"/>
      <c r="V264" s="13"/>
      <c r="AC264" s="12"/>
      <c r="AF264" s="13"/>
      <c r="AK264" s="18"/>
      <c r="BM264" s="13"/>
      <c r="BO264" s="13"/>
      <c r="CI264" s="12"/>
      <c r="CJ264" s="12"/>
      <c r="CU264" s="13"/>
      <c r="CV264" s="42"/>
      <c r="CW264" s="43"/>
      <c r="CX264" s="12"/>
      <c r="DA264" s="13"/>
      <c r="DB264" s="128"/>
      <c r="DC264" s="99"/>
      <c r="DF264" s="12"/>
      <c r="DG264" s="129"/>
      <c r="DI264" s="13"/>
      <c r="DJ264" s="87"/>
      <c r="DK264" s="138"/>
      <c r="DL264" s="88"/>
      <c r="DM264" s="88"/>
      <c r="DO264" s="32"/>
      <c r="DP264" s="32"/>
      <c r="DQ264" s="13"/>
      <c r="DR264" s="49"/>
      <c r="DS264" s="142"/>
      <c r="DT264" s="49"/>
      <c r="DU264" s="49"/>
      <c r="DV264" s="18"/>
      <c r="DW264" s="14"/>
      <c r="DX264" s="16"/>
      <c r="DY264" s="15"/>
      <c r="DZ264" s="15"/>
      <c r="EA264" s="15"/>
      <c r="EB264" s="16"/>
      <c r="EQ264" s="13"/>
      <c r="ER264" s="43"/>
      <c r="ES264" s="45"/>
      <c r="ET264" s="12"/>
      <c r="FE264" s="13"/>
      <c r="FF264" s="13"/>
      <c r="GP264" s="40"/>
      <c r="GQ264" s="40"/>
      <c r="GR264" s="12"/>
      <c r="GV264" s="12"/>
      <c r="IK264" s="13"/>
      <c r="IL264" s="43"/>
      <c r="IM264" s="45"/>
      <c r="JC264" s="13"/>
      <c r="JD264" s="13"/>
    </row>
    <row r="265" spans="17:264" ht="18" customHeight="1">
      <c r="Q265" s="12"/>
      <c r="S265" s="14"/>
      <c r="T265" s="15"/>
      <c r="U265" s="15"/>
      <c r="V265" s="16"/>
      <c r="AC265" s="14"/>
      <c r="AD265" s="15"/>
      <c r="AE265" s="15"/>
      <c r="AF265" s="16"/>
      <c r="AK265" s="18"/>
      <c r="BM265" s="13"/>
      <c r="BO265" s="13"/>
      <c r="CI265" s="12"/>
      <c r="CJ265" s="12"/>
      <c r="CU265" s="13"/>
      <c r="CV265" s="42"/>
      <c r="CW265" s="43"/>
      <c r="CX265" s="12"/>
      <c r="DA265" s="13"/>
      <c r="DF265" s="20"/>
      <c r="DG265" s="21"/>
      <c r="DH265" s="21"/>
      <c r="DI265" s="22"/>
      <c r="DJ265" s="87"/>
      <c r="DK265" s="86"/>
      <c r="DL265" s="88"/>
      <c r="DM265" s="88"/>
      <c r="DO265" s="32"/>
      <c r="DP265" s="32"/>
      <c r="DQ265" s="13"/>
      <c r="DR265" s="49"/>
      <c r="DS265" s="49"/>
      <c r="DT265" s="49"/>
      <c r="DU265" s="49"/>
      <c r="DV265" s="18"/>
      <c r="DW265" s="14"/>
      <c r="DX265" s="15"/>
      <c r="DY265" s="15"/>
      <c r="DZ265" s="15"/>
      <c r="EA265" s="15"/>
      <c r="EB265" s="16"/>
      <c r="EQ265" s="13"/>
      <c r="ER265" s="43"/>
      <c r="ES265" s="45"/>
      <c r="ET265" s="12"/>
      <c r="FE265" s="13"/>
      <c r="FF265" s="13"/>
      <c r="GP265" s="42"/>
      <c r="GQ265" s="42"/>
      <c r="GR265" s="12"/>
      <c r="GV265" s="12"/>
      <c r="IK265" s="13"/>
      <c r="IL265" s="43"/>
      <c r="IM265" s="45"/>
      <c r="JC265" s="13"/>
      <c r="JD265" s="13"/>
    </row>
    <row r="266" spans="17:264" ht="18" customHeight="1">
      <c r="Q266" s="12"/>
      <c r="S266" s="12"/>
      <c r="W266" s="9"/>
      <c r="X266" s="10"/>
      <c r="Y266" s="10"/>
      <c r="Z266" s="10"/>
      <c r="AA266" s="10"/>
      <c r="AB266" s="10"/>
      <c r="AC266" s="10"/>
      <c r="AD266" s="10"/>
      <c r="AE266" s="10"/>
      <c r="AF266" s="11"/>
      <c r="AG266" s="9"/>
      <c r="AH266" s="10"/>
      <c r="AI266" s="10"/>
      <c r="AJ266" s="11"/>
      <c r="AK266" s="18"/>
      <c r="BM266" s="13"/>
      <c r="BO266" s="13"/>
      <c r="CI266" s="12"/>
      <c r="CJ266" s="12"/>
      <c r="CU266" s="13"/>
      <c r="CV266" s="42"/>
      <c r="CW266" s="43"/>
      <c r="CX266" s="14"/>
      <c r="CY266" s="15"/>
      <c r="CZ266" s="15"/>
      <c r="DA266" s="16"/>
      <c r="DF266" s="14"/>
      <c r="DG266" s="15"/>
      <c r="DH266" s="15"/>
      <c r="DI266" s="16"/>
      <c r="DJ266" s="87"/>
      <c r="DK266" s="76"/>
      <c r="DL266" s="77"/>
      <c r="DM266" s="87"/>
      <c r="DN266" s="14"/>
      <c r="DO266" s="15"/>
      <c r="DP266" s="15"/>
      <c r="DQ266" s="16"/>
      <c r="DR266" s="49"/>
      <c r="DS266" s="49"/>
      <c r="DT266" s="49"/>
      <c r="DU266" s="49"/>
      <c r="DV266" s="18"/>
      <c r="DW266" s="9"/>
      <c r="DX266" s="10"/>
      <c r="DY266" s="11"/>
      <c r="EQ266" s="13"/>
      <c r="ER266" s="43"/>
      <c r="ES266" s="45"/>
      <c r="ET266" s="12"/>
      <c r="FE266" s="13"/>
      <c r="FF266" s="13"/>
      <c r="GP266" s="42"/>
      <c r="GQ266" s="42"/>
      <c r="GR266" s="12"/>
      <c r="GV266" s="12"/>
      <c r="IK266" s="13"/>
      <c r="IL266" s="44"/>
      <c r="IM266" s="44"/>
      <c r="JC266" s="13"/>
      <c r="JD266" s="13"/>
    </row>
    <row r="267" spans="17:264" ht="18" customHeight="1">
      <c r="Q267" s="12"/>
      <c r="S267" s="12"/>
      <c r="W267" s="12"/>
      <c r="X267" s="129"/>
      <c r="AB267" s="129"/>
      <c r="AF267" s="13"/>
      <c r="AG267" s="12"/>
      <c r="AJ267" s="13"/>
      <c r="AK267" s="18"/>
      <c r="BM267" s="13"/>
      <c r="BO267" s="13"/>
      <c r="CI267" s="12"/>
      <c r="CJ267" s="12"/>
      <c r="CU267" s="13"/>
      <c r="CV267" s="42"/>
      <c r="CW267" s="43"/>
      <c r="CX267" s="9"/>
      <c r="CY267" s="10"/>
      <c r="CZ267" s="10"/>
      <c r="DA267" s="11"/>
      <c r="DB267" s="139"/>
      <c r="DC267" s="10"/>
      <c r="DD267" s="10"/>
      <c r="DE267" s="10"/>
      <c r="DF267" s="10"/>
      <c r="DG267" s="10"/>
      <c r="DH267" s="10"/>
      <c r="DI267" s="10"/>
      <c r="DJ267" s="38"/>
      <c r="DK267" s="38"/>
      <c r="DL267" s="38"/>
      <c r="DM267" s="38"/>
      <c r="DN267" s="38"/>
      <c r="DO267" s="38"/>
      <c r="DP267" s="38"/>
      <c r="DQ267" s="38"/>
      <c r="DR267" s="38"/>
      <c r="DS267" s="38"/>
      <c r="DT267" s="38"/>
      <c r="DU267" s="38"/>
      <c r="DV267" s="18"/>
      <c r="DW267" s="12"/>
      <c r="DY267" s="13"/>
      <c r="EQ267" s="13"/>
      <c r="ER267" s="43"/>
      <c r="ES267" s="45"/>
      <c r="ET267" s="12"/>
      <c r="FE267" s="13"/>
      <c r="FF267" s="13"/>
      <c r="GP267" s="42"/>
      <c r="GQ267" s="42"/>
      <c r="GR267" s="12"/>
      <c r="GV267" s="12"/>
      <c r="IK267" s="13"/>
      <c r="IL267" s="45"/>
      <c r="IM267" s="45"/>
      <c r="JC267" s="13"/>
      <c r="JD267" s="13"/>
    </row>
    <row r="268" spans="17:264" ht="18" customHeight="1">
      <c r="Q268" s="12"/>
      <c r="S268" s="12"/>
      <c r="T268" s="128"/>
      <c r="W268" s="12"/>
      <c r="X268" s="129"/>
      <c r="AB268" s="129"/>
      <c r="AF268" s="13"/>
      <c r="AG268" s="12"/>
      <c r="AJ268" s="13"/>
      <c r="AK268" s="18"/>
      <c r="BM268" s="13"/>
      <c r="BO268" s="13"/>
      <c r="CI268" s="12"/>
      <c r="CJ268" s="12"/>
      <c r="CU268" s="13"/>
      <c r="CV268" s="42"/>
      <c r="CW268" s="43"/>
      <c r="CX268" s="12"/>
      <c r="DA268" s="13"/>
      <c r="DB268" s="140"/>
      <c r="DC268" s="129"/>
      <c r="DG268" s="129"/>
      <c r="DK268" s="129"/>
      <c r="DO268" s="129"/>
      <c r="DV268" s="18"/>
      <c r="DW268" s="14"/>
      <c r="DX268" s="15"/>
      <c r="DY268" s="16"/>
      <c r="EQ268" s="13"/>
      <c r="ER268" s="125"/>
      <c r="ES268" s="125"/>
      <c r="ET268" s="12"/>
      <c r="FE268" s="13"/>
      <c r="FF268" s="13"/>
      <c r="GP268" s="42"/>
      <c r="GQ268" s="42"/>
      <c r="GR268" s="12"/>
      <c r="GV268" s="12"/>
      <c r="IK268" s="13"/>
      <c r="IL268" s="45"/>
      <c r="IM268" s="45"/>
      <c r="JC268" s="13"/>
      <c r="JD268" s="13"/>
    </row>
    <row r="269" spans="17:264" ht="18" customHeight="1">
      <c r="Q269" s="12"/>
      <c r="S269" s="12"/>
      <c r="W269" s="12"/>
      <c r="AF269" s="13"/>
      <c r="AG269" s="14"/>
      <c r="AH269" s="15"/>
      <c r="AI269" s="15"/>
      <c r="AJ269" s="16"/>
      <c r="AK269" s="19"/>
      <c r="BM269" s="13"/>
      <c r="BO269" s="13"/>
      <c r="CI269" s="12"/>
      <c r="CJ269" s="12"/>
      <c r="CU269" s="13"/>
      <c r="CV269" s="42"/>
      <c r="CW269" s="43"/>
      <c r="CX269" s="12"/>
      <c r="CY269" s="137"/>
      <c r="CZ269" s="97"/>
      <c r="DA269" s="13"/>
      <c r="DB269" s="140"/>
      <c r="DC269" s="129"/>
      <c r="DG269" s="129"/>
      <c r="DK269" s="129"/>
      <c r="DO269" s="129"/>
      <c r="DV269" s="18"/>
      <c r="EQ269" s="13"/>
      <c r="ER269" s="108"/>
      <c r="ES269" s="108"/>
      <c r="ET269" s="12"/>
      <c r="FE269" s="13"/>
      <c r="FF269" s="13"/>
      <c r="GP269" s="46"/>
      <c r="GQ269" s="46"/>
      <c r="GR269" s="12"/>
      <c r="GV269" s="12"/>
      <c r="IK269" s="13"/>
      <c r="IL269" s="45"/>
      <c r="IM269" s="45"/>
      <c r="JC269" s="13"/>
      <c r="JD269" s="13"/>
    </row>
    <row r="270" spans="17:264" ht="18" customHeight="1">
      <c r="Q270" s="12"/>
      <c r="S270" s="9"/>
      <c r="T270" s="10"/>
      <c r="U270" s="10"/>
      <c r="V270" s="11"/>
      <c r="W270" s="12"/>
      <c r="BM270" s="13"/>
      <c r="BO270" s="13"/>
      <c r="CI270" s="12"/>
      <c r="CJ270" s="12"/>
      <c r="CU270" s="13"/>
      <c r="CV270" s="42"/>
      <c r="CW270" s="43"/>
      <c r="CX270" s="12"/>
      <c r="CY270" s="97"/>
      <c r="CZ270" s="97"/>
      <c r="DA270" s="13"/>
      <c r="DB270" s="140"/>
      <c r="DV270" s="18"/>
      <c r="EQ270" s="13"/>
      <c r="ER270" s="108"/>
      <c r="ES270" s="108"/>
      <c r="ET270" s="12"/>
      <c r="FE270" s="13"/>
      <c r="FF270" s="13"/>
      <c r="GP270" s="42"/>
      <c r="GQ270" s="43"/>
      <c r="GR270" s="12"/>
      <c r="GV270" s="14"/>
      <c r="GW270" s="15"/>
      <c r="GX270" s="15"/>
      <c r="GY270" s="15"/>
      <c r="GZ270" s="15"/>
      <c r="HA270" s="15"/>
      <c r="HB270" s="15"/>
      <c r="HC270" s="15"/>
      <c r="HD270" s="15"/>
      <c r="HE270" s="15"/>
      <c r="HF270" s="15"/>
      <c r="HG270" s="15"/>
      <c r="HH270" s="15"/>
      <c r="HI270" s="15"/>
      <c r="HJ270" s="15"/>
      <c r="HK270" s="15"/>
      <c r="HL270" s="15"/>
      <c r="HM270" s="15"/>
      <c r="HN270" s="15"/>
      <c r="HO270" s="15"/>
      <c r="IK270" s="13"/>
      <c r="IL270" s="48"/>
      <c r="IM270" s="48"/>
      <c r="JC270" s="13"/>
      <c r="JD270" s="13"/>
    </row>
    <row r="271" spans="17:264" ht="18" customHeight="1">
      <c r="Q271" s="12"/>
      <c r="S271" s="12"/>
      <c r="V271" s="13"/>
      <c r="W271" s="12"/>
      <c r="BM271" s="13"/>
      <c r="BO271" s="13"/>
      <c r="CI271" s="12"/>
      <c r="CJ271" s="12"/>
      <c r="CU271" s="13"/>
      <c r="CV271" s="42"/>
      <c r="CW271" s="43"/>
      <c r="CX271" s="12"/>
      <c r="CY271" s="137"/>
      <c r="CZ271" s="97"/>
      <c r="DA271" s="13"/>
      <c r="DB271" s="140"/>
      <c r="DV271" s="24"/>
      <c r="EQ271" s="13"/>
      <c r="ER271" s="108"/>
      <c r="ES271" s="108"/>
      <c r="ET271" s="12"/>
      <c r="FE271" s="13"/>
      <c r="FF271" s="13"/>
      <c r="GP271" s="42"/>
      <c r="GQ271" s="43"/>
      <c r="GR271" s="12"/>
      <c r="HP271" s="17"/>
      <c r="IK271" s="13"/>
      <c r="IL271" s="43"/>
      <c r="IM271" s="45"/>
      <c r="JC271" s="13"/>
      <c r="JD271" s="13"/>
    </row>
    <row r="272" spans="17:264" ht="18" customHeight="1">
      <c r="Q272" s="12"/>
      <c r="S272" s="12"/>
      <c r="T272" s="128"/>
      <c r="V272" s="13"/>
      <c r="W272" s="12"/>
      <c r="BM272" s="13"/>
      <c r="BO272" s="13"/>
      <c r="CI272" s="12"/>
      <c r="CJ272" s="12"/>
      <c r="CU272" s="13"/>
      <c r="CV272" s="42"/>
      <c r="CW272" s="43"/>
      <c r="CX272" s="12"/>
      <c r="CY272" s="97"/>
      <c r="CZ272" s="97"/>
      <c r="DA272" s="13"/>
      <c r="DB272" s="140"/>
      <c r="DV272" s="24"/>
      <c r="EQ272" s="13"/>
      <c r="ER272" s="108"/>
      <c r="ES272" s="108"/>
      <c r="ET272" s="12"/>
      <c r="FE272" s="13"/>
      <c r="FF272" s="13"/>
      <c r="GP272" s="42"/>
      <c r="GQ272" s="43"/>
      <c r="GR272" s="12"/>
      <c r="HP272" s="18"/>
      <c r="IK272" s="13"/>
      <c r="IL272" s="43"/>
      <c r="IM272" s="45"/>
      <c r="JC272" s="13"/>
      <c r="JD272" s="13"/>
    </row>
    <row r="273" spans="17:264" ht="18" customHeight="1">
      <c r="Q273" s="12"/>
      <c r="S273" s="14"/>
      <c r="T273" s="15"/>
      <c r="U273" s="15"/>
      <c r="V273" s="16"/>
      <c r="W273" s="12"/>
      <c r="BM273" s="13"/>
      <c r="BO273" s="13"/>
      <c r="CI273" s="12"/>
      <c r="CJ273" s="12"/>
      <c r="CU273" s="13"/>
      <c r="CV273" s="42"/>
      <c r="CW273" s="43"/>
      <c r="CX273" s="12"/>
      <c r="CY273" s="128"/>
      <c r="DA273" s="13"/>
      <c r="DB273" s="140"/>
      <c r="DV273" s="24"/>
      <c r="EQ273" s="13"/>
      <c r="ER273" s="126"/>
      <c r="ES273" s="126"/>
      <c r="ET273" s="12"/>
      <c r="FE273" s="13"/>
      <c r="FF273" s="13"/>
      <c r="GP273" s="42"/>
      <c r="GQ273" s="43"/>
      <c r="GR273" s="12"/>
      <c r="HP273" s="18"/>
      <c r="IK273" s="13"/>
      <c r="IL273" s="43"/>
      <c r="IM273" s="45"/>
      <c r="JC273" s="13"/>
      <c r="JD273" s="13"/>
    </row>
    <row r="274" spans="17:264" ht="18" customHeight="1">
      <c r="Q274" s="12"/>
      <c r="S274" s="12"/>
      <c r="W274" s="12"/>
      <c r="BM274" s="13"/>
      <c r="BO274" s="13"/>
      <c r="CI274" s="12"/>
      <c r="CJ274" s="12"/>
      <c r="CU274" s="13"/>
      <c r="CV274" s="42"/>
      <c r="CW274" s="43"/>
      <c r="CX274" s="14"/>
      <c r="CY274" s="15"/>
      <c r="CZ274" s="15"/>
      <c r="DA274" s="16"/>
      <c r="DB274" s="140"/>
      <c r="DV274" s="24"/>
      <c r="EQ274" s="13"/>
      <c r="ER274" s="43"/>
      <c r="ES274" s="45"/>
      <c r="ET274" s="12"/>
      <c r="FE274" s="13"/>
      <c r="FF274" s="13"/>
      <c r="GP274" s="42"/>
      <c r="GQ274" s="43"/>
      <c r="GR274" s="14"/>
      <c r="GS274" s="15"/>
      <c r="GT274" s="15"/>
      <c r="GU274" s="15"/>
      <c r="GV274" s="15"/>
      <c r="GW274" s="15"/>
      <c r="GX274" s="15"/>
      <c r="GY274" s="15"/>
      <c r="GZ274" s="15"/>
      <c r="HA274" s="15"/>
      <c r="HB274" s="15"/>
      <c r="HC274" s="15"/>
      <c r="HD274" s="15"/>
      <c r="HE274" s="15"/>
      <c r="HF274" s="15"/>
      <c r="HG274" s="15"/>
      <c r="HH274" s="15"/>
      <c r="HI274" s="15"/>
      <c r="HJ274" s="15"/>
      <c r="HK274" s="15"/>
      <c r="HL274" s="15"/>
      <c r="HM274" s="15"/>
      <c r="HN274" s="15"/>
      <c r="HO274" s="15"/>
      <c r="HP274" s="19"/>
      <c r="HQ274" s="15"/>
      <c r="HR274" s="15"/>
      <c r="HS274" s="15"/>
      <c r="HT274" s="15"/>
      <c r="HU274" s="15"/>
      <c r="HV274" s="15"/>
      <c r="HW274" s="15"/>
      <c r="HX274" s="15"/>
      <c r="HY274" s="15"/>
      <c r="HZ274" s="15"/>
      <c r="IA274" s="15"/>
      <c r="IB274" s="15"/>
      <c r="IC274" s="15"/>
      <c r="ID274" s="15"/>
      <c r="IE274" s="15"/>
      <c r="IF274" s="15"/>
      <c r="IG274" s="15"/>
      <c r="IH274" s="15"/>
      <c r="II274" s="15"/>
      <c r="IJ274" s="15"/>
      <c r="IK274" s="16"/>
      <c r="IL274" s="43"/>
      <c r="IM274" s="45"/>
      <c r="JC274" s="13"/>
      <c r="JD274" s="13"/>
    </row>
    <row r="275" spans="17:264" ht="18" customHeight="1">
      <c r="Q275" s="12"/>
      <c r="S275" s="12"/>
      <c r="W275" s="132"/>
      <c r="X275" s="99"/>
      <c r="AB275" s="129"/>
      <c r="BM275" s="13"/>
      <c r="BO275" s="13"/>
      <c r="CI275" s="12"/>
      <c r="CJ275" s="12"/>
      <c r="CU275" s="13"/>
      <c r="CV275" s="42"/>
      <c r="CW275" s="43"/>
      <c r="CX275" s="9"/>
      <c r="CY275" s="10"/>
      <c r="CZ275" s="10"/>
      <c r="DA275" s="11"/>
      <c r="DB275" s="10"/>
      <c r="DC275" s="10"/>
      <c r="DD275" s="10"/>
      <c r="DE275" s="10"/>
      <c r="DF275" s="9"/>
      <c r="DG275" s="10"/>
      <c r="DH275" s="10"/>
      <c r="DI275" s="10"/>
      <c r="DJ275" s="133"/>
      <c r="DK275" s="134"/>
      <c r="DL275" s="134"/>
      <c r="DM275" s="135"/>
      <c r="DV275" s="24"/>
      <c r="EQ275" s="13"/>
      <c r="ER275" s="43"/>
      <c r="ES275" s="45"/>
      <c r="ET275" s="12"/>
      <c r="FE275" s="13"/>
      <c r="FF275" s="13"/>
      <c r="GP275" s="42"/>
      <c r="GQ275" s="43"/>
      <c r="GR275" s="43"/>
      <c r="GS275" s="43"/>
      <c r="GT275" s="43"/>
      <c r="GU275" s="43"/>
      <c r="GV275" s="46"/>
      <c r="GW275" s="47"/>
      <c r="GX275" s="47"/>
      <c r="GY275" s="47"/>
      <c r="GZ275" s="48"/>
      <c r="HA275" s="43"/>
      <c r="HB275" s="43"/>
      <c r="HC275" s="43"/>
      <c r="HD275" s="43"/>
      <c r="HE275" s="43"/>
      <c r="HF275" s="43"/>
      <c r="HG275" s="43"/>
      <c r="HH275" s="43"/>
      <c r="HI275" s="43"/>
      <c r="HJ275" s="43"/>
      <c r="HK275" s="43"/>
      <c r="HL275" s="43"/>
      <c r="HM275" s="43"/>
      <c r="HN275" s="43"/>
      <c r="HO275" s="43"/>
      <c r="HP275" s="43"/>
      <c r="HQ275" s="43"/>
      <c r="HR275" s="43"/>
      <c r="HS275" s="43"/>
      <c r="HT275" s="43"/>
      <c r="HU275" s="123"/>
      <c r="HV275" s="109"/>
      <c r="HW275" s="109"/>
      <c r="HX275" s="109"/>
      <c r="HY275" s="109"/>
      <c r="HZ275" s="124"/>
      <c r="IA275" s="43"/>
      <c r="IB275" s="43"/>
      <c r="IC275" s="43"/>
      <c r="ID275" s="43"/>
      <c r="IE275" s="70"/>
      <c r="IF275" s="92"/>
      <c r="IG275" s="92"/>
      <c r="IH275" s="92"/>
      <c r="II275" s="92"/>
      <c r="IJ275" s="71"/>
      <c r="IK275" s="43"/>
      <c r="IL275" s="43"/>
      <c r="IM275" s="45"/>
      <c r="JC275" s="13"/>
      <c r="JD275" s="13"/>
    </row>
    <row r="276" spans="17:264" ht="18" customHeight="1">
      <c r="Q276" s="12"/>
      <c r="S276" s="12"/>
      <c r="W276" s="12"/>
      <c r="BM276" s="13"/>
      <c r="BO276" s="13"/>
      <c r="CI276" s="12"/>
      <c r="CJ276" s="12"/>
      <c r="CU276" s="13"/>
      <c r="CV276" s="42"/>
      <c r="CW276" s="43"/>
      <c r="CX276" s="12"/>
      <c r="DA276" s="13"/>
      <c r="DB276" s="128"/>
      <c r="DC276" s="99"/>
      <c r="DF276" s="12"/>
      <c r="DG276" s="129"/>
      <c r="DJ276" s="86"/>
      <c r="DK276" s="136"/>
      <c r="DL276" s="87"/>
      <c r="DM276" s="88"/>
      <c r="DN276" s="9"/>
      <c r="DO276" s="10"/>
      <c r="DP276" s="11"/>
      <c r="DV276" s="24"/>
      <c r="EQ276" s="13"/>
      <c r="ER276" s="43"/>
      <c r="ES276" s="45"/>
      <c r="ET276" s="12"/>
      <c r="FE276" s="13"/>
      <c r="FF276" s="13"/>
      <c r="GP276" s="46"/>
      <c r="GQ276" s="47"/>
      <c r="GR276" s="47"/>
      <c r="GS276" s="47"/>
      <c r="GT276" s="47"/>
      <c r="GU276" s="47"/>
      <c r="GV276" s="46"/>
      <c r="GW276" s="47"/>
      <c r="GX276" s="47"/>
      <c r="GY276" s="47"/>
      <c r="GZ276" s="48"/>
      <c r="HA276" s="47"/>
      <c r="HB276" s="47"/>
      <c r="HC276" s="47"/>
      <c r="HD276" s="47"/>
      <c r="HE276" s="47"/>
      <c r="HF276" s="47"/>
      <c r="HG276" s="47"/>
      <c r="HH276" s="47"/>
      <c r="HI276" s="47"/>
      <c r="HJ276" s="47"/>
      <c r="HK276" s="47"/>
      <c r="HL276" s="47"/>
      <c r="HM276" s="47"/>
      <c r="HN276" s="47"/>
      <c r="HO276" s="47"/>
      <c r="HP276" s="47"/>
      <c r="HQ276" s="47"/>
      <c r="HR276" s="47"/>
      <c r="HS276" s="47"/>
      <c r="HT276" s="47"/>
      <c r="HU276" s="46"/>
      <c r="HV276" s="47"/>
      <c r="HW276" s="47"/>
      <c r="HX276" s="47"/>
      <c r="HY276" s="47"/>
      <c r="HZ276" s="48"/>
      <c r="IA276" s="47"/>
      <c r="IB276" s="47"/>
      <c r="IC276" s="47"/>
      <c r="ID276" s="47"/>
      <c r="IE276" s="72"/>
      <c r="IF276" s="100"/>
      <c r="IG276" s="100"/>
      <c r="IH276" s="100"/>
      <c r="II276" s="100"/>
      <c r="IJ276" s="73"/>
      <c r="IK276" s="47"/>
      <c r="IL276" s="47"/>
      <c r="IM276" s="48"/>
      <c r="JC276" s="13"/>
      <c r="JD276" s="13"/>
    </row>
    <row r="277" spans="17:264" ht="18" customHeight="1">
      <c r="Q277" s="12"/>
      <c r="S277" s="14"/>
      <c r="T277" s="15"/>
      <c r="U277" s="15"/>
      <c r="V277" s="15"/>
      <c r="W277" s="14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6"/>
      <c r="BO277" s="13"/>
      <c r="CI277" s="12"/>
      <c r="CJ277" s="12"/>
      <c r="CU277" s="13"/>
      <c r="CV277" s="42"/>
      <c r="CW277" s="43"/>
      <c r="CX277" s="12"/>
      <c r="DA277" s="13"/>
      <c r="DF277" s="12"/>
      <c r="DJ277" s="86"/>
      <c r="DK277" s="87"/>
      <c r="DL277" s="87"/>
      <c r="DM277" s="88"/>
      <c r="DN277" s="12"/>
      <c r="DO277" s="131"/>
      <c r="DP277" s="13"/>
      <c r="DV277" s="24"/>
      <c r="EQ277" s="13"/>
      <c r="ER277" s="43"/>
      <c r="ES277" s="45"/>
      <c r="ET277" s="12"/>
      <c r="FE277" s="13"/>
      <c r="FF277" s="13"/>
      <c r="HD277" s="10"/>
      <c r="HE277" s="9"/>
      <c r="HF277" s="9"/>
      <c r="HG277" s="10"/>
      <c r="HH277" s="10"/>
      <c r="HI277" s="10"/>
      <c r="HJ277" s="10"/>
      <c r="HK277" s="10"/>
      <c r="HL277" s="10"/>
      <c r="JC277" s="13"/>
      <c r="JD277" s="13"/>
    </row>
    <row r="278" spans="17:264" ht="18" customHeight="1">
      <c r="Q278" s="12"/>
      <c r="AL278" s="10"/>
      <c r="AM278" s="10"/>
      <c r="AN278" s="10"/>
      <c r="AO278" s="10"/>
      <c r="AP278" s="10"/>
      <c r="AQ278" s="10"/>
      <c r="AR278" s="10"/>
      <c r="BO278" s="13"/>
      <c r="CI278" s="12"/>
      <c r="CJ278" s="12"/>
      <c r="CU278" s="13"/>
      <c r="CV278" s="42"/>
      <c r="CW278" s="43"/>
      <c r="CX278" s="14"/>
      <c r="CY278" s="15"/>
      <c r="CZ278" s="15"/>
      <c r="DA278" s="16"/>
      <c r="DF278" s="14"/>
      <c r="DG278" s="15"/>
      <c r="DH278" s="15"/>
      <c r="DJ278" s="76"/>
      <c r="DK278" s="89"/>
      <c r="DL278" s="89"/>
      <c r="DM278" s="77"/>
      <c r="DN278" s="14"/>
      <c r="DO278" s="15"/>
      <c r="DP278" s="16"/>
      <c r="DQ278" s="15"/>
      <c r="DR278" s="15"/>
      <c r="DS278" s="15"/>
      <c r="DT278" s="15"/>
      <c r="DU278" s="15"/>
      <c r="DV278" s="25"/>
      <c r="DW278" s="15"/>
      <c r="DX278" s="15"/>
      <c r="DY278" s="15"/>
      <c r="DZ278" s="15"/>
      <c r="EG278" s="15"/>
      <c r="EH278" s="15"/>
      <c r="EI278" s="15"/>
      <c r="EJ278" s="15"/>
      <c r="EK278" s="15"/>
      <c r="EL278" s="15"/>
      <c r="EM278" s="15"/>
      <c r="EN278" s="15"/>
      <c r="EO278" s="15"/>
      <c r="EP278" s="15"/>
      <c r="EQ278" s="16"/>
      <c r="ER278" s="43"/>
      <c r="ES278" s="45"/>
      <c r="ET278" s="12"/>
      <c r="FE278" s="13"/>
      <c r="FF278" s="13"/>
      <c r="HE278" s="12"/>
      <c r="HF278" s="12"/>
      <c r="JC278" s="13"/>
      <c r="JD278" s="13"/>
    </row>
    <row r="279" spans="17:264" ht="18" customHeight="1">
      <c r="Q279" s="14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6"/>
      <c r="CI279" s="12"/>
      <c r="CJ279" s="12"/>
      <c r="CU279" s="13"/>
      <c r="CV279" s="42"/>
      <c r="CW279" s="43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3"/>
      <c r="DW279" s="41"/>
      <c r="DX279" s="41"/>
      <c r="DY279" s="41"/>
      <c r="DZ279" s="41"/>
      <c r="EA279" s="41"/>
      <c r="EB279" s="41"/>
      <c r="EC279" s="41"/>
      <c r="ED279" s="41"/>
      <c r="EE279" s="41"/>
      <c r="EF279" s="41"/>
      <c r="EG279" s="41"/>
      <c r="EH279" s="43"/>
      <c r="EI279" s="43"/>
      <c r="EJ279" s="43"/>
      <c r="EK279" s="70"/>
      <c r="EL279" s="92"/>
      <c r="EM279" s="92"/>
      <c r="EN279" s="92"/>
      <c r="EO279" s="92"/>
      <c r="EP279" s="71"/>
      <c r="EQ279" s="43"/>
      <c r="ER279" s="43"/>
      <c r="ES279" s="45"/>
      <c r="ET279" s="12"/>
      <c r="FE279" s="13"/>
      <c r="FF279" s="13"/>
      <c r="HE279" s="12"/>
      <c r="HF279" s="12"/>
      <c r="JC279" s="13"/>
      <c r="JD279" s="13"/>
    </row>
    <row r="280" spans="17:264" ht="18" customHeight="1">
      <c r="Q280" s="12"/>
      <c r="R280" s="12"/>
      <c r="BN280" s="13"/>
      <c r="BO280" s="13"/>
      <c r="CI280" s="12"/>
      <c r="CJ280" s="12"/>
      <c r="CU280" s="13"/>
      <c r="CV280" s="42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  <c r="EA280" s="43"/>
      <c r="EB280" s="43"/>
      <c r="EC280" s="43"/>
      <c r="ED280" s="43"/>
      <c r="EE280" s="43"/>
      <c r="EF280" s="43"/>
      <c r="EG280" s="43"/>
      <c r="EH280" s="43"/>
      <c r="EI280" s="43"/>
      <c r="EJ280" s="43"/>
      <c r="EK280" s="107"/>
      <c r="EL280" s="127"/>
      <c r="EM280" s="127"/>
      <c r="EN280" s="127"/>
      <c r="EO280" s="127"/>
      <c r="EP280" s="90"/>
      <c r="EQ280" s="43"/>
      <c r="ER280" s="43"/>
      <c r="ES280" s="45"/>
      <c r="ET280" s="12"/>
      <c r="FE280" s="13"/>
      <c r="FF280" s="13"/>
      <c r="HE280" s="12"/>
      <c r="HF280" s="12"/>
      <c r="JC280" s="13"/>
      <c r="JD280" s="13"/>
    </row>
    <row r="281" spans="17:264" ht="18" customHeight="1">
      <c r="Q281" s="12"/>
      <c r="R281" s="12"/>
      <c r="BN281" s="13"/>
      <c r="BO281" s="13"/>
      <c r="CI281" s="12"/>
      <c r="CJ281" s="12"/>
      <c r="CV281" s="10"/>
      <c r="CW281" s="10"/>
      <c r="CX281" s="10"/>
      <c r="CY281" s="10"/>
      <c r="CZ281" s="10"/>
      <c r="DA281" s="10"/>
      <c r="DB281" s="10"/>
      <c r="DC281" s="10"/>
      <c r="DD281" s="10"/>
      <c r="DE281" s="10"/>
      <c r="DF281" s="10"/>
      <c r="DG281" s="10"/>
      <c r="DH281" s="10"/>
      <c r="DI281" s="10"/>
      <c r="DJ281" s="10"/>
      <c r="DK281" s="10"/>
      <c r="DL281" s="10"/>
      <c r="DM281" s="10"/>
      <c r="DN281" s="10"/>
      <c r="DO281" s="10"/>
      <c r="DP281" s="10"/>
      <c r="DQ281" s="10"/>
      <c r="DR281" s="10"/>
      <c r="DS281" s="10"/>
      <c r="DT281" s="10"/>
      <c r="DU281" s="10"/>
      <c r="DV281" s="10"/>
      <c r="DW281" s="10"/>
      <c r="DX281" s="10"/>
      <c r="DY281" s="10"/>
      <c r="DZ281" s="10"/>
      <c r="EA281" s="10"/>
      <c r="EB281" s="10"/>
      <c r="EC281" s="10"/>
      <c r="ED281" s="10"/>
      <c r="EE281" s="10"/>
      <c r="EF281" s="10"/>
      <c r="EG281" s="10"/>
      <c r="EH281" s="10"/>
      <c r="EI281" s="10"/>
      <c r="EJ281" s="10"/>
      <c r="EK281" s="10"/>
      <c r="EL281" s="10"/>
      <c r="EM281" s="10"/>
      <c r="EN281" s="10"/>
      <c r="EO281" s="10"/>
      <c r="EP281" s="10"/>
      <c r="EQ281" s="10"/>
      <c r="ER281" s="10"/>
      <c r="ES281" s="10"/>
      <c r="FE281" s="13"/>
      <c r="FF281" s="13"/>
      <c r="HE281" s="12"/>
      <c r="HF281" s="12"/>
      <c r="JC281" s="13"/>
      <c r="JD281" s="13"/>
    </row>
    <row r="282" spans="17:264" ht="18" customHeight="1">
      <c r="Q282" s="12"/>
      <c r="R282" s="12"/>
      <c r="BN282" s="13"/>
      <c r="BO282" s="13"/>
      <c r="CI282" s="12"/>
      <c r="CJ282" s="12"/>
      <c r="FE282" s="13"/>
      <c r="FF282" s="13"/>
      <c r="HE282" s="12"/>
      <c r="HF282" s="12"/>
      <c r="JC282" s="13"/>
      <c r="JD282" s="13"/>
    </row>
    <row r="283" spans="17:264" ht="18" customHeight="1">
      <c r="Q283" s="12"/>
      <c r="R283" s="12"/>
      <c r="BN283" s="13"/>
      <c r="BO283" s="16"/>
      <c r="CI283" s="12"/>
      <c r="CJ283" s="12"/>
      <c r="FE283" s="13"/>
      <c r="FF283" s="13"/>
      <c r="HE283" s="12"/>
      <c r="HF283" s="12"/>
      <c r="JC283" s="13"/>
      <c r="JD283" s="13"/>
    </row>
    <row r="284" spans="17:264" ht="18" customHeight="1">
      <c r="Q284" s="12"/>
      <c r="R284" s="12"/>
      <c r="BO284" s="10"/>
      <c r="BP284" s="9"/>
      <c r="BQ284" s="11"/>
      <c r="BR284" s="9"/>
      <c r="BS284" s="11"/>
      <c r="CI284" s="12"/>
      <c r="CJ284" s="12"/>
      <c r="FE284" s="13"/>
      <c r="FF284" s="13"/>
      <c r="HE284" s="12"/>
      <c r="HF284" s="12"/>
      <c r="JC284" s="13"/>
      <c r="JD284" s="13"/>
    </row>
    <row r="285" spans="17:264" ht="18" customHeight="1">
      <c r="Q285" s="12"/>
      <c r="R285" s="12"/>
      <c r="BP285" s="12"/>
      <c r="BQ285" s="13"/>
      <c r="BR285" s="12"/>
      <c r="BS285" s="13"/>
      <c r="CI285" s="12"/>
      <c r="CJ285" s="12"/>
      <c r="FE285" s="13"/>
      <c r="FF285" s="13"/>
      <c r="HE285" s="12"/>
      <c r="HF285" s="12"/>
      <c r="JC285" s="13"/>
      <c r="JD285" s="13"/>
    </row>
    <row r="286" spans="17:264" ht="18" customHeight="1">
      <c r="Q286" s="12"/>
      <c r="R286" s="12"/>
      <c r="BP286" s="12"/>
      <c r="BQ286" s="13"/>
      <c r="BR286" s="12"/>
      <c r="BS286" s="13"/>
      <c r="CI286" s="12"/>
      <c r="CJ286" s="12"/>
      <c r="FE286" s="13"/>
      <c r="FF286" s="13"/>
      <c r="HE286" s="12"/>
      <c r="HF286" s="12"/>
      <c r="JC286" s="13"/>
      <c r="JD286" s="13"/>
    </row>
    <row r="287" spans="17:264" ht="18" customHeight="1">
      <c r="Q287" s="12"/>
      <c r="R287" s="12"/>
      <c r="BP287" s="12"/>
      <c r="BQ287" s="13"/>
      <c r="BR287" s="12"/>
      <c r="BS287" s="13"/>
      <c r="CI287" s="12"/>
      <c r="CJ287" s="12"/>
      <c r="FE287" s="13"/>
      <c r="FF287" s="13"/>
      <c r="HE287" s="12"/>
      <c r="HF287" s="12"/>
      <c r="JC287" s="13"/>
      <c r="JD287" s="13"/>
    </row>
    <row r="288" spans="17:264" ht="18" customHeight="1">
      <c r="Q288" s="12"/>
      <c r="R288" s="12"/>
      <c r="BP288" s="12"/>
      <c r="BQ288" s="13"/>
      <c r="BR288" s="12"/>
      <c r="BS288" s="13"/>
      <c r="CI288" s="12"/>
      <c r="CJ288" s="12"/>
      <c r="FE288" s="13"/>
      <c r="FF288" s="13"/>
      <c r="HE288" s="12"/>
      <c r="HF288" s="12"/>
      <c r="JC288" s="13"/>
      <c r="JD288" s="13"/>
    </row>
    <row r="289" spans="17:265" ht="18" customHeight="1">
      <c r="Q289" s="12"/>
      <c r="R289" s="12"/>
      <c r="BP289" s="12"/>
      <c r="BQ289" s="13"/>
      <c r="BR289" s="12"/>
      <c r="BS289" s="13"/>
      <c r="CI289" s="12"/>
      <c r="CJ289" s="12"/>
      <c r="FE289" s="13"/>
      <c r="FF289" s="13"/>
      <c r="HE289" s="12"/>
      <c r="HF289" s="12"/>
      <c r="JC289" s="13"/>
      <c r="JD289" s="13"/>
    </row>
    <row r="290" spans="17:265" ht="18" customHeight="1">
      <c r="Q290" s="12"/>
      <c r="R290" s="12"/>
      <c r="BP290" s="12"/>
      <c r="BQ290" s="13"/>
      <c r="BR290" s="12"/>
      <c r="BS290" s="13"/>
      <c r="CI290" s="12"/>
      <c r="CJ290" s="12"/>
      <c r="FE290" s="13"/>
      <c r="FF290" s="13"/>
      <c r="HE290" s="12"/>
      <c r="HF290" s="12"/>
      <c r="JC290" s="13"/>
      <c r="JD290" s="13"/>
    </row>
    <row r="291" spans="17:265" ht="18" customHeight="1">
      <c r="Q291" s="12"/>
      <c r="R291" s="12"/>
      <c r="BO291" s="15"/>
      <c r="BP291" s="14"/>
      <c r="BQ291" s="16"/>
      <c r="BR291" s="14"/>
      <c r="BS291" s="16"/>
      <c r="CI291" s="12"/>
      <c r="CJ291" s="12"/>
      <c r="FE291" s="13"/>
      <c r="FF291" s="13"/>
      <c r="HE291" s="12"/>
      <c r="HF291" s="12"/>
      <c r="JC291" s="13"/>
      <c r="JD291" s="13"/>
    </row>
    <row r="292" spans="17:265" ht="18" customHeight="1">
      <c r="Q292" s="12"/>
      <c r="R292" s="12"/>
      <c r="BN292" s="13"/>
      <c r="BO292" s="13"/>
      <c r="CI292" s="12"/>
      <c r="CJ292" s="12"/>
      <c r="FE292" s="13"/>
      <c r="FF292" s="13"/>
      <c r="HE292" s="12"/>
      <c r="HF292" s="14"/>
      <c r="HG292" s="15"/>
      <c r="HH292" s="15"/>
      <c r="HI292" s="15"/>
      <c r="HJ292" s="15"/>
      <c r="HK292" s="15"/>
      <c r="HL292" s="15"/>
      <c r="HM292" s="15"/>
      <c r="HN292" s="15"/>
      <c r="HO292" s="15"/>
      <c r="HP292" s="15"/>
      <c r="HQ292" s="15"/>
      <c r="HR292" s="15"/>
      <c r="HS292" s="15"/>
      <c r="HT292" s="15"/>
      <c r="HU292" s="15"/>
      <c r="HV292" s="15"/>
      <c r="HW292" s="15"/>
      <c r="HX292" s="15"/>
      <c r="HY292" s="15"/>
      <c r="HZ292" s="15"/>
      <c r="IA292" s="15"/>
      <c r="IB292" s="15"/>
      <c r="IC292" s="15"/>
      <c r="ID292" s="15"/>
      <c r="IE292" s="15"/>
      <c r="IF292" s="15"/>
      <c r="IG292" s="15"/>
      <c r="IH292" s="15"/>
      <c r="II292" s="15"/>
      <c r="IJ292" s="15"/>
      <c r="IK292" s="15"/>
      <c r="IL292" s="15"/>
      <c r="IM292" s="15"/>
      <c r="IN292" s="15"/>
      <c r="IO292" s="15"/>
      <c r="IP292" s="15"/>
      <c r="IQ292" s="15"/>
      <c r="IR292" s="15"/>
      <c r="IS292" s="15"/>
      <c r="IT292" s="15"/>
      <c r="IU292" s="15"/>
      <c r="IV292" s="15"/>
      <c r="IW292" s="15"/>
      <c r="IX292" s="15"/>
      <c r="IY292" s="15"/>
      <c r="IZ292" s="15"/>
      <c r="JA292" s="15"/>
      <c r="JB292" s="15"/>
      <c r="JC292" s="16"/>
      <c r="JD292" s="13"/>
    </row>
    <row r="293" spans="17:265" ht="18" customHeight="1">
      <c r="Q293" s="12"/>
      <c r="R293" s="12"/>
      <c r="BN293" s="13"/>
      <c r="BO293" s="13"/>
      <c r="CI293" s="12"/>
      <c r="CJ293" s="12"/>
      <c r="FE293" s="13"/>
      <c r="FF293" s="13"/>
      <c r="HE293" s="14"/>
      <c r="HF293" s="15"/>
      <c r="HG293" s="15"/>
      <c r="HH293" s="15"/>
      <c r="HI293" s="15"/>
      <c r="HJ293" s="15"/>
      <c r="HK293" s="15"/>
      <c r="HL293" s="15"/>
      <c r="HM293" s="15"/>
      <c r="HN293" s="15"/>
      <c r="HO293" s="15"/>
      <c r="HP293" s="15"/>
      <c r="HQ293" s="15"/>
      <c r="HR293" s="15"/>
      <c r="HS293" s="15"/>
      <c r="HT293" s="15"/>
      <c r="HU293" s="15"/>
      <c r="HV293" s="15"/>
      <c r="HW293" s="15"/>
      <c r="HX293" s="15"/>
      <c r="HY293" s="15"/>
      <c r="HZ293" s="15"/>
      <c r="IA293" s="15"/>
      <c r="IB293" s="15"/>
      <c r="IC293" s="15"/>
      <c r="ID293" s="15"/>
      <c r="IE293" s="15"/>
      <c r="IF293" s="15"/>
      <c r="IG293" s="15"/>
      <c r="IH293" s="15"/>
      <c r="II293" s="15"/>
      <c r="IJ293" s="15"/>
      <c r="IK293" s="15"/>
      <c r="IL293" s="15"/>
      <c r="IM293" s="15"/>
      <c r="IN293" s="15"/>
      <c r="IO293" s="15"/>
      <c r="IP293" s="15"/>
      <c r="IQ293" s="15"/>
      <c r="IR293" s="15"/>
      <c r="IS293" s="15"/>
      <c r="IT293" s="15"/>
      <c r="IU293" s="15"/>
      <c r="IV293" s="15"/>
      <c r="IW293" s="15"/>
      <c r="IX293" s="15"/>
      <c r="IY293" s="15"/>
      <c r="IZ293" s="15"/>
      <c r="JA293" s="15"/>
      <c r="JB293" s="15"/>
      <c r="JC293" s="15"/>
      <c r="JD293" s="16"/>
    </row>
    <row r="294" spans="17:265" ht="18" customHeight="1">
      <c r="Q294" s="12"/>
      <c r="R294" s="12"/>
      <c r="BN294" s="13"/>
      <c r="BO294" s="13"/>
      <c r="CI294" s="12"/>
      <c r="CJ294" s="12"/>
      <c r="FE294" s="13"/>
      <c r="FF294" s="13"/>
    </row>
    <row r="295" spans="17:265" ht="18" customHeight="1">
      <c r="Q295" s="12"/>
      <c r="R295" s="14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6"/>
      <c r="BO295" s="13"/>
      <c r="CI295" s="12"/>
      <c r="CJ295" s="12"/>
      <c r="FE295" s="13"/>
      <c r="FF295" s="13"/>
    </row>
    <row r="296" spans="17:265" ht="18" customHeight="1">
      <c r="Q296" s="14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6"/>
      <c r="CI296" s="12"/>
      <c r="CJ296" s="14"/>
      <c r="CK296" s="15"/>
      <c r="CL296" s="15"/>
      <c r="CM296" s="15"/>
      <c r="CN296" s="15"/>
      <c r="CO296" s="15"/>
      <c r="CP296" s="15"/>
      <c r="CQ296" s="15"/>
      <c r="CR296" s="15"/>
      <c r="CS296" s="15"/>
      <c r="CT296" s="15"/>
      <c r="CU296" s="15"/>
      <c r="CV296" s="15"/>
      <c r="CW296" s="15"/>
      <c r="CX296" s="15"/>
      <c r="CY296" s="15"/>
      <c r="CZ296" s="15"/>
      <c r="DA296" s="15"/>
      <c r="DB296" s="15"/>
      <c r="DC296" s="15"/>
      <c r="DD296" s="15"/>
      <c r="DE296" s="15"/>
      <c r="DF296" s="15"/>
      <c r="DG296" s="15"/>
      <c r="DH296" s="15"/>
      <c r="DI296" s="15"/>
      <c r="DJ296" s="15"/>
      <c r="DK296" s="15"/>
      <c r="DL296" s="15"/>
      <c r="DM296" s="15"/>
      <c r="DN296" s="15"/>
      <c r="DO296" s="15"/>
      <c r="DP296" s="15"/>
      <c r="DQ296" s="15"/>
      <c r="DR296" s="15"/>
      <c r="DS296" s="15"/>
      <c r="DT296" s="15"/>
      <c r="DU296" s="15"/>
      <c r="DV296" s="15"/>
      <c r="DW296" s="15"/>
      <c r="DX296" s="15"/>
      <c r="DY296" s="15"/>
      <c r="DZ296" s="15"/>
      <c r="EA296" s="15"/>
      <c r="EB296" s="15"/>
      <c r="EC296" s="15"/>
      <c r="ED296" s="15"/>
      <c r="EE296" s="15"/>
      <c r="EF296" s="15"/>
      <c r="EG296" s="15"/>
      <c r="EH296" s="15"/>
      <c r="EI296" s="15"/>
      <c r="EJ296" s="15"/>
      <c r="EK296" s="15"/>
      <c r="EL296" s="15"/>
      <c r="EM296" s="15"/>
      <c r="EN296" s="15"/>
      <c r="EO296" s="15"/>
      <c r="EP296" s="15"/>
      <c r="EQ296" s="15"/>
      <c r="ER296" s="15"/>
      <c r="ES296" s="15"/>
      <c r="ET296" s="15"/>
      <c r="EU296" s="15"/>
      <c r="EV296" s="15"/>
      <c r="EW296" s="15"/>
      <c r="EX296" s="15"/>
      <c r="EY296" s="15"/>
      <c r="EZ296" s="15"/>
      <c r="FA296" s="15"/>
      <c r="FB296" s="15"/>
      <c r="FC296" s="15"/>
      <c r="FD296" s="15"/>
      <c r="FE296" s="16"/>
      <c r="FF296" s="13"/>
    </row>
    <row r="297" spans="17:265" ht="18" customHeight="1">
      <c r="CI297" s="14"/>
      <c r="CJ297" s="15"/>
      <c r="CK297" s="15"/>
      <c r="CL297" s="15"/>
      <c r="CM297" s="15"/>
      <c r="CN297" s="15"/>
      <c r="CO297" s="15"/>
      <c r="CP297" s="15"/>
      <c r="CQ297" s="15"/>
      <c r="CR297" s="15"/>
      <c r="CS297" s="15"/>
      <c r="CT297" s="15"/>
      <c r="CU297" s="15"/>
      <c r="CV297" s="15"/>
      <c r="CW297" s="15"/>
      <c r="CX297" s="15"/>
      <c r="CY297" s="15"/>
      <c r="CZ297" s="15"/>
      <c r="DA297" s="15"/>
      <c r="DB297" s="15"/>
      <c r="DC297" s="15"/>
      <c r="DD297" s="15"/>
      <c r="DE297" s="15"/>
      <c r="DF297" s="15"/>
      <c r="DG297" s="15"/>
      <c r="DH297" s="15"/>
      <c r="DI297" s="15"/>
      <c r="DJ297" s="15"/>
      <c r="DK297" s="15"/>
      <c r="DL297" s="15"/>
      <c r="DM297" s="15"/>
      <c r="DN297" s="15"/>
      <c r="DO297" s="15"/>
      <c r="DP297" s="15"/>
      <c r="DQ297" s="15"/>
      <c r="DR297" s="15"/>
      <c r="DS297" s="15"/>
      <c r="DT297" s="15"/>
      <c r="DU297" s="15"/>
      <c r="DV297" s="15"/>
      <c r="DW297" s="15"/>
      <c r="DX297" s="15"/>
      <c r="DY297" s="15"/>
      <c r="DZ297" s="15"/>
      <c r="EA297" s="15"/>
      <c r="EB297" s="15"/>
      <c r="EC297" s="15"/>
      <c r="ED297" s="15"/>
      <c r="EE297" s="15"/>
      <c r="EF297" s="15"/>
      <c r="EG297" s="15"/>
      <c r="EH297" s="15"/>
      <c r="EI297" s="15"/>
      <c r="EJ297" s="15"/>
      <c r="EK297" s="15"/>
      <c r="EL297" s="15"/>
      <c r="EM297" s="15"/>
      <c r="EN297" s="15"/>
      <c r="EO297" s="15"/>
      <c r="EP297" s="15"/>
      <c r="EQ297" s="15"/>
      <c r="ER297" s="15"/>
      <c r="ES297" s="15"/>
      <c r="ET297" s="15"/>
      <c r="EU297" s="15"/>
      <c r="EV297" s="15"/>
      <c r="EW297" s="15"/>
      <c r="EX297" s="15"/>
      <c r="EY297" s="15"/>
      <c r="EZ297" s="15"/>
      <c r="FA297" s="15"/>
      <c r="FB297" s="15"/>
      <c r="FC297" s="15"/>
      <c r="FD297" s="15"/>
      <c r="FE297" s="15"/>
      <c r="FF297" s="16"/>
    </row>
    <row r="300" spans="17:265" ht="18" customHeight="1" thickBot="1"/>
    <row r="301" spans="17:265" ht="18" customHeight="1">
      <c r="EP301" s="1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3"/>
    </row>
    <row r="302" spans="17:265" ht="18" customHeight="1">
      <c r="EP302" s="4"/>
      <c r="JE302" s="5"/>
    </row>
    <row r="303" spans="17:265" ht="18" customHeight="1">
      <c r="EP303" s="4"/>
      <c r="JE303" s="5"/>
    </row>
    <row r="304" spans="17:265" ht="18" customHeight="1">
      <c r="EP304" s="4"/>
      <c r="JE304" s="5"/>
    </row>
    <row r="305" spans="31:265" ht="18" customHeight="1">
      <c r="EP305" s="4"/>
      <c r="JE305" s="5"/>
    </row>
    <row r="306" spans="31:265" ht="18" customHeight="1">
      <c r="EP306" s="4"/>
      <c r="JE306" s="5"/>
    </row>
    <row r="307" spans="31:265" ht="18" customHeight="1">
      <c r="EP307" s="4"/>
      <c r="JE307" s="5"/>
    </row>
    <row r="308" spans="31:265" ht="18" customHeight="1">
      <c r="EP308" s="4"/>
      <c r="JE308" s="5"/>
    </row>
    <row r="309" spans="31:265" ht="18" customHeight="1">
      <c r="EP309" s="4"/>
      <c r="JE309" s="5"/>
    </row>
    <row r="310" spans="31:265" ht="18" customHeight="1">
      <c r="EP310" s="4"/>
      <c r="JE310" s="5"/>
    </row>
    <row r="311" spans="31:265" ht="18" customHeight="1">
      <c r="EP311" s="4"/>
      <c r="JE311" s="5"/>
    </row>
    <row r="312" spans="31:265" ht="18" customHeight="1">
      <c r="EP312" s="4"/>
      <c r="JE312" s="5"/>
    </row>
    <row r="313" spans="31:265" ht="18" customHeight="1">
      <c r="EP313" s="4"/>
      <c r="JE313" s="5"/>
    </row>
    <row r="314" spans="31:265" ht="18" customHeight="1">
      <c r="EP314" s="4"/>
      <c r="GP314" s="15"/>
      <c r="GQ314" s="15"/>
      <c r="GR314" s="15"/>
      <c r="GS314" s="15"/>
      <c r="GT314" s="15"/>
      <c r="GU314" s="15"/>
      <c r="GV314" s="15"/>
      <c r="GW314" s="15"/>
      <c r="JE314" s="5"/>
    </row>
    <row r="315" spans="31:265" ht="18" customHeight="1">
      <c r="EP315" s="4"/>
      <c r="FC315" s="9"/>
      <c r="FD315" s="10"/>
      <c r="FE315" s="10"/>
      <c r="FF315" s="10"/>
      <c r="FG315" s="10"/>
      <c r="FH315" s="10"/>
      <c r="FI315" s="10"/>
      <c r="FJ315" s="10"/>
      <c r="FK315" s="10"/>
      <c r="FL315" s="10"/>
      <c r="FM315" s="10"/>
      <c r="FN315" s="10"/>
      <c r="FO315" s="10"/>
      <c r="FP315" s="10"/>
      <c r="FQ315" s="10"/>
      <c r="FR315" s="10"/>
      <c r="FS315" s="10"/>
      <c r="FT315" s="11"/>
      <c r="FU315" s="20"/>
      <c r="FV315" s="21"/>
      <c r="FW315" s="21"/>
      <c r="FX315" s="21"/>
      <c r="FY315" s="21"/>
      <c r="FZ315" s="22"/>
      <c r="GA315" s="9"/>
      <c r="GB315" s="10"/>
      <c r="GC315" s="10"/>
      <c r="GD315" s="10"/>
      <c r="GE315" s="10"/>
      <c r="GF315" s="10"/>
      <c r="GG315" s="10"/>
      <c r="GH315" s="10"/>
      <c r="GI315" s="10"/>
      <c r="GJ315" s="10"/>
      <c r="GK315" s="10"/>
      <c r="GL315" s="10"/>
      <c r="GM315" s="10"/>
      <c r="GN315" s="10"/>
      <c r="GO315" s="10"/>
      <c r="GW315" s="11"/>
      <c r="JE315" s="5"/>
    </row>
    <row r="316" spans="31:265" ht="18" customHeight="1">
      <c r="AE316" s="40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4"/>
      <c r="EP316" s="4"/>
      <c r="FC316" s="12"/>
      <c r="FT316" s="15"/>
      <c r="FU316" s="20"/>
      <c r="FV316" s="21"/>
      <c r="FW316" s="21"/>
      <c r="FX316" s="21"/>
      <c r="FY316" s="21"/>
      <c r="FZ316" s="22"/>
      <c r="GP316" s="15"/>
      <c r="GQ316" s="15"/>
      <c r="GR316" s="15"/>
      <c r="GW316" s="13"/>
      <c r="JE316" s="5"/>
    </row>
    <row r="317" spans="31:265" ht="18" customHeight="1">
      <c r="AE317" s="42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5"/>
      <c r="EP317" s="4"/>
      <c r="FC317" s="12"/>
      <c r="FE317" s="9"/>
      <c r="FF317" s="10"/>
      <c r="FG317" s="10"/>
      <c r="FH317" s="10"/>
      <c r="FI317" s="10"/>
      <c r="FJ317" s="10"/>
      <c r="FK317" s="10"/>
      <c r="FL317" s="10"/>
      <c r="FM317" s="11"/>
      <c r="FN317" s="10"/>
      <c r="FO317" s="10"/>
      <c r="FP317" s="10"/>
      <c r="FQ317" s="10"/>
      <c r="FR317" s="10"/>
      <c r="FS317" s="10"/>
      <c r="FT317" s="10"/>
      <c r="FU317" s="10"/>
      <c r="FV317" s="10"/>
      <c r="FW317" s="10"/>
      <c r="FX317" s="10"/>
      <c r="FY317" s="10"/>
      <c r="FZ317" s="10"/>
      <c r="GA317" s="10"/>
      <c r="GB317" s="11"/>
      <c r="GD317" s="9"/>
      <c r="GE317" s="10"/>
      <c r="GF317" s="10"/>
      <c r="GG317" s="10"/>
      <c r="GH317" s="10"/>
      <c r="GI317" s="10"/>
      <c r="GJ317" s="10"/>
      <c r="GK317" s="10"/>
      <c r="GL317" s="10"/>
      <c r="GM317" s="10"/>
      <c r="GN317" s="9"/>
      <c r="GO317" s="10"/>
      <c r="GP317" s="10"/>
      <c r="GQ317" s="10"/>
      <c r="GR317" s="10"/>
      <c r="GS317" s="10"/>
      <c r="GT317" s="10"/>
      <c r="GU317" s="11"/>
      <c r="GW317" s="13"/>
      <c r="JE317" s="5"/>
    </row>
    <row r="318" spans="31:265" ht="18" customHeight="1">
      <c r="AE318" s="42"/>
      <c r="AF318" s="43"/>
      <c r="AG318" s="9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7"/>
      <c r="BF318" s="10"/>
      <c r="BG318" s="10"/>
      <c r="BH318" s="10"/>
      <c r="BI318" s="10"/>
      <c r="BJ318" s="10"/>
      <c r="BK318" s="10"/>
      <c r="BL318" s="10"/>
      <c r="BM318" s="10"/>
      <c r="BN318" s="10"/>
      <c r="BO318" s="11"/>
      <c r="BP318" s="17"/>
      <c r="BQ318" s="9"/>
      <c r="BR318" s="10"/>
      <c r="BS318" s="10"/>
      <c r="BT318" s="10"/>
      <c r="BU318" s="10"/>
      <c r="BV318" s="10"/>
      <c r="BW318" s="10"/>
      <c r="BX318" s="10"/>
      <c r="BY318" s="10"/>
      <c r="BZ318" s="11"/>
      <c r="CA318" s="43"/>
      <c r="CB318" s="45"/>
      <c r="EP318" s="4"/>
      <c r="FC318" s="12"/>
      <c r="FE318" s="12"/>
      <c r="FM318" s="13"/>
      <c r="GB318" s="13"/>
      <c r="GC318" s="90"/>
      <c r="GD318" s="12"/>
      <c r="GN318" s="12"/>
      <c r="GU318" s="13"/>
      <c r="GW318" s="13"/>
      <c r="JE318" s="5"/>
    </row>
    <row r="319" spans="31:265" ht="18" customHeight="1">
      <c r="AE319" s="42"/>
      <c r="AF319" s="43"/>
      <c r="AG319" s="12"/>
      <c r="BB319" s="9"/>
      <c r="BC319" s="10"/>
      <c r="BD319" s="11"/>
      <c r="BE319" s="18"/>
      <c r="BO319" s="13"/>
      <c r="BP319" s="18"/>
      <c r="BQ319" s="12"/>
      <c r="BZ319" s="13"/>
      <c r="CA319" s="43"/>
      <c r="CB319" s="45"/>
      <c r="EP319" s="4"/>
      <c r="FC319" s="12"/>
      <c r="FE319" s="14"/>
      <c r="FF319" s="15"/>
      <c r="FG319" s="15"/>
      <c r="FH319" s="15"/>
      <c r="FI319" s="15"/>
      <c r="FJ319" s="15"/>
      <c r="FK319" s="15"/>
      <c r="FL319" s="15"/>
      <c r="FM319" s="16"/>
      <c r="GB319" s="13"/>
      <c r="GC319" s="127"/>
      <c r="GD319" s="12"/>
      <c r="GN319" s="12"/>
      <c r="GU319" s="13"/>
      <c r="GW319" s="13"/>
      <c r="JE319" s="5"/>
    </row>
    <row r="320" spans="31:265" ht="18" customHeight="1">
      <c r="AE320" s="42"/>
      <c r="AF320" s="43"/>
      <c r="AG320" s="12"/>
      <c r="BB320" s="12"/>
      <c r="BD320" s="13"/>
      <c r="BE320" s="18"/>
      <c r="BO320" s="13"/>
      <c r="BP320" s="18"/>
      <c r="BQ320" s="12"/>
      <c r="BZ320" s="13"/>
      <c r="CA320" s="43"/>
      <c r="CB320" s="45"/>
      <c r="EP320" s="4"/>
      <c r="FC320" s="12"/>
      <c r="FE320" s="12"/>
      <c r="GB320" s="13"/>
      <c r="GC320" s="127"/>
      <c r="GD320" s="12"/>
      <c r="GN320" s="12"/>
      <c r="GU320" s="13"/>
      <c r="GV320" s="17"/>
      <c r="GW320" s="17"/>
      <c r="JE320" s="5"/>
    </row>
    <row r="321" spans="31:265" ht="18" customHeight="1">
      <c r="AE321" s="42"/>
      <c r="AF321" s="43"/>
      <c r="AG321" s="9"/>
      <c r="AH321" s="11"/>
      <c r="BB321" s="12"/>
      <c r="BD321" s="13"/>
      <c r="BE321" s="18"/>
      <c r="BO321" s="13"/>
      <c r="BP321" s="18"/>
      <c r="BQ321" s="12"/>
      <c r="BZ321" s="13"/>
      <c r="CA321" s="43"/>
      <c r="CB321" s="45"/>
      <c r="EP321" s="4"/>
      <c r="FC321" s="12"/>
      <c r="FE321" s="12"/>
      <c r="GB321" s="13"/>
      <c r="GC321" s="127"/>
      <c r="GD321" s="12"/>
      <c r="GN321" s="12"/>
      <c r="GU321" s="13"/>
      <c r="GV321" s="18"/>
      <c r="GW321" s="18"/>
      <c r="JE321" s="5"/>
    </row>
    <row r="322" spans="31:265" ht="18" customHeight="1">
      <c r="AE322" s="42"/>
      <c r="AF322" s="43"/>
      <c r="AG322" s="12"/>
      <c r="AH322" s="13"/>
      <c r="BB322" s="12"/>
      <c r="BD322" s="13"/>
      <c r="BE322" s="18"/>
      <c r="BO322" s="13"/>
      <c r="BP322" s="18"/>
      <c r="BQ322" s="12"/>
      <c r="BZ322" s="13"/>
      <c r="CA322" s="43"/>
      <c r="CB322" s="45"/>
      <c r="EP322" s="4"/>
      <c r="FC322" s="17"/>
      <c r="FD322" s="17"/>
      <c r="FE322" s="12"/>
      <c r="GB322" s="13"/>
      <c r="GC322" s="127"/>
      <c r="GD322" s="9"/>
      <c r="GE322" s="10"/>
      <c r="GF322" s="10"/>
      <c r="GG322" s="10"/>
      <c r="GH322" s="11"/>
      <c r="GI322" s="10"/>
      <c r="GJ322" s="10"/>
      <c r="GK322" s="10"/>
      <c r="GL322" s="10"/>
      <c r="GM322" s="10"/>
      <c r="GN322" s="12"/>
      <c r="GU322" s="13"/>
      <c r="GV322" s="18"/>
      <c r="GW322" s="18"/>
      <c r="JE322" s="5"/>
    </row>
    <row r="323" spans="31:265" ht="18" customHeight="1">
      <c r="AE323" s="42"/>
      <c r="AF323" s="43"/>
      <c r="AG323" s="14"/>
      <c r="AH323" s="16"/>
      <c r="BB323" s="12"/>
      <c r="BD323" s="13"/>
      <c r="BE323" s="18"/>
      <c r="BO323" s="13"/>
      <c r="BP323" s="18"/>
      <c r="BQ323" s="12"/>
      <c r="BZ323" s="13"/>
      <c r="CA323" s="43"/>
      <c r="CB323" s="45"/>
      <c r="EP323" s="4"/>
      <c r="FC323" s="18"/>
      <c r="FD323" s="18"/>
      <c r="FE323" s="12"/>
      <c r="GB323" s="13"/>
      <c r="GD323" s="12"/>
      <c r="GH323" s="13"/>
      <c r="GN323" s="12"/>
      <c r="GU323" s="13"/>
      <c r="GV323" s="19"/>
      <c r="GW323" s="19"/>
      <c r="GX323" s="12"/>
      <c r="JE323" s="5"/>
    </row>
    <row r="324" spans="31:265" ht="18" customHeight="1">
      <c r="AE324" s="42"/>
      <c r="AF324" s="43"/>
      <c r="AG324" s="9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1"/>
      <c r="BB324" s="12"/>
      <c r="BD324" s="13"/>
      <c r="BE324" s="18"/>
      <c r="BF324" s="15"/>
      <c r="BG324" s="15"/>
      <c r="BH324" s="15"/>
      <c r="BI324" s="15"/>
      <c r="BJ324" s="15"/>
      <c r="BK324" s="15"/>
      <c r="BL324" s="15"/>
      <c r="BM324" s="15"/>
      <c r="BN324" s="15"/>
      <c r="BO324" s="16"/>
      <c r="BP324" s="18"/>
      <c r="BQ324" s="14"/>
      <c r="BR324" s="15"/>
      <c r="BS324" s="15"/>
      <c r="BT324" s="15"/>
      <c r="BU324" s="15"/>
      <c r="BV324" s="15"/>
      <c r="BW324" s="15"/>
      <c r="BX324" s="15"/>
      <c r="BY324" s="15"/>
      <c r="BZ324" s="16"/>
      <c r="CA324" s="43"/>
      <c r="CB324" s="45"/>
      <c r="EP324" s="4"/>
      <c r="FC324" s="18"/>
      <c r="FD324" s="18"/>
      <c r="FE324" s="12"/>
      <c r="GB324" s="13"/>
      <c r="GD324" s="12"/>
      <c r="GH324" s="13"/>
      <c r="GN324" s="12"/>
      <c r="GU324" s="13"/>
      <c r="GX324" s="12"/>
      <c r="JE324" s="5"/>
    </row>
    <row r="325" spans="31:265" ht="18" customHeight="1">
      <c r="AE325" s="42"/>
      <c r="AF325" s="43"/>
      <c r="AG325" s="12"/>
      <c r="AR325" s="13"/>
      <c r="BB325" s="12"/>
      <c r="BD325" s="13"/>
      <c r="BE325" s="18"/>
      <c r="BK325" s="9"/>
      <c r="BL325" s="10"/>
      <c r="BM325" s="10"/>
      <c r="BN325" s="10"/>
      <c r="BO325" s="11"/>
      <c r="BP325" s="18"/>
      <c r="BQ325" s="9"/>
      <c r="BR325" s="10"/>
      <c r="BS325" s="10"/>
      <c r="BT325" s="10"/>
      <c r="BU325" s="11"/>
      <c r="BZ325" s="13"/>
      <c r="CA325" s="43"/>
      <c r="CB325" s="45"/>
      <c r="EP325" s="4"/>
      <c r="FC325" s="18"/>
      <c r="FD325" s="18"/>
      <c r="FE325" s="12"/>
      <c r="GB325" s="13"/>
      <c r="GD325" s="12"/>
      <c r="GH325" s="13"/>
      <c r="GN325" s="12"/>
      <c r="GU325" s="13"/>
      <c r="GX325" s="12"/>
      <c r="JE325" s="5"/>
    </row>
    <row r="326" spans="31:265" ht="18" customHeight="1">
      <c r="AE326" s="42"/>
      <c r="AF326" s="43"/>
      <c r="AG326" s="12"/>
      <c r="AR326" s="13"/>
      <c r="BB326" s="12"/>
      <c r="BD326" s="13"/>
      <c r="BE326" s="18"/>
      <c r="BK326" s="12"/>
      <c r="BL326" s="32"/>
      <c r="BM326" s="32"/>
      <c r="BO326" s="13"/>
      <c r="BP326" s="18"/>
      <c r="BQ326" s="12"/>
      <c r="BS326" s="32"/>
      <c r="BT326" s="32"/>
      <c r="BU326" s="13"/>
      <c r="BZ326" s="13"/>
      <c r="CA326" s="43"/>
      <c r="CB326" s="45"/>
      <c r="EP326" s="4"/>
      <c r="FC326" s="18"/>
      <c r="FD326" s="18"/>
      <c r="FE326" s="12"/>
      <c r="GB326" s="13"/>
      <c r="GD326" s="14"/>
      <c r="GE326" s="15"/>
      <c r="GF326" s="15"/>
      <c r="GG326" s="15"/>
      <c r="GH326" s="16"/>
      <c r="GI326" s="15"/>
      <c r="GJ326" s="15"/>
      <c r="GK326" s="15"/>
      <c r="GL326" s="15"/>
      <c r="GM326" s="15"/>
      <c r="GN326" s="14"/>
      <c r="GO326" s="15"/>
      <c r="GP326" s="15"/>
      <c r="GQ326" s="15"/>
      <c r="GR326" s="15"/>
      <c r="GS326" s="15"/>
      <c r="GT326" s="15"/>
      <c r="GU326" s="16"/>
      <c r="GX326" s="12"/>
      <c r="JE326" s="5"/>
    </row>
    <row r="327" spans="31:265" ht="18" customHeight="1">
      <c r="AE327" s="42"/>
      <c r="AF327" s="43"/>
      <c r="AG327" s="12"/>
      <c r="AR327" s="13"/>
      <c r="BB327" s="12"/>
      <c r="BD327" s="13"/>
      <c r="BE327" s="18"/>
      <c r="BK327" s="12"/>
      <c r="BL327" s="32"/>
      <c r="BM327" s="32"/>
      <c r="BO327" s="13"/>
      <c r="BP327" s="18"/>
      <c r="BQ327" s="12"/>
      <c r="BS327" s="32"/>
      <c r="BT327" s="32"/>
      <c r="BU327" s="13"/>
      <c r="BZ327" s="13"/>
      <c r="CA327" s="43"/>
      <c r="CB327" s="45"/>
      <c r="EP327" s="4"/>
      <c r="FC327" s="19"/>
      <c r="FD327" s="19"/>
      <c r="FE327" s="12"/>
      <c r="GB327" s="13"/>
      <c r="GD327" s="20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2"/>
      <c r="GX327" s="12"/>
      <c r="JE327" s="5"/>
    </row>
    <row r="328" spans="31:265" ht="18" customHeight="1">
      <c r="AE328" s="42"/>
      <c r="AF328" s="43"/>
      <c r="AG328" s="12"/>
      <c r="AR328" s="13"/>
      <c r="BB328" s="14"/>
      <c r="BC328" s="15"/>
      <c r="BD328" s="16"/>
      <c r="BE328" s="18"/>
      <c r="BK328" s="12"/>
      <c r="BL328" s="32"/>
      <c r="BM328" s="32"/>
      <c r="BO328" s="13"/>
      <c r="BP328" s="18"/>
      <c r="BQ328" s="12"/>
      <c r="BS328" s="32"/>
      <c r="BT328" s="32"/>
      <c r="BU328" s="13"/>
      <c r="BZ328" s="13"/>
      <c r="CA328" s="43"/>
      <c r="CB328" s="45"/>
      <c r="EP328" s="4"/>
      <c r="FC328" s="12"/>
      <c r="FE328" s="12"/>
      <c r="GB328" s="13"/>
      <c r="GD328" s="9"/>
      <c r="GE328" s="10"/>
      <c r="GF328" s="10"/>
      <c r="GG328" s="10"/>
      <c r="GH328" s="11"/>
      <c r="GI328" s="10"/>
      <c r="GJ328" s="10"/>
      <c r="GK328" s="10"/>
      <c r="GL328" s="10"/>
      <c r="GM328" s="10"/>
      <c r="GN328" s="9"/>
      <c r="GO328" s="10"/>
      <c r="GP328" s="10"/>
      <c r="GQ328" s="10"/>
      <c r="GR328" s="10"/>
      <c r="GS328" s="10"/>
      <c r="GT328" s="10"/>
      <c r="GU328" s="11"/>
      <c r="GX328" s="12"/>
      <c r="JE328" s="5"/>
    </row>
    <row r="329" spans="31:265" ht="18" customHeight="1">
      <c r="AE329" s="42"/>
      <c r="AF329" s="43"/>
      <c r="AG329" s="12"/>
      <c r="AR329" s="13"/>
      <c r="BE329" s="18"/>
      <c r="BK329" s="14"/>
      <c r="BL329" s="15"/>
      <c r="BM329" s="15"/>
      <c r="BN329" s="15"/>
      <c r="BO329" s="16"/>
      <c r="BP329" s="18"/>
      <c r="BQ329" s="14"/>
      <c r="BR329" s="15"/>
      <c r="BS329" s="15"/>
      <c r="BT329" s="15"/>
      <c r="BU329" s="16"/>
      <c r="BZ329" s="13"/>
      <c r="CA329" s="43"/>
      <c r="CB329" s="45"/>
      <c r="EP329" s="4"/>
      <c r="FC329" s="12"/>
      <c r="FE329" s="9"/>
      <c r="FF329" s="10"/>
      <c r="FG329" s="10"/>
      <c r="FH329" s="10"/>
      <c r="FI329" s="10"/>
      <c r="FJ329" s="10"/>
      <c r="FK329" s="10"/>
      <c r="FL329" s="10"/>
      <c r="FM329" s="10"/>
      <c r="FN329" s="10"/>
      <c r="FO329" s="10"/>
      <c r="FP329" s="11"/>
      <c r="GB329" s="13"/>
      <c r="GD329" s="12"/>
      <c r="GH329" s="13"/>
      <c r="GN329" s="12"/>
      <c r="GU329" s="13"/>
      <c r="GX329" s="12"/>
      <c r="JE329" s="5"/>
    </row>
    <row r="330" spans="31:265" ht="18" customHeight="1">
      <c r="AE330" s="42"/>
      <c r="AF330" s="43"/>
      <c r="AG330" s="12"/>
      <c r="AR330" s="13"/>
      <c r="BE330" s="24"/>
      <c r="BK330" s="12"/>
      <c r="BO330" s="13"/>
      <c r="BP330" s="18"/>
      <c r="BQ330" s="12"/>
      <c r="BU330" s="13"/>
      <c r="BZ330" s="13"/>
      <c r="CA330" s="43"/>
      <c r="CB330" s="45"/>
      <c r="EP330" s="4"/>
      <c r="FC330" s="12"/>
      <c r="FE330" s="12"/>
      <c r="FP330" s="13"/>
      <c r="GB330" s="13"/>
      <c r="GD330" s="12"/>
      <c r="GH330" s="13"/>
      <c r="GN330" s="12"/>
      <c r="GU330" s="13"/>
      <c r="GW330" s="13"/>
      <c r="GX330" s="12"/>
      <c r="JE330" s="5"/>
    </row>
    <row r="331" spans="31:265" ht="18" customHeight="1">
      <c r="AE331" s="42"/>
      <c r="AF331" s="43"/>
      <c r="AG331" s="12"/>
      <c r="AR331" s="13"/>
      <c r="BE331" s="24"/>
      <c r="BK331" s="12"/>
      <c r="BO331" s="13"/>
      <c r="BP331" s="18"/>
      <c r="BQ331" s="12"/>
      <c r="BU331" s="13"/>
      <c r="BZ331" s="13"/>
      <c r="CA331" s="43"/>
      <c r="CB331" s="45"/>
      <c r="EP331" s="4"/>
      <c r="FC331" s="12"/>
      <c r="FE331" s="12"/>
      <c r="FP331" s="13"/>
      <c r="GB331" s="13"/>
      <c r="GD331" s="12"/>
      <c r="GH331" s="13"/>
      <c r="GN331" s="12"/>
      <c r="GU331" s="13"/>
      <c r="GV331" s="17"/>
      <c r="GW331" s="17"/>
      <c r="GX331" s="12"/>
      <c r="JE331" s="5"/>
    </row>
    <row r="332" spans="31:265" ht="18" customHeight="1">
      <c r="AE332" s="42"/>
      <c r="AF332" s="43"/>
      <c r="AG332" s="12"/>
      <c r="AR332" s="13"/>
      <c r="BE332" s="24"/>
      <c r="BK332" s="12"/>
      <c r="BO332" s="13"/>
      <c r="BP332" s="18"/>
      <c r="BQ332" s="12"/>
      <c r="BU332" s="13"/>
      <c r="BZ332" s="13"/>
      <c r="CA332" s="43"/>
      <c r="CB332" s="45"/>
      <c r="EP332" s="4"/>
      <c r="FC332" s="12"/>
      <c r="FE332" s="12"/>
      <c r="FP332" s="13"/>
      <c r="GB332" s="13"/>
      <c r="GD332" s="14"/>
      <c r="GE332" s="15"/>
      <c r="GF332" s="15"/>
      <c r="GG332" s="15"/>
      <c r="GH332" s="16"/>
      <c r="GI332" s="15"/>
      <c r="GJ332" s="15"/>
      <c r="GK332" s="15"/>
      <c r="GL332" s="15"/>
      <c r="GM332" s="15"/>
      <c r="GN332" s="12"/>
      <c r="GU332" s="13"/>
      <c r="GV332" s="18"/>
      <c r="GW332" s="18"/>
      <c r="GX332" s="12"/>
      <c r="JE332" s="5"/>
    </row>
    <row r="333" spans="31:265" ht="18" customHeight="1">
      <c r="AE333" s="42"/>
      <c r="AF333" s="43"/>
      <c r="AG333" s="12"/>
      <c r="AR333" s="13"/>
      <c r="BE333" s="24"/>
      <c r="BK333" s="12"/>
      <c r="BO333" s="13"/>
      <c r="BP333" s="18"/>
      <c r="BQ333" s="12"/>
      <c r="BU333" s="13"/>
      <c r="BZ333" s="13"/>
      <c r="CA333" s="43"/>
      <c r="CB333" s="45"/>
      <c r="EP333" s="4"/>
      <c r="FC333" s="12"/>
      <c r="FE333" s="12"/>
      <c r="FP333" s="13"/>
      <c r="GB333" s="13"/>
      <c r="GD333" s="12"/>
      <c r="GN333" s="12"/>
      <c r="GU333" s="13"/>
      <c r="GV333" s="18"/>
      <c r="GW333" s="18"/>
      <c r="GX333" s="12"/>
      <c r="JE333" s="5"/>
    </row>
    <row r="334" spans="31:265" ht="18" customHeight="1">
      <c r="AE334" s="42"/>
      <c r="AF334" s="43"/>
      <c r="AG334" s="12"/>
      <c r="AR334" s="13"/>
      <c r="BE334" s="18"/>
      <c r="BF334" s="15"/>
      <c r="BG334" s="15"/>
      <c r="BH334" s="15"/>
      <c r="BI334" s="15"/>
      <c r="BJ334" s="15"/>
      <c r="BK334" s="14"/>
      <c r="BL334" s="15"/>
      <c r="BM334" s="15"/>
      <c r="BN334" s="15"/>
      <c r="BO334" s="16"/>
      <c r="BP334" s="19"/>
      <c r="BQ334" s="14"/>
      <c r="BR334" s="15"/>
      <c r="BS334" s="15"/>
      <c r="BT334" s="15"/>
      <c r="BU334" s="16"/>
      <c r="BV334" s="15"/>
      <c r="BW334" s="15"/>
      <c r="BX334" s="15"/>
      <c r="BY334" s="15"/>
      <c r="BZ334" s="16"/>
      <c r="CA334" s="43"/>
      <c r="CB334" s="45"/>
      <c r="EP334" s="4"/>
      <c r="FC334" s="12"/>
      <c r="FE334" s="12"/>
      <c r="FP334" s="13"/>
      <c r="GB334" s="13"/>
      <c r="GD334" s="12"/>
      <c r="GN334" s="12"/>
      <c r="GU334" s="13"/>
      <c r="GV334" s="19"/>
      <c r="GW334" s="19"/>
      <c r="GX334" s="12"/>
      <c r="JE334" s="5"/>
    </row>
    <row r="335" spans="31:265" ht="18" customHeight="1">
      <c r="AE335" s="42"/>
      <c r="AF335" s="43"/>
      <c r="AG335" s="14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6"/>
      <c r="BE335" s="18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5"/>
      <c r="BQ335" s="15"/>
      <c r="BR335" s="15"/>
      <c r="BS335" s="15"/>
      <c r="BT335" s="15"/>
      <c r="BU335" s="100"/>
      <c r="BV335" s="100"/>
      <c r="BW335" s="100"/>
      <c r="BX335" s="100"/>
      <c r="BY335" s="100"/>
      <c r="BZ335" s="22"/>
      <c r="CA335" s="43"/>
      <c r="CB335" s="45"/>
      <c r="EP335" s="4"/>
      <c r="FC335" s="12"/>
      <c r="FE335" s="12"/>
      <c r="FP335" s="13"/>
      <c r="GB335" s="13"/>
      <c r="GD335" s="12"/>
      <c r="GN335" s="12"/>
      <c r="GU335" s="13"/>
      <c r="GX335" s="12"/>
      <c r="JE335" s="5"/>
    </row>
    <row r="336" spans="31:265" ht="18" customHeight="1">
      <c r="AE336" s="42"/>
      <c r="AF336" s="43"/>
      <c r="AG336" s="9"/>
      <c r="AH336" s="11"/>
      <c r="BE336" s="18"/>
      <c r="BF336" s="10"/>
      <c r="BG336" s="10"/>
      <c r="BH336" s="10"/>
      <c r="BI336" s="10"/>
      <c r="BJ336" s="10"/>
      <c r="BK336" s="10"/>
      <c r="BL336" s="10"/>
      <c r="BM336" s="9"/>
      <c r="BN336" s="38"/>
      <c r="BO336" s="38"/>
      <c r="BP336" s="11"/>
      <c r="BQ336" s="10"/>
      <c r="BR336" s="10"/>
      <c r="BS336" s="10"/>
      <c r="BT336" s="10"/>
      <c r="BU336" s="10"/>
      <c r="BV336" s="10"/>
      <c r="BW336" s="10"/>
      <c r="BX336" s="10"/>
      <c r="BY336" s="10"/>
      <c r="BZ336" s="11"/>
      <c r="CA336" s="43"/>
      <c r="CB336" s="45"/>
      <c r="EP336" s="4"/>
      <c r="FC336" s="12"/>
      <c r="FE336" s="12"/>
      <c r="FP336" s="13"/>
      <c r="GB336" s="13"/>
      <c r="GD336" s="12"/>
      <c r="GN336" s="12"/>
      <c r="GU336" s="13"/>
      <c r="GX336" s="14"/>
      <c r="GY336" s="15"/>
      <c r="GZ336" s="15"/>
      <c r="HA336" s="15"/>
      <c r="HB336" s="15"/>
      <c r="HC336" s="15"/>
      <c r="HD336" s="15"/>
      <c r="HE336" s="15"/>
      <c r="HF336" s="15"/>
      <c r="HG336" s="15"/>
      <c r="HH336" s="15"/>
      <c r="HI336" s="15"/>
      <c r="HJ336" s="15"/>
      <c r="HK336" s="15"/>
      <c r="HL336" s="15"/>
      <c r="JE336" s="5"/>
    </row>
    <row r="337" spans="31:265" ht="18" customHeight="1">
      <c r="AE337" s="42"/>
      <c r="AF337" s="43"/>
      <c r="AG337" s="12"/>
      <c r="AH337" s="13"/>
      <c r="BE337" s="24"/>
      <c r="BM337" s="12"/>
      <c r="BN337" s="32"/>
      <c r="BO337" s="32"/>
      <c r="BP337" s="13"/>
      <c r="BZ337" s="13"/>
      <c r="CA337" s="43"/>
      <c r="CB337" s="45"/>
      <c r="EP337" s="4"/>
      <c r="FC337" s="12"/>
      <c r="FE337" s="12"/>
      <c r="FP337" s="13"/>
      <c r="GB337" s="13"/>
      <c r="GD337" s="14"/>
      <c r="GE337" s="15"/>
      <c r="GF337" s="15"/>
      <c r="GG337" s="15"/>
      <c r="GH337" s="15"/>
      <c r="GI337" s="15"/>
      <c r="GJ337" s="15"/>
      <c r="GK337" s="15"/>
      <c r="GL337" s="15"/>
      <c r="GM337" s="15"/>
      <c r="GN337" s="14"/>
      <c r="GO337" s="15"/>
      <c r="GP337" s="15"/>
      <c r="GQ337" s="15"/>
      <c r="GR337" s="15"/>
      <c r="GS337" s="15"/>
      <c r="GT337" s="15"/>
      <c r="GU337" s="16"/>
      <c r="HC337" s="20"/>
      <c r="HD337" s="21"/>
      <c r="HE337" s="21"/>
      <c r="HF337" s="21"/>
      <c r="HG337" s="21"/>
      <c r="HH337" s="22"/>
      <c r="HL337" s="11"/>
      <c r="JE337" s="5"/>
    </row>
    <row r="338" spans="31:265" ht="18" customHeight="1">
      <c r="AE338" s="42"/>
      <c r="AF338" s="43"/>
      <c r="AG338" s="14"/>
      <c r="AH338" s="16"/>
      <c r="BE338" s="24"/>
      <c r="BM338" s="14"/>
      <c r="BN338" s="15"/>
      <c r="BO338" s="15"/>
      <c r="BP338" s="16"/>
      <c r="BZ338" s="13"/>
      <c r="CA338" s="43"/>
      <c r="CB338" s="45"/>
      <c r="EP338" s="4"/>
      <c r="FC338" s="12"/>
      <c r="FE338" s="12"/>
      <c r="FP338" s="13"/>
      <c r="GB338" s="13"/>
      <c r="GE338" s="127"/>
      <c r="GF338" s="127"/>
      <c r="GG338" s="127"/>
      <c r="GH338" s="127"/>
      <c r="GI338" s="127"/>
      <c r="GL338" s="15"/>
      <c r="GM338" s="15"/>
      <c r="GQ338" s="15"/>
      <c r="GR338" s="15"/>
      <c r="GV338" s="15"/>
      <c r="GW338" s="15"/>
      <c r="GX338" s="15"/>
      <c r="GY338" s="15"/>
      <c r="GZ338" s="15"/>
      <c r="HA338" s="15"/>
      <c r="HB338" s="15"/>
      <c r="HC338" s="20"/>
      <c r="HD338" s="21"/>
      <c r="HE338" s="21"/>
      <c r="HF338" s="21"/>
      <c r="HG338" s="21"/>
      <c r="HH338" s="22"/>
      <c r="HL338" s="13"/>
      <c r="JE338" s="5"/>
    </row>
    <row r="339" spans="31:265" ht="18" customHeight="1">
      <c r="AE339" s="42"/>
      <c r="AF339" s="43"/>
      <c r="AG339" s="12"/>
      <c r="BE339" s="24"/>
      <c r="BZ339" s="13"/>
      <c r="CA339" s="43"/>
      <c r="CB339" s="45"/>
      <c r="EP339" s="4"/>
      <c r="FC339" s="12"/>
      <c r="FE339" s="12"/>
      <c r="FP339" s="13"/>
      <c r="GB339" s="13"/>
      <c r="GD339" s="9"/>
      <c r="GE339" s="10"/>
      <c r="GF339" s="10"/>
      <c r="GG339" s="10"/>
      <c r="GH339" s="10"/>
      <c r="GI339" s="10"/>
      <c r="GJ339" s="10"/>
      <c r="GK339" s="10"/>
      <c r="GL339" s="10"/>
      <c r="GM339" t="s">
        <v>45</v>
      </c>
      <c r="GN339" s="10"/>
      <c r="GO339" s="10"/>
      <c r="GP339" s="10"/>
      <c r="GQ339" s="10"/>
      <c r="GR339" s="10"/>
      <c r="GS339" s="10"/>
      <c r="GT339" s="10"/>
      <c r="GU339" s="10"/>
      <c r="GV339" s="10"/>
      <c r="GW339" s="10"/>
      <c r="GX339" s="10"/>
      <c r="GY339" s="10"/>
      <c r="GZ339" s="10"/>
      <c r="HA339" s="10"/>
      <c r="HB339" s="10"/>
      <c r="HC339" s="10"/>
      <c r="HD339" s="10"/>
      <c r="HE339" s="10"/>
      <c r="HF339" s="10"/>
      <c r="HG339" s="10"/>
      <c r="HH339" s="10"/>
      <c r="HI339" s="10"/>
      <c r="HJ339" s="11"/>
      <c r="HL339" s="13"/>
      <c r="JE339" s="5"/>
    </row>
    <row r="340" spans="31:265" ht="18" customHeight="1">
      <c r="AE340" s="42"/>
      <c r="AF340" s="43"/>
      <c r="AG340" s="12"/>
      <c r="BE340" s="24"/>
      <c r="BZ340" s="13"/>
      <c r="CA340" s="125"/>
      <c r="CB340" s="125"/>
      <c r="EP340" s="4"/>
      <c r="FC340" s="12"/>
      <c r="FE340" s="14"/>
      <c r="FF340" s="15"/>
      <c r="FG340" s="15"/>
      <c r="FH340" s="15"/>
      <c r="FI340" s="15"/>
      <c r="FJ340" s="15"/>
      <c r="FK340" s="15"/>
      <c r="FL340" s="15"/>
      <c r="FM340" s="15"/>
      <c r="FN340" s="15"/>
      <c r="FO340" s="15"/>
      <c r="FP340" s="16"/>
      <c r="GB340" s="13"/>
      <c r="GC340" s="127"/>
      <c r="GD340" s="12"/>
      <c r="HJ340" s="13"/>
      <c r="HL340" s="13"/>
      <c r="JE340" s="5"/>
    </row>
    <row r="341" spans="31:265" ht="18" customHeight="1">
      <c r="AE341" s="42"/>
      <c r="AF341" s="43"/>
      <c r="AG341" s="12"/>
      <c r="BE341" s="24"/>
      <c r="BZ341" s="13"/>
      <c r="CA341" s="108"/>
      <c r="CB341" s="108"/>
      <c r="EP341" s="4"/>
      <c r="FC341" s="12"/>
      <c r="FE341" s="12"/>
      <c r="GB341" s="13"/>
      <c r="GC341" s="127"/>
      <c r="GD341" s="12"/>
      <c r="HJ341" s="13"/>
      <c r="HL341" s="13"/>
      <c r="JE341" s="5"/>
    </row>
    <row r="342" spans="31:265" ht="18" customHeight="1">
      <c r="AE342" s="42"/>
      <c r="AF342" s="43"/>
      <c r="AG342" s="12"/>
      <c r="BE342" s="24"/>
      <c r="BZ342" s="13"/>
      <c r="CA342" s="108"/>
      <c r="CB342" s="108"/>
      <c r="EP342" s="4"/>
      <c r="FC342" s="12"/>
      <c r="FE342" s="12"/>
      <c r="GB342" s="13"/>
      <c r="GC342" s="127"/>
      <c r="GD342" s="12"/>
      <c r="HJ342" s="13"/>
      <c r="HL342" s="13"/>
      <c r="JE342" s="5"/>
    </row>
    <row r="343" spans="31:265" ht="18" customHeight="1">
      <c r="AE343" s="42"/>
      <c r="AF343" s="43"/>
      <c r="AG343" s="14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8"/>
      <c r="BZ343" s="13"/>
      <c r="CA343" s="108"/>
      <c r="CB343" s="108"/>
      <c r="EP343" s="4"/>
      <c r="FC343" s="12"/>
      <c r="FE343" s="12"/>
      <c r="GB343" s="13"/>
      <c r="GC343" s="127"/>
      <c r="GD343" s="12"/>
      <c r="HJ343" s="13"/>
      <c r="HL343" s="13"/>
      <c r="JE343" s="5"/>
    </row>
    <row r="344" spans="31:265" ht="18" customHeight="1">
      <c r="AE344" s="42"/>
      <c r="AF344" s="43"/>
      <c r="AG344" s="20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2"/>
      <c r="BE344" s="18"/>
      <c r="BZ344" s="13"/>
      <c r="CA344" s="108"/>
      <c r="CB344" s="108"/>
      <c r="EP344" s="4"/>
      <c r="FC344" s="12"/>
      <c r="FE344" s="12"/>
      <c r="GB344" s="13"/>
      <c r="GC344" s="127"/>
      <c r="GD344" s="12"/>
      <c r="HG344" s="9"/>
      <c r="HH344" s="10"/>
      <c r="HI344" s="10"/>
      <c r="HJ344" s="11"/>
      <c r="HL344" s="13"/>
      <c r="JE344" s="5"/>
    </row>
    <row r="345" spans="31:265" ht="18" customHeight="1">
      <c r="AE345" s="42"/>
      <c r="AF345" s="43"/>
      <c r="AG345" s="9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8"/>
      <c r="BZ345" s="13"/>
      <c r="CA345" s="126"/>
      <c r="CB345" s="126"/>
      <c r="EP345" s="4"/>
      <c r="FC345" s="12"/>
      <c r="FE345" s="12"/>
      <c r="GB345" s="13"/>
      <c r="GC345" s="127"/>
      <c r="GD345" s="12"/>
      <c r="HG345" s="12"/>
      <c r="HJ345" s="13"/>
      <c r="HL345" s="13"/>
      <c r="JE345" s="5"/>
    </row>
    <row r="346" spans="31:265" ht="18" customHeight="1">
      <c r="AE346" s="42"/>
      <c r="AF346" s="43"/>
      <c r="AG346" s="12"/>
      <c r="BE346" s="24"/>
      <c r="BZ346" s="13"/>
      <c r="CA346" s="43"/>
      <c r="CB346" s="45"/>
      <c r="EP346" s="4"/>
      <c r="FC346" s="12"/>
      <c r="FE346" s="14"/>
      <c r="FF346" s="15"/>
      <c r="FG346" s="15"/>
      <c r="FH346" s="15"/>
      <c r="FI346" s="15"/>
      <c r="FJ346" s="15"/>
      <c r="FK346" s="15"/>
      <c r="FL346" s="15"/>
      <c r="FM346" s="15"/>
      <c r="FN346" s="15"/>
      <c r="FO346" s="15"/>
      <c r="FP346" s="15"/>
      <c r="FQ346" s="15"/>
      <c r="FR346" s="15"/>
      <c r="FS346" s="15"/>
      <c r="FT346" s="15"/>
      <c r="FU346" s="15"/>
      <c r="FV346" s="15"/>
      <c r="FW346" s="15"/>
      <c r="FX346" s="15"/>
      <c r="FY346" s="15"/>
      <c r="FZ346" s="15"/>
      <c r="GA346" s="15"/>
      <c r="GB346" s="16"/>
      <c r="GD346" s="12"/>
      <c r="HA346" s="9"/>
      <c r="HB346" s="10"/>
      <c r="HC346" s="10"/>
      <c r="HD346" s="11"/>
      <c r="HG346" s="12"/>
      <c r="HJ346" s="13"/>
      <c r="HL346" s="13"/>
      <c r="JE346" s="5"/>
    </row>
    <row r="347" spans="31:265" ht="18" customHeight="1">
      <c r="AE347" s="42"/>
      <c r="AF347" s="43"/>
      <c r="AG347" s="12"/>
      <c r="BE347" s="24"/>
      <c r="BW347" s="9"/>
      <c r="BX347" s="10"/>
      <c r="BY347" s="10"/>
      <c r="BZ347" s="11"/>
      <c r="CA347" s="43"/>
      <c r="CB347" s="45"/>
      <c r="EP347" s="4"/>
      <c r="FC347" s="12"/>
      <c r="FF347" s="20"/>
      <c r="FG347" s="21"/>
      <c r="FH347" s="21"/>
      <c r="FI347" s="22"/>
      <c r="GD347" s="12"/>
      <c r="HA347" s="12"/>
      <c r="HD347" s="13"/>
      <c r="HG347" s="12"/>
      <c r="HJ347" s="13"/>
      <c r="HL347" s="13"/>
      <c r="JE347" s="5"/>
    </row>
    <row r="348" spans="31:265" ht="18" customHeight="1">
      <c r="AE348" s="42"/>
      <c r="AF348" s="43"/>
      <c r="AG348" s="12"/>
      <c r="BE348" s="24"/>
      <c r="BW348" s="12"/>
      <c r="BZ348" s="13"/>
      <c r="CA348" s="43"/>
      <c r="CB348" s="45"/>
      <c r="EP348" s="4"/>
      <c r="FC348" s="14"/>
      <c r="FD348" s="15"/>
      <c r="FE348" s="15"/>
      <c r="FF348" s="20"/>
      <c r="FG348" s="21"/>
      <c r="FH348" s="21"/>
      <c r="FI348" s="22"/>
      <c r="FJ348" s="15"/>
      <c r="FK348" s="15"/>
      <c r="FN348" s="9"/>
      <c r="FO348" s="10"/>
      <c r="FP348" s="10"/>
      <c r="FQ348" s="10"/>
      <c r="FR348" s="10"/>
      <c r="FS348" s="10"/>
      <c r="FT348" s="10"/>
      <c r="FU348" s="10"/>
      <c r="FV348" s="10"/>
      <c r="FW348" s="10"/>
      <c r="FX348" s="10"/>
      <c r="FY348" s="11"/>
      <c r="FZ348" s="10"/>
      <c r="GA348" s="10"/>
      <c r="GB348" s="11"/>
      <c r="GD348" s="14"/>
      <c r="GE348" s="15"/>
      <c r="GF348" s="15"/>
      <c r="GG348" s="15"/>
      <c r="GH348" s="15"/>
      <c r="GI348" s="15"/>
      <c r="GJ348" s="15"/>
      <c r="GK348" s="15"/>
      <c r="GL348" s="15"/>
      <c r="HA348" s="12"/>
      <c r="HD348" s="13"/>
      <c r="HG348" s="12"/>
      <c r="HJ348" s="13"/>
      <c r="HL348" s="13"/>
      <c r="JE348" s="5"/>
    </row>
    <row r="349" spans="31:265" ht="18" customHeight="1">
      <c r="AE349" s="42"/>
      <c r="AF349" s="43"/>
      <c r="AG349" s="12"/>
      <c r="BE349" s="24"/>
      <c r="BQ349" s="9"/>
      <c r="BR349" s="10"/>
      <c r="BS349" s="10"/>
      <c r="BT349" s="11"/>
      <c r="BW349" s="12"/>
      <c r="BZ349" s="13"/>
      <c r="CA349" s="43"/>
      <c r="CB349" s="45"/>
      <c r="EP349" s="4"/>
      <c r="FK349" s="11"/>
      <c r="FN349" s="12"/>
      <c r="FY349" s="13"/>
      <c r="GB349" s="13"/>
      <c r="GE349" s="127"/>
      <c r="GF349" s="127"/>
      <c r="GG349" s="127"/>
      <c r="GH349" s="127"/>
      <c r="GI349" s="127"/>
      <c r="GJ349" s="127"/>
      <c r="GM349" s="12"/>
      <c r="HA349" s="14"/>
      <c r="HB349" s="15"/>
      <c r="HC349" s="15"/>
      <c r="HD349" s="16"/>
      <c r="HG349" s="12"/>
      <c r="HJ349" s="13"/>
      <c r="HL349" s="13"/>
      <c r="JE349" s="5"/>
    </row>
    <row r="350" spans="31:265" ht="18" customHeight="1">
      <c r="AE350" s="42"/>
      <c r="AF350" s="43"/>
      <c r="AG350" s="12"/>
      <c r="BE350" s="24"/>
      <c r="BQ350" s="12"/>
      <c r="BT350" s="13"/>
      <c r="BW350" s="12"/>
      <c r="BZ350" s="13"/>
      <c r="CA350" s="43"/>
      <c r="CB350" s="45"/>
      <c r="EP350" s="4"/>
      <c r="FK350" s="13"/>
      <c r="FN350" s="12"/>
      <c r="FY350" s="13"/>
      <c r="GC350" s="10"/>
      <c r="GD350" s="10"/>
      <c r="GE350" s="10"/>
      <c r="GF350" s="10"/>
      <c r="GG350" s="10"/>
      <c r="GH350" s="10"/>
      <c r="GI350" s="10"/>
      <c r="GJ350" s="10"/>
      <c r="GK350" s="11"/>
      <c r="GM350" s="12"/>
      <c r="HG350" s="12"/>
      <c r="HJ350" s="13"/>
      <c r="HL350" s="13"/>
      <c r="JE350" s="5"/>
    </row>
    <row r="351" spans="31:265" ht="18" customHeight="1">
      <c r="AE351" s="42"/>
      <c r="AF351" s="43"/>
      <c r="AG351" s="12"/>
      <c r="BE351" s="24"/>
      <c r="BQ351" s="12"/>
      <c r="BT351" s="13"/>
      <c r="BW351" s="12"/>
      <c r="BZ351" s="13"/>
      <c r="CA351" s="43"/>
      <c r="CB351" s="45"/>
      <c r="EP351" s="4"/>
      <c r="FK351" s="13"/>
      <c r="FN351" s="14"/>
      <c r="FO351" s="15"/>
      <c r="FP351" s="15"/>
      <c r="FQ351" s="15"/>
      <c r="FR351" s="15"/>
      <c r="FS351" s="15"/>
      <c r="FT351" s="15"/>
      <c r="FU351" s="15"/>
      <c r="FV351" s="15"/>
      <c r="FW351" s="15"/>
      <c r="FX351" s="15"/>
      <c r="FY351" s="16"/>
      <c r="GK351" s="13"/>
      <c r="GM351" s="12"/>
      <c r="HG351" s="14"/>
      <c r="HH351" s="15"/>
      <c r="HI351" s="15"/>
      <c r="HJ351" s="16"/>
      <c r="HL351" s="13"/>
      <c r="JE351" s="5"/>
    </row>
    <row r="352" spans="31:265" ht="18" customHeight="1">
      <c r="AE352" s="42"/>
      <c r="AF352" s="43"/>
      <c r="AG352" s="12"/>
      <c r="BE352" s="18"/>
      <c r="BQ352" s="14"/>
      <c r="BR352" s="15"/>
      <c r="BS352" s="15"/>
      <c r="BT352" s="16"/>
      <c r="BW352" s="12"/>
      <c r="BZ352" s="13"/>
      <c r="CA352" s="43"/>
      <c r="CB352" s="45"/>
      <c r="EP352" s="4"/>
      <c r="FK352" s="13"/>
      <c r="FN352" s="12"/>
      <c r="GK352" s="13"/>
      <c r="GM352" s="14"/>
      <c r="GN352" s="15"/>
      <c r="HJ352" s="13"/>
      <c r="HL352" s="13"/>
      <c r="JE352" s="5"/>
    </row>
    <row r="353" spans="18:265" ht="18" customHeight="1">
      <c r="AE353" s="42"/>
      <c r="AF353" s="43"/>
      <c r="AG353" s="12"/>
      <c r="BE353" s="18"/>
      <c r="BW353" s="12"/>
      <c r="BZ353" s="13"/>
      <c r="CA353" s="43"/>
      <c r="CB353" s="45"/>
      <c r="EP353" s="4"/>
      <c r="FK353" s="13"/>
      <c r="FL353" s="12"/>
      <c r="FN353" s="12"/>
      <c r="GK353" s="13"/>
      <c r="GM353" s="9"/>
      <c r="GN353" s="10"/>
      <c r="GO353" s="11"/>
      <c r="HJ353" s="13"/>
      <c r="HL353" s="13"/>
      <c r="JE353" s="5"/>
    </row>
    <row r="354" spans="18:265" ht="18" customHeight="1">
      <c r="AE354" s="42"/>
      <c r="AF354" s="43"/>
      <c r="AG354" s="12"/>
      <c r="BB354" s="9"/>
      <c r="BC354" s="10"/>
      <c r="BD354" s="11"/>
      <c r="BE354" s="18"/>
      <c r="BF354" s="9"/>
      <c r="BG354" s="10"/>
      <c r="BH354" s="11"/>
      <c r="BW354" s="14"/>
      <c r="BX354" s="15"/>
      <c r="BY354" s="15"/>
      <c r="BZ354" s="16"/>
      <c r="CA354" s="43"/>
      <c r="CB354" s="45"/>
      <c r="EP354" s="4"/>
      <c r="FK354" s="13"/>
      <c r="FL354" s="17"/>
      <c r="FM354" s="17"/>
      <c r="FN354" s="12"/>
      <c r="GK354" s="13"/>
      <c r="GM354" s="12"/>
      <c r="GO354" s="13"/>
      <c r="HJ354" s="13"/>
      <c r="HL354" s="13"/>
      <c r="JE354" s="5"/>
    </row>
    <row r="355" spans="18:265" ht="18" customHeight="1">
      <c r="AE355" s="42"/>
      <c r="AF355" s="43"/>
      <c r="AG355" s="12"/>
      <c r="BB355" s="12"/>
      <c r="BD355" s="13"/>
      <c r="BE355" s="18"/>
      <c r="BF355" s="12"/>
      <c r="BH355" s="13"/>
      <c r="BX355" s="9"/>
      <c r="BY355" s="10"/>
      <c r="BZ355" s="11"/>
      <c r="CA355" s="43"/>
      <c r="CB355" s="45"/>
      <c r="EP355" s="4"/>
      <c r="FK355" s="13"/>
      <c r="FL355" s="18"/>
      <c r="FM355" s="18"/>
      <c r="FN355" s="12"/>
      <c r="GK355" s="13"/>
      <c r="GM355" s="14"/>
      <c r="GN355" s="15"/>
      <c r="GO355" s="16"/>
      <c r="HJ355" s="13"/>
      <c r="HL355" s="13"/>
      <c r="HM355" s="12"/>
      <c r="JE355" s="5"/>
    </row>
    <row r="356" spans="18:265" ht="18" customHeight="1">
      <c r="AE356" s="42"/>
      <c r="AF356" s="43"/>
      <c r="AG356" s="12"/>
      <c r="BB356" s="12"/>
      <c r="BD356" s="13"/>
      <c r="BE356" s="18"/>
      <c r="BF356" s="14"/>
      <c r="BG356" s="15"/>
      <c r="BH356" s="16"/>
      <c r="BX356" s="12"/>
      <c r="BZ356" s="13"/>
      <c r="CA356" s="43"/>
      <c r="CB356" s="45"/>
      <c r="EP356" s="4"/>
      <c r="FK356" s="13"/>
      <c r="FL356" s="18"/>
      <c r="FM356" s="18"/>
      <c r="FN356" s="12"/>
      <c r="GK356" s="13"/>
      <c r="GM356" s="9"/>
      <c r="GN356" s="10"/>
      <c r="GO356" s="10"/>
      <c r="GP356" s="10"/>
      <c r="GQ356" s="10"/>
      <c r="GR356" s="11"/>
      <c r="HJ356" s="13"/>
      <c r="HL356" s="13"/>
      <c r="JD356" s="9"/>
      <c r="JE356" s="11"/>
    </row>
    <row r="357" spans="18:265" ht="18" customHeight="1">
      <c r="AE357" s="42"/>
      <c r="AF357" s="43"/>
      <c r="AG357" s="12"/>
      <c r="BB357" s="12"/>
      <c r="BD357" s="13"/>
      <c r="BE357" s="18"/>
      <c r="BF357" s="9"/>
      <c r="BG357" s="10"/>
      <c r="BH357" s="10"/>
      <c r="BI357" s="10"/>
      <c r="BJ357" s="10"/>
      <c r="BK357" s="11"/>
      <c r="BX357" s="12"/>
      <c r="BZ357" s="13"/>
      <c r="CA357" s="43"/>
      <c r="CB357" s="45"/>
      <c r="EP357" s="4"/>
      <c r="FK357" s="13"/>
      <c r="FL357" s="18"/>
      <c r="FM357" s="18"/>
      <c r="FN357" s="12"/>
      <c r="GK357" s="13"/>
      <c r="GM357" s="9"/>
      <c r="GN357" s="11"/>
      <c r="GO357" s="10"/>
      <c r="GP357" s="10"/>
      <c r="GQ357" s="10"/>
      <c r="GR357" s="11"/>
      <c r="HJ357" s="13"/>
      <c r="HL357" s="13"/>
      <c r="JD357" s="12"/>
      <c r="JE357" s="13"/>
    </row>
    <row r="358" spans="18:265" ht="18" customHeight="1">
      <c r="AE358" s="42"/>
      <c r="AF358" s="43"/>
      <c r="AG358" s="12"/>
      <c r="BB358" s="12"/>
      <c r="BD358" s="13"/>
      <c r="BE358" s="18"/>
      <c r="BF358" s="9"/>
      <c r="BG358" s="11"/>
      <c r="BH358" s="10"/>
      <c r="BI358" s="10"/>
      <c r="BJ358" s="10"/>
      <c r="BK358" s="11"/>
      <c r="BX358" s="14"/>
      <c r="BY358" s="15"/>
      <c r="BZ358" s="16"/>
      <c r="CA358" s="43"/>
      <c r="CB358" s="45"/>
      <c r="EP358" s="4"/>
      <c r="FK358" s="13"/>
      <c r="FL358" s="18"/>
      <c r="FM358" s="18"/>
      <c r="FN358" s="12"/>
      <c r="GK358" s="13"/>
      <c r="GM358" s="12"/>
      <c r="GN358" s="13"/>
      <c r="GR358" s="13"/>
      <c r="HH358" s="9"/>
      <c r="HI358" s="10"/>
      <c r="HJ358" s="11"/>
      <c r="HL358" s="13"/>
      <c r="HP358" s="9"/>
      <c r="HQ358" s="10"/>
      <c r="HR358" s="10"/>
      <c r="HS358" s="10"/>
      <c r="HT358" s="10"/>
      <c r="HU358" s="11"/>
      <c r="HV358" s="10"/>
      <c r="HW358" s="10"/>
      <c r="HX358" s="10"/>
      <c r="HY358" s="10"/>
      <c r="HZ358" s="10"/>
      <c r="IA358" s="10"/>
      <c r="IB358" s="10"/>
      <c r="IC358" s="10"/>
      <c r="ID358" s="10"/>
      <c r="IE358" s="10"/>
      <c r="IF358" s="10"/>
      <c r="IG358" s="10"/>
      <c r="IH358" s="10"/>
      <c r="II358" s="10"/>
      <c r="IJ358" s="10"/>
      <c r="IK358" s="10"/>
      <c r="IL358" s="10"/>
      <c r="IM358" s="10"/>
      <c r="IN358" s="11"/>
      <c r="JD358" s="12"/>
      <c r="JE358" s="13"/>
    </row>
    <row r="359" spans="18:265" ht="18" customHeight="1">
      <c r="AE359" s="42"/>
      <c r="AF359" s="43"/>
      <c r="AG359" s="12"/>
      <c r="BB359" s="12"/>
      <c r="BD359" s="13"/>
      <c r="BE359" s="12"/>
      <c r="BF359" s="12"/>
      <c r="BG359" s="13"/>
      <c r="BK359" s="13"/>
      <c r="BX359" s="9"/>
      <c r="BY359" s="10"/>
      <c r="BZ359" s="11"/>
      <c r="CA359" s="43"/>
      <c r="CB359" s="45"/>
      <c r="EP359" s="4"/>
      <c r="FK359" s="13"/>
      <c r="FL359" s="19"/>
      <c r="FM359" s="19"/>
      <c r="FN359" s="12"/>
      <c r="GK359" s="13"/>
      <c r="GM359" s="12"/>
      <c r="GN359" s="13"/>
      <c r="GR359" s="13"/>
      <c r="HH359" s="12"/>
      <c r="HJ359" s="17"/>
      <c r="HL359" s="13"/>
      <c r="HP359" s="12"/>
      <c r="HU359" s="13"/>
      <c r="IN359" s="13"/>
      <c r="JD359" s="12"/>
      <c r="JE359" s="13"/>
    </row>
    <row r="360" spans="18:265" ht="18" customHeight="1">
      <c r="AE360" s="42"/>
      <c r="AF360" s="43"/>
      <c r="AG360" s="12"/>
      <c r="BB360" s="12"/>
      <c r="BD360" s="13"/>
      <c r="BE360" s="12"/>
      <c r="BF360" s="12"/>
      <c r="BG360" s="13"/>
      <c r="BK360" s="13"/>
      <c r="BX360" s="12"/>
      <c r="BZ360" s="17"/>
      <c r="CA360" s="43"/>
      <c r="CB360" s="45"/>
      <c r="EP360" s="4"/>
      <c r="FK360" s="13"/>
      <c r="FL360" s="12"/>
      <c r="FN360" s="12"/>
      <c r="GK360" s="13"/>
      <c r="GM360" s="12"/>
      <c r="GN360" s="13"/>
      <c r="GR360" s="13"/>
      <c r="HH360" s="12"/>
      <c r="HJ360" s="18"/>
      <c r="HL360" s="13"/>
      <c r="HP360" s="12"/>
      <c r="HU360" s="13"/>
      <c r="IN360" s="13"/>
      <c r="JD360" s="12"/>
      <c r="JE360" s="13"/>
    </row>
    <row r="361" spans="18:265" ht="18" customHeight="1">
      <c r="AE361" s="42"/>
      <c r="AF361" s="43"/>
      <c r="AG361" s="12"/>
      <c r="BB361" s="12"/>
      <c r="BD361" s="13"/>
      <c r="BE361" s="12"/>
      <c r="BF361" s="12"/>
      <c r="BG361" s="13"/>
      <c r="BK361" s="13"/>
      <c r="BX361" s="12"/>
      <c r="BZ361" s="18"/>
      <c r="CA361" s="43"/>
      <c r="CB361" s="45"/>
      <c r="EP361" s="4"/>
      <c r="FK361" s="13"/>
      <c r="FN361" s="12"/>
      <c r="GI361" s="9"/>
      <c r="GJ361" s="10"/>
      <c r="GK361" s="11"/>
      <c r="GM361" s="12"/>
      <c r="GN361" s="13"/>
      <c r="GO361" s="15"/>
      <c r="GP361" s="15"/>
      <c r="GQ361" s="15"/>
      <c r="GR361" s="16"/>
      <c r="HH361" s="12"/>
      <c r="HJ361" s="18"/>
      <c r="HL361" s="13"/>
      <c r="HP361" s="12"/>
      <c r="HU361" s="13"/>
      <c r="IN361" s="13"/>
      <c r="JD361" s="12"/>
      <c r="JE361" s="13"/>
    </row>
    <row r="362" spans="18:265" ht="18" customHeight="1">
      <c r="AE362" s="42"/>
      <c r="AF362" s="43"/>
      <c r="AG362" s="12"/>
      <c r="BB362" s="12"/>
      <c r="BD362" s="13"/>
      <c r="BE362" s="12"/>
      <c r="BF362" s="12"/>
      <c r="BG362" s="13"/>
      <c r="BH362" s="15"/>
      <c r="BI362" s="15"/>
      <c r="BJ362" s="15"/>
      <c r="BK362" s="16"/>
      <c r="BX362" s="12"/>
      <c r="BZ362" s="18"/>
      <c r="CA362" s="43"/>
      <c r="CB362" s="45"/>
      <c r="EP362" s="4"/>
      <c r="FK362" s="13"/>
      <c r="FN362" s="12"/>
      <c r="GI362" s="12"/>
      <c r="GK362" s="13"/>
      <c r="GM362" s="12"/>
      <c r="GN362" s="13"/>
      <c r="GO362" s="10"/>
      <c r="GP362" s="10"/>
      <c r="GQ362" s="10"/>
      <c r="GR362" s="11"/>
      <c r="HH362" s="12"/>
      <c r="HJ362" s="18"/>
      <c r="HL362" s="13"/>
      <c r="HP362" s="12"/>
      <c r="HU362" s="13"/>
      <c r="IN362" s="13"/>
      <c r="JD362" s="12"/>
      <c r="JE362" s="13"/>
    </row>
    <row r="363" spans="18:265" ht="18" customHeight="1">
      <c r="AE363" s="42"/>
      <c r="AF363" s="43"/>
      <c r="AG363" s="12"/>
      <c r="BB363" s="14"/>
      <c r="BC363" s="15"/>
      <c r="BD363" s="16"/>
      <c r="BE363" s="12"/>
      <c r="BF363" s="12"/>
      <c r="BG363" s="13"/>
      <c r="BH363" s="10"/>
      <c r="BI363" s="10"/>
      <c r="BJ363" s="10"/>
      <c r="BK363" s="11"/>
      <c r="BX363" s="12"/>
      <c r="BZ363" s="18"/>
      <c r="CA363" s="43"/>
      <c r="CB363" s="45"/>
      <c r="EP363" s="4"/>
      <c r="FK363" s="13"/>
      <c r="FN363" s="12"/>
      <c r="GI363" s="12"/>
      <c r="GK363" s="13"/>
      <c r="GM363" s="12"/>
      <c r="GN363" s="13"/>
      <c r="GR363" s="13"/>
      <c r="HH363" s="12"/>
      <c r="HJ363" s="18"/>
      <c r="HL363" s="13"/>
      <c r="HP363" s="12"/>
      <c r="HU363" s="13"/>
      <c r="IN363" s="13"/>
      <c r="JD363" s="12"/>
      <c r="JE363" s="13"/>
    </row>
    <row r="364" spans="18:265" ht="18" customHeight="1">
      <c r="AE364" s="42"/>
      <c r="AF364" s="43"/>
      <c r="AG364" s="14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15"/>
      <c r="AZ364" s="15"/>
      <c r="BA364" s="15"/>
      <c r="BB364" s="15"/>
      <c r="BC364" s="15"/>
      <c r="BD364" s="15"/>
      <c r="BE364" s="12"/>
      <c r="BF364" s="12"/>
      <c r="BG364" s="13"/>
      <c r="BK364" s="13"/>
      <c r="BX364" s="12"/>
      <c r="BZ364" s="18"/>
      <c r="CA364" s="43"/>
      <c r="CB364" s="45"/>
      <c r="EP364" s="4"/>
      <c r="FK364" s="13"/>
      <c r="FN364" s="12"/>
      <c r="GI364" s="12"/>
      <c r="GK364" s="13"/>
      <c r="GM364" s="12"/>
      <c r="GN364" s="13"/>
      <c r="GR364" s="13"/>
      <c r="HH364" s="12"/>
      <c r="HJ364" s="19"/>
      <c r="HL364" s="13"/>
      <c r="HP364" s="12"/>
      <c r="HU364" s="13"/>
      <c r="IN364" s="13"/>
      <c r="JD364" s="12"/>
      <c r="JE364" s="13"/>
    </row>
    <row r="365" spans="18:265" ht="18" customHeight="1">
      <c r="R365" s="9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1"/>
      <c r="AE365" s="42"/>
      <c r="AF365" s="43"/>
      <c r="AG365" s="12"/>
      <c r="AR365" s="21"/>
      <c r="AT365" s="21"/>
      <c r="BD365" s="21"/>
      <c r="BE365" s="12"/>
      <c r="BF365" s="12"/>
      <c r="BG365" s="13"/>
      <c r="BK365" s="13"/>
      <c r="BX365" s="12"/>
      <c r="BZ365" s="19"/>
      <c r="CA365" s="43"/>
      <c r="CB365" s="45"/>
      <c r="CC365" s="9"/>
      <c r="CD365" s="10"/>
      <c r="CE365" s="10"/>
      <c r="CF365" s="10"/>
      <c r="CG365" s="10"/>
      <c r="CH365" s="10"/>
      <c r="CI365" s="10"/>
      <c r="CJ365" s="10"/>
      <c r="CK365" s="10"/>
      <c r="CL365" s="10"/>
      <c r="CM365" s="10"/>
      <c r="CN365" s="10"/>
      <c r="CO365" s="11"/>
      <c r="EP365" s="4"/>
      <c r="FK365" s="13"/>
      <c r="FN365" s="12"/>
      <c r="GI365" s="12"/>
      <c r="GK365" s="13"/>
      <c r="GM365" s="12"/>
      <c r="GN365" s="13"/>
      <c r="GR365" s="13"/>
      <c r="HH365" s="14"/>
      <c r="HI365" s="15"/>
      <c r="HJ365" s="16"/>
      <c r="HL365" s="13"/>
      <c r="HP365" s="12"/>
      <c r="HU365" s="13"/>
      <c r="IN365" s="13"/>
      <c r="JD365" s="12"/>
      <c r="JE365" s="13"/>
    </row>
    <row r="366" spans="18:265" ht="18" customHeight="1">
      <c r="R366" s="12"/>
      <c r="S366" s="9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1"/>
      <c r="AE366" s="42"/>
      <c r="AF366" s="43"/>
      <c r="AG366" s="9"/>
      <c r="AH366" s="10"/>
      <c r="AI366" s="10"/>
      <c r="AJ366" s="11"/>
      <c r="AK366" s="10"/>
      <c r="AL366" s="10"/>
      <c r="AM366" s="10"/>
      <c r="AN366" s="10"/>
      <c r="AO366" s="9"/>
      <c r="AP366" s="10"/>
      <c r="AQ366" s="10"/>
      <c r="AR366" s="11"/>
      <c r="AS366" s="85"/>
      <c r="AT366" s="74"/>
      <c r="AU366" s="75"/>
      <c r="AV366" s="85"/>
      <c r="AW366" s="9"/>
      <c r="AX366" s="10"/>
      <c r="AY366" s="10"/>
      <c r="AZ366" s="11"/>
      <c r="BA366" s="141"/>
      <c r="BB366" s="141"/>
      <c r="BC366" s="141"/>
      <c r="BD366" s="141"/>
      <c r="BE366" s="12"/>
      <c r="BF366" s="12"/>
      <c r="BG366" s="13"/>
      <c r="BK366" s="13"/>
      <c r="BX366" s="14"/>
      <c r="BY366" s="15"/>
      <c r="BZ366" s="16"/>
      <c r="CA366" s="43"/>
      <c r="CB366" s="45"/>
      <c r="CC366" s="9"/>
      <c r="CD366" s="10"/>
      <c r="CE366" s="10"/>
      <c r="CF366" s="10"/>
      <c r="CG366" s="10"/>
      <c r="CH366" s="10"/>
      <c r="CI366" s="10"/>
      <c r="CJ366" s="10"/>
      <c r="CK366" s="10"/>
      <c r="CL366" s="10"/>
      <c r="CM366" s="10"/>
      <c r="CN366" s="11"/>
      <c r="CO366" s="13"/>
      <c r="EP366" s="4"/>
      <c r="FK366" s="13"/>
      <c r="FN366" s="12"/>
      <c r="GI366" s="12"/>
      <c r="GK366" s="13"/>
      <c r="GM366" s="14"/>
      <c r="GN366" s="16"/>
      <c r="GO366" s="15"/>
      <c r="GP366" s="15"/>
      <c r="GQ366" s="15"/>
      <c r="GR366" s="16"/>
      <c r="HJ366" s="13"/>
      <c r="HL366" s="13"/>
      <c r="HP366" s="12"/>
      <c r="HU366" s="13"/>
      <c r="IN366" s="13"/>
      <c r="JD366" s="12"/>
      <c r="JE366" s="13"/>
    </row>
    <row r="367" spans="18:265" ht="18" customHeight="1">
      <c r="R367" s="12"/>
      <c r="S367" s="12"/>
      <c r="AD367" s="13"/>
      <c r="AE367" s="42"/>
      <c r="AF367" s="43"/>
      <c r="AG367" s="12"/>
      <c r="AJ367" s="13"/>
      <c r="AK367" s="128"/>
      <c r="AL367" s="99"/>
      <c r="AO367" s="12"/>
      <c r="AP367" s="129"/>
      <c r="AR367" s="13"/>
      <c r="AS367" s="87"/>
      <c r="AT367" s="138"/>
      <c r="AU367" s="88"/>
      <c r="AV367" s="88"/>
      <c r="AX367" s="32"/>
      <c r="AY367" s="32"/>
      <c r="AZ367" s="13"/>
      <c r="BA367" s="49"/>
      <c r="BB367" s="142"/>
      <c r="BC367" s="49"/>
      <c r="BD367" s="49"/>
      <c r="BE367" s="18"/>
      <c r="BF367" s="14"/>
      <c r="BG367" s="16"/>
      <c r="BH367" s="15"/>
      <c r="BI367" s="15"/>
      <c r="BJ367" s="15"/>
      <c r="BK367" s="16"/>
      <c r="BZ367" s="13"/>
      <c r="CA367" s="43"/>
      <c r="CB367" s="45"/>
      <c r="CC367" s="12"/>
      <c r="CN367" s="13"/>
      <c r="CO367" s="13"/>
      <c r="EP367" s="4"/>
      <c r="FK367" s="13"/>
      <c r="FN367" s="12"/>
      <c r="GI367" s="12"/>
      <c r="GK367" s="13"/>
      <c r="GM367" s="14"/>
      <c r="GN367" s="15"/>
      <c r="GO367" s="15"/>
      <c r="GP367" s="15"/>
      <c r="GQ367" s="15"/>
      <c r="GR367" s="16"/>
      <c r="HJ367" s="13"/>
      <c r="HL367" s="13"/>
      <c r="HP367" s="12"/>
      <c r="HU367" s="13"/>
      <c r="IN367" s="13"/>
      <c r="JD367" s="12"/>
      <c r="JE367" s="13"/>
    </row>
    <row r="368" spans="18:265" ht="18" customHeight="1">
      <c r="R368" s="12"/>
      <c r="S368" s="12"/>
      <c r="AD368" s="13"/>
      <c r="AE368" s="42"/>
      <c r="AF368" s="43"/>
      <c r="AG368" s="12"/>
      <c r="AJ368" s="13"/>
      <c r="AO368" s="20"/>
      <c r="AP368" s="21"/>
      <c r="AQ368" s="21"/>
      <c r="AR368" s="22"/>
      <c r="AS368" s="87"/>
      <c r="AT368" s="86"/>
      <c r="AU368" s="88"/>
      <c r="AV368" s="88"/>
      <c r="AX368" s="32"/>
      <c r="AY368" s="32"/>
      <c r="AZ368" s="13"/>
      <c r="BA368" s="49"/>
      <c r="BB368" s="49"/>
      <c r="BC368" s="49"/>
      <c r="BD368" s="49"/>
      <c r="BE368" s="18"/>
      <c r="BF368" s="14"/>
      <c r="BG368" s="15"/>
      <c r="BH368" s="15"/>
      <c r="BI368" s="15"/>
      <c r="BJ368" s="15"/>
      <c r="BK368" s="16"/>
      <c r="BZ368" s="13"/>
      <c r="CA368" s="43"/>
      <c r="CB368" s="45"/>
      <c r="CC368" s="12"/>
      <c r="CN368" s="13"/>
      <c r="CO368" s="13"/>
      <c r="EP368" s="4"/>
      <c r="FK368" s="13"/>
      <c r="FN368" s="12"/>
      <c r="GI368" s="12"/>
      <c r="GK368" s="13"/>
      <c r="GM368" s="9"/>
      <c r="GN368" s="10"/>
      <c r="GO368" s="11"/>
      <c r="HJ368" s="13"/>
      <c r="HL368" s="13"/>
      <c r="HP368" s="14"/>
      <c r="HQ368" s="15"/>
      <c r="HR368" s="15"/>
      <c r="HS368" s="15"/>
      <c r="HT368" s="15"/>
      <c r="HU368" s="16"/>
      <c r="HV368" s="15"/>
      <c r="HW368" s="15"/>
      <c r="HX368" s="15"/>
      <c r="HY368" s="15"/>
      <c r="HZ368" s="15"/>
      <c r="IA368" s="15"/>
      <c r="IB368" s="15"/>
      <c r="IC368" s="15"/>
      <c r="ID368" s="15"/>
      <c r="IE368" s="15"/>
      <c r="IF368" s="15"/>
      <c r="IG368" s="15"/>
      <c r="IH368" s="15"/>
      <c r="II368" s="15"/>
      <c r="IJ368" s="15"/>
      <c r="IK368" s="15"/>
      <c r="IL368" s="15"/>
      <c r="IM368" s="15"/>
      <c r="IN368" s="16"/>
      <c r="JD368" s="12"/>
      <c r="JE368" s="13"/>
    </row>
    <row r="369" spans="18:265" ht="18" customHeight="1">
      <c r="R369" s="12"/>
      <c r="S369" s="12"/>
      <c r="AD369" s="13"/>
      <c r="AE369" s="42"/>
      <c r="AF369" s="43"/>
      <c r="AG369" s="14"/>
      <c r="AH369" s="15"/>
      <c r="AI369" s="15"/>
      <c r="AJ369" s="16"/>
      <c r="AO369" s="14"/>
      <c r="AP369" s="15"/>
      <c r="AQ369" s="15"/>
      <c r="AR369" s="16"/>
      <c r="AS369" s="87"/>
      <c r="AT369" s="76"/>
      <c r="AU369" s="77"/>
      <c r="AV369" s="87"/>
      <c r="AW369" s="14"/>
      <c r="AX369" s="15"/>
      <c r="AY369" s="15"/>
      <c r="AZ369" s="16"/>
      <c r="BA369" s="49"/>
      <c r="BB369" s="49"/>
      <c r="BC369" s="49"/>
      <c r="BD369" s="49"/>
      <c r="BE369" s="18"/>
      <c r="BF369" s="9"/>
      <c r="BG369" s="10"/>
      <c r="BH369" s="11"/>
      <c r="BZ369" s="13"/>
      <c r="CA369" s="43"/>
      <c r="CB369" s="45"/>
      <c r="CC369" s="12"/>
      <c r="CN369" s="13"/>
      <c r="CO369" s="13"/>
      <c r="EP369" s="4"/>
      <c r="FK369" s="13"/>
      <c r="FN369" s="12"/>
      <c r="GI369" s="12"/>
      <c r="GK369" s="13"/>
      <c r="GM369" s="12"/>
      <c r="GO369" s="13"/>
      <c r="HJ369" s="13"/>
      <c r="HL369" s="13"/>
      <c r="JD369" s="12"/>
      <c r="JE369" s="13"/>
    </row>
    <row r="370" spans="18:265" ht="18" customHeight="1">
      <c r="R370" s="12"/>
      <c r="S370" s="12"/>
      <c r="AD370" s="13"/>
      <c r="AE370" s="42"/>
      <c r="AF370" s="43"/>
      <c r="AG370" s="9"/>
      <c r="AH370" s="10"/>
      <c r="AI370" s="10"/>
      <c r="AJ370" s="11"/>
      <c r="AK370" s="139"/>
      <c r="AL370" s="10"/>
      <c r="AM370" s="10"/>
      <c r="AN370" s="10"/>
      <c r="AO370" s="10"/>
      <c r="AP370" s="10"/>
      <c r="AQ370" s="10"/>
      <c r="AR370" s="10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18"/>
      <c r="BF370" s="12"/>
      <c r="BH370" s="13"/>
      <c r="BZ370" s="13"/>
      <c r="CA370" s="43"/>
      <c r="CB370" s="45"/>
      <c r="CC370" s="12"/>
      <c r="CN370" s="13"/>
      <c r="CO370" s="13"/>
      <c r="EP370" s="4"/>
      <c r="FK370" s="13"/>
      <c r="FN370" s="12"/>
      <c r="GI370" s="14"/>
      <c r="GJ370" s="15"/>
      <c r="GK370" s="16"/>
      <c r="GM370" s="14"/>
      <c r="GN370" s="15"/>
      <c r="GO370" s="16"/>
      <c r="HJ370" s="13"/>
      <c r="HL370" s="13"/>
      <c r="JD370" s="12"/>
      <c r="JE370" s="13"/>
    </row>
    <row r="371" spans="18:265" ht="18" customHeight="1">
      <c r="R371" s="12"/>
      <c r="S371" s="12"/>
      <c r="AD371" s="13"/>
      <c r="AE371" s="42"/>
      <c r="AF371" s="43"/>
      <c r="AG371" s="12"/>
      <c r="AJ371" s="13"/>
      <c r="AK371" s="140"/>
      <c r="AL371" s="129"/>
      <c r="AP371" s="129"/>
      <c r="AT371" s="129"/>
      <c r="AX371" s="129"/>
      <c r="BE371" s="18"/>
      <c r="BF371" s="14"/>
      <c r="BG371" s="15"/>
      <c r="BH371" s="16"/>
      <c r="BZ371" s="13"/>
      <c r="CA371" s="125"/>
      <c r="CB371" s="125"/>
      <c r="CC371" s="12"/>
      <c r="CN371" s="13"/>
      <c r="CO371" s="13"/>
      <c r="EP371" s="4"/>
      <c r="FK371" s="13"/>
      <c r="FN371" s="14"/>
      <c r="FO371" s="15"/>
      <c r="FP371" s="15"/>
      <c r="FQ371" s="15"/>
      <c r="FR371" s="15"/>
      <c r="FS371" s="15"/>
      <c r="FT371" s="15"/>
      <c r="FU371" s="15"/>
      <c r="FV371" s="15"/>
      <c r="FW371" s="15"/>
      <c r="FX371" s="15"/>
      <c r="FY371" s="15"/>
      <c r="FZ371" s="15"/>
      <c r="GA371" s="15"/>
      <c r="GB371" s="15"/>
      <c r="GC371" s="15"/>
      <c r="GD371" s="15"/>
      <c r="GE371" s="15"/>
      <c r="GF371" s="15"/>
      <c r="GG371" s="15"/>
      <c r="GH371" s="15"/>
      <c r="GI371" s="15"/>
      <c r="GJ371" s="15"/>
      <c r="GK371" s="16"/>
      <c r="GM371" s="12"/>
      <c r="HJ371" s="13"/>
      <c r="HL371" s="13"/>
      <c r="JD371" s="14"/>
      <c r="JE371" s="16"/>
    </row>
    <row r="372" spans="18:265" ht="18" customHeight="1">
      <c r="R372" s="12"/>
      <c r="S372" s="12"/>
      <c r="AD372" s="13"/>
      <c r="AE372" s="42"/>
      <c r="AF372" s="43"/>
      <c r="AG372" s="12"/>
      <c r="AH372" s="137"/>
      <c r="AI372" s="97"/>
      <c r="AJ372" s="13"/>
      <c r="AK372" s="140"/>
      <c r="AL372" s="129"/>
      <c r="AP372" s="129"/>
      <c r="AT372" s="129"/>
      <c r="AX372" s="129"/>
      <c r="BE372" s="18"/>
      <c r="BZ372" s="13"/>
      <c r="CA372" s="108"/>
      <c r="CB372" s="108"/>
      <c r="CC372" s="12"/>
      <c r="CN372" s="13"/>
      <c r="CO372" s="13"/>
      <c r="EP372" s="4"/>
      <c r="FK372" s="13"/>
      <c r="GM372" s="12"/>
      <c r="HJ372" s="13"/>
      <c r="HL372" s="13"/>
      <c r="JE372" s="5"/>
    </row>
    <row r="373" spans="18:265" ht="18" customHeight="1">
      <c r="R373" s="12"/>
      <c r="S373" s="12"/>
      <c r="AD373" s="13"/>
      <c r="AE373" s="42"/>
      <c r="AF373" s="43"/>
      <c r="AG373" s="12"/>
      <c r="AH373" s="97"/>
      <c r="AI373" s="97"/>
      <c r="AJ373" s="13"/>
      <c r="AK373" s="140"/>
      <c r="BE373" s="18"/>
      <c r="BZ373" s="13"/>
      <c r="CA373" s="108"/>
      <c r="CB373" s="108"/>
      <c r="CC373" s="12"/>
      <c r="CN373" s="13"/>
      <c r="CO373" s="13"/>
      <c r="EP373" s="4"/>
      <c r="FK373" s="13"/>
      <c r="FN373" s="9"/>
      <c r="FO373" s="10"/>
      <c r="FP373" s="10"/>
      <c r="FQ373" s="10"/>
      <c r="FR373" s="10"/>
      <c r="FS373" s="10"/>
      <c r="FT373" s="10"/>
      <c r="FU373" s="10"/>
      <c r="FV373" s="10"/>
      <c r="FW373" s="10"/>
      <c r="FX373" s="10"/>
      <c r="FY373" s="10"/>
      <c r="FZ373" s="10"/>
      <c r="GA373" s="10"/>
      <c r="GB373" s="10"/>
      <c r="GC373" s="10"/>
      <c r="GD373" s="10"/>
      <c r="GE373" s="10"/>
      <c r="GF373" s="10"/>
      <c r="GG373" s="10"/>
      <c r="GH373" s="10"/>
      <c r="GI373" s="10"/>
      <c r="GJ373" s="10"/>
      <c r="GK373" s="11"/>
      <c r="GM373" s="12"/>
      <c r="HJ373" s="13"/>
      <c r="HL373" s="13"/>
      <c r="HM373" s="14"/>
      <c r="HN373" s="15"/>
      <c r="HO373" s="15"/>
      <c r="HP373" s="15"/>
      <c r="HQ373" s="15"/>
      <c r="HR373" s="15"/>
      <c r="HS373" s="15"/>
      <c r="HT373" s="15"/>
      <c r="HU373" s="15"/>
      <c r="HV373" s="15"/>
      <c r="HW373" s="15"/>
      <c r="HX373" s="15"/>
      <c r="HY373" s="15"/>
      <c r="HZ373" s="15"/>
      <c r="IA373" s="15"/>
      <c r="IB373" s="15"/>
      <c r="IC373" s="15"/>
      <c r="JE373" s="5"/>
    </row>
    <row r="374" spans="18:265" ht="18" customHeight="1">
      <c r="R374" s="12"/>
      <c r="S374" s="12"/>
      <c r="AD374" s="13"/>
      <c r="AE374" s="42"/>
      <c r="AF374" s="43"/>
      <c r="AG374" s="12"/>
      <c r="AH374" s="137"/>
      <c r="AI374" s="97"/>
      <c r="AJ374" s="13"/>
      <c r="AK374" s="140"/>
      <c r="BE374" s="24"/>
      <c r="BZ374" s="13"/>
      <c r="CA374" s="108"/>
      <c r="CB374" s="108"/>
      <c r="CC374" s="12"/>
      <c r="CN374" s="13"/>
      <c r="CO374" s="13"/>
      <c r="EP374" s="4"/>
      <c r="FL374" s="12"/>
      <c r="FN374" s="12"/>
      <c r="GK374" s="13"/>
      <c r="GM374" s="12"/>
      <c r="HJ374" s="13"/>
      <c r="HL374" s="13"/>
      <c r="IC374" s="13"/>
      <c r="JE374" s="5"/>
    </row>
    <row r="375" spans="18:265" ht="18" customHeight="1">
      <c r="R375" s="12"/>
      <c r="S375" s="12"/>
      <c r="AD375" s="13"/>
      <c r="AE375" s="42"/>
      <c r="AF375" s="43"/>
      <c r="AG375" s="12"/>
      <c r="AH375" s="97"/>
      <c r="AI375" s="97"/>
      <c r="AJ375" s="13"/>
      <c r="AK375" s="140"/>
      <c r="BE375" s="24"/>
      <c r="BZ375" s="13"/>
      <c r="CA375" s="108"/>
      <c r="CB375" s="108"/>
      <c r="CC375" s="12"/>
      <c r="CN375" s="13"/>
      <c r="CO375" s="13"/>
      <c r="EP375" s="4"/>
      <c r="FL375" s="12"/>
      <c r="FN375" s="12"/>
      <c r="GK375" s="13"/>
      <c r="GM375" s="12"/>
      <c r="HJ375" s="13"/>
      <c r="HL375" s="13"/>
      <c r="HM375" s="9"/>
      <c r="HN375" s="10"/>
      <c r="HO375" s="10"/>
      <c r="HP375" s="10"/>
      <c r="HQ375" s="10"/>
      <c r="HR375" s="10"/>
      <c r="HS375" s="10"/>
      <c r="HT375" s="10"/>
      <c r="HU375" s="10"/>
      <c r="HV375" s="10"/>
      <c r="HW375" s="10"/>
      <c r="HX375" s="10"/>
      <c r="HY375" s="10"/>
      <c r="HZ375" s="10"/>
      <c r="IA375" s="10"/>
      <c r="IB375" s="11"/>
      <c r="IC375" s="13"/>
      <c r="JE375" s="5"/>
    </row>
    <row r="376" spans="18:265" ht="18" customHeight="1">
      <c r="R376" s="12"/>
      <c r="S376" s="12"/>
      <c r="AD376" s="13"/>
      <c r="AE376" s="42"/>
      <c r="AF376" s="43"/>
      <c r="AG376" s="12"/>
      <c r="AH376" s="128"/>
      <c r="AJ376" s="13"/>
      <c r="AK376" s="140"/>
      <c r="BE376" s="24"/>
      <c r="BZ376" s="13"/>
      <c r="CA376" s="126"/>
      <c r="CB376" s="126"/>
      <c r="CC376" s="12"/>
      <c r="CN376" s="13"/>
      <c r="CO376" s="13"/>
      <c r="EP376" s="4"/>
      <c r="FL376" s="12"/>
      <c r="FN376" s="12"/>
      <c r="GK376" s="13"/>
      <c r="GM376" s="12"/>
      <c r="HJ376" s="13"/>
      <c r="HL376" s="13"/>
      <c r="HM376" s="12"/>
      <c r="IB376" s="13"/>
      <c r="IC376" s="13"/>
      <c r="JE376" s="5"/>
    </row>
    <row r="377" spans="18:265" ht="18" customHeight="1">
      <c r="R377" s="12"/>
      <c r="S377" s="12"/>
      <c r="AD377" s="13"/>
      <c r="AE377" s="42"/>
      <c r="AF377" s="43"/>
      <c r="AG377" s="14"/>
      <c r="AH377" s="15"/>
      <c r="AI377" s="15"/>
      <c r="AJ377" s="16"/>
      <c r="AK377" s="140"/>
      <c r="BE377" s="24"/>
      <c r="BZ377" s="13"/>
      <c r="CA377" s="43"/>
      <c r="CB377" s="45"/>
      <c r="CC377" s="12"/>
      <c r="CN377" s="13"/>
      <c r="CO377" s="13"/>
      <c r="EP377" s="4"/>
      <c r="FL377" s="12"/>
      <c r="FN377" s="12"/>
      <c r="FR377" s="9"/>
      <c r="FS377" s="10"/>
      <c r="FT377" s="10"/>
      <c r="FU377" s="10"/>
      <c r="FV377" s="10"/>
      <c r="FW377" s="10"/>
      <c r="FX377" s="10"/>
      <c r="FY377" s="10"/>
      <c r="FZ377" s="10"/>
      <c r="GA377" s="10"/>
      <c r="GB377" s="10"/>
      <c r="GC377" s="10"/>
      <c r="GD377" s="10"/>
      <c r="GE377" s="10"/>
      <c r="GF377" s="10"/>
      <c r="GG377" s="10"/>
      <c r="GH377" s="10"/>
      <c r="GI377" s="10"/>
      <c r="GJ377" s="10"/>
      <c r="GK377" s="10"/>
      <c r="GL377" s="10"/>
      <c r="HJ377" s="13"/>
      <c r="HL377" s="13"/>
      <c r="HM377" s="12"/>
      <c r="IB377" s="13"/>
      <c r="IC377" s="13"/>
      <c r="JE377" s="5"/>
    </row>
    <row r="378" spans="18:265" ht="18" customHeight="1">
      <c r="R378" s="12"/>
      <c r="S378" s="12"/>
      <c r="AD378" s="13"/>
      <c r="AE378" s="42"/>
      <c r="AF378" s="43"/>
      <c r="AG378" s="9"/>
      <c r="AH378" s="10"/>
      <c r="AI378" s="10"/>
      <c r="AJ378" s="11"/>
      <c r="AK378" s="10"/>
      <c r="AL378" s="10"/>
      <c r="AM378" s="10"/>
      <c r="AN378" s="10"/>
      <c r="AO378" s="9"/>
      <c r="AP378" s="10"/>
      <c r="AQ378" s="10"/>
      <c r="AR378" s="10"/>
      <c r="AS378" s="133"/>
      <c r="AT378" s="134"/>
      <c r="AU378" s="134"/>
      <c r="AV378" s="135"/>
      <c r="BE378" s="24"/>
      <c r="BZ378" s="13"/>
      <c r="CA378" s="43"/>
      <c r="CB378" s="45"/>
      <c r="CC378" s="12"/>
      <c r="CN378" s="13"/>
      <c r="CO378" s="13"/>
      <c r="EP378" s="4"/>
      <c r="FL378" s="17"/>
      <c r="FM378" s="17"/>
      <c r="FN378" s="12"/>
      <c r="FR378" s="12"/>
      <c r="HJ378" s="13"/>
      <c r="HK378" s="17"/>
      <c r="HL378" s="17"/>
      <c r="HM378" s="12"/>
      <c r="IB378" s="13"/>
      <c r="IC378" s="13"/>
      <c r="JE378" s="5"/>
    </row>
    <row r="379" spans="18:265" ht="18" customHeight="1">
      <c r="R379" s="12"/>
      <c r="S379" s="12"/>
      <c r="AD379" s="13"/>
      <c r="AE379" s="42"/>
      <c r="AF379" s="43"/>
      <c r="AG379" s="12"/>
      <c r="AJ379" s="13"/>
      <c r="AK379" s="128"/>
      <c r="AL379" s="99"/>
      <c r="AO379" s="12"/>
      <c r="AP379" s="129"/>
      <c r="AS379" s="86"/>
      <c r="AT379" s="136"/>
      <c r="AU379" s="87"/>
      <c r="AV379" s="88"/>
      <c r="AW379" s="9"/>
      <c r="AX379" s="10"/>
      <c r="AY379" s="11"/>
      <c r="BE379" s="24"/>
      <c r="BZ379" s="13"/>
      <c r="CA379" s="43"/>
      <c r="CB379" s="45"/>
      <c r="CC379" s="12"/>
      <c r="CN379" s="13"/>
      <c r="CO379" s="13"/>
      <c r="EP379" s="4"/>
      <c r="FL379" s="18"/>
      <c r="FM379" s="18"/>
      <c r="FN379" s="12"/>
      <c r="FO379" s="9"/>
      <c r="FP379" s="11"/>
      <c r="FR379" s="12"/>
      <c r="HJ379" s="13"/>
      <c r="HK379" s="18"/>
      <c r="HL379" s="18"/>
      <c r="HM379" s="12"/>
      <c r="HQ379" s="9"/>
      <c r="HR379" s="10"/>
      <c r="HS379" s="10"/>
      <c r="HT379" s="10"/>
      <c r="HU379" s="10"/>
      <c r="HV379" s="10"/>
      <c r="HW379" s="10"/>
      <c r="HX379" s="11"/>
      <c r="IB379" s="13"/>
      <c r="IC379" s="13"/>
      <c r="ID379" s="9"/>
      <c r="IE379" s="10"/>
      <c r="IF379" s="10"/>
      <c r="IG379" s="10"/>
      <c r="IH379" s="10"/>
      <c r="II379" s="10"/>
      <c r="IJ379" s="10"/>
      <c r="IK379" s="10"/>
      <c r="IL379" s="10"/>
      <c r="IM379" s="10"/>
      <c r="IN379" s="10"/>
      <c r="IO379" s="10"/>
      <c r="IP379" s="10"/>
      <c r="IQ379" s="10"/>
      <c r="IR379" s="10"/>
      <c r="IS379" s="10"/>
      <c r="IT379" s="10"/>
      <c r="IU379" s="10"/>
      <c r="IV379" s="10"/>
      <c r="IW379" s="10"/>
      <c r="IX379" s="10"/>
      <c r="IY379" s="10"/>
      <c r="IZ379" s="10"/>
      <c r="JA379" s="10"/>
      <c r="JB379" s="10"/>
      <c r="JC379" s="10"/>
      <c r="JD379" s="9"/>
      <c r="JE379" s="11"/>
    </row>
    <row r="380" spans="18:265" ht="18" customHeight="1">
      <c r="R380" s="12"/>
      <c r="S380" s="12"/>
      <c r="AD380" s="13"/>
      <c r="AE380" s="42"/>
      <c r="AF380" s="43"/>
      <c r="AG380" s="12"/>
      <c r="AJ380" s="13"/>
      <c r="AO380" s="12"/>
      <c r="AS380" s="86"/>
      <c r="AT380" s="87"/>
      <c r="AU380" s="87"/>
      <c r="AV380" s="88"/>
      <c r="AW380" s="12"/>
      <c r="AX380" s="131"/>
      <c r="AY380" s="13"/>
      <c r="BE380" s="24"/>
      <c r="BZ380" s="13"/>
      <c r="CA380" s="43"/>
      <c r="CB380" s="45"/>
      <c r="CC380" s="12"/>
      <c r="CN380" s="13"/>
      <c r="CO380" s="13"/>
      <c r="EP380" s="4"/>
      <c r="FL380" s="18"/>
      <c r="FM380" s="18"/>
      <c r="FN380" s="12"/>
      <c r="FO380" s="12"/>
      <c r="FP380" s="13"/>
      <c r="FR380" s="12"/>
      <c r="HJ380" s="13"/>
      <c r="HK380" s="18"/>
      <c r="HL380" s="18"/>
      <c r="HM380" s="12"/>
      <c r="HQ380" s="12"/>
      <c r="HX380" s="13"/>
      <c r="IB380" s="13"/>
      <c r="IC380" s="13"/>
      <c r="ID380" s="12"/>
      <c r="JD380" s="12"/>
      <c r="JE380" s="13"/>
    </row>
    <row r="381" spans="18:265" ht="18" customHeight="1">
      <c r="R381" s="12"/>
      <c r="S381" s="12"/>
      <c r="AD381" s="13"/>
      <c r="AE381" s="42"/>
      <c r="AF381" s="43"/>
      <c r="AG381" s="14"/>
      <c r="AH381" s="15"/>
      <c r="AI381" s="15"/>
      <c r="AJ381" s="16"/>
      <c r="AO381" s="14"/>
      <c r="AP381" s="15"/>
      <c r="AQ381" s="15"/>
      <c r="AS381" s="76"/>
      <c r="AT381" s="89"/>
      <c r="AU381" s="89"/>
      <c r="AV381" s="77"/>
      <c r="AW381" s="14"/>
      <c r="AX381" s="15"/>
      <c r="AY381" s="16"/>
      <c r="AZ381" s="15"/>
      <c r="BA381" s="15"/>
      <c r="BB381" s="15"/>
      <c r="BC381" s="15"/>
      <c r="BD381" s="15"/>
      <c r="BE381" s="25"/>
      <c r="BF381" s="15"/>
      <c r="BG381" s="15"/>
      <c r="BH381" s="15"/>
      <c r="BI381" s="15"/>
      <c r="BP381" s="15"/>
      <c r="BQ381" s="15"/>
      <c r="BR381" s="15"/>
      <c r="BS381" s="15"/>
      <c r="BT381" s="15"/>
      <c r="BU381" s="15"/>
      <c r="BV381" s="15"/>
      <c r="BW381" s="15"/>
      <c r="BX381" s="15"/>
      <c r="BY381" s="15"/>
      <c r="BZ381" s="16"/>
      <c r="CA381" s="43"/>
      <c r="CB381" s="45"/>
      <c r="CC381" s="12"/>
      <c r="CN381" s="13"/>
      <c r="CO381" s="13"/>
      <c r="EP381" s="4"/>
      <c r="FL381" s="18"/>
      <c r="FM381" s="18"/>
      <c r="FN381" s="12"/>
      <c r="FO381" s="12"/>
      <c r="FP381" s="13"/>
      <c r="FR381" s="12"/>
      <c r="HJ381" s="13"/>
      <c r="HK381" s="18"/>
      <c r="HL381" s="18"/>
      <c r="HM381" s="12"/>
      <c r="HQ381" s="12"/>
      <c r="HX381" s="13"/>
      <c r="IB381" s="13"/>
      <c r="IC381" s="13"/>
      <c r="ID381" s="12"/>
      <c r="JD381" s="12"/>
      <c r="JE381" s="13"/>
    </row>
    <row r="382" spans="18:265" ht="18" customHeight="1">
      <c r="R382" s="12"/>
      <c r="S382" s="12"/>
      <c r="AD382" s="13"/>
      <c r="AE382" s="42"/>
      <c r="AF382" s="43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3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3"/>
      <c r="BR382" s="43"/>
      <c r="BS382" s="43"/>
      <c r="BT382" s="70"/>
      <c r="BU382" s="92"/>
      <c r="BV382" s="92"/>
      <c r="BW382" s="92"/>
      <c r="BX382" s="92"/>
      <c r="BY382" s="71"/>
      <c r="BZ382" s="43"/>
      <c r="CA382" s="43"/>
      <c r="CB382" s="45"/>
      <c r="CC382" s="12"/>
      <c r="CN382" s="13"/>
      <c r="CO382" s="13"/>
      <c r="EP382" s="4"/>
      <c r="FL382" s="18"/>
      <c r="FM382" s="18"/>
      <c r="FN382" s="12"/>
      <c r="FO382" s="14"/>
      <c r="FP382" s="16"/>
      <c r="FR382" s="12"/>
      <c r="HJ382" s="13"/>
      <c r="HK382" s="18"/>
      <c r="HL382" s="18"/>
      <c r="HM382" s="12"/>
      <c r="HQ382" s="12"/>
      <c r="HX382" s="13"/>
      <c r="IB382" s="13"/>
      <c r="IC382" s="13"/>
      <c r="ID382" s="12"/>
      <c r="JD382" s="12"/>
      <c r="JE382" s="13"/>
    </row>
    <row r="383" spans="18:265" ht="18" customHeight="1">
      <c r="R383" s="12"/>
      <c r="S383" s="12"/>
      <c r="AD383" s="13"/>
      <c r="AE383" s="42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107"/>
      <c r="BU383" s="127"/>
      <c r="BV383" s="127"/>
      <c r="BW383" s="127"/>
      <c r="BX383" s="127"/>
      <c r="BY383" s="90"/>
      <c r="BZ383" s="43"/>
      <c r="CA383" s="43"/>
      <c r="CB383" s="45"/>
      <c r="CC383" s="12"/>
      <c r="CN383" s="13"/>
      <c r="CO383" s="13"/>
      <c r="EP383" s="4"/>
      <c r="FL383" s="19"/>
      <c r="FM383" s="19"/>
      <c r="FN383" s="12"/>
      <c r="FR383" s="12"/>
      <c r="HJ383" s="13"/>
      <c r="HK383" s="19"/>
      <c r="HL383" s="19"/>
      <c r="HM383" s="12"/>
      <c r="HQ383" s="12"/>
      <c r="HX383" s="13"/>
      <c r="IB383" s="13"/>
      <c r="IC383" s="13"/>
      <c r="ID383" s="12"/>
      <c r="JD383" s="12"/>
      <c r="JE383" s="13"/>
    </row>
    <row r="384" spans="18:265" ht="18" customHeight="1">
      <c r="R384" s="12"/>
      <c r="S384" s="12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  <c r="BL384" s="10"/>
      <c r="BM384" s="10"/>
      <c r="BN384" s="10"/>
      <c r="BO384" s="10"/>
      <c r="BP384" s="10"/>
      <c r="BQ384" s="10"/>
      <c r="BR384" s="10"/>
      <c r="BS384" s="10"/>
      <c r="BT384" s="10"/>
      <c r="BU384" s="10"/>
      <c r="BV384" s="10"/>
      <c r="BW384" s="10"/>
      <c r="BX384" s="10"/>
      <c r="BY384" s="10"/>
      <c r="BZ384" s="10"/>
      <c r="CA384" s="10"/>
      <c r="CB384" s="10"/>
      <c r="CN384" s="13"/>
      <c r="CO384" s="13"/>
      <c r="EP384" s="4"/>
      <c r="FL384" s="12"/>
      <c r="FN384" s="12"/>
      <c r="FR384" s="14"/>
      <c r="FS384" s="15"/>
      <c r="FT384" s="15"/>
      <c r="FU384" s="15"/>
      <c r="FV384" s="15"/>
      <c r="FW384" s="15"/>
      <c r="FX384" s="15"/>
      <c r="FY384" s="15"/>
      <c r="FZ384" s="15"/>
      <c r="GA384" s="15"/>
      <c r="GB384" s="15"/>
      <c r="GC384" s="15"/>
      <c r="GD384" s="15"/>
      <c r="GE384" s="15"/>
      <c r="GF384" s="15"/>
      <c r="GG384" s="15"/>
      <c r="GH384" s="15"/>
      <c r="GI384" s="15"/>
      <c r="GJ384" s="15"/>
      <c r="GK384" s="15"/>
      <c r="GL384" s="15"/>
      <c r="HJ384" s="13"/>
      <c r="HL384" s="13"/>
      <c r="HM384" s="12"/>
      <c r="HQ384" s="12"/>
      <c r="HX384" s="13"/>
      <c r="IB384" s="13"/>
      <c r="IC384" s="13"/>
      <c r="ID384" s="12"/>
      <c r="JD384" s="12"/>
      <c r="JE384" s="13"/>
    </row>
    <row r="385" spans="18:265" ht="18" customHeight="1">
      <c r="R385" s="12"/>
      <c r="S385" s="12"/>
      <c r="CN385" s="13"/>
      <c r="CO385" s="13"/>
      <c r="EP385" s="4"/>
      <c r="FL385" s="12"/>
      <c r="FN385" s="12"/>
      <c r="GK385" s="13"/>
      <c r="GM385" s="12"/>
      <c r="HJ385" s="13"/>
      <c r="HL385" s="13"/>
      <c r="HM385" s="12"/>
      <c r="HQ385" s="12"/>
      <c r="HX385" s="13"/>
      <c r="IB385" s="13"/>
      <c r="IC385" s="13"/>
      <c r="ID385" s="12"/>
      <c r="JD385" s="12"/>
      <c r="JE385" s="13"/>
    </row>
    <row r="386" spans="18:265" ht="18" customHeight="1">
      <c r="R386" s="12"/>
      <c r="S386" s="12"/>
      <c r="CN386" s="13"/>
      <c r="CO386" s="13"/>
      <c r="EP386" s="4"/>
      <c r="FL386" s="12"/>
      <c r="FN386" s="12"/>
      <c r="GK386" s="13"/>
      <c r="GM386" s="12"/>
      <c r="HJ386" s="13"/>
      <c r="HL386" s="13"/>
      <c r="HM386" s="12"/>
      <c r="HQ386" s="14"/>
      <c r="HR386" s="15"/>
      <c r="HS386" s="15"/>
      <c r="HT386" s="15"/>
      <c r="HU386" s="15"/>
      <c r="HV386" s="15"/>
      <c r="HW386" s="15"/>
      <c r="HX386" s="16"/>
      <c r="IB386" s="13"/>
      <c r="IC386" s="13"/>
      <c r="ID386" s="14"/>
      <c r="IE386" s="15"/>
      <c r="IF386" s="15"/>
      <c r="IG386" s="15"/>
      <c r="IH386" s="15"/>
      <c r="II386" s="15"/>
      <c r="IJ386" s="15"/>
      <c r="IK386" s="15"/>
      <c r="IL386" s="15"/>
      <c r="IM386" s="15"/>
      <c r="IN386" s="15"/>
      <c r="IO386" s="15"/>
      <c r="IP386" s="15"/>
      <c r="IQ386" s="15"/>
      <c r="IR386" s="15"/>
      <c r="IS386" s="15"/>
      <c r="IT386" s="15"/>
      <c r="IU386" s="15"/>
      <c r="IV386" s="15"/>
      <c r="IW386" s="15"/>
      <c r="IX386" s="15"/>
      <c r="IY386" s="15"/>
      <c r="IZ386" s="15"/>
      <c r="JA386" s="15"/>
      <c r="JB386" s="15"/>
      <c r="JC386" s="15"/>
      <c r="JD386" s="14"/>
      <c r="JE386" s="16"/>
    </row>
    <row r="387" spans="18:265" ht="18" customHeight="1">
      <c r="R387" s="12"/>
      <c r="S387" s="12"/>
      <c r="CN387" s="13"/>
      <c r="CO387" s="13"/>
      <c r="EP387" s="4"/>
      <c r="FL387" s="12"/>
      <c r="FN387" s="12"/>
      <c r="GK387" s="13"/>
      <c r="GM387" s="12"/>
      <c r="HJ387" s="13"/>
      <c r="HL387" s="13"/>
      <c r="HM387" s="12"/>
      <c r="IB387" s="13"/>
      <c r="IC387" s="13"/>
      <c r="JE387" s="5"/>
    </row>
    <row r="388" spans="18:265" ht="18" customHeight="1">
      <c r="R388" s="12"/>
      <c r="S388" s="12"/>
      <c r="CN388" s="13"/>
      <c r="CO388" s="13"/>
      <c r="EP388" s="4"/>
      <c r="FL388" s="12"/>
      <c r="FN388" s="14"/>
      <c r="FO388" s="15"/>
      <c r="FP388" s="15"/>
      <c r="FQ388" s="15"/>
      <c r="FR388" s="15"/>
      <c r="FS388" s="15"/>
      <c r="FT388" s="15"/>
      <c r="FU388" s="15"/>
      <c r="FV388" s="15"/>
      <c r="FW388" s="15"/>
      <c r="FX388" s="15"/>
      <c r="FY388" s="15"/>
      <c r="FZ388" s="15"/>
      <c r="GA388" s="15"/>
      <c r="GB388" s="15"/>
      <c r="GC388" s="15"/>
      <c r="GD388" s="15"/>
      <c r="GE388" s="15"/>
      <c r="GF388" s="15"/>
      <c r="GG388" s="15"/>
      <c r="GH388" s="15"/>
      <c r="GI388" s="15"/>
      <c r="GJ388" s="15"/>
      <c r="GK388" s="16"/>
      <c r="GM388" s="14"/>
      <c r="GN388" s="15"/>
      <c r="GO388" s="15"/>
      <c r="GP388" s="15"/>
      <c r="GQ388" s="15"/>
      <c r="GR388" s="15"/>
      <c r="GS388" s="15"/>
      <c r="GT388" s="15"/>
      <c r="GU388" s="15"/>
      <c r="GV388" s="15"/>
      <c r="GW388" s="15"/>
      <c r="GX388" s="15"/>
      <c r="GY388" s="15"/>
      <c r="GZ388" s="15"/>
      <c r="HA388" s="15"/>
      <c r="HB388" s="15"/>
      <c r="HC388" s="15"/>
      <c r="HD388" s="15"/>
      <c r="HE388" s="15"/>
      <c r="HF388" s="15"/>
      <c r="HG388" s="15"/>
      <c r="HH388" s="15"/>
      <c r="HI388" s="15"/>
      <c r="HJ388" s="16"/>
      <c r="HL388" s="13"/>
      <c r="HM388" s="12"/>
      <c r="IB388" s="13"/>
      <c r="IC388" s="13"/>
      <c r="JE388" s="5"/>
    </row>
    <row r="389" spans="18:265" ht="18" customHeight="1">
      <c r="R389" s="12"/>
      <c r="S389" s="12"/>
      <c r="CN389" s="13"/>
      <c r="CO389" s="13"/>
      <c r="EP389" s="4"/>
      <c r="FL389" s="12"/>
      <c r="GR389" s="20"/>
      <c r="GS389" s="21"/>
      <c r="GT389" s="21"/>
      <c r="GU389" s="21"/>
      <c r="GV389" s="21"/>
      <c r="GW389" s="22"/>
      <c r="HD389" s="127"/>
      <c r="HE389" s="127"/>
      <c r="HF389" s="127"/>
      <c r="HG389" s="127"/>
      <c r="HH389" s="127"/>
      <c r="HI389" s="127"/>
      <c r="HL389" s="13"/>
      <c r="HM389" s="12"/>
      <c r="IB389" s="13"/>
      <c r="IC389" s="13"/>
      <c r="JE389" s="5"/>
    </row>
    <row r="390" spans="18:265" ht="18" customHeight="1">
      <c r="R390" s="12"/>
      <c r="S390" s="12"/>
      <c r="CN390" s="13"/>
      <c r="CO390" s="13"/>
      <c r="EP390" s="4"/>
      <c r="FL390" s="14"/>
      <c r="FM390" s="15"/>
      <c r="FN390" s="15"/>
      <c r="FO390" s="15"/>
      <c r="FP390" s="15"/>
      <c r="FQ390" s="15"/>
      <c r="FR390" s="15"/>
      <c r="FS390" s="15"/>
      <c r="FT390" s="15"/>
      <c r="FU390" s="15"/>
      <c r="FW390" s="15"/>
      <c r="FX390" s="15"/>
      <c r="FZ390" s="15"/>
      <c r="GB390" s="15"/>
      <c r="GC390" s="15"/>
      <c r="GJ390" s="15"/>
      <c r="GK390" s="15"/>
      <c r="GL390" s="15"/>
      <c r="GM390" s="15"/>
      <c r="GN390" s="15"/>
      <c r="GO390" s="15"/>
      <c r="GP390" s="15"/>
      <c r="GQ390" s="15"/>
      <c r="GR390" s="20"/>
      <c r="GS390" s="21"/>
      <c r="GT390" s="21"/>
      <c r="GU390" s="21"/>
      <c r="GV390" s="21"/>
      <c r="GW390" s="22"/>
      <c r="GX390" s="15"/>
      <c r="GY390" s="15"/>
      <c r="GZ390" s="15"/>
      <c r="HA390" s="15"/>
      <c r="HB390" s="15"/>
      <c r="HC390" s="15"/>
      <c r="HD390" s="100"/>
      <c r="HE390" s="100"/>
      <c r="HF390" s="100"/>
      <c r="HG390" s="100"/>
      <c r="HH390" s="100"/>
      <c r="HI390" s="100"/>
      <c r="HJ390" s="15"/>
      <c r="HK390" s="15"/>
      <c r="HL390" s="16"/>
      <c r="HM390" s="14"/>
      <c r="HN390" s="15"/>
      <c r="HO390" s="15"/>
      <c r="HP390" s="15"/>
      <c r="HQ390" s="15"/>
      <c r="HR390" s="15"/>
      <c r="HS390" s="15"/>
      <c r="HT390" s="15"/>
      <c r="HU390" s="15"/>
      <c r="HV390" s="15"/>
      <c r="HW390" s="15"/>
      <c r="HX390" s="15"/>
      <c r="HY390" s="15"/>
      <c r="HZ390" s="15"/>
      <c r="IA390" s="15"/>
      <c r="IB390" s="16"/>
      <c r="IC390" s="13"/>
      <c r="JE390" s="5"/>
    </row>
    <row r="391" spans="18:265" ht="18" customHeight="1">
      <c r="R391" s="12"/>
      <c r="S391" s="12"/>
      <c r="CN391" s="13"/>
      <c r="CO391" s="13"/>
      <c r="EP391" s="4"/>
      <c r="FV391" s="10"/>
      <c r="FY391" s="10"/>
      <c r="GA391" s="10"/>
      <c r="GD391" s="10"/>
      <c r="GE391" s="10"/>
      <c r="GF391" s="9"/>
      <c r="GG391" s="9"/>
      <c r="GH391" s="10"/>
      <c r="GI391" s="10"/>
      <c r="GJ391" s="10"/>
      <c r="GK391" s="10"/>
      <c r="GL391" s="10"/>
      <c r="GW391" s="9"/>
      <c r="GX391" s="10"/>
      <c r="GY391" s="10"/>
      <c r="GZ391" s="10"/>
      <c r="HA391" s="10"/>
      <c r="HB391" s="10"/>
      <c r="HC391" s="10"/>
      <c r="HD391" s="10"/>
      <c r="HE391" s="10"/>
      <c r="HF391" s="10"/>
      <c r="HG391" s="10"/>
      <c r="HH391" s="10"/>
      <c r="HI391" s="10"/>
      <c r="HJ391" s="10"/>
      <c r="HK391" s="10"/>
      <c r="HL391" s="11"/>
      <c r="HM391" s="9"/>
      <c r="HN391" s="10"/>
      <c r="HO391" s="10"/>
      <c r="HP391" s="10"/>
      <c r="HQ391" s="10"/>
      <c r="HR391" s="10"/>
      <c r="HS391" s="10"/>
      <c r="HT391" s="10"/>
      <c r="HU391" s="10"/>
      <c r="HV391" s="10"/>
      <c r="HW391" s="10"/>
      <c r="HX391" s="10"/>
      <c r="HY391" s="10"/>
      <c r="HZ391" s="10"/>
      <c r="IA391" s="10"/>
      <c r="IB391" s="11"/>
      <c r="IC391" s="13"/>
      <c r="JE391" s="5"/>
    </row>
    <row r="392" spans="18:265" ht="18" customHeight="1">
      <c r="R392" s="12"/>
      <c r="S392" s="12"/>
      <c r="CN392" s="13"/>
      <c r="CO392" s="13"/>
      <c r="EP392" s="4"/>
      <c r="GF392" s="12"/>
      <c r="GG392" s="12"/>
      <c r="GW392" s="12"/>
      <c r="HL392" s="13"/>
      <c r="HM392" s="12"/>
      <c r="IB392" s="13"/>
      <c r="IC392" s="13"/>
      <c r="JE392" s="5"/>
    </row>
    <row r="393" spans="18:265" ht="18" customHeight="1">
      <c r="R393" s="12"/>
      <c r="S393" s="12"/>
      <c r="CN393" s="13"/>
      <c r="CO393" s="13"/>
      <c r="EP393" s="4"/>
      <c r="GF393" s="12"/>
      <c r="GG393" s="12"/>
      <c r="GW393" s="12"/>
      <c r="HL393" s="13"/>
      <c r="HM393" s="12"/>
      <c r="IB393" s="13"/>
      <c r="IC393" s="13"/>
      <c r="JE393" s="5"/>
    </row>
    <row r="394" spans="18:265" ht="18" customHeight="1">
      <c r="R394" s="12"/>
      <c r="S394" s="12"/>
      <c r="CN394" s="13"/>
      <c r="CO394" s="13"/>
      <c r="EP394" s="4"/>
      <c r="GF394" s="12"/>
      <c r="GG394" s="12"/>
      <c r="GW394" s="12"/>
      <c r="HL394" s="13"/>
      <c r="HM394" s="12"/>
      <c r="IB394" s="13"/>
      <c r="IC394" s="13"/>
      <c r="JE394" s="5"/>
    </row>
    <row r="395" spans="18:265" ht="18" customHeight="1">
      <c r="R395" s="12"/>
      <c r="S395" s="12"/>
      <c r="CN395" s="13"/>
      <c r="CO395" s="13"/>
      <c r="EP395" s="4"/>
      <c r="GF395" s="12"/>
      <c r="GG395" s="12"/>
      <c r="GK395" s="9"/>
      <c r="GL395" s="10"/>
      <c r="GM395" s="10"/>
      <c r="GN395" s="10"/>
      <c r="GO395" s="10"/>
      <c r="GP395" s="10"/>
      <c r="GQ395" s="10"/>
      <c r="GR395" s="11"/>
      <c r="GW395" s="12"/>
      <c r="HA395" s="9"/>
      <c r="HB395" s="10"/>
      <c r="HC395" s="10"/>
      <c r="HD395" s="10"/>
      <c r="HE395" s="10"/>
      <c r="HF395" s="10"/>
      <c r="HG395" s="10"/>
      <c r="HH395" s="11"/>
      <c r="HL395" s="13"/>
      <c r="HM395" s="12"/>
      <c r="HQ395" s="9"/>
      <c r="HR395" s="10"/>
      <c r="HS395" s="10"/>
      <c r="HT395" s="10"/>
      <c r="HU395" s="10"/>
      <c r="HV395" s="10"/>
      <c r="HW395" s="10"/>
      <c r="HX395" s="11"/>
      <c r="IB395" s="13"/>
      <c r="IC395" s="13"/>
      <c r="JE395" s="5"/>
    </row>
    <row r="396" spans="18:265" ht="18" customHeight="1">
      <c r="R396" s="12"/>
      <c r="S396" s="12"/>
      <c r="CN396" s="13"/>
      <c r="CO396" s="13"/>
      <c r="EP396" s="4"/>
      <c r="GF396" s="12"/>
      <c r="GG396" s="12"/>
      <c r="GK396" s="12"/>
      <c r="GR396" s="13"/>
      <c r="GW396" s="12"/>
      <c r="HA396" s="12"/>
      <c r="HH396" s="13"/>
      <c r="HL396" s="13"/>
      <c r="HM396" s="12"/>
      <c r="HQ396" s="12"/>
      <c r="HX396" s="13"/>
      <c r="IB396" s="13"/>
      <c r="IC396" s="13"/>
      <c r="JE396" s="5"/>
    </row>
    <row r="397" spans="18:265" ht="18" customHeight="1">
      <c r="R397" s="12"/>
      <c r="S397" s="12"/>
      <c r="CN397" s="13"/>
      <c r="CO397" s="13"/>
      <c r="EP397" s="4"/>
      <c r="GF397" s="12"/>
      <c r="GG397" s="12"/>
      <c r="GK397" s="12"/>
      <c r="GR397" s="13"/>
      <c r="GW397" s="12"/>
      <c r="HA397" s="12"/>
      <c r="HH397" s="13"/>
      <c r="HL397" s="13"/>
      <c r="HM397" s="12"/>
      <c r="HQ397" s="12"/>
      <c r="HX397" s="13"/>
      <c r="IB397" s="13"/>
      <c r="IC397" s="13"/>
      <c r="JE397" s="5"/>
    </row>
    <row r="398" spans="18:265" ht="18" customHeight="1">
      <c r="R398" s="12"/>
      <c r="S398" s="12"/>
      <c r="CN398" s="13"/>
      <c r="CO398" s="13"/>
      <c r="EP398" s="4"/>
      <c r="GF398" s="12"/>
      <c r="GG398" s="12"/>
      <c r="GK398" s="12"/>
      <c r="GR398" s="13"/>
      <c r="GW398" s="12"/>
      <c r="HA398" s="12"/>
      <c r="HH398" s="13"/>
      <c r="HL398" s="13"/>
      <c r="HM398" s="12"/>
      <c r="HQ398" s="12"/>
      <c r="HX398" s="13"/>
      <c r="IB398" s="13"/>
      <c r="IC398" s="13"/>
      <c r="JE398" s="5"/>
    </row>
    <row r="399" spans="18:265" ht="18" customHeight="1">
      <c r="R399" s="12"/>
      <c r="S399" s="14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15"/>
      <c r="AZ399" s="15"/>
      <c r="BA399" s="15"/>
      <c r="BB399" s="15"/>
      <c r="BC399" s="15"/>
      <c r="BD399" s="15"/>
      <c r="BE399" s="15"/>
      <c r="BF399" s="15"/>
      <c r="BG399" s="15"/>
      <c r="BH399" s="15"/>
      <c r="BI399" s="15"/>
      <c r="BJ399" s="15"/>
      <c r="BK399" s="15"/>
      <c r="BL399" s="15"/>
      <c r="BM399" s="15"/>
      <c r="BN399" s="15"/>
      <c r="BO399" s="15"/>
      <c r="BP399" s="15"/>
      <c r="BQ399" s="15"/>
      <c r="BR399" s="15"/>
      <c r="BS399" s="15"/>
      <c r="BT399" s="15"/>
      <c r="BU399" s="15"/>
      <c r="BV399" s="15"/>
      <c r="BW399" s="15"/>
      <c r="BX399" s="15"/>
      <c r="BY399" s="15"/>
      <c r="BZ399" s="15"/>
      <c r="CA399" s="15"/>
      <c r="CB399" s="15"/>
      <c r="CC399" s="15"/>
      <c r="CD399" s="15"/>
      <c r="CE399" s="15"/>
      <c r="CF399" s="15"/>
      <c r="CG399" s="15"/>
      <c r="CH399" s="15"/>
      <c r="CI399" s="15"/>
      <c r="CJ399" s="15"/>
      <c r="CK399" s="15"/>
      <c r="CL399" s="15"/>
      <c r="CM399" s="15"/>
      <c r="CN399" s="16"/>
      <c r="CO399" s="13"/>
      <c r="EP399" s="4"/>
      <c r="GF399" s="12"/>
      <c r="GG399" s="12"/>
      <c r="GK399" s="12"/>
      <c r="GR399" s="13"/>
      <c r="GW399" s="12"/>
      <c r="HA399" s="12"/>
      <c r="HH399" s="13"/>
      <c r="HL399" s="13"/>
      <c r="HM399" s="12"/>
      <c r="HQ399" s="12"/>
      <c r="HX399" s="13"/>
      <c r="IB399" s="13"/>
      <c r="IC399" s="13"/>
      <c r="JE399" s="5"/>
    </row>
    <row r="400" spans="18:265" ht="18" customHeight="1">
      <c r="R400" s="14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15"/>
      <c r="AZ400" s="15"/>
      <c r="BA400" s="15"/>
      <c r="BB400" s="15"/>
      <c r="BC400" s="15"/>
      <c r="BD400" s="15"/>
      <c r="BE400" s="15"/>
      <c r="BF400" s="15"/>
      <c r="BG400" s="15"/>
      <c r="BH400" s="15"/>
      <c r="BI400" s="15"/>
      <c r="BJ400" s="15"/>
      <c r="BK400" s="15"/>
      <c r="BL400" s="15"/>
      <c r="BM400" s="15"/>
      <c r="BN400" s="15"/>
      <c r="BO400" s="15"/>
      <c r="BP400" s="15"/>
      <c r="BQ400" s="15"/>
      <c r="BR400" s="15"/>
      <c r="BS400" s="15"/>
      <c r="BT400" s="15"/>
      <c r="BU400" s="15"/>
      <c r="BV400" s="15"/>
      <c r="BW400" s="15"/>
      <c r="BX400" s="15"/>
      <c r="BY400" s="15"/>
      <c r="BZ400" s="15"/>
      <c r="CA400" s="15"/>
      <c r="CB400" s="15"/>
      <c r="CC400" s="15"/>
      <c r="CD400" s="15"/>
      <c r="CE400" s="15"/>
      <c r="CF400" s="15"/>
      <c r="CG400" s="15"/>
      <c r="CH400" s="15"/>
      <c r="CI400" s="15"/>
      <c r="CJ400" s="15"/>
      <c r="CK400" s="15"/>
      <c r="CL400" s="15"/>
      <c r="CM400" s="15"/>
      <c r="CN400" s="15"/>
      <c r="CO400" s="16"/>
      <c r="EP400" s="4"/>
      <c r="GF400" s="12"/>
      <c r="GG400" s="12"/>
      <c r="GK400" s="12"/>
      <c r="GR400" s="13"/>
      <c r="GW400" s="12"/>
      <c r="HA400" s="12"/>
      <c r="HH400" s="13"/>
      <c r="HL400" s="13"/>
      <c r="HM400" s="12"/>
      <c r="HQ400" s="12"/>
      <c r="HX400" s="13"/>
      <c r="IB400" s="13"/>
      <c r="IC400" s="13"/>
      <c r="JE400" s="5"/>
    </row>
    <row r="401" spans="146:265" ht="18" customHeight="1">
      <c r="EP401" s="4"/>
      <c r="GF401" s="12"/>
      <c r="GG401" s="12"/>
      <c r="GK401" s="12"/>
      <c r="GR401" s="13"/>
      <c r="GW401" s="12"/>
      <c r="HA401" s="12"/>
      <c r="HH401" s="13"/>
      <c r="HL401" s="13"/>
      <c r="HM401" s="12"/>
      <c r="HQ401" s="12"/>
      <c r="HX401" s="13"/>
      <c r="IB401" s="13"/>
      <c r="IC401" s="13"/>
      <c r="JE401" s="5"/>
    </row>
    <row r="402" spans="146:265" ht="18" customHeight="1">
      <c r="EP402" s="4"/>
      <c r="GF402" s="12"/>
      <c r="GG402" s="12"/>
      <c r="GK402" s="14"/>
      <c r="GL402" s="15"/>
      <c r="GM402" s="15"/>
      <c r="GN402" s="15"/>
      <c r="GO402" s="15"/>
      <c r="GP402" s="15"/>
      <c r="GQ402" s="15"/>
      <c r="GR402" s="16"/>
      <c r="GW402" s="12"/>
      <c r="HA402" s="14"/>
      <c r="HB402" s="15"/>
      <c r="HC402" s="15"/>
      <c r="HD402" s="15"/>
      <c r="HE402" s="15"/>
      <c r="HF402" s="15"/>
      <c r="HG402" s="15"/>
      <c r="HH402" s="16"/>
      <c r="HL402" s="13"/>
      <c r="HM402" s="12"/>
      <c r="HQ402" s="14"/>
      <c r="HR402" s="15"/>
      <c r="HS402" s="15"/>
      <c r="HT402" s="15"/>
      <c r="HU402" s="15"/>
      <c r="HV402" s="15"/>
      <c r="HW402" s="15"/>
      <c r="HX402" s="16"/>
      <c r="IB402" s="13"/>
      <c r="IC402" s="13"/>
      <c r="JE402" s="5"/>
    </row>
    <row r="403" spans="146:265" ht="18" customHeight="1">
      <c r="EP403" s="4"/>
      <c r="GF403" s="12"/>
      <c r="GG403" s="12"/>
      <c r="GW403" s="12"/>
      <c r="HL403" s="13"/>
      <c r="HM403" s="12"/>
      <c r="IB403" s="13"/>
      <c r="IC403" s="13"/>
      <c r="JE403" s="5"/>
    </row>
    <row r="404" spans="146:265" ht="18" customHeight="1">
      <c r="EP404" s="4"/>
      <c r="GF404" s="12"/>
      <c r="GG404" s="12"/>
      <c r="GW404" s="12"/>
      <c r="HL404" s="13"/>
      <c r="HM404" s="12"/>
      <c r="IB404" s="13"/>
      <c r="IC404" s="13"/>
      <c r="JE404" s="5"/>
    </row>
    <row r="405" spans="146:265" ht="18" customHeight="1">
      <c r="EP405" s="4"/>
      <c r="GF405" s="12"/>
      <c r="GG405" s="12"/>
      <c r="GW405" s="12"/>
      <c r="HL405" s="13"/>
      <c r="HM405" s="12"/>
      <c r="IB405" s="13"/>
      <c r="IC405" s="13"/>
      <c r="JE405" s="5"/>
    </row>
    <row r="406" spans="146:265" ht="18" customHeight="1">
      <c r="EP406" s="4"/>
      <c r="GF406" s="12"/>
      <c r="GG406" s="14"/>
      <c r="GH406" s="15"/>
      <c r="GI406" s="15"/>
      <c r="GJ406" s="15"/>
      <c r="GK406" s="15"/>
      <c r="GL406" s="15"/>
      <c r="GM406" s="15"/>
      <c r="GN406" s="15"/>
      <c r="GO406" s="15"/>
      <c r="GP406" s="15"/>
      <c r="GQ406" s="15"/>
      <c r="GR406" s="15"/>
      <c r="GS406" s="15"/>
      <c r="GT406" s="15"/>
      <c r="GU406" s="15"/>
      <c r="GV406" s="15"/>
      <c r="GW406" s="14"/>
      <c r="GX406" s="15"/>
      <c r="GY406" s="15"/>
      <c r="GZ406" s="15"/>
      <c r="HA406" s="15"/>
      <c r="HB406" s="15"/>
      <c r="HC406" s="15"/>
      <c r="HD406" s="15"/>
      <c r="HE406" s="15"/>
      <c r="HF406" s="15"/>
      <c r="HG406" s="15"/>
      <c r="HH406" s="15"/>
      <c r="HI406" s="15"/>
      <c r="HJ406" s="15"/>
      <c r="HK406" s="15"/>
      <c r="HL406" s="16"/>
      <c r="HM406" s="14"/>
      <c r="HN406" s="15"/>
      <c r="HO406" s="15"/>
      <c r="HP406" s="15"/>
      <c r="HQ406" s="15"/>
      <c r="HR406" s="15"/>
      <c r="HS406" s="15"/>
      <c r="HT406" s="15"/>
      <c r="HU406" s="15"/>
      <c r="HV406" s="15"/>
      <c r="HW406" s="15"/>
      <c r="HX406" s="15"/>
      <c r="HY406" s="15"/>
      <c r="HZ406" s="15"/>
      <c r="IA406" s="15"/>
      <c r="IB406" s="16"/>
      <c r="IC406" s="13"/>
      <c r="JE406" s="5"/>
    </row>
    <row r="407" spans="146:265" ht="18" customHeight="1">
      <c r="EP407" s="4"/>
      <c r="GF407" s="14"/>
      <c r="GG407" s="15"/>
      <c r="GH407" s="15"/>
      <c r="GI407" s="15"/>
      <c r="GJ407" s="15"/>
      <c r="GK407" s="15"/>
      <c r="GL407" s="15"/>
      <c r="GM407" s="15"/>
      <c r="GN407" s="15"/>
      <c r="GO407" s="15"/>
      <c r="GP407" s="15"/>
      <c r="GQ407" s="15"/>
      <c r="GR407" s="15"/>
      <c r="GS407" s="15"/>
      <c r="GT407" s="15"/>
      <c r="GU407" s="15"/>
      <c r="GV407" s="15"/>
      <c r="GW407" s="15"/>
      <c r="GX407" s="15"/>
      <c r="GY407" s="15"/>
      <c r="GZ407" s="15"/>
      <c r="HA407" s="15"/>
      <c r="HB407" s="15"/>
      <c r="HC407" s="15"/>
      <c r="HD407" s="15"/>
      <c r="HE407" s="15"/>
      <c r="HF407" s="15"/>
      <c r="HG407" s="15"/>
      <c r="HH407" s="15"/>
      <c r="HI407" s="15"/>
      <c r="HJ407" s="15"/>
      <c r="HK407" s="15"/>
      <c r="HL407" s="15"/>
      <c r="HM407" s="15"/>
      <c r="HN407" s="15"/>
      <c r="HO407" s="15"/>
      <c r="HP407" s="15"/>
      <c r="HQ407" s="15"/>
      <c r="HR407" s="15"/>
      <c r="HS407" s="15"/>
      <c r="HT407" s="15"/>
      <c r="HU407" s="15"/>
      <c r="HV407" s="15"/>
      <c r="HW407" s="15"/>
      <c r="HX407" s="15"/>
      <c r="HY407" s="15"/>
      <c r="HZ407" s="15"/>
      <c r="IA407" s="15"/>
      <c r="IB407" s="15"/>
      <c r="IC407" s="16"/>
      <c r="JE407" s="5"/>
    </row>
    <row r="408" spans="146:265" ht="18" customHeight="1">
      <c r="EP408" s="4"/>
      <c r="JE408" s="5"/>
    </row>
    <row r="409" spans="146:265" ht="18" customHeight="1">
      <c r="EP409" s="4"/>
      <c r="JE409" s="5"/>
    </row>
    <row r="410" spans="146:265" ht="18" customHeight="1">
      <c r="EP410" s="4"/>
      <c r="JE410" s="5"/>
    </row>
    <row r="411" spans="146:265" ht="18" customHeight="1">
      <c r="EP411" s="4"/>
      <c r="JE411" s="5"/>
    </row>
    <row r="412" spans="146:265" ht="18" customHeight="1">
      <c r="EP412" s="4"/>
      <c r="JE412" s="5"/>
    </row>
    <row r="413" spans="146:265" ht="18" customHeight="1">
      <c r="EP413" s="4"/>
      <c r="JE413" s="5"/>
    </row>
    <row r="414" spans="146:265" ht="18" customHeight="1">
      <c r="EP414" s="4"/>
      <c r="JE414" s="5"/>
    </row>
    <row r="415" spans="146:265" ht="18" customHeight="1">
      <c r="EP415" s="4"/>
      <c r="JE415" s="5"/>
    </row>
    <row r="416" spans="146:265" ht="18" customHeight="1">
      <c r="EP416" s="4"/>
      <c r="JE416" s="5"/>
    </row>
    <row r="417" spans="8:394" ht="18" customHeight="1">
      <c r="EP417" s="4"/>
      <c r="JE417" s="5"/>
    </row>
    <row r="418" spans="8:394" ht="18" customHeight="1">
      <c r="EP418" s="4"/>
      <c r="JE418" s="5"/>
    </row>
    <row r="419" spans="8:394" ht="18" customHeight="1">
      <c r="EP419" s="4"/>
      <c r="JE419" s="5"/>
    </row>
    <row r="420" spans="8:394" ht="18" customHeight="1" thickBot="1">
      <c r="EP420" s="6"/>
      <c r="EQ420" s="7"/>
      <c r="ER420" s="7"/>
      <c r="ES420" s="7"/>
      <c r="ET420" s="7"/>
      <c r="EU420" s="7"/>
      <c r="EV420" s="7"/>
      <c r="EW420" s="7"/>
      <c r="EX420" s="7"/>
      <c r="EY420" s="7"/>
      <c r="EZ420" s="7"/>
      <c r="FA420" s="7"/>
      <c r="FB420" s="7"/>
      <c r="FC420" s="7"/>
      <c r="FD420" s="7"/>
      <c r="FE420" s="7"/>
      <c r="FF420" s="7"/>
      <c r="FG420" s="7"/>
      <c r="FH420" s="7"/>
      <c r="FI420" s="7"/>
      <c r="FJ420" s="7"/>
      <c r="FK420" s="7"/>
      <c r="FL420" s="7"/>
      <c r="FM420" s="7"/>
      <c r="FN420" s="7"/>
      <c r="FO420" s="7"/>
      <c r="FP420" s="7"/>
      <c r="FQ420" s="7"/>
      <c r="FR420" s="7"/>
      <c r="FS420" s="7"/>
      <c r="FT420" s="7"/>
      <c r="FU420" s="7"/>
      <c r="FV420" s="7"/>
      <c r="FW420" s="7"/>
      <c r="FX420" s="7"/>
      <c r="FY420" s="7"/>
      <c r="FZ420" s="7"/>
      <c r="GA420" s="7"/>
      <c r="GB420" s="7"/>
      <c r="GC420" s="7"/>
      <c r="GD420" s="7"/>
      <c r="GE420" s="7"/>
      <c r="GF420" s="7"/>
      <c r="GG420" s="7"/>
      <c r="GH420" s="7"/>
      <c r="GI420" s="7"/>
      <c r="GJ420" s="7"/>
      <c r="GK420" s="7"/>
      <c r="GL420" s="7"/>
      <c r="GM420" s="7"/>
      <c r="GN420" s="7"/>
      <c r="GO420" s="7"/>
      <c r="GP420" s="7"/>
      <c r="GQ420" s="7"/>
      <c r="GR420" s="7"/>
      <c r="GS420" s="7"/>
      <c r="GT420" s="7"/>
      <c r="GU420" s="7"/>
      <c r="GV420" s="7"/>
      <c r="GW420" s="7"/>
      <c r="GX420" s="7"/>
      <c r="GY420" s="7"/>
      <c r="GZ420" s="7"/>
      <c r="HA420" s="7"/>
      <c r="HB420" s="7"/>
      <c r="HC420" s="7"/>
      <c r="HD420" s="7"/>
      <c r="HE420" s="7"/>
      <c r="HF420" s="7"/>
      <c r="HG420" s="7"/>
      <c r="HH420" s="7"/>
      <c r="HI420" s="7"/>
      <c r="HJ420" s="7"/>
      <c r="HK420" s="7"/>
      <c r="HL420" s="7"/>
      <c r="HM420" s="7"/>
      <c r="HN420" s="7"/>
      <c r="HO420" s="7"/>
      <c r="HP420" s="7"/>
      <c r="HQ420" s="7"/>
      <c r="HR420" s="7"/>
      <c r="HS420" s="7"/>
      <c r="HT420" s="7"/>
      <c r="HU420" s="7"/>
      <c r="HV420" s="7"/>
      <c r="HW420" s="7"/>
      <c r="HX420" s="7"/>
      <c r="HY420" s="7"/>
      <c r="HZ420" s="7"/>
      <c r="IA420" s="7"/>
      <c r="IB420" s="7"/>
      <c r="IC420" s="7"/>
      <c r="ID420" s="7"/>
      <c r="IE420" s="7"/>
      <c r="IF420" s="7"/>
      <c r="IG420" s="7"/>
      <c r="IH420" s="7"/>
      <c r="II420" s="7"/>
      <c r="IJ420" s="7"/>
      <c r="IK420" s="7"/>
      <c r="IL420" s="7"/>
      <c r="IM420" s="7"/>
      <c r="IN420" s="7"/>
      <c r="IO420" s="7"/>
      <c r="IP420" s="7"/>
      <c r="IQ420" s="7"/>
      <c r="IR420" s="7"/>
      <c r="IS420" s="7"/>
      <c r="IT420" s="7"/>
      <c r="IU420" s="7"/>
      <c r="IV420" s="7"/>
      <c r="IW420" s="7"/>
      <c r="IX420" s="7"/>
      <c r="IY420" s="7"/>
      <c r="IZ420" s="7"/>
      <c r="JA420" s="7"/>
      <c r="JB420" s="7"/>
      <c r="JC420" s="7"/>
      <c r="JD420" s="7"/>
      <c r="JE420" s="8"/>
    </row>
    <row r="429" spans="8:394" ht="18" customHeight="1" thickBot="1"/>
    <row r="430" spans="8:394" ht="18" customHeight="1" thickBot="1">
      <c r="H430" s="1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3"/>
    </row>
    <row r="431" spans="8:394" ht="18" customHeight="1">
      <c r="H431" s="4"/>
      <c r="DW431" s="5"/>
      <c r="EQ431" s="1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3"/>
      <c r="JO431" s="1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  <c r="KO431" s="2"/>
      <c r="KP431" s="2"/>
      <c r="KQ431" s="2"/>
      <c r="KR431" s="2"/>
      <c r="KS431" s="2"/>
      <c r="KT431" s="2"/>
      <c r="KU431" s="2"/>
      <c r="KV431" s="2"/>
      <c r="KW431" s="2"/>
      <c r="KX431" s="2"/>
      <c r="KY431" s="2"/>
      <c r="KZ431" s="2"/>
      <c r="LA431" s="2"/>
      <c r="LB431" s="2"/>
      <c r="LC431" s="2"/>
      <c r="LD431" s="2"/>
      <c r="LE431" s="2"/>
      <c r="LF431" s="2"/>
      <c r="LG431" s="2"/>
      <c r="LH431" s="2"/>
      <c r="LI431" s="2"/>
      <c r="LJ431" s="2"/>
      <c r="LK431" s="2"/>
      <c r="LL431" s="2"/>
      <c r="LM431" s="2"/>
      <c r="LN431" s="2"/>
      <c r="LO431" s="2"/>
      <c r="LP431" s="2"/>
      <c r="LQ431" s="2"/>
      <c r="LR431" s="2"/>
      <c r="LS431" s="2"/>
      <c r="LT431" s="2"/>
      <c r="LU431" s="2"/>
      <c r="LV431" s="2"/>
      <c r="LW431" s="2"/>
      <c r="LX431" s="2"/>
      <c r="LY431" s="2"/>
      <c r="LZ431" s="2"/>
      <c r="MA431" s="2"/>
      <c r="MB431" s="2"/>
      <c r="MC431" s="2"/>
      <c r="MD431" s="2"/>
      <c r="ME431" s="2"/>
      <c r="MF431" s="2"/>
      <c r="MG431" s="2"/>
      <c r="MH431" s="2"/>
      <c r="MI431" s="2"/>
      <c r="MJ431" s="2"/>
      <c r="MK431" s="2"/>
      <c r="ML431" s="2"/>
      <c r="MM431" s="2"/>
      <c r="MN431" s="2"/>
      <c r="MO431" s="2"/>
      <c r="MP431" s="2"/>
      <c r="MQ431" s="2"/>
      <c r="MR431" s="2"/>
      <c r="MS431" s="2"/>
      <c r="MT431" s="2"/>
      <c r="MU431" s="2"/>
      <c r="MV431" s="2"/>
      <c r="MW431" s="2"/>
      <c r="MX431" s="2"/>
      <c r="MY431" s="2"/>
      <c r="MZ431" s="2"/>
      <c r="NA431" s="2"/>
      <c r="NB431" s="2"/>
      <c r="NC431" s="2"/>
      <c r="ND431" s="2"/>
      <c r="NE431" s="2"/>
      <c r="NF431" s="2"/>
      <c r="NG431" s="2"/>
      <c r="NH431" s="2"/>
      <c r="NI431" s="2"/>
      <c r="NJ431" s="2"/>
      <c r="NK431" s="2"/>
      <c r="NL431" s="2"/>
      <c r="NM431" s="2"/>
      <c r="NN431" s="2"/>
      <c r="NO431" s="2"/>
      <c r="NP431" s="2"/>
      <c r="NQ431" s="2"/>
      <c r="NR431" s="2"/>
      <c r="NS431" s="2"/>
      <c r="NT431" s="2"/>
      <c r="NU431" s="2"/>
      <c r="NV431" s="2"/>
      <c r="NW431" s="2"/>
      <c r="NX431" s="2"/>
      <c r="NY431" s="2"/>
      <c r="NZ431" s="2"/>
      <c r="OA431" s="2"/>
      <c r="OB431" s="2"/>
      <c r="OC431" s="2"/>
      <c r="OD431" s="3"/>
    </row>
    <row r="432" spans="8:394" ht="18" customHeight="1">
      <c r="H432" s="4"/>
      <c r="DW432" s="5"/>
      <c r="EQ432" s="4"/>
      <c r="JF432" s="5"/>
      <c r="JO432" s="4"/>
      <c r="OD432" s="5"/>
    </row>
    <row r="433" spans="8:394" ht="18" customHeight="1">
      <c r="H433" s="4"/>
      <c r="DW433" s="5"/>
      <c r="EQ433" s="4"/>
      <c r="JF433" s="5"/>
      <c r="JO433" s="4"/>
      <c r="OD433" s="5"/>
    </row>
    <row r="434" spans="8:394" ht="18" customHeight="1">
      <c r="H434" s="4"/>
      <c r="DW434" s="5"/>
      <c r="EQ434" s="4"/>
      <c r="JF434" s="5"/>
      <c r="JO434" s="4"/>
      <c r="OD434" s="5"/>
    </row>
    <row r="435" spans="8:394" ht="18" customHeight="1">
      <c r="H435" s="4"/>
      <c r="DW435" s="5"/>
      <c r="EQ435" s="4"/>
      <c r="JF435" s="5"/>
      <c r="JO435" s="4"/>
      <c r="OD435" s="5"/>
    </row>
    <row r="436" spans="8:394" ht="18" customHeight="1">
      <c r="H436" s="4"/>
      <c r="DW436" s="5"/>
      <c r="EQ436" s="4"/>
      <c r="JF436" s="5"/>
      <c r="JO436" s="4"/>
      <c r="OD436" s="5"/>
    </row>
    <row r="437" spans="8:394" ht="18" customHeight="1">
      <c r="H437" s="4"/>
      <c r="DW437" s="5"/>
      <c r="EQ437" s="4"/>
      <c r="JF437" s="5"/>
      <c r="JO437" s="4"/>
      <c r="OD437" s="5"/>
    </row>
    <row r="438" spans="8:394" ht="18" customHeight="1">
      <c r="H438" s="4"/>
      <c r="DW438" s="5"/>
      <c r="EQ438" s="4"/>
      <c r="JF438" s="5"/>
      <c r="JO438" s="4"/>
      <c r="OD438" s="5"/>
    </row>
    <row r="439" spans="8:394" ht="18" customHeight="1">
      <c r="H439" s="4"/>
      <c r="DW439" s="5"/>
      <c r="EQ439" s="4"/>
      <c r="JF439" s="5"/>
      <c r="JO439" s="4"/>
      <c r="OD439" s="5"/>
    </row>
    <row r="440" spans="8:394" ht="18" customHeight="1">
      <c r="H440" s="4"/>
      <c r="DW440" s="5"/>
      <c r="EQ440" s="4"/>
      <c r="JF440" s="5"/>
      <c r="JO440" s="4"/>
      <c r="OD440" s="5"/>
    </row>
    <row r="441" spans="8:394" ht="18" customHeight="1">
      <c r="H441" s="4"/>
      <c r="DW441" s="5"/>
      <c r="EQ441" s="4"/>
      <c r="JF441" s="5"/>
      <c r="JO441" s="4"/>
      <c r="OD441" s="5"/>
    </row>
    <row r="442" spans="8:394" ht="18" customHeight="1">
      <c r="H442" s="4"/>
      <c r="DW442" s="5"/>
      <c r="EQ442" s="4"/>
      <c r="JF442" s="5"/>
      <c r="JO442" s="4"/>
      <c r="OD442" s="5"/>
    </row>
    <row r="443" spans="8:394" ht="18" customHeight="1">
      <c r="H443" s="4"/>
      <c r="DW443" s="5"/>
      <c r="EQ443" s="4"/>
      <c r="JF443" s="5"/>
      <c r="JO443" s="4"/>
      <c r="OD443" s="5"/>
    </row>
    <row r="444" spans="8:394" ht="18" customHeight="1">
      <c r="H444" s="4"/>
      <c r="DW444" s="5"/>
      <c r="EQ444" s="4"/>
      <c r="JF444" s="5"/>
      <c r="JO444" s="4"/>
      <c r="OD444" s="5"/>
    </row>
    <row r="445" spans="8:394" ht="18" customHeight="1">
      <c r="H445" s="4"/>
      <c r="DW445" s="5"/>
      <c r="EQ445" s="4"/>
      <c r="JF445" s="5"/>
      <c r="JO445" s="4"/>
      <c r="OD445" s="5"/>
    </row>
    <row r="446" spans="8:394" ht="18" customHeight="1">
      <c r="H446" s="4"/>
      <c r="DW446" s="5"/>
      <c r="EQ446" s="4"/>
      <c r="JF446" s="5"/>
      <c r="JO446" s="4"/>
      <c r="OD446" s="5"/>
    </row>
    <row r="447" spans="8:394" ht="18" customHeight="1">
      <c r="H447" s="4"/>
      <c r="DW447" s="5"/>
      <c r="EQ447" s="4"/>
      <c r="JF447" s="5"/>
      <c r="JO447" s="4"/>
      <c r="OD447" s="5"/>
    </row>
    <row r="448" spans="8:394" ht="18" customHeight="1">
      <c r="H448" s="4"/>
      <c r="DW448" s="5"/>
      <c r="EQ448" s="4"/>
      <c r="JF448" s="5"/>
      <c r="JO448" s="4"/>
      <c r="OD448" s="5"/>
    </row>
    <row r="449" spans="8:394" ht="18" customHeight="1">
      <c r="H449" s="4"/>
      <c r="DW449" s="5"/>
      <c r="EQ449" s="4"/>
      <c r="JF449" s="5"/>
      <c r="JO449" s="4"/>
      <c r="OD449" s="5"/>
    </row>
    <row r="450" spans="8:394" ht="18" customHeight="1">
      <c r="H450" s="4"/>
      <c r="DW450" s="5"/>
      <c r="EQ450" s="4"/>
      <c r="JF450" s="5"/>
      <c r="JO450" s="4"/>
      <c r="OD450" s="5"/>
    </row>
    <row r="451" spans="8:394" ht="18" customHeight="1">
      <c r="H451" s="4"/>
      <c r="DW451" s="5"/>
      <c r="EQ451" s="4"/>
      <c r="JF451" s="5"/>
      <c r="JO451" s="4"/>
      <c r="OD451" s="5"/>
    </row>
    <row r="452" spans="8:394" ht="18" customHeight="1">
      <c r="H452" s="4"/>
      <c r="DW452" s="5"/>
      <c r="EQ452" s="4"/>
      <c r="JF452" s="5"/>
      <c r="JO452" s="4"/>
      <c r="OD452" s="5"/>
    </row>
    <row r="453" spans="8:394" ht="18" customHeight="1">
      <c r="H453" s="4"/>
      <c r="AD453" s="9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  <c r="BB453" s="10"/>
      <c r="BC453" s="10"/>
      <c r="BD453" s="10"/>
      <c r="BE453" s="10"/>
      <c r="BF453" s="10"/>
      <c r="BG453" s="10"/>
      <c r="BH453" s="10"/>
      <c r="BI453" s="10"/>
      <c r="BJ453" s="10"/>
      <c r="BK453" s="10"/>
      <c r="BL453" s="10"/>
      <c r="BM453" s="10"/>
      <c r="BN453" s="10"/>
      <c r="BO453" s="10"/>
      <c r="BP453" s="10"/>
      <c r="BQ453" s="10"/>
      <c r="BR453" s="11"/>
      <c r="DW453" s="5"/>
      <c r="EQ453" s="4"/>
      <c r="JF453" s="5"/>
      <c r="JO453" s="4"/>
      <c r="OD453" s="5"/>
    </row>
    <row r="454" spans="8:394" ht="18" customHeight="1">
      <c r="H454" s="4"/>
      <c r="AD454" s="12"/>
      <c r="BR454" s="13"/>
      <c r="DW454" s="5"/>
      <c r="EQ454" s="4"/>
      <c r="JF454" s="5"/>
      <c r="JO454" s="4"/>
      <c r="OD454" s="5"/>
    </row>
    <row r="455" spans="8:394" ht="18" customHeight="1">
      <c r="H455" s="4"/>
      <c r="AD455" s="12"/>
      <c r="AF455" s="9"/>
      <c r="AG455" s="10"/>
      <c r="AH455" s="10"/>
      <c r="AI455" s="10"/>
      <c r="AJ455" s="11"/>
      <c r="AK455" s="9"/>
      <c r="AL455" s="10"/>
      <c r="AM455" s="10"/>
      <c r="AN455" s="10"/>
      <c r="AO455" s="11"/>
      <c r="AP455" s="9"/>
      <c r="AQ455" s="10"/>
      <c r="AR455" s="10"/>
      <c r="AS455" s="10"/>
      <c r="AT455" s="10"/>
      <c r="AU455" s="10"/>
      <c r="AV455" s="10"/>
      <c r="AW455" s="11"/>
      <c r="AX455" s="17"/>
      <c r="AY455" s="9"/>
      <c r="AZ455" s="10"/>
      <c r="BA455" s="10"/>
      <c r="BB455" s="10"/>
      <c r="BC455" s="10"/>
      <c r="BD455" s="10"/>
      <c r="BE455" s="10"/>
      <c r="BF455" s="11"/>
      <c r="BG455" s="9"/>
      <c r="BH455" s="10"/>
      <c r="BI455" s="10"/>
      <c r="BJ455" s="10"/>
      <c r="BK455" s="11"/>
      <c r="BL455" s="10"/>
      <c r="BM455" s="10"/>
      <c r="BN455" s="10"/>
      <c r="BO455" s="10"/>
      <c r="BP455" s="11"/>
      <c r="BR455" s="13"/>
      <c r="DW455" s="5"/>
      <c r="EQ455" s="4"/>
      <c r="JF455" s="5"/>
      <c r="JO455" s="4"/>
      <c r="OD455" s="5"/>
    </row>
    <row r="456" spans="8:394" ht="18" customHeight="1">
      <c r="H456" s="4"/>
      <c r="AD456" s="12"/>
      <c r="AF456" s="12"/>
      <c r="AJ456" s="13"/>
      <c r="AK456" s="12"/>
      <c r="AO456" s="13"/>
      <c r="AP456" s="12"/>
      <c r="AW456" s="13"/>
      <c r="AX456" s="18"/>
      <c r="AY456" s="12"/>
      <c r="BF456" s="13"/>
      <c r="BG456" s="12"/>
      <c r="BK456" s="13"/>
      <c r="BP456" s="13"/>
      <c r="BR456" s="13"/>
      <c r="DW456" s="5"/>
      <c r="EQ456" s="4"/>
      <c r="JF456" s="5"/>
      <c r="JO456" s="4"/>
      <c r="OD456" s="5"/>
    </row>
    <row r="457" spans="8:394" ht="18" customHeight="1">
      <c r="H457" s="4"/>
      <c r="AD457" s="12"/>
      <c r="AF457" s="12"/>
      <c r="AJ457" s="13"/>
      <c r="AK457" s="12"/>
      <c r="AO457" s="13"/>
      <c r="AP457" s="12"/>
      <c r="AW457" s="13"/>
      <c r="AX457" s="18"/>
      <c r="AY457" s="12"/>
      <c r="BF457" s="13"/>
      <c r="BG457" s="12"/>
      <c r="BK457" s="13"/>
      <c r="BP457" s="13"/>
      <c r="BR457" s="13"/>
      <c r="DW457" s="5"/>
      <c r="EQ457" s="4"/>
      <c r="JF457" s="5"/>
      <c r="JO457" s="4"/>
      <c r="OD457" s="5"/>
    </row>
    <row r="458" spans="8:394" ht="18" customHeight="1">
      <c r="H458" s="4"/>
      <c r="AD458" s="12"/>
      <c r="AF458" s="12"/>
      <c r="AJ458" s="13"/>
      <c r="AK458" s="12"/>
      <c r="AO458" s="13"/>
      <c r="AP458" s="12"/>
      <c r="AW458" s="13"/>
      <c r="AX458" s="18"/>
      <c r="AY458" s="12"/>
      <c r="BF458" s="13"/>
      <c r="BG458" s="12"/>
      <c r="BK458" s="13"/>
      <c r="BP458" s="13"/>
      <c r="BR458" s="13"/>
      <c r="DW458" s="5"/>
      <c r="EQ458" s="4"/>
      <c r="JF458" s="5"/>
      <c r="JO458" s="4"/>
      <c r="JZ458" s="9"/>
      <c r="KA458" s="10"/>
      <c r="KB458" s="10"/>
      <c r="KC458" s="10"/>
      <c r="KD458" s="10"/>
      <c r="KE458" s="10"/>
      <c r="KF458" s="10"/>
      <c r="KG458" s="10"/>
      <c r="KH458" s="10"/>
      <c r="KI458" s="10"/>
      <c r="KJ458" s="10"/>
      <c r="KK458" s="10"/>
      <c r="KL458" s="10"/>
      <c r="KM458" s="10"/>
      <c r="KN458" s="10"/>
      <c r="KO458" s="10"/>
      <c r="KP458" s="10"/>
      <c r="KQ458" s="10"/>
      <c r="KR458" s="10"/>
      <c r="KS458" s="10"/>
      <c r="KT458" s="10"/>
      <c r="KU458" s="10"/>
      <c r="KV458" s="10"/>
      <c r="KW458" s="10"/>
      <c r="KX458" s="10"/>
      <c r="KY458" s="10"/>
      <c r="KZ458" s="10"/>
      <c r="LA458" s="10"/>
      <c r="LB458" s="10"/>
      <c r="LC458" s="10"/>
      <c r="LD458" s="10"/>
      <c r="LE458" s="10"/>
      <c r="LF458" s="10"/>
      <c r="LG458" s="10"/>
      <c r="LH458" s="10"/>
      <c r="LI458" s="10"/>
      <c r="LJ458" s="10"/>
      <c r="LK458" s="10"/>
      <c r="LL458" s="10"/>
      <c r="LM458" s="10"/>
      <c r="LN458" s="10"/>
      <c r="LO458" s="10"/>
      <c r="LP458" s="10"/>
      <c r="LQ458" s="10"/>
      <c r="LR458" s="10"/>
      <c r="LS458" s="10"/>
      <c r="LT458" s="10"/>
      <c r="LU458" s="10"/>
      <c r="LV458" s="11"/>
      <c r="OD458" s="5"/>
    </row>
    <row r="459" spans="8:394" ht="18" customHeight="1">
      <c r="H459" s="4"/>
      <c r="AD459" s="12"/>
      <c r="AF459" s="14"/>
      <c r="AG459" s="15"/>
      <c r="AH459" s="15"/>
      <c r="AI459" s="15"/>
      <c r="AJ459" s="16"/>
      <c r="AK459" s="14"/>
      <c r="AL459" s="15"/>
      <c r="AM459" s="15"/>
      <c r="AN459" s="15"/>
      <c r="AO459" s="16"/>
      <c r="AP459" s="12"/>
      <c r="AW459" s="13"/>
      <c r="AX459" s="18"/>
      <c r="AY459" s="12"/>
      <c r="BF459" s="13"/>
      <c r="BG459" s="14"/>
      <c r="BH459" s="15"/>
      <c r="BI459" s="15"/>
      <c r="BJ459" s="15"/>
      <c r="BK459" s="16"/>
      <c r="BL459" s="15"/>
      <c r="BM459" s="15"/>
      <c r="BN459" s="15"/>
      <c r="BO459" s="15"/>
      <c r="BP459" s="16"/>
      <c r="BR459" s="13"/>
      <c r="DW459" s="5"/>
      <c r="EQ459" s="4"/>
      <c r="FB459" s="40"/>
      <c r="FC459" s="41"/>
      <c r="FD459" s="41"/>
      <c r="FE459" s="41"/>
      <c r="FF459" s="41"/>
      <c r="FG459" s="41"/>
      <c r="FH459" s="41"/>
      <c r="FI459" s="41"/>
      <c r="FJ459" s="41"/>
      <c r="FK459" s="41"/>
      <c r="FL459" s="41"/>
      <c r="FM459" s="41"/>
      <c r="FN459" s="41"/>
      <c r="FO459" s="41"/>
      <c r="FP459" s="41"/>
      <c r="FQ459" s="41"/>
      <c r="FR459" s="41"/>
      <c r="FS459" s="41"/>
      <c r="FT459" s="41"/>
      <c r="FU459" s="41"/>
      <c r="FV459" s="41"/>
      <c r="FW459" s="41"/>
      <c r="FX459" s="41"/>
      <c r="FY459" s="41"/>
      <c r="FZ459" s="41"/>
      <c r="GA459" s="41"/>
      <c r="GB459" s="41"/>
      <c r="GC459" s="41"/>
      <c r="GD459" s="41"/>
      <c r="GE459" s="41"/>
      <c r="GF459" s="41"/>
      <c r="GG459" s="41"/>
      <c r="GH459" s="41"/>
      <c r="GI459" s="41"/>
      <c r="GJ459" s="41"/>
      <c r="GK459" s="41"/>
      <c r="GL459" s="41"/>
      <c r="GM459" s="41"/>
      <c r="GN459" s="41"/>
      <c r="GO459" s="41"/>
      <c r="GP459" s="41"/>
      <c r="GQ459" s="41"/>
      <c r="GR459" s="41"/>
      <c r="GS459" s="41"/>
      <c r="GT459" s="41"/>
      <c r="GU459" s="41"/>
      <c r="GV459" s="41"/>
      <c r="GW459" s="41"/>
      <c r="GX459" s="44"/>
      <c r="JF459" s="5"/>
      <c r="JO459" s="4"/>
      <c r="JZ459" s="12"/>
      <c r="LV459" s="13"/>
      <c r="OD459" s="5"/>
    </row>
    <row r="460" spans="8:394" ht="18" customHeight="1">
      <c r="H460" s="4"/>
      <c r="AD460" s="12"/>
      <c r="AF460" s="12"/>
      <c r="AP460" s="12"/>
      <c r="AW460" s="13"/>
      <c r="AX460" s="18"/>
      <c r="AY460" s="12"/>
      <c r="BF460" s="13"/>
      <c r="BP460" s="13"/>
      <c r="BR460" s="13"/>
      <c r="DW460" s="5"/>
      <c r="EQ460" s="4"/>
      <c r="FB460" s="42"/>
      <c r="FC460" s="43"/>
      <c r="FD460" s="43"/>
      <c r="FE460" s="43"/>
      <c r="FF460" s="43"/>
      <c r="FG460" s="43"/>
      <c r="FH460" s="43"/>
      <c r="FI460" s="43"/>
      <c r="FJ460" s="43"/>
      <c r="FK460" s="43"/>
      <c r="FL460" s="43"/>
      <c r="FM460" s="43"/>
      <c r="FN460" s="43"/>
      <c r="FO460" s="43"/>
      <c r="FP460" s="43"/>
      <c r="FQ460" s="43"/>
      <c r="FR460" s="43"/>
      <c r="FS460" s="43"/>
      <c r="FT460" s="43"/>
      <c r="FU460" s="43"/>
      <c r="FV460" s="43"/>
      <c r="FW460" s="43"/>
      <c r="FX460" s="43"/>
      <c r="FY460" s="43"/>
      <c r="FZ460" s="43"/>
      <c r="GA460" s="43"/>
      <c r="GB460" s="43"/>
      <c r="GC460" s="43"/>
      <c r="GD460" s="43"/>
      <c r="GE460" s="43"/>
      <c r="GF460" s="43"/>
      <c r="GG460" s="43"/>
      <c r="GH460" s="43"/>
      <c r="GI460" s="43"/>
      <c r="GJ460" s="43"/>
      <c r="GK460" s="43"/>
      <c r="GL460" s="43"/>
      <c r="GM460" s="43"/>
      <c r="GN460" s="43"/>
      <c r="GO460" s="43"/>
      <c r="GP460" s="43"/>
      <c r="GQ460" s="43"/>
      <c r="GR460" s="43"/>
      <c r="GS460" s="43"/>
      <c r="GT460" s="43"/>
      <c r="GU460" s="43"/>
      <c r="GV460" s="43"/>
      <c r="GW460" s="43"/>
      <c r="GX460" s="45"/>
      <c r="JF460" s="5"/>
      <c r="JO460" s="4"/>
      <c r="JZ460" s="12"/>
      <c r="KB460" s="9"/>
      <c r="KC460" s="10"/>
      <c r="KD460" s="10"/>
      <c r="KE460" s="10"/>
      <c r="KF460" s="10"/>
      <c r="KG460" s="10"/>
      <c r="KH460" s="10"/>
      <c r="KI460" s="10"/>
      <c r="KJ460" s="10"/>
      <c r="KK460" s="10"/>
      <c r="KL460" s="10"/>
      <c r="KM460" s="10"/>
      <c r="KN460" s="10"/>
      <c r="KO460" s="10"/>
      <c r="KP460" s="10"/>
      <c r="KQ460" s="10"/>
      <c r="KR460" s="10"/>
      <c r="KS460" s="10"/>
      <c r="KT460" s="10"/>
      <c r="KU460" s="10"/>
      <c r="KV460" s="10"/>
      <c r="KW460" s="10"/>
      <c r="KX460" s="10"/>
      <c r="KY460" s="10"/>
      <c r="KZ460" s="10"/>
      <c r="LA460" s="11"/>
      <c r="LB460" s="10"/>
      <c r="LC460" s="9"/>
      <c r="LD460" s="10"/>
      <c r="LE460" s="10"/>
      <c r="LF460" s="10"/>
      <c r="LG460" s="11"/>
      <c r="LH460" s="10"/>
      <c r="LI460" s="10"/>
      <c r="LJ460" s="10"/>
      <c r="LK460" s="10"/>
      <c r="LL460" s="11"/>
      <c r="LM460" s="9"/>
      <c r="LN460" s="10"/>
      <c r="LO460" s="10"/>
      <c r="LP460" s="10"/>
      <c r="LQ460" s="10"/>
      <c r="LR460" s="10"/>
      <c r="LS460" s="10"/>
      <c r="LT460" s="11"/>
      <c r="LV460" s="13"/>
      <c r="OD460" s="5"/>
    </row>
    <row r="461" spans="8:394" ht="18" customHeight="1">
      <c r="H461" s="4"/>
      <c r="AD461" s="12"/>
      <c r="AF461" s="12"/>
      <c r="AP461" s="12"/>
      <c r="AW461" s="13"/>
      <c r="AX461" s="18"/>
      <c r="AY461" s="12"/>
      <c r="BF461" s="13"/>
      <c r="BP461" s="13"/>
      <c r="BR461" s="13"/>
      <c r="DW461" s="5"/>
      <c r="EQ461" s="4"/>
      <c r="FB461" s="42"/>
      <c r="FC461" s="43"/>
      <c r="FD461" s="9"/>
      <c r="FE461" s="10"/>
      <c r="FF461" s="10"/>
      <c r="FG461" s="10"/>
      <c r="FH461" s="10"/>
      <c r="FI461" s="10"/>
      <c r="FJ461" s="10"/>
      <c r="FK461" s="10"/>
      <c r="FL461" s="10"/>
      <c r="FM461" s="10"/>
      <c r="FN461" s="10"/>
      <c r="FO461" s="10"/>
      <c r="FP461" s="10"/>
      <c r="FQ461" s="10"/>
      <c r="FR461" s="10"/>
      <c r="FS461" s="10"/>
      <c r="FT461" s="10"/>
      <c r="FU461" s="10"/>
      <c r="FV461" s="10"/>
      <c r="FW461" s="10"/>
      <c r="FX461" s="10"/>
      <c r="FY461" s="10"/>
      <c r="FZ461" s="10"/>
      <c r="GA461" s="10"/>
      <c r="GB461" s="10"/>
      <c r="GC461" s="11"/>
      <c r="GD461" s="10"/>
      <c r="GE461" s="9"/>
      <c r="GF461" s="10"/>
      <c r="GG461" s="10"/>
      <c r="GH461" s="10"/>
      <c r="GI461" s="11"/>
      <c r="GJ461" s="10"/>
      <c r="GK461" s="10"/>
      <c r="GL461" s="10"/>
      <c r="GM461" s="10"/>
      <c r="GN461" s="11"/>
      <c r="GO461" s="9"/>
      <c r="GP461" s="10"/>
      <c r="GQ461" s="10"/>
      <c r="GR461" s="10"/>
      <c r="GS461" s="10"/>
      <c r="GT461" s="10"/>
      <c r="GU461" s="10"/>
      <c r="GV461" s="11"/>
      <c r="GW461" s="43"/>
      <c r="GX461" s="45"/>
      <c r="JF461" s="5"/>
      <c r="JO461" s="4"/>
      <c r="JZ461" s="12"/>
      <c r="KB461" s="12"/>
      <c r="LA461" s="13"/>
      <c r="LC461" s="12"/>
      <c r="LG461" s="13"/>
      <c r="LL461" s="13"/>
      <c r="LM461" s="12"/>
      <c r="LT461" s="13"/>
      <c r="LV461" s="13"/>
      <c r="OD461" s="5"/>
    </row>
    <row r="462" spans="8:394" ht="18" customHeight="1">
      <c r="H462" s="4"/>
      <c r="AD462" s="12"/>
      <c r="AF462" s="12"/>
      <c r="AP462" s="12"/>
      <c r="AW462" s="13"/>
      <c r="AX462" s="18"/>
      <c r="AY462" s="12"/>
      <c r="BF462" s="13"/>
      <c r="BP462" s="13"/>
      <c r="BR462" s="13"/>
      <c r="DW462" s="5"/>
      <c r="EQ462" s="4"/>
      <c r="FB462" s="42"/>
      <c r="FC462" s="43"/>
      <c r="FD462" s="12"/>
      <c r="GC462" s="13"/>
      <c r="GE462" s="12"/>
      <c r="GI462" s="13"/>
      <c r="GN462" s="13"/>
      <c r="GO462" s="12"/>
      <c r="GV462" s="13"/>
      <c r="GW462" s="43"/>
      <c r="GX462" s="45"/>
      <c r="JF462" s="5"/>
      <c r="JO462" s="4"/>
      <c r="JZ462" s="12"/>
      <c r="KB462" s="12"/>
      <c r="LA462" s="13"/>
      <c r="LC462" s="12"/>
      <c r="LG462" s="13"/>
      <c r="LL462" s="13"/>
      <c r="LM462" s="12"/>
      <c r="LT462" s="13"/>
      <c r="LV462" s="13"/>
      <c r="OD462" s="5"/>
    </row>
    <row r="463" spans="8:394" ht="18" customHeight="1">
      <c r="H463" s="4"/>
      <c r="AD463" s="12"/>
      <c r="AF463" s="12"/>
      <c r="AP463" s="12"/>
      <c r="AW463" s="13"/>
      <c r="AX463" s="18"/>
      <c r="AY463" s="12"/>
      <c r="BF463" s="13"/>
      <c r="BP463" s="13"/>
      <c r="BR463" s="13"/>
      <c r="DW463" s="5"/>
      <c r="EQ463" s="4"/>
      <c r="FB463" s="42"/>
      <c r="FC463" s="43"/>
      <c r="FD463" s="12"/>
      <c r="GC463" s="13"/>
      <c r="GE463" s="12"/>
      <c r="GI463" s="13"/>
      <c r="GN463" s="13"/>
      <c r="GO463" s="12"/>
      <c r="GV463" s="13"/>
      <c r="GW463" s="43"/>
      <c r="GX463" s="45"/>
      <c r="JF463" s="5"/>
      <c r="JO463" s="4"/>
      <c r="JZ463" s="12"/>
      <c r="KB463" s="12"/>
      <c r="LA463" s="13"/>
      <c r="LC463" s="12"/>
      <c r="LG463" s="13"/>
      <c r="LL463" s="13"/>
      <c r="LM463" s="12"/>
      <c r="LT463" s="13"/>
      <c r="LV463" s="13"/>
      <c r="OD463" s="5"/>
    </row>
    <row r="464" spans="8:394" ht="18" customHeight="1">
      <c r="H464" s="4"/>
      <c r="AD464" s="12"/>
      <c r="AF464" s="14"/>
      <c r="AG464" s="15"/>
      <c r="AH464" s="15"/>
      <c r="AI464" s="15"/>
      <c r="AJ464" s="15"/>
      <c r="AK464" s="15"/>
      <c r="AL464" s="15"/>
      <c r="AM464" s="15"/>
      <c r="AN464" s="15"/>
      <c r="AO464" s="15"/>
      <c r="AP464" s="14"/>
      <c r="AQ464" s="15"/>
      <c r="AR464" s="15"/>
      <c r="AS464" s="15"/>
      <c r="AT464" s="15"/>
      <c r="AU464" s="15"/>
      <c r="AV464" s="15"/>
      <c r="AW464" s="16"/>
      <c r="AX464" s="19"/>
      <c r="AY464" s="14"/>
      <c r="AZ464" s="15"/>
      <c r="BA464" s="15"/>
      <c r="BB464" s="15"/>
      <c r="BC464" s="15"/>
      <c r="BD464" s="15"/>
      <c r="BE464" s="15"/>
      <c r="BF464" s="16"/>
      <c r="BG464" s="15"/>
      <c r="BH464" s="15"/>
      <c r="BI464" s="15"/>
      <c r="BJ464" s="15"/>
      <c r="BK464" s="15"/>
      <c r="BL464" s="15"/>
      <c r="BM464" s="15"/>
      <c r="BN464" s="15"/>
      <c r="BO464" s="15"/>
      <c r="BP464" s="16"/>
      <c r="BS464" s="10"/>
      <c r="BT464" s="10"/>
      <c r="BU464" s="10"/>
      <c r="BV464" s="10"/>
      <c r="BW464" s="10"/>
      <c r="BX464" s="10"/>
      <c r="BY464" s="10"/>
      <c r="BZ464" s="10"/>
      <c r="CA464" s="10"/>
      <c r="CB464" s="10"/>
      <c r="CC464" s="10"/>
      <c r="CD464" s="11"/>
      <c r="DW464" s="5"/>
      <c r="EQ464" s="4"/>
      <c r="FB464" s="42"/>
      <c r="FC464" s="43"/>
      <c r="FD464" s="12"/>
      <c r="GC464" s="13"/>
      <c r="GE464" s="12"/>
      <c r="GI464" s="13"/>
      <c r="GN464" s="13"/>
      <c r="GO464" s="12"/>
      <c r="GV464" s="13"/>
      <c r="GW464" s="43"/>
      <c r="GX464" s="45"/>
      <c r="JF464" s="5"/>
      <c r="JO464" s="4"/>
      <c r="JZ464" s="12"/>
      <c r="KB464" s="12"/>
      <c r="LA464" s="13"/>
      <c r="LC464" s="14"/>
      <c r="LD464" s="15"/>
      <c r="LE464" s="15"/>
      <c r="LF464" s="15"/>
      <c r="LG464" s="16"/>
      <c r="LH464" s="15"/>
      <c r="LI464" s="15"/>
      <c r="LJ464" s="15"/>
      <c r="LK464" s="15"/>
      <c r="LL464" s="16"/>
      <c r="LM464" s="12"/>
      <c r="LT464" s="13"/>
      <c r="LV464" s="13"/>
      <c r="OD464" s="5"/>
    </row>
    <row r="465" spans="8:394" ht="18" customHeight="1">
      <c r="H465" s="4"/>
      <c r="AD465" s="12"/>
      <c r="AF465" s="15"/>
      <c r="AG465" s="100"/>
      <c r="AH465" s="100"/>
      <c r="AI465" s="100"/>
      <c r="AJ465" s="100"/>
      <c r="AK465" s="100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15"/>
      <c r="AZ465" s="15"/>
      <c r="BA465" s="15"/>
      <c r="BB465" s="15"/>
      <c r="BC465" s="15"/>
      <c r="BD465" s="15"/>
      <c r="BE465" s="15"/>
      <c r="BF465" s="15"/>
      <c r="BG465" s="15"/>
      <c r="BH465" s="100"/>
      <c r="BI465" s="100"/>
      <c r="BJ465" s="100"/>
      <c r="BK465" s="100"/>
      <c r="BL465" s="100"/>
      <c r="BM465" s="15"/>
      <c r="BN465" s="15"/>
      <c r="BO465" s="15"/>
      <c r="BP465" s="15"/>
      <c r="BQ465" s="15"/>
      <c r="BR465" s="15"/>
      <c r="CD465" s="13"/>
      <c r="DW465" s="5"/>
      <c r="EQ465" s="4"/>
      <c r="FB465" s="42"/>
      <c r="FC465" s="43"/>
      <c r="FD465" s="12"/>
      <c r="GC465" s="13"/>
      <c r="GE465" s="14"/>
      <c r="GF465" s="15"/>
      <c r="GG465" s="15"/>
      <c r="GH465" s="15"/>
      <c r="GI465" s="16"/>
      <c r="GJ465" s="15"/>
      <c r="GK465" s="15"/>
      <c r="GL465" s="15"/>
      <c r="GM465" s="15"/>
      <c r="GN465" s="16"/>
      <c r="GO465" s="12"/>
      <c r="GV465" s="13"/>
      <c r="GW465" s="43"/>
      <c r="GX465" s="45"/>
      <c r="JF465" s="5"/>
      <c r="JO465" s="4"/>
      <c r="JZ465" s="12"/>
      <c r="KB465" s="12"/>
      <c r="LA465" s="13"/>
      <c r="LC465" s="12"/>
      <c r="LM465" s="12"/>
      <c r="LT465" s="13"/>
      <c r="LV465" s="13"/>
      <c r="OD465" s="5"/>
    </row>
    <row r="466" spans="8:394" ht="18" customHeight="1">
      <c r="H466" s="4"/>
      <c r="AD466" s="12"/>
      <c r="AF466" s="12"/>
      <c r="BD466" s="18"/>
      <c r="BE466" t="s">
        <v>45</v>
      </c>
      <c r="BS466" s="10"/>
      <c r="BT466" s="10"/>
      <c r="BU466" s="10"/>
      <c r="BV466" s="10"/>
      <c r="BW466" s="10"/>
      <c r="BX466" s="10"/>
      <c r="BY466" s="10"/>
      <c r="BZ466" s="10"/>
      <c r="CA466" s="10"/>
      <c r="CB466" s="11"/>
      <c r="CD466" s="13"/>
      <c r="DW466" s="5"/>
      <c r="EQ466" s="4"/>
      <c r="FB466" s="42"/>
      <c r="FC466" s="43"/>
      <c r="FD466" s="12"/>
      <c r="GC466" s="13"/>
      <c r="GE466" s="12"/>
      <c r="GO466" s="12"/>
      <c r="GV466" s="13"/>
      <c r="GW466" s="43"/>
      <c r="GX466" s="45"/>
      <c r="JF466" s="5"/>
      <c r="JO466" s="4"/>
      <c r="JZ466" s="12"/>
      <c r="KB466" s="12"/>
      <c r="LA466" s="13"/>
      <c r="LC466" s="12"/>
      <c r="LM466" s="12"/>
      <c r="LT466" s="13"/>
      <c r="LV466" s="13"/>
      <c r="OD466" s="5"/>
    </row>
    <row r="467" spans="8:394" ht="18" customHeight="1">
      <c r="H467" s="4"/>
      <c r="AD467" s="12"/>
      <c r="AF467" s="12"/>
      <c r="BD467" s="24"/>
      <c r="CB467" s="13"/>
      <c r="CD467" s="13"/>
      <c r="DW467" s="5"/>
      <c r="EQ467" s="4"/>
      <c r="FB467" s="42"/>
      <c r="FC467" s="43"/>
      <c r="FD467" s="12"/>
      <c r="GC467" s="13"/>
      <c r="GE467" s="12"/>
      <c r="GO467" s="12"/>
      <c r="GV467" s="13"/>
      <c r="GW467" s="43"/>
      <c r="GX467" s="45"/>
      <c r="JF467" s="5"/>
      <c r="JO467" s="4"/>
      <c r="JZ467" s="12"/>
      <c r="KB467" s="12"/>
      <c r="LA467" s="13"/>
      <c r="LC467" s="12"/>
      <c r="LM467" s="12"/>
      <c r="LT467" s="13"/>
      <c r="LV467" s="13"/>
      <c r="OD467" s="5"/>
    </row>
    <row r="468" spans="8:394" ht="18" customHeight="1">
      <c r="H468" s="4"/>
      <c r="AD468" s="12"/>
      <c r="AF468" s="12"/>
      <c r="BD468" s="24"/>
      <c r="CB468" s="13"/>
      <c r="CD468" s="13"/>
      <c r="DW468" s="5"/>
      <c r="EQ468" s="4"/>
      <c r="FB468" s="42"/>
      <c r="FC468" s="43"/>
      <c r="FD468" s="12"/>
      <c r="GC468" s="13"/>
      <c r="GE468" s="12"/>
      <c r="GO468" s="12"/>
      <c r="GV468" s="13"/>
      <c r="GW468" s="43"/>
      <c r="GX468" s="45"/>
      <c r="JF468" s="5"/>
      <c r="JO468" s="4"/>
      <c r="JZ468" s="12"/>
      <c r="KB468" s="12"/>
      <c r="LA468" s="13"/>
      <c r="LC468" s="12"/>
      <c r="LM468" s="12"/>
      <c r="LT468" s="13"/>
      <c r="LV468" s="13"/>
      <c r="LX468" s="15"/>
      <c r="LY468" s="15"/>
      <c r="LZ468" s="15"/>
      <c r="MA468" s="15"/>
      <c r="MB468" s="15"/>
      <c r="MC468" s="15"/>
      <c r="MD468" s="15"/>
      <c r="ME468" s="15"/>
      <c r="MF468" s="15"/>
      <c r="MG468" s="15"/>
      <c r="MH468" s="15"/>
      <c r="MI468" s="15"/>
      <c r="MJ468" s="15"/>
      <c r="MK468" s="15"/>
      <c r="OD468" s="5"/>
    </row>
    <row r="469" spans="8:394" ht="18" customHeight="1">
      <c r="H469" s="4"/>
      <c r="AD469" s="12"/>
      <c r="AF469" s="12"/>
      <c r="BD469" s="24"/>
      <c r="CB469" s="13"/>
      <c r="CD469" s="13"/>
      <c r="DW469" s="5"/>
      <c r="EQ469" s="4"/>
      <c r="FB469" s="42"/>
      <c r="FC469" s="43"/>
      <c r="FD469" s="12"/>
      <c r="GC469" s="13"/>
      <c r="GE469" s="12"/>
      <c r="GO469" s="12"/>
      <c r="GV469" s="13"/>
      <c r="GW469" s="43"/>
      <c r="GX469" s="45"/>
      <c r="GZ469" s="15"/>
      <c r="HA469" s="15"/>
      <c r="HB469" s="15"/>
      <c r="HC469" s="15"/>
      <c r="HD469" s="15"/>
      <c r="HE469" s="15"/>
      <c r="HF469" s="15"/>
      <c r="HG469" s="15"/>
      <c r="HH469" s="15"/>
      <c r="HI469" s="15"/>
      <c r="HJ469" s="15"/>
      <c r="HK469" s="15"/>
      <c r="JF469" s="5"/>
      <c r="JO469" s="4"/>
      <c r="JZ469" s="12"/>
      <c r="KB469" s="12"/>
      <c r="LA469" s="13"/>
      <c r="LC469" s="14"/>
      <c r="LD469" s="15"/>
      <c r="LE469" s="15"/>
      <c r="LF469" s="15"/>
      <c r="LG469" s="15"/>
      <c r="LH469" s="15"/>
      <c r="LI469" s="15"/>
      <c r="LJ469" s="15"/>
      <c r="LK469" s="15"/>
      <c r="LL469" s="15"/>
      <c r="LM469" s="14"/>
      <c r="LN469" s="15"/>
      <c r="LO469" s="15"/>
      <c r="LP469" s="15"/>
      <c r="LQ469" s="15"/>
      <c r="LR469" s="15"/>
      <c r="LS469" s="15"/>
      <c r="LT469" s="16"/>
      <c r="LW469" s="10"/>
      <c r="MB469" s="20"/>
      <c r="MC469" s="21"/>
      <c r="MD469" s="21"/>
      <c r="ME469" s="21"/>
      <c r="MF469" s="21"/>
      <c r="MG469" s="22"/>
      <c r="MK469" s="11"/>
      <c r="OD469" s="5"/>
    </row>
    <row r="470" spans="8:394" ht="18" customHeight="1">
      <c r="H470" s="4"/>
      <c r="AD470" s="12"/>
      <c r="AF470" s="12"/>
      <c r="BD470" s="24"/>
      <c r="CB470" s="13"/>
      <c r="CD470" s="13"/>
      <c r="DW470" s="5"/>
      <c r="EQ470" s="4"/>
      <c r="FB470" s="42"/>
      <c r="FC470" s="43"/>
      <c r="FD470" s="12"/>
      <c r="GC470" s="13"/>
      <c r="GE470" s="14"/>
      <c r="GF470" s="15"/>
      <c r="GG470" s="15"/>
      <c r="GH470" s="15"/>
      <c r="GI470" s="15"/>
      <c r="GJ470" s="15"/>
      <c r="GK470" s="15"/>
      <c r="GL470" s="15"/>
      <c r="GM470" s="15"/>
      <c r="GN470" s="15"/>
      <c r="GO470" s="14"/>
      <c r="GP470" s="15"/>
      <c r="GQ470" s="15"/>
      <c r="GR470" s="15"/>
      <c r="GS470" s="15"/>
      <c r="GT470" s="15"/>
      <c r="GU470" s="15"/>
      <c r="GV470" s="16"/>
      <c r="GW470" s="43"/>
      <c r="GX470" s="43"/>
      <c r="GY470" s="41"/>
      <c r="GZ470" s="43"/>
      <c r="HA470" s="43"/>
      <c r="HB470" s="123"/>
      <c r="HC470" s="109"/>
      <c r="HD470" s="109"/>
      <c r="HE470" s="109"/>
      <c r="HF470" s="109"/>
      <c r="HG470" s="124"/>
      <c r="HH470" s="43"/>
      <c r="HI470" s="43"/>
      <c r="HJ470" s="43"/>
      <c r="HK470" s="44"/>
      <c r="JF470" s="5"/>
      <c r="JO470" s="4"/>
      <c r="JZ470" s="12"/>
      <c r="KB470" s="12"/>
      <c r="LA470" s="13"/>
      <c r="LC470" s="15"/>
      <c r="LD470" s="15"/>
      <c r="LE470" s="100"/>
      <c r="LF470" s="100"/>
      <c r="LG470" s="100"/>
      <c r="LH470" s="100"/>
      <c r="LI470" s="100"/>
      <c r="LJ470" s="15"/>
      <c r="LK470" s="15"/>
      <c r="LL470" s="15"/>
      <c r="LM470" s="15"/>
      <c r="LN470" s="15"/>
      <c r="LO470" s="15"/>
      <c r="LP470" s="15"/>
      <c r="LQ470" s="15"/>
      <c r="LR470" s="15"/>
      <c r="LS470" s="15"/>
      <c r="LT470" s="15"/>
      <c r="LU470" s="15"/>
      <c r="LV470" s="15"/>
      <c r="LX470" s="15"/>
      <c r="LY470" s="15"/>
      <c r="LZ470" s="15"/>
      <c r="MA470" s="15"/>
      <c r="MB470" s="20"/>
      <c r="MC470" s="21"/>
      <c r="MD470" s="21"/>
      <c r="ME470" s="21"/>
      <c r="MF470" s="21"/>
      <c r="MG470" s="22"/>
      <c r="MK470" s="13"/>
      <c r="OD470" s="5"/>
    </row>
    <row r="471" spans="8:394" ht="18" customHeight="1">
      <c r="H471" s="4"/>
      <c r="AD471" s="12"/>
      <c r="AF471" s="12"/>
      <c r="BD471" s="24"/>
      <c r="BY471" s="9"/>
      <c r="BZ471" s="10"/>
      <c r="CA471" s="10"/>
      <c r="CB471" s="11"/>
      <c r="CD471" s="13"/>
      <c r="DW471" s="5"/>
      <c r="EQ471" s="4"/>
      <c r="FB471" s="42"/>
      <c r="FC471" s="43"/>
      <c r="FD471" s="12"/>
      <c r="GC471" s="13"/>
      <c r="GE471" s="15"/>
      <c r="GF471" s="15"/>
      <c r="GG471" s="100"/>
      <c r="GH471" s="100"/>
      <c r="GI471" s="100"/>
      <c r="GJ471" s="100"/>
      <c r="GK471" s="100"/>
      <c r="GL471" s="15"/>
      <c r="GM471" s="15"/>
      <c r="GN471" s="15"/>
      <c r="GO471" s="15"/>
      <c r="GP471" s="15"/>
      <c r="GQ471" s="15"/>
      <c r="GR471" s="15"/>
      <c r="GS471" s="15"/>
      <c r="GT471" s="15"/>
      <c r="GU471" s="15"/>
      <c r="GV471" s="15"/>
      <c r="GW471" s="47"/>
      <c r="GX471" s="47"/>
      <c r="GY471" s="43"/>
      <c r="GZ471" s="47"/>
      <c r="HA471" s="47"/>
      <c r="HB471" s="123"/>
      <c r="HC471" s="109"/>
      <c r="HD471" s="109"/>
      <c r="HE471" s="109"/>
      <c r="HF471" s="109"/>
      <c r="HG471" s="124"/>
      <c r="HH471" s="43"/>
      <c r="HI471" s="43"/>
      <c r="HJ471" s="43"/>
      <c r="HK471" s="45"/>
      <c r="JF471" s="5"/>
      <c r="JO471" s="4"/>
      <c r="JZ471" s="12"/>
      <c r="KB471" s="12"/>
      <c r="LA471" s="13"/>
      <c r="LC471" s="9"/>
      <c r="LD471" s="10"/>
      <c r="LE471" s="10"/>
      <c r="LF471" s="10"/>
      <c r="LG471" s="10"/>
      <c r="LH471" s="10"/>
      <c r="LI471" s="10"/>
      <c r="LJ471" s="10"/>
      <c r="LK471" s="10"/>
      <c r="LL471" s="10"/>
      <c r="LM471" s="10"/>
      <c r="LN471" s="10"/>
      <c r="LO471" s="10"/>
      <c r="LP471" s="10"/>
      <c r="LQ471" s="10"/>
      <c r="LR471" s="10"/>
      <c r="LS471" s="10"/>
      <c r="LT471" s="10"/>
      <c r="LU471" s="10"/>
      <c r="LV471" s="10"/>
      <c r="LW471" s="10"/>
      <c r="LX471" s="10"/>
      <c r="LY471" s="10"/>
      <c r="LZ471" s="10"/>
      <c r="MA471" s="10"/>
      <c r="MB471" s="10"/>
      <c r="MC471" s="10"/>
      <c r="MD471" s="10"/>
      <c r="ME471" s="10"/>
      <c r="MF471" s="10"/>
      <c r="MG471" s="10"/>
      <c r="MH471" s="10"/>
      <c r="MI471" s="11"/>
      <c r="MK471" s="13"/>
      <c r="OD471" s="5"/>
    </row>
    <row r="472" spans="8:394" ht="18" customHeight="1">
      <c r="H472" s="4"/>
      <c r="AD472" s="12"/>
      <c r="AF472" s="12"/>
      <c r="BD472" s="24"/>
      <c r="BY472" s="12"/>
      <c r="CB472" s="13"/>
      <c r="CD472" s="13"/>
      <c r="DW472" s="5"/>
      <c r="EQ472" s="4"/>
      <c r="FB472" s="42"/>
      <c r="FC472" s="43"/>
      <c r="FD472" s="12"/>
      <c r="GC472" s="13"/>
      <c r="GE472" s="9"/>
      <c r="GF472" s="10"/>
      <c r="GG472" s="10"/>
      <c r="GH472" s="10"/>
      <c r="GI472" s="10"/>
      <c r="GJ472" s="10"/>
      <c r="GK472" s="10"/>
      <c r="GL472" s="10"/>
      <c r="GM472" s="10"/>
      <c r="GN472" t="s">
        <v>45</v>
      </c>
      <c r="GO472" s="10"/>
      <c r="GP472" s="10"/>
      <c r="GQ472" s="10"/>
      <c r="GR472" s="10"/>
      <c r="GS472" s="10"/>
      <c r="GT472" s="10"/>
      <c r="GU472" s="10"/>
      <c r="GV472" s="10"/>
      <c r="GW472" s="10"/>
      <c r="GX472" s="10"/>
      <c r="GY472" s="10"/>
      <c r="GZ472" s="10"/>
      <c r="HA472" s="10"/>
      <c r="HB472" s="10"/>
      <c r="HC472" s="10"/>
      <c r="HD472" s="10"/>
      <c r="HE472" s="10"/>
      <c r="HF472" s="10"/>
      <c r="HG472" s="10"/>
      <c r="HH472" s="10"/>
      <c r="HI472" s="11"/>
      <c r="HJ472" s="43"/>
      <c r="HK472" s="45"/>
      <c r="JF472" s="5"/>
      <c r="JO472" s="4"/>
      <c r="JZ472" s="12"/>
      <c r="KB472" s="12"/>
      <c r="LA472" s="13"/>
      <c r="LC472" s="12"/>
      <c r="MI472" s="13"/>
      <c r="MK472" s="13"/>
      <c r="OD472" s="5"/>
    </row>
    <row r="473" spans="8:394" ht="18" customHeight="1">
      <c r="H473" s="4"/>
      <c r="AD473" s="12"/>
      <c r="AF473" s="12"/>
      <c r="BD473" s="18"/>
      <c r="BS473" s="9"/>
      <c r="BT473" s="10"/>
      <c r="BU473" s="10"/>
      <c r="BV473" s="11"/>
      <c r="BY473" s="12"/>
      <c r="CB473" s="13"/>
      <c r="CD473" s="13"/>
      <c r="DW473" s="5"/>
      <c r="EQ473" s="4"/>
      <c r="FB473" s="42"/>
      <c r="FC473" s="43"/>
      <c r="FD473" s="12"/>
      <c r="GC473" s="13"/>
      <c r="GE473" s="12"/>
      <c r="HI473" s="13"/>
      <c r="HJ473" s="43"/>
      <c r="HK473" s="45"/>
      <c r="JF473" s="5"/>
      <c r="JO473" s="4"/>
      <c r="JZ473" s="12"/>
      <c r="KB473" s="12"/>
      <c r="LA473" s="13"/>
      <c r="LC473" s="12"/>
      <c r="MI473" s="13"/>
      <c r="MK473" s="13"/>
      <c r="OD473" s="5"/>
    </row>
    <row r="474" spans="8:394" ht="18" customHeight="1">
      <c r="H474" s="4"/>
      <c r="AD474" s="12"/>
      <c r="AF474" s="12"/>
      <c r="BD474" s="18"/>
      <c r="BS474" s="12"/>
      <c r="BV474" s="13"/>
      <c r="BY474" s="12"/>
      <c r="CB474" s="13"/>
      <c r="CD474" s="13"/>
      <c r="DW474" s="5"/>
      <c r="EQ474" s="4"/>
      <c r="FB474" s="42"/>
      <c r="FC474" s="43"/>
      <c r="FD474" s="12"/>
      <c r="GC474" s="13"/>
      <c r="GD474" s="127"/>
      <c r="GE474" s="12"/>
      <c r="HI474" s="13"/>
      <c r="HJ474" s="43"/>
      <c r="HK474" s="45"/>
      <c r="JF474" s="5"/>
      <c r="JO474" s="4"/>
      <c r="JZ474" s="12"/>
      <c r="KB474" s="12"/>
      <c r="LA474" s="13"/>
      <c r="LB474" s="127"/>
      <c r="LC474" s="12"/>
      <c r="MI474" s="13"/>
      <c r="MK474" s="13"/>
      <c r="OD474" s="5"/>
    </row>
    <row r="475" spans="8:394" ht="18" customHeight="1">
      <c r="H475" s="4"/>
      <c r="AD475" s="12"/>
      <c r="AF475" s="12"/>
      <c r="BD475" s="18"/>
      <c r="BE475" s="15"/>
      <c r="BF475" s="15"/>
      <c r="BS475" s="12"/>
      <c r="BV475" s="13"/>
      <c r="BY475" s="12"/>
      <c r="CB475" s="13"/>
      <c r="CD475" s="13"/>
      <c r="DW475" s="5"/>
      <c r="EQ475" s="4"/>
      <c r="FB475" s="42"/>
      <c r="FC475" s="43"/>
      <c r="FD475" s="12"/>
      <c r="GC475" s="13"/>
      <c r="GD475" s="127"/>
      <c r="GE475" s="12"/>
      <c r="HI475" s="13"/>
      <c r="HJ475" s="43"/>
      <c r="HK475" s="45"/>
      <c r="JF475" s="5"/>
      <c r="JO475" s="4"/>
      <c r="JZ475" s="12"/>
      <c r="KB475" s="12"/>
      <c r="LA475" s="13"/>
      <c r="LB475" s="127"/>
      <c r="LC475" s="12"/>
      <c r="MI475" s="13"/>
      <c r="MK475" s="13"/>
      <c r="OD475" s="5"/>
    </row>
    <row r="476" spans="8:394" ht="18" customHeight="1">
      <c r="H476" s="4"/>
      <c r="AD476" s="12"/>
      <c r="AF476" s="12"/>
      <c r="BD476" s="18"/>
      <c r="BE476" s="10"/>
      <c r="BF476" s="10"/>
      <c r="BG476" s="11"/>
      <c r="BS476" s="14"/>
      <c r="BT476" s="15"/>
      <c r="BU476" s="15"/>
      <c r="BV476" s="16"/>
      <c r="BY476" s="12"/>
      <c r="CB476" s="13"/>
      <c r="CD476" s="13"/>
      <c r="DW476" s="5"/>
      <c r="EQ476" s="4"/>
      <c r="FB476" s="42"/>
      <c r="FC476" s="43"/>
      <c r="FD476" s="12"/>
      <c r="GC476" s="13"/>
      <c r="GD476" s="127"/>
      <c r="GE476" s="12"/>
      <c r="HF476" s="9"/>
      <c r="HG476" s="10"/>
      <c r="HH476" s="10"/>
      <c r="HI476" s="11"/>
      <c r="HJ476" s="43"/>
      <c r="HK476" s="45"/>
      <c r="JF476" s="5"/>
      <c r="JO476" s="4"/>
      <c r="JZ476" s="12"/>
      <c r="KB476" s="12"/>
      <c r="LA476" s="13"/>
      <c r="LB476" s="127"/>
      <c r="LC476" s="12"/>
      <c r="MF476" s="9"/>
      <c r="MG476" s="10"/>
      <c r="MH476" s="10"/>
      <c r="MI476" s="11"/>
      <c r="MK476" s="13"/>
      <c r="OD476" s="5"/>
    </row>
    <row r="477" spans="8:394" ht="18" customHeight="1">
      <c r="H477" s="4"/>
      <c r="AD477" s="12"/>
      <c r="AF477" s="12"/>
      <c r="BD477" s="18"/>
      <c r="BG477" s="13"/>
      <c r="BY477" s="12"/>
      <c r="CB477" s="13"/>
      <c r="CD477" s="13"/>
      <c r="DW477" s="5"/>
      <c r="EQ477" s="4"/>
      <c r="FB477" s="42"/>
      <c r="FC477" s="43"/>
      <c r="FD477" s="12"/>
      <c r="GC477" s="13"/>
      <c r="GD477" s="127"/>
      <c r="GE477" s="12"/>
      <c r="HF477" s="12"/>
      <c r="HI477" s="13"/>
      <c r="HJ477" s="43"/>
      <c r="HK477" s="45"/>
      <c r="JF477" s="5"/>
      <c r="JO477" s="4"/>
      <c r="JZ477" s="12"/>
      <c r="KB477" s="12"/>
      <c r="LA477" s="13"/>
      <c r="LB477" s="127"/>
      <c r="LC477" s="12"/>
      <c r="MF477" s="12"/>
      <c r="MI477" s="13"/>
      <c r="MK477" s="13"/>
      <c r="OD477" s="5"/>
    </row>
    <row r="478" spans="8:394" ht="18" customHeight="1">
      <c r="H478" s="4"/>
      <c r="AD478" s="12"/>
      <c r="AF478" s="12"/>
      <c r="BD478" s="18"/>
      <c r="BE478" s="15"/>
      <c r="BF478" s="15"/>
      <c r="BG478" s="16"/>
      <c r="BY478" s="14"/>
      <c r="BZ478" s="15"/>
      <c r="CA478" s="15"/>
      <c r="CB478" s="16"/>
      <c r="CD478" s="13"/>
      <c r="DW478" s="5"/>
      <c r="EQ478" s="4"/>
      <c r="FB478" s="42"/>
      <c r="FC478" s="43"/>
      <c r="FD478" s="12"/>
      <c r="GC478" s="13"/>
      <c r="GD478" s="127"/>
      <c r="GE478" s="12"/>
      <c r="GZ478" s="9"/>
      <c r="HA478" s="10"/>
      <c r="HB478" s="10"/>
      <c r="HC478" s="11"/>
      <c r="HF478" s="12"/>
      <c r="HI478" s="13"/>
      <c r="HJ478" s="43"/>
      <c r="HK478" s="45"/>
      <c r="JF478" s="5"/>
      <c r="JO478" s="4"/>
      <c r="JZ478" s="12"/>
      <c r="KB478" s="12"/>
      <c r="LA478" s="13"/>
      <c r="LB478" s="127"/>
      <c r="LC478" s="12"/>
      <c r="LZ478" s="9"/>
      <c r="MA478" s="10"/>
      <c r="MB478" s="10"/>
      <c r="MC478" s="11"/>
      <c r="MF478" s="12"/>
      <c r="MI478" s="13"/>
      <c r="MK478" s="13"/>
      <c r="OD478" s="5"/>
    </row>
    <row r="479" spans="8:394" ht="18" customHeight="1">
      <c r="H479" s="4"/>
      <c r="AD479" s="12"/>
      <c r="AF479" s="12"/>
      <c r="BD479" s="18"/>
      <c r="BE479" s="10"/>
      <c r="BF479" s="10"/>
      <c r="BG479" s="10"/>
      <c r="BH479" s="10"/>
      <c r="BI479" s="10"/>
      <c r="BJ479" s="11"/>
      <c r="CB479" s="13"/>
      <c r="CD479" s="13"/>
      <c r="DW479" s="5"/>
      <c r="EQ479" s="4"/>
      <c r="FB479" s="42"/>
      <c r="FC479" s="43"/>
      <c r="FD479" s="12"/>
      <c r="GC479" s="13"/>
      <c r="GD479" s="127"/>
      <c r="GE479" s="12"/>
      <c r="GZ479" s="12"/>
      <c r="HC479" s="13"/>
      <c r="HF479" s="12"/>
      <c r="HI479" s="13"/>
      <c r="HJ479" s="43"/>
      <c r="HK479" s="45"/>
      <c r="JF479" s="5"/>
      <c r="JO479" s="4"/>
      <c r="JZ479" s="12"/>
      <c r="KB479" s="12"/>
      <c r="LA479" s="13"/>
      <c r="LB479" s="127"/>
      <c r="LC479" s="12"/>
      <c r="LZ479" s="12"/>
      <c r="MC479" s="13"/>
      <c r="MF479" s="12"/>
      <c r="MI479" s="13"/>
      <c r="MK479" s="13"/>
      <c r="OD479" s="5"/>
    </row>
    <row r="480" spans="8:394" ht="18" customHeight="1">
      <c r="H480" s="4"/>
      <c r="AD480" s="12"/>
      <c r="AF480" s="12"/>
      <c r="BD480" s="18"/>
      <c r="BE480" s="10"/>
      <c r="BF480" s="11"/>
      <c r="BG480" s="10"/>
      <c r="BH480" s="10"/>
      <c r="BI480" s="10"/>
      <c r="BJ480" s="11"/>
      <c r="CB480" s="13"/>
      <c r="CD480" s="13"/>
      <c r="DW480" s="5"/>
      <c r="EQ480" s="4"/>
      <c r="FB480" s="42"/>
      <c r="FC480" s="43"/>
      <c r="FD480" s="14"/>
      <c r="FE480" s="15"/>
      <c r="FF480" s="15"/>
      <c r="FG480" s="15"/>
      <c r="FH480" s="15"/>
      <c r="FI480" s="15"/>
      <c r="FJ480" s="15"/>
      <c r="FK480" s="15"/>
      <c r="FL480" s="15"/>
      <c r="FM480" s="15"/>
      <c r="FN480" s="15"/>
      <c r="FO480" s="15"/>
      <c r="FP480" s="15"/>
      <c r="FQ480" s="15"/>
      <c r="FR480" s="15"/>
      <c r="FS480" s="15"/>
      <c r="FT480" s="15"/>
      <c r="FU480" s="15"/>
      <c r="FV480" s="15"/>
      <c r="FW480" s="15"/>
      <c r="FX480" s="15"/>
      <c r="FY480" s="15"/>
      <c r="FZ480" s="15"/>
      <c r="GA480" s="15"/>
      <c r="GB480" s="15"/>
      <c r="GC480" s="16"/>
      <c r="GE480" s="14"/>
      <c r="GF480" s="15"/>
      <c r="GG480" s="15"/>
      <c r="GH480" s="15"/>
      <c r="GI480" s="15"/>
      <c r="GJ480" s="15"/>
      <c r="GK480" s="15"/>
      <c r="GL480" s="15"/>
      <c r="GM480" s="15"/>
      <c r="GZ480" s="12"/>
      <c r="HC480" s="13"/>
      <c r="HF480" s="12"/>
      <c r="HI480" s="13"/>
      <c r="HJ480" s="43"/>
      <c r="HK480" s="45"/>
      <c r="HU480" s="155"/>
      <c r="JE480" s="9"/>
      <c r="JF480" s="11"/>
      <c r="JO480" s="4"/>
      <c r="JZ480" s="12"/>
      <c r="KB480" s="14"/>
      <c r="KC480" s="15"/>
      <c r="KD480" s="15"/>
      <c r="KE480" s="15"/>
      <c r="KF480" s="15"/>
      <c r="KG480" s="15"/>
      <c r="KH480" s="15"/>
      <c r="KI480" s="15"/>
      <c r="KJ480" s="15"/>
      <c r="KK480" s="15"/>
      <c r="KL480" s="15"/>
      <c r="KM480" s="15"/>
      <c r="KN480" s="15"/>
      <c r="KO480" s="15"/>
      <c r="KP480" s="15"/>
      <c r="KQ480" s="15"/>
      <c r="KR480" s="15"/>
      <c r="KS480" s="15"/>
      <c r="KT480" s="15"/>
      <c r="KU480" s="15"/>
      <c r="KV480" s="15"/>
      <c r="KW480" s="15"/>
      <c r="KX480" s="15"/>
      <c r="KY480" s="15"/>
      <c r="KZ480" s="15"/>
      <c r="LA480" s="16"/>
      <c r="LC480" s="14"/>
      <c r="LD480" s="15"/>
      <c r="LE480" s="15"/>
      <c r="LF480" s="15"/>
      <c r="LG480" s="15"/>
      <c r="LH480" s="15"/>
      <c r="LI480" s="15"/>
      <c r="LJ480" s="15"/>
      <c r="LK480" s="15"/>
      <c r="LZ480" s="12"/>
      <c r="MC480" s="13"/>
      <c r="MF480" s="12"/>
      <c r="MI480" s="13"/>
      <c r="MK480" s="13"/>
      <c r="OC480" s="9"/>
      <c r="OD480" s="11"/>
    </row>
    <row r="481" spans="8:394" ht="18" customHeight="1">
      <c r="H481" s="4"/>
      <c r="AD481" s="12"/>
      <c r="AF481" s="12"/>
      <c r="BD481" s="18"/>
      <c r="BF481" s="13"/>
      <c r="BJ481" s="13"/>
      <c r="CB481" s="13"/>
      <c r="CD481" s="13"/>
      <c r="DW481" s="5"/>
      <c r="EQ481" s="4"/>
      <c r="FB481" s="42"/>
      <c r="FC481" s="43"/>
      <c r="FH481" s="127"/>
      <c r="FI481" s="127"/>
      <c r="FJ481" s="127"/>
      <c r="FK481" s="127"/>
      <c r="FL481" s="127"/>
      <c r="GF481" s="127"/>
      <c r="GG481" s="127"/>
      <c r="GH481" s="127"/>
      <c r="GI481" s="127"/>
      <c r="GJ481" s="127"/>
      <c r="GK481" s="127"/>
      <c r="GN481" s="12"/>
      <c r="GZ481" s="14"/>
      <c r="HA481" s="15"/>
      <c r="HB481" s="15"/>
      <c r="HC481" s="16"/>
      <c r="HF481" s="12"/>
      <c r="HI481" s="13"/>
      <c r="HJ481" s="43"/>
      <c r="HK481" s="45"/>
      <c r="HU481" s="156"/>
      <c r="JE481" s="12"/>
      <c r="JF481" s="13"/>
      <c r="JO481" s="4"/>
      <c r="JZ481" s="12"/>
      <c r="KF481" s="127"/>
      <c r="KG481" s="127"/>
      <c r="KH481" s="127"/>
      <c r="KI481" s="127"/>
      <c r="KJ481" s="127"/>
      <c r="LD481" s="127"/>
      <c r="LE481" s="127"/>
      <c r="LF481" s="127"/>
      <c r="LG481" s="127"/>
      <c r="LH481" s="127"/>
      <c r="LI481" s="127"/>
      <c r="LL481" s="12"/>
      <c r="LZ481" s="14"/>
      <c r="MA481" s="15"/>
      <c r="MB481" s="15"/>
      <c r="MC481" s="16"/>
      <c r="MF481" s="12"/>
      <c r="MI481" s="13"/>
      <c r="MK481" s="13"/>
      <c r="OC481" s="12"/>
      <c r="OD481" s="13"/>
    </row>
    <row r="482" spans="8:394" ht="18" customHeight="1">
      <c r="H482" s="4"/>
      <c r="AD482" s="12"/>
      <c r="AF482" s="12"/>
      <c r="BD482" s="18"/>
      <c r="BF482" s="13"/>
      <c r="BJ482" s="13"/>
      <c r="CB482" s="13"/>
      <c r="CD482" s="13"/>
      <c r="DW482" s="5"/>
      <c r="EQ482" s="4"/>
      <c r="FB482" s="42"/>
      <c r="FC482" s="43"/>
      <c r="FD482" s="9"/>
      <c r="FE482" s="10"/>
      <c r="FF482" s="10"/>
      <c r="FG482" s="10"/>
      <c r="FH482" s="10"/>
      <c r="FI482" s="10"/>
      <c r="FJ482" s="10"/>
      <c r="FK482" s="10"/>
      <c r="FL482" s="10"/>
      <c r="FM482" s="11"/>
      <c r="FO482" s="9"/>
      <c r="FP482" s="10"/>
      <c r="FQ482" s="10"/>
      <c r="FR482" s="10"/>
      <c r="FS482" s="10"/>
      <c r="FT482" s="10"/>
      <c r="FU482" s="10"/>
      <c r="FV482" s="10"/>
      <c r="FW482" s="10"/>
      <c r="FX482" s="10"/>
      <c r="FY482" s="10"/>
      <c r="FZ482" s="10"/>
      <c r="GA482" s="10"/>
      <c r="GB482" s="10"/>
      <c r="GC482" s="10"/>
      <c r="GD482" s="10"/>
      <c r="GE482" s="10"/>
      <c r="GF482" s="10"/>
      <c r="GG482" s="10"/>
      <c r="GH482" s="10"/>
      <c r="GI482" s="10"/>
      <c r="GJ482" s="10"/>
      <c r="GK482" s="10"/>
      <c r="GL482" s="11"/>
      <c r="GN482" s="12"/>
      <c r="HF482" s="12"/>
      <c r="HI482" s="13"/>
      <c r="HJ482" s="43"/>
      <c r="HK482" s="45"/>
      <c r="HP482" s="16"/>
      <c r="HQ482" s="9"/>
      <c r="HR482" s="10"/>
      <c r="HS482" s="10"/>
      <c r="HT482" s="11"/>
      <c r="HU482" s="70"/>
      <c r="HV482" s="92"/>
      <c r="HW482" s="71"/>
      <c r="HX482" s="10"/>
      <c r="HY482" s="10"/>
      <c r="HZ482" s="10"/>
      <c r="IA482" s="10"/>
      <c r="IB482" s="10"/>
      <c r="IC482" s="10"/>
      <c r="ID482" s="10"/>
      <c r="IE482" s="10"/>
      <c r="IF482" s="10"/>
      <c r="IG482" s="10"/>
      <c r="IH482" s="10"/>
      <c r="II482" s="10"/>
      <c r="IJ482" s="10"/>
      <c r="IK482" s="10"/>
      <c r="IL482" s="10"/>
      <c r="IM482" s="11"/>
      <c r="JE482" s="12"/>
      <c r="JF482" s="13"/>
      <c r="JO482" s="4"/>
      <c r="JZ482" s="12"/>
      <c r="KB482" s="9"/>
      <c r="KC482" s="10"/>
      <c r="KD482" s="10"/>
      <c r="KE482" s="10"/>
      <c r="KF482" s="10"/>
      <c r="KG482" s="10"/>
      <c r="KH482" s="10"/>
      <c r="KI482" s="10"/>
      <c r="KJ482" s="10"/>
      <c r="KK482" s="11"/>
      <c r="KM482" s="9"/>
      <c r="KN482" s="10"/>
      <c r="KO482" s="10"/>
      <c r="KP482" s="10"/>
      <c r="KQ482" s="10"/>
      <c r="KR482" s="10"/>
      <c r="KS482" s="10"/>
      <c r="KT482" s="10"/>
      <c r="KU482" s="10"/>
      <c r="KV482" s="10"/>
      <c r="KW482" s="10"/>
      <c r="KX482" s="10"/>
      <c r="KY482" s="10"/>
      <c r="KZ482" s="10"/>
      <c r="LA482" s="10"/>
      <c r="LB482" s="10"/>
      <c r="LC482" s="10"/>
      <c r="LD482" s="10"/>
      <c r="LE482" s="10"/>
      <c r="LF482" s="10"/>
      <c r="LG482" s="10"/>
      <c r="LH482" s="10"/>
      <c r="LI482" s="10"/>
      <c r="LJ482" s="11"/>
      <c r="LL482" s="14"/>
      <c r="LM482" s="15"/>
      <c r="MF482" s="12"/>
      <c r="MI482" s="13"/>
      <c r="MK482" s="13"/>
      <c r="MO482" s="9"/>
      <c r="MP482" s="10"/>
      <c r="MQ482" s="10"/>
      <c r="MR482" s="10"/>
      <c r="MS482" s="10"/>
      <c r="MT482" s="11"/>
      <c r="MU482" s="10"/>
      <c r="MV482" s="10"/>
      <c r="MW482" s="10"/>
      <c r="MX482" s="10"/>
      <c r="MY482" s="10"/>
      <c r="MZ482" s="10"/>
      <c r="NA482" s="10"/>
      <c r="NB482" s="10"/>
      <c r="NC482" s="10"/>
      <c r="ND482" s="10"/>
      <c r="NE482" s="10"/>
      <c r="NF482" s="10"/>
      <c r="NG482" s="10"/>
      <c r="NH482" s="10"/>
      <c r="NI482" s="10"/>
      <c r="NJ482" s="10"/>
      <c r="NK482" s="10"/>
      <c r="NL482" s="10"/>
      <c r="NM482" s="11"/>
      <c r="OC482" s="12"/>
      <c r="OD482" s="13"/>
    </row>
    <row r="483" spans="8:394" ht="18" customHeight="1">
      <c r="H483" s="4"/>
      <c r="AD483" s="12"/>
      <c r="AF483" s="12"/>
      <c r="BD483" s="18"/>
      <c r="BF483" s="13"/>
      <c r="BJ483" s="13"/>
      <c r="CB483" s="13"/>
      <c r="CD483" s="13"/>
      <c r="DW483" s="5"/>
      <c r="EQ483" s="4"/>
      <c r="FB483" s="42"/>
      <c r="FC483" s="43"/>
      <c r="FD483" s="12"/>
      <c r="FM483" s="13"/>
      <c r="FO483" s="12"/>
      <c r="GL483" s="13"/>
      <c r="GN483" s="12"/>
      <c r="HF483" s="14"/>
      <c r="HG483" s="15"/>
      <c r="HH483" s="15"/>
      <c r="HI483" s="16"/>
      <c r="HJ483" s="43"/>
      <c r="HK483" s="45"/>
      <c r="HO483" s="16"/>
      <c r="HT483" s="13"/>
      <c r="HU483" s="107"/>
      <c r="HV483" s="127"/>
      <c r="HW483" s="90"/>
      <c r="IM483" s="13"/>
      <c r="JE483" s="12"/>
      <c r="JF483" s="13"/>
      <c r="JO483" s="4"/>
      <c r="JZ483" s="12"/>
      <c r="KB483" s="12"/>
      <c r="KK483" s="13"/>
      <c r="KM483" s="12"/>
      <c r="LJ483" s="13"/>
      <c r="LL483" s="9"/>
      <c r="LM483" s="10"/>
      <c r="LN483" s="11"/>
      <c r="MF483" s="14"/>
      <c r="MG483" s="15"/>
      <c r="MH483" s="15"/>
      <c r="MI483" s="16"/>
      <c r="MK483" s="13"/>
      <c r="MO483" s="12"/>
      <c r="MT483" s="13"/>
      <c r="NM483" s="13"/>
      <c r="OC483" s="12"/>
      <c r="OD483" s="13"/>
    </row>
    <row r="484" spans="8:394" ht="18" customHeight="1">
      <c r="H484" s="4"/>
      <c r="AD484" s="12"/>
      <c r="AF484" s="12"/>
      <c r="BD484" s="18"/>
      <c r="BF484" s="13"/>
      <c r="BG484" s="15"/>
      <c r="BH484" s="15"/>
      <c r="BI484" s="15"/>
      <c r="BJ484" s="16"/>
      <c r="CB484" s="13"/>
      <c r="CD484" s="13"/>
      <c r="CE484" s="12"/>
      <c r="DW484" s="5"/>
      <c r="EQ484" s="4"/>
      <c r="FB484" s="42"/>
      <c r="FC484" s="43"/>
      <c r="FD484" s="12"/>
      <c r="FM484" s="13"/>
      <c r="FO484" s="12"/>
      <c r="GL484" s="13"/>
      <c r="GN484" s="14"/>
      <c r="GO484" s="15"/>
      <c r="HI484" s="13"/>
      <c r="HJ484" s="43"/>
      <c r="HK484" s="45"/>
      <c r="HO484" s="12"/>
      <c r="HT484" s="13"/>
      <c r="HU484" s="107"/>
      <c r="HV484" s="127"/>
      <c r="HW484" s="90"/>
      <c r="IM484" s="13"/>
      <c r="JE484" s="12"/>
      <c r="JF484" s="13"/>
      <c r="JO484" s="4"/>
      <c r="JZ484" s="12"/>
      <c r="KB484" s="12"/>
      <c r="KK484" s="13"/>
      <c r="KM484" s="12"/>
      <c r="LJ484" s="13"/>
      <c r="LL484" s="12"/>
      <c r="LN484" s="13"/>
      <c r="MI484" s="13"/>
      <c r="MK484" s="13"/>
      <c r="MO484" s="12"/>
      <c r="MT484" s="13"/>
      <c r="NM484" s="13"/>
      <c r="OC484" s="12"/>
      <c r="OD484" s="13"/>
    </row>
    <row r="485" spans="8:394" ht="18" customHeight="1">
      <c r="H485" s="4"/>
      <c r="AD485" s="12"/>
      <c r="AF485" s="12"/>
      <c r="BD485" s="18"/>
      <c r="BF485" s="13"/>
      <c r="BG485" s="10"/>
      <c r="BH485" s="10"/>
      <c r="BI485" s="10"/>
      <c r="BJ485" s="11"/>
      <c r="CB485" s="13"/>
      <c r="CD485" s="13"/>
      <c r="DV485" s="9"/>
      <c r="DW485" s="11"/>
      <c r="EQ485" s="4"/>
      <c r="FB485" s="42"/>
      <c r="FC485" s="43"/>
      <c r="FD485" s="12"/>
      <c r="FM485" s="13"/>
      <c r="FO485" s="12"/>
      <c r="GL485" s="13"/>
      <c r="GN485" s="9"/>
      <c r="GO485" s="10"/>
      <c r="GP485" s="11"/>
      <c r="HI485" s="13"/>
      <c r="HJ485" s="43"/>
      <c r="HK485" s="45"/>
      <c r="HO485" s="12"/>
      <c r="HT485" s="13"/>
      <c r="HU485" s="107"/>
      <c r="HV485" s="127"/>
      <c r="HW485" s="90"/>
      <c r="IM485" s="13"/>
      <c r="JE485" s="12"/>
      <c r="JF485" s="13"/>
      <c r="JO485" s="4"/>
      <c r="JZ485" s="12"/>
      <c r="KB485" s="12"/>
      <c r="KK485" s="13"/>
      <c r="KM485" s="12"/>
      <c r="LJ485" s="13"/>
      <c r="LL485" s="14"/>
      <c r="LM485" s="15"/>
      <c r="LN485" s="16"/>
      <c r="MI485" s="13"/>
      <c r="MK485" s="13"/>
      <c r="MO485" s="12"/>
      <c r="MT485" s="13"/>
      <c r="NM485" s="13"/>
      <c r="OC485" s="12"/>
      <c r="OD485" s="13"/>
    </row>
    <row r="486" spans="8:394" ht="18" customHeight="1">
      <c r="H486" s="4"/>
      <c r="AD486" s="12"/>
      <c r="AF486" s="12"/>
      <c r="BD486" s="18"/>
      <c r="BF486" s="13"/>
      <c r="BJ486" s="13"/>
      <c r="CB486" s="13"/>
      <c r="CD486" s="13"/>
      <c r="DV486" s="12"/>
      <c r="DW486" s="13"/>
      <c r="EQ486" s="4"/>
      <c r="FB486" s="42"/>
      <c r="FC486" s="43"/>
      <c r="FD486" s="14"/>
      <c r="FE486" s="15"/>
      <c r="FF486" s="15"/>
      <c r="FG486" s="15"/>
      <c r="FH486" s="15"/>
      <c r="FI486" s="15"/>
      <c r="FJ486" s="15"/>
      <c r="FK486" s="15"/>
      <c r="FL486" s="15"/>
      <c r="FM486" s="16"/>
      <c r="FO486" s="12"/>
      <c r="GL486" s="13"/>
      <c r="GN486" s="12"/>
      <c r="GP486" s="13"/>
      <c r="HI486" s="13"/>
      <c r="HJ486" s="43"/>
      <c r="HK486" s="45"/>
      <c r="HO486" s="12"/>
      <c r="HT486" s="13"/>
      <c r="HU486" s="107"/>
      <c r="HV486" s="127"/>
      <c r="HW486" s="90"/>
      <c r="IM486" s="13"/>
      <c r="JE486" s="12"/>
      <c r="JF486" s="13"/>
      <c r="JO486" s="4"/>
      <c r="JZ486" s="12"/>
      <c r="KB486" s="14"/>
      <c r="KC486" s="15"/>
      <c r="KD486" s="15"/>
      <c r="KE486" s="15"/>
      <c r="KF486" s="15"/>
      <c r="KG486" s="15"/>
      <c r="KH486" s="15"/>
      <c r="KI486" s="15"/>
      <c r="KJ486" s="15"/>
      <c r="KK486" s="16"/>
      <c r="KM486" s="12"/>
      <c r="LJ486" s="13"/>
      <c r="LL486" s="9"/>
      <c r="LM486" s="10"/>
      <c r="LN486" s="10"/>
      <c r="LO486" s="10"/>
      <c r="LP486" s="10"/>
      <c r="LQ486" s="11"/>
      <c r="MI486" s="13"/>
      <c r="MK486" s="13"/>
      <c r="MO486" s="12"/>
      <c r="MT486" s="13"/>
      <c r="NM486" s="13"/>
      <c r="OC486" s="12"/>
      <c r="OD486" s="13"/>
    </row>
    <row r="487" spans="8:394" ht="18" customHeight="1">
      <c r="H487" s="4"/>
      <c r="AD487" s="12"/>
      <c r="AF487" s="12"/>
      <c r="BD487" s="18"/>
      <c r="BF487" s="13"/>
      <c r="BJ487" s="13"/>
      <c r="BZ487" s="9"/>
      <c r="CA487" s="10"/>
      <c r="CB487" s="11"/>
      <c r="CD487" s="13"/>
      <c r="CH487" s="9"/>
      <c r="CI487" s="10"/>
      <c r="CJ487" s="10"/>
      <c r="CK487" s="10"/>
      <c r="CL487" s="10"/>
      <c r="CM487" s="11"/>
      <c r="CN487" s="10"/>
      <c r="CO487" s="10"/>
      <c r="CP487" s="10"/>
      <c r="CQ487" s="10"/>
      <c r="CR487" s="10"/>
      <c r="CS487" s="10"/>
      <c r="CT487" s="10"/>
      <c r="CU487" s="10"/>
      <c r="CV487" s="10"/>
      <c r="CW487" s="10"/>
      <c r="CX487" s="10"/>
      <c r="CY487" s="10"/>
      <c r="CZ487" s="10"/>
      <c r="DA487" s="10"/>
      <c r="DB487" s="10"/>
      <c r="DC487" s="10"/>
      <c r="DD487" s="10"/>
      <c r="DE487" s="10"/>
      <c r="DF487" s="11"/>
      <c r="DV487" s="12"/>
      <c r="DW487" s="13"/>
      <c r="EQ487" s="4"/>
      <c r="FB487" s="42"/>
      <c r="FC487" s="43"/>
      <c r="FD487" s="12"/>
      <c r="FI487" s="12"/>
      <c r="FM487" s="13"/>
      <c r="FO487" s="12"/>
      <c r="GL487" s="13"/>
      <c r="GN487" s="14"/>
      <c r="GO487" s="15"/>
      <c r="GP487" s="16"/>
      <c r="HI487" s="13"/>
      <c r="HJ487" s="43"/>
      <c r="HK487" s="45"/>
      <c r="HL487" s="12"/>
      <c r="HO487" s="12"/>
      <c r="HT487" s="13"/>
      <c r="HU487" s="107"/>
      <c r="HV487" s="127"/>
      <c r="HW487" s="90"/>
      <c r="IM487" s="13"/>
      <c r="JE487" s="12"/>
      <c r="JF487" s="13"/>
      <c r="JO487" s="4"/>
      <c r="JZ487" s="12"/>
      <c r="KB487" s="12"/>
      <c r="KG487" s="12"/>
      <c r="KK487" s="13"/>
      <c r="KM487" s="12"/>
      <c r="LJ487" s="13"/>
      <c r="LL487" s="9"/>
      <c r="LM487" s="11"/>
      <c r="LN487" s="10"/>
      <c r="LO487" s="10"/>
      <c r="LP487" s="10"/>
      <c r="LQ487" s="11"/>
      <c r="MI487" s="13"/>
      <c r="MK487" s="13"/>
      <c r="ML487" s="12"/>
      <c r="MO487" s="12"/>
      <c r="MT487" s="13"/>
      <c r="NM487" s="13"/>
      <c r="OC487" s="12"/>
      <c r="OD487" s="13"/>
    </row>
    <row r="488" spans="8:394" ht="18" customHeight="1">
      <c r="H488" s="4"/>
      <c r="AD488" s="12"/>
      <c r="AF488" s="12"/>
      <c r="BD488" s="18"/>
      <c r="BF488" s="13"/>
      <c r="BJ488" s="13"/>
      <c r="BZ488" s="12"/>
      <c r="CB488" s="17"/>
      <c r="CD488" s="13"/>
      <c r="CH488" s="12"/>
      <c r="CM488" s="13"/>
      <c r="DF488" s="13"/>
      <c r="DV488" s="12"/>
      <c r="DW488" s="13"/>
      <c r="EQ488" s="4"/>
      <c r="FB488" s="42"/>
      <c r="FC488" s="43"/>
      <c r="FD488" s="12"/>
      <c r="FI488" s="12"/>
      <c r="FM488" s="13"/>
      <c r="FO488" s="12"/>
      <c r="GL488" s="13"/>
      <c r="GN488" s="157"/>
      <c r="GO488" s="158"/>
      <c r="GP488" s="158"/>
      <c r="GQ488" s="158"/>
      <c r="GR488" s="158"/>
      <c r="GS488" s="159"/>
      <c r="HI488" s="13"/>
      <c r="HJ488" s="43"/>
      <c r="HK488" s="45"/>
      <c r="HO488" s="12"/>
      <c r="HT488" s="13"/>
      <c r="HU488" s="107"/>
      <c r="HV488" s="127"/>
      <c r="HW488" s="90"/>
      <c r="IM488" s="13"/>
      <c r="JE488" s="12"/>
      <c r="JF488" s="13"/>
      <c r="JO488" s="4"/>
      <c r="JZ488" s="12"/>
      <c r="KB488" s="12"/>
      <c r="KG488" s="12"/>
      <c r="KK488" s="13"/>
      <c r="KM488" s="12"/>
      <c r="LJ488" s="13"/>
      <c r="LL488" s="12"/>
      <c r="LM488" s="13"/>
      <c r="LQ488" s="13"/>
      <c r="MG488" s="9"/>
      <c r="MH488" s="10"/>
      <c r="MI488" s="11"/>
      <c r="MK488" s="13"/>
      <c r="MO488" s="12"/>
      <c r="MT488" s="13"/>
      <c r="NM488" s="13"/>
      <c r="OC488" s="12"/>
      <c r="OD488" s="13"/>
    </row>
    <row r="489" spans="8:394" ht="18" customHeight="1">
      <c r="H489" s="4"/>
      <c r="AD489" s="12"/>
      <c r="AF489" s="12"/>
      <c r="BD489" s="18"/>
      <c r="BE489" s="15"/>
      <c r="BF489" s="16"/>
      <c r="BG489" s="15"/>
      <c r="BH489" s="15"/>
      <c r="BI489" s="15"/>
      <c r="BJ489" s="16"/>
      <c r="BZ489" s="12"/>
      <c r="CB489" s="18"/>
      <c r="CD489" s="13"/>
      <c r="CH489" s="12"/>
      <c r="CM489" s="13"/>
      <c r="DF489" s="13"/>
      <c r="DV489" s="12"/>
      <c r="DW489" s="13"/>
      <c r="EQ489" s="4"/>
      <c r="FB489" s="42"/>
      <c r="FC489" s="43"/>
      <c r="FD489" s="12"/>
      <c r="FI489" s="12"/>
      <c r="FM489" s="13"/>
      <c r="FO489" s="12"/>
      <c r="GL489" s="13"/>
      <c r="GN489" s="157"/>
      <c r="GO489" s="159"/>
      <c r="GP489" s="158"/>
      <c r="GQ489" s="158"/>
      <c r="GR489" s="158"/>
      <c r="GS489" s="159"/>
      <c r="HI489" s="13"/>
      <c r="HJ489" s="43"/>
      <c r="HK489" s="45"/>
      <c r="HO489" s="12"/>
      <c r="HT489" s="13"/>
      <c r="HU489" s="107"/>
      <c r="HV489" s="127"/>
      <c r="HW489" s="90"/>
      <c r="IM489" s="13"/>
      <c r="JE489" s="12"/>
      <c r="JF489" s="13"/>
      <c r="JO489" s="4"/>
      <c r="JZ489" s="12"/>
      <c r="KB489" s="12"/>
      <c r="KG489" s="12"/>
      <c r="KK489" s="13"/>
      <c r="KM489" s="12"/>
      <c r="LJ489" s="13"/>
      <c r="LL489" s="12"/>
      <c r="LM489" s="13"/>
      <c r="LQ489" s="13"/>
      <c r="MG489" s="12"/>
      <c r="MI489" s="17"/>
      <c r="MK489" s="13"/>
      <c r="MO489" s="12"/>
      <c r="MT489" s="13"/>
      <c r="NM489" s="13"/>
      <c r="OC489" s="12"/>
      <c r="OD489" s="13"/>
    </row>
    <row r="490" spans="8:394" ht="18" customHeight="1">
      <c r="H490" s="4"/>
      <c r="AD490" s="12"/>
      <c r="AF490" s="20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2"/>
      <c r="BD490" s="18"/>
      <c r="BE490" s="15"/>
      <c r="BF490" s="15"/>
      <c r="BG490" s="15"/>
      <c r="BH490" s="15"/>
      <c r="BI490" s="15"/>
      <c r="BJ490" s="16"/>
      <c r="BZ490" s="12"/>
      <c r="CB490" s="18"/>
      <c r="CD490" s="13"/>
      <c r="CH490" s="12"/>
      <c r="CM490" s="13"/>
      <c r="DF490" s="13"/>
      <c r="DV490" s="12"/>
      <c r="DW490" s="13"/>
      <c r="EQ490" s="4"/>
      <c r="FB490" s="42"/>
      <c r="FC490" s="43"/>
      <c r="FD490" s="12"/>
      <c r="FI490" s="12"/>
      <c r="FM490" s="13"/>
      <c r="FO490" s="12"/>
      <c r="GL490" s="13"/>
      <c r="GN490" s="160"/>
      <c r="GO490" s="161"/>
      <c r="GP490" s="162"/>
      <c r="GQ490" s="162"/>
      <c r="GR490" s="162"/>
      <c r="GS490" s="161"/>
      <c r="HG490" s="9"/>
      <c r="HH490" s="10"/>
      <c r="HI490" s="11"/>
      <c r="HJ490" s="43"/>
      <c r="HK490" s="45"/>
      <c r="HO490" s="14"/>
      <c r="HT490" s="13"/>
      <c r="HU490" s="107"/>
      <c r="HV490" s="127"/>
      <c r="HW490" s="90"/>
      <c r="IM490" s="13"/>
      <c r="JE490" s="12"/>
      <c r="JF490" s="13"/>
      <c r="JO490" s="4"/>
      <c r="JZ490" s="12"/>
      <c r="KB490" s="12"/>
      <c r="KG490" s="12"/>
      <c r="KK490" s="13"/>
      <c r="KM490" s="12"/>
      <c r="LJ490" s="13"/>
      <c r="LL490" s="12"/>
      <c r="LM490" s="13"/>
      <c r="LQ490" s="13"/>
      <c r="MG490" s="12"/>
      <c r="MI490" s="18"/>
      <c r="MK490" s="13"/>
      <c r="MO490" s="12"/>
      <c r="MT490" s="13"/>
      <c r="NM490" s="13"/>
      <c r="OC490" s="12"/>
      <c r="OD490" s="13"/>
    </row>
    <row r="491" spans="8:394" ht="18" customHeight="1">
      <c r="H491" s="4"/>
      <c r="AD491" s="12"/>
      <c r="AF491" s="9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  <c r="BB491" s="10"/>
      <c r="BC491" s="11"/>
      <c r="BD491" s="18"/>
      <c r="BE491" s="10"/>
      <c r="BF491" s="10"/>
      <c r="BG491" s="11"/>
      <c r="BZ491" s="12"/>
      <c r="CB491" s="18"/>
      <c r="CD491" s="13"/>
      <c r="CH491" s="12"/>
      <c r="CM491" s="13"/>
      <c r="DF491" s="13"/>
      <c r="DV491" s="12"/>
      <c r="DW491" s="13"/>
      <c r="EQ491" s="4"/>
      <c r="FB491" s="42"/>
      <c r="FC491" s="43"/>
      <c r="FD491" s="14"/>
      <c r="FE491" s="15"/>
      <c r="FF491" s="15"/>
      <c r="FG491" s="15"/>
      <c r="FH491" s="15"/>
      <c r="FI491" s="14"/>
      <c r="FJ491" s="15"/>
      <c r="FK491" s="15"/>
      <c r="FL491" s="15"/>
      <c r="FM491" s="13"/>
      <c r="FO491" s="12"/>
      <c r="GL491" s="13"/>
      <c r="GN491" s="160"/>
      <c r="GO491" s="161"/>
      <c r="GP491" s="162"/>
      <c r="GQ491" s="162"/>
      <c r="GR491" s="162"/>
      <c r="GS491" s="161"/>
      <c r="HG491" s="12"/>
      <c r="HI491" s="176"/>
      <c r="HJ491" s="43"/>
      <c r="HK491" s="45"/>
      <c r="HO491" s="11"/>
      <c r="HP491" s="14"/>
      <c r="HT491" s="13"/>
      <c r="HU491" s="107"/>
      <c r="HV491" s="127"/>
      <c r="HW491" s="90"/>
      <c r="IM491" s="13"/>
      <c r="JE491" s="12"/>
      <c r="JF491" s="13"/>
      <c r="JO491" s="4"/>
      <c r="JZ491" s="12"/>
      <c r="KB491" s="14"/>
      <c r="KC491" s="15"/>
      <c r="KD491" s="15"/>
      <c r="KE491" s="15"/>
      <c r="KF491" s="15"/>
      <c r="KG491" s="14"/>
      <c r="KH491" s="15"/>
      <c r="KI491" s="15"/>
      <c r="KJ491" s="15"/>
      <c r="KK491" s="13"/>
      <c r="KM491" s="12"/>
      <c r="LJ491" s="13"/>
      <c r="LL491" s="12"/>
      <c r="LM491" s="13"/>
      <c r="LN491" s="15"/>
      <c r="LO491" s="15"/>
      <c r="LP491" s="15"/>
      <c r="LQ491" s="16"/>
      <c r="MG491" s="12"/>
      <c r="MI491" s="18"/>
      <c r="MK491" s="13"/>
      <c r="MO491" s="12"/>
      <c r="MT491" s="13"/>
      <c r="NM491" s="13"/>
      <c r="OC491" s="12"/>
      <c r="OD491" s="13"/>
    </row>
    <row r="492" spans="8:394" ht="18" customHeight="1">
      <c r="H492" s="4"/>
      <c r="AD492" s="12"/>
      <c r="AF492" s="12"/>
      <c r="BC492" s="13"/>
      <c r="BD492" s="18"/>
      <c r="BG492" s="13"/>
      <c r="BZ492" s="12"/>
      <c r="CB492" s="18"/>
      <c r="CD492" s="13"/>
      <c r="CH492" s="12"/>
      <c r="CM492" s="13"/>
      <c r="DF492" s="13"/>
      <c r="DV492" s="12"/>
      <c r="DW492" s="13"/>
      <c r="EQ492" s="4"/>
      <c r="FB492" s="42"/>
      <c r="FC492" s="43"/>
      <c r="FD492" s="43"/>
      <c r="FE492" s="43"/>
      <c r="FF492" s="43"/>
      <c r="FG492" s="43"/>
      <c r="FH492" s="43"/>
      <c r="FI492" s="43"/>
      <c r="FJ492" s="43"/>
      <c r="FK492" s="43"/>
      <c r="FL492" s="41"/>
      <c r="FM492" s="41"/>
      <c r="FN492" s="44"/>
      <c r="GL492" s="13"/>
      <c r="GN492" s="160"/>
      <c r="GO492" s="161"/>
      <c r="GP492" s="162"/>
      <c r="GQ492" s="162"/>
      <c r="GR492" s="162"/>
      <c r="GS492" s="161"/>
      <c r="HG492" s="12"/>
      <c r="HI492" s="177"/>
      <c r="HJ492" s="43"/>
      <c r="HK492" s="45"/>
      <c r="HP492" s="11"/>
      <c r="HQ492" s="15"/>
      <c r="HR492" s="15"/>
      <c r="HS492" s="15"/>
      <c r="HT492" s="16"/>
      <c r="HU492" s="72"/>
      <c r="HV492" s="100"/>
      <c r="HW492" s="73"/>
      <c r="HX492" s="15"/>
      <c r="HY492" s="15"/>
      <c r="HZ492" s="15"/>
      <c r="IA492" s="15"/>
      <c r="IB492" s="15"/>
      <c r="IC492" s="15"/>
      <c r="ID492" s="15"/>
      <c r="IE492" s="15"/>
      <c r="IF492" s="15"/>
      <c r="IG492" s="15"/>
      <c r="IH492" s="15"/>
      <c r="II492" s="15"/>
      <c r="IJ492" s="15"/>
      <c r="IK492" s="15"/>
      <c r="IL492" s="15"/>
      <c r="IM492" s="16"/>
      <c r="JE492" s="12"/>
      <c r="JF492" s="13"/>
      <c r="JO492" s="4"/>
      <c r="JZ492" s="12"/>
      <c r="KJ492" s="10"/>
      <c r="KK492" s="10"/>
      <c r="KL492" s="11"/>
      <c r="LJ492" s="13"/>
      <c r="LL492" s="12"/>
      <c r="LM492" s="13"/>
      <c r="LN492" s="10"/>
      <c r="LO492" s="10"/>
      <c r="LP492" s="10"/>
      <c r="LQ492" s="11"/>
      <c r="MG492" s="12"/>
      <c r="MI492" s="18"/>
      <c r="MK492" s="13"/>
      <c r="MO492" s="14"/>
      <c r="MP492" s="15"/>
      <c r="MQ492" s="15"/>
      <c r="MR492" s="15"/>
      <c r="MS492" s="15"/>
      <c r="MT492" s="16"/>
      <c r="MU492" s="15"/>
      <c r="MV492" s="15"/>
      <c r="MW492" s="15"/>
      <c r="MX492" s="15"/>
      <c r="MY492" s="15"/>
      <c r="MZ492" s="15"/>
      <c r="NA492" s="15"/>
      <c r="NB492" s="15"/>
      <c r="NC492" s="15"/>
      <c r="ND492" s="15"/>
      <c r="NE492" s="15"/>
      <c r="NF492" s="15"/>
      <c r="NG492" s="15"/>
      <c r="NH492" s="15"/>
      <c r="NI492" s="15"/>
      <c r="NJ492" s="15"/>
      <c r="NK492" s="15"/>
      <c r="NL492" s="15"/>
      <c r="NM492" s="16"/>
      <c r="OC492" s="12"/>
      <c r="OD492" s="13"/>
    </row>
    <row r="493" spans="8:394" ht="18" customHeight="1">
      <c r="H493" s="4"/>
      <c r="AD493" s="12"/>
      <c r="AF493" s="12"/>
      <c r="BC493" s="13"/>
      <c r="BD493" s="18"/>
      <c r="BE493" s="15"/>
      <c r="BF493" s="15"/>
      <c r="BG493" s="16"/>
      <c r="BZ493" s="12"/>
      <c r="CB493" s="19"/>
      <c r="CD493" s="13"/>
      <c r="CH493" s="12"/>
      <c r="CM493" s="13"/>
      <c r="DF493" s="13"/>
      <c r="DV493" s="12"/>
      <c r="DW493" s="13"/>
      <c r="EQ493" s="4"/>
      <c r="FB493" s="46"/>
      <c r="FC493" s="47"/>
      <c r="FD493" s="47"/>
      <c r="FE493" s="47"/>
      <c r="FF493" s="47"/>
      <c r="FG493" s="47"/>
      <c r="FH493" s="47"/>
      <c r="FI493" s="47"/>
      <c r="FJ493" s="47"/>
      <c r="FK493" s="47"/>
      <c r="FL493" s="47"/>
      <c r="FM493" s="43"/>
      <c r="FN493" s="45"/>
      <c r="GL493" s="13"/>
      <c r="GN493" s="160"/>
      <c r="GO493" s="161"/>
      <c r="GP493" s="163"/>
      <c r="GQ493" s="163"/>
      <c r="GR493" s="163"/>
      <c r="GS493" s="164"/>
      <c r="HG493" s="12"/>
      <c r="HI493" s="177"/>
      <c r="HJ493" s="43"/>
      <c r="HK493" s="45"/>
      <c r="HU493" s="155"/>
      <c r="JE493" s="12"/>
      <c r="JF493" s="13"/>
      <c r="JO493" s="4"/>
      <c r="JZ493" s="14"/>
      <c r="KA493" s="15"/>
      <c r="KB493" s="15"/>
      <c r="KC493" s="15"/>
      <c r="KD493" s="15"/>
      <c r="KE493" s="15"/>
      <c r="KF493" s="15"/>
      <c r="KG493" s="15"/>
      <c r="KH493" s="15"/>
      <c r="KI493" s="15"/>
      <c r="KJ493" s="15"/>
      <c r="KL493" s="13"/>
      <c r="LJ493" s="13"/>
      <c r="LL493" s="12"/>
      <c r="LM493" s="13"/>
      <c r="LQ493" s="13"/>
      <c r="MG493" s="12"/>
      <c r="MI493" s="18"/>
      <c r="MK493" s="13"/>
      <c r="OC493" s="12"/>
      <c r="OD493" s="13"/>
    </row>
    <row r="494" spans="8:394" ht="18" customHeight="1">
      <c r="H494" s="4"/>
      <c r="AD494" s="12"/>
      <c r="AF494" s="12"/>
      <c r="BC494" s="13"/>
      <c r="BD494" s="18"/>
      <c r="BZ494" s="14"/>
      <c r="CA494" s="15"/>
      <c r="CB494" s="16"/>
      <c r="CD494" s="13"/>
      <c r="CH494" s="12"/>
      <c r="CM494" s="13"/>
      <c r="DF494" s="13"/>
      <c r="DV494" s="12"/>
      <c r="DW494" s="13"/>
      <c r="EQ494" s="4"/>
      <c r="FM494" s="46"/>
      <c r="FN494" s="48"/>
      <c r="GL494" s="13"/>
      <c r="GN494" s="160"/>
      <c r="GO494" s="161"/>
      <c r="GP494" s="158"/>
      <c r="GQ494" s="158"/>
      <c r="GR494" s="158"/>
      <c r="GS494" s="159"/>
      <c r="HG494" s="12"/>
      <c r="HI494" s="177"/>
      <c r="HJ494" s="43"/>
      <c r="HK494" s="45"/>
      <c r="HU494" s="156"/>
      <c r="JE494" s="12"/>
      <c r="JF494" s="13"/>
      <c r="JO494" s="4"/>
      <c r="KK494" s="14"/>
      <c r="KL494" s="16"/>
      <c r="LJ494" s="13"/>
      <c r="LL494" s="12"/>
      <c r="LM494" s="13"/>
      <c r="LQ494" s="13"/>
      <c r="MG494" s="12"/>
      <c r="MI494" s="19"/>
      <c r="MK494" s="13"/>
      <c r="OC494" s="12"/>
      <c r="OD494" s="13"/>
    </row>
    <row r="495" spans="8:394" ht="18" customHeight="1">
      <c r="H495" s="4"/>
      <c r="AD495" s="12"/>
      <c r="AF495" s="12"/>
      <c r="BC495" s="13"/>
      <c r="BD495" s="24"/>
      <c r="CB495" s="13"/>
      <c r="CD495" s="13"/>
      <c r="CH495" s="12"/>
      <c r="CM495" s="13"/>
      <c r="DF495" s="13"/>
      <c r="DV495" s="12"/>
      <c r="DW495" s="13"/>
      <c r="EQ495" s="4"/>
      <c r="FL495" s="13"/>
      <c r="FM495" s="108"/>
      <c r="FN495" s="42"/>
      <c r="FO495" s="12"/>
      <c r="GL495" s="13"/>
      <c r="GN495" s="160"/>
      <c r="GO495" s="161"/>
      <c r="GP495" s="162"/>
      <c r="GQ495" s="162"/>
      <c r="GR495" s="162"/>
      <c r="GS495" s="161"/>
      <c r="HG495" s="12"/>
      <c r="HI495" s="177"/>
      <c r="HJ495" s="43"/>
      <c r="HK495" s="45"/>
      <c r="JE495" s="14"/>
      <c r="JF495" s="16"/>
      <c r="JO495" s="4"/>
      <c r="KJ495" s="13"/>
      <c r="KK495" s="18"/>
      <c r="KL495" s="12"/>
      <c r="KM495" s="12"/>
      <c r="LJ495" s="13"/>
      <c r="LL495" s="12"/>
      <c r="LM495" s="13"/>
      <c r="LQ495" s="13"/>
      <c r="MG495" s="14"/>
      <c r="MH495" s="15"/>
      <c r="MI495" s="16"/>
      <c r="MK495" s="13"/>
      <c r="OC495" s="14"/>
      <c r="OD495" s="16"/>
    </row>
    <row r="496" spans="8:394" ht="18" customHeight="1">
      <c r="H496" s="4"/>
      <c r="AD496" s="12"/>
      <c r="AF496" s="12"/>
      <c r="BC496" s="13"/>
      <c r="BD496" s="24"/>
      <c r="CB496" s="13"/>
      <c r="CD496" s="13"/>
      <c r="CH496" s="12"/>
      <c r="CM496" s="13"/>
      <c r="DF496" s="13"/>
      <c r="DV496" s="12"/>
      <c r="DW496" s="13"/>
      <c r="EQ496" s="4"/>
      <c r="FL496" s="13"/>
      <c r="FM496" s="108"/>
      <c r="FN496" s="42"/>
      <c r="FO496" s="12"/>
      <c r="GL496" s="13"/>
      <c r="GN496" s="160"/>
      <c r="GO496" s="161"/>
      <c r="GP496" s="162"/>
      <c r="GQ496" s="162"/>
      <c r="GR496" s="162"/>
      <c r="GS496" s="161"/>
      <c r="HG496" s="12"/>
      <c r="HI496" s="178"/>
      <c r="HJ496" s="43"/>
      <c r="HK496" s="45"/>
      <c r="JF496" s="5"/>
      <c r="JO496" s="4"/>
      <c r="KJ496" s="13"/>
      <c r="KK496" s="18"/>
      <c r="KL496" s="12"/>
      <c r="KM496" s="12"/>
      <c r="LJ496" s="13"/>
      <c r="LL496" s="12"/>
      <c r="LM496" s="13"/>
      <c r="LQ496" s="13"/>
      <c r="MI496" s="13"/>
      <c r="MK496" s="13"/>
      <c r="ML496" s="20"/>
      <c r="MM496" s="21"/>
      <c r="MN496" s="21"/>
      <c r="MO496" s="21"/>
      <c r="MP496" s="21"/>
      <c r="MQ496" s="21"/>
      <c r="MR496" s="21"/>
      <c r="MS496" s="21"/>
      <c r="MT496" s="21"/>
      <c r="MU496" s="21"/>
      <c r="MV496" s="21"/>
      <c r="MW496" s="21"/>
      <c r="MX496" s="22"/>
      <c r="OD496" s="5"/>
    </row>
    <row r="497" spans="8:394" ht="18" customHeight="1">
      <c r="H497" s="4"/>
      <c r="AD497" s="12"/>
      <c r="AF497" s="12"/>
      <c r="BC497" s="13"/>
      <c r="BD497" s="24"/>
      <c r="CB497" s="13"/>
      <c r="CD497" s="13"/>
      <c r="CH497" s="14"/>
      <c r="CI497" s="15"/>
      <c r="CJ497" s="15"/>
      <c r="CK497" s="15"/>
      <c r="CL497" s="15"/>
      <c r="CM497" s="16"/>
      <c r="CN497" s="15"/>
      <c r="CO497" s="15"/>
      <c r="CP497" s="15"/>
      <c r="CQ497" s="15"/>
      <c r="CR497" s="15"/>
      <c r="CS497" s="15"/>
      <c r="CT497" s="15"/>
      <c r="CU497" s="15"/>
      <c r="CV497" s="15"/>
      <c r="CW497" s="15"/>
      <c r="CX497" s="15"/>
      <c r="CY497" s="15"/>
      <c r="CZ497" s="15"/>
      <c r="DA497" s="15"/>
      <c r="DB497" s="15"/>
      <c r="DC497" s="15"/>
      <c r="DD497" s="15"/>
      <c r="DE497" s="15"/>
      <c r="DF497" s="16"/>
      <c r="DV497" s="12"/>
      <c r="DW497" s="13"/>
      <c r="EQ497" s="4"/>
      <c r="FL497" s="13"/>
      <c r="FM497" s="108"/>
      <c r="FN497" s="42"/>
      <c r="FO497" s="12"/>
      <c r="GL497" s="13"/>
      <c r="GN497" s="160"/>
      <c r="GO497" s="161"/>
      <c r="GP497" s="162"/>
      <c r="GQ497" s="162"/>
      <c r="GR497" s="162"/>
      <c r="GS497" s="161"/>
      <c r="HG497" s="14"/>
      <c r="HH497" s="15"/>
      <c r="HI497" s="16"/>
      <c r="HJ497" s="43"/>
      <c r="HK497" s="45"/>
      <c r="JF497" s="5"/>
      <c r="JO497" s="4"/>
      <c r="KJ497" s="13"/>
      <c r="KK497" s="18"/>
      <c r="KL497" s="12"/>
      <c r="KM497" s="12"/>
      <c r="LJ497" s="13"/>
      <c r="LL497" s="20"/>
      <c r="LM497" s="21"/>
      <c r="LN497" s="21"/>
      <c r="LO497" s="21"/>
      <c r="LP497" s="21"/>
      <c r="LQ497" s="22"/>
      <c r="MI497" s="13"/>
      <c r="MK497" s="13"/>
      <c r="ML497" s="12"/>
      <c r="MW497" s="13"/>
      <c r="MY497" s="12"/>
      <c r="OD497" s="5"/>
    </row>
    <row r="498" spans="8:394" ht="18" customHeight="1">
      <c r="H498" s="4"/>
      <c r="AD498" s="12"/>
      <c r="AF498" s="12"/>
      <c r="BC498" s="13"/>
      <c r="BD498" s="24"/>
      <c r="CB498" s="13"/>
      <c r="CD498" s="13"/>
      <c r="DV498" s="12"/>
      <c r="DW498" s="13"/>
      <c r="EQ498" s="4"/>
      <c r="FM498" s="108"/>
      <c r="FN498" s="42"/>
      <c r="FO498" s="12"/>
      <c r="GL498" s="13"/>
      <c r="GN498" s="160"/>
      <c r="GO498" s="161"/>
      <c r="GP498" s="162"/>
      <c r="GQ498" s="162"/>
      <c r="GR498" s="162"/>
      <c r="GS498" s="161"/>
      <c r="HI498" s="13"/>
      <c r="HJ498" s="43"/>
      <c r="HK498" s="45"/>
      <c r="JF498" s="5"/>
      <c r="JO498" s="4"/>
      <c r="KK498" s="18"/>
      <c r="KL498" s="12"/>
      <c r="KM498" s="12"/>
      <c r="LJ498" s="13"/>
      <c r="LL498" s="12"/>
      <c r="LN498" s="13"/>
      <c r="MI498" s="13"/>
      <c r="MK498" s="13"/>
      <c r="ML498" s="12"/>
      <c r="MW498" s="13"/>
      <c r="MY498" s="12"/>
      <c r="OD498" s="5"/>
    </row>
    <row r="499" spans="8:394" ht="18" customHeight="1">
      <c r="H499" s="4"/>
      <c r="AD499" s="12"/>
      <c r="AF499" s="12"/>
      <c r="BC499" s="13"/>
      <c r="BD499" s="24"/>
      <c r="CB499" s="13"/>
      <c r="CD499" s="13"/>
      <c r="DV499" s="12"/>
      <c r="DW499" s="13"/>
      <c r="EQ499" s="4"/>
      <c r="FL499" s="13"/>
      <c r="FM499" s="108"/>
      <c r="FN499" s="42"/>
      <c r="FO499" s="12"/>
      <c r="GL499" s="13"/>
      <c r="GN499" s="165"/>
      <c r="GO499" s="166"/>
      <c r="GP499" s="166"/>
      <c r="GQ499" s="166"/>
      <c r="GR499" s="166"/>
      <c r="GS499" s="167"/>
      <c r="HI499" s="13"/>
      <c r="HJ499" s="43"/>
      <c r="HK499" s="45"/>
      <c r="JF499" s="5"/>
      <c r="JO499" s="4"/>
      <c r="KJ499" s="13"/>
      <c r="KK499" s="18"/>
      <c r="KL499" s="12"/>
      <c r="KM499" s="12"/>
      <c r="LJ499" s="13"/>
      <c r="LL499" s="12"/>
      <c r="LN499" s="13"/>
      <c r="MI499" s="13"/>
      <c r="MK499" s="13"/>
      <c r="ML499" s="12"/>
      <c r="MW499" s="13"/>
      <c r="MY499" s="12"/>
      <c r="OD499" s="5"/>
    </row>
    <row r="500" spans="8:394" ht="18" customHeight="1">
      <c r="H500" s="4"/>
      <c r="AD500" s="12"/>
      <c r="AF500" s="14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15"/>
      <c r="AZ500" s="15"/>
      <c r="BA500" s="15"/>
      <c r="BB500" s="15"/>
      <c r="BC500" s="16"/>
      <c r="BD500" s="24"/>
      <c r="CB500" s="13"/>
      <c r="CD500" s="13"/>
      <c r="DV500" s="14"/>
      <c r="DW500" s="16"/>
      <c r="EQ500" s="4"/>
      <c r="FL500" s="13"/>
      <c r="FM500" s="126"/>
      <c r="FN500" s="46"/>
      <c r="FO500" s="12"/>
      <c r="GL500" s="13"/>
      <c r="GN500" s="12"/>
      <c r="GP500" s="13"/>
      <c r="HI500" s="13"/>
      <c r="HJ500" s="43"/>
      <c r="HK500" s="45"/>
      <c r="JF500" s="5"/>
      <c r="JO500" s="4"/>
      <c r="KJ500" s="13"/>
      <c r="KK500" s="19"/>
      <c r="KL500" s="14"/>
      <c r="KM500" s="12"/>
      <c r="LJ500" s="13"/>
      <c r="LL500" s="14"/>
      <c r="LM500" s="15"/>
      <c r="LN500" s="16"/>
      <c r="MI500" s="13"/>
      <c r="MK500" s="13"/>
      <c r="ML500" s="12"/>
      <c r="MW500" s="13"/>
      <c r="MY500" s="12"/>
      <c r="OD500" s="5"/>
    </row>
    <row r="501" spans="8:394" ht="18" customHeight="1">
      <c r="H501" s="4"/>
      <c r="AD501" s="12"/>
      <c r="AF501" s="12"/>
      <c r="BD501" s="18"/>
      <c r="CB501" s="13"/>
      <c r="CD501" s="13"/>
      <c r="DW501" s="5"/>
      <c r="EQ501" s="4"/>
      <c r="FL501" s="13"/>
      <c r="FM501" s="43"/>
      <c r="FN501" s="43"/>
      <c r="FO501" s="14"/>
      <c r="FP501" s="15"/>
      <c r="FQ501" s="15"/>
      <c r="FR501" s="15"/>
      <c r="FS501" s="15"/>
      <c r="FT501" s="15"/>
      <c r="FU501" s="15"/>
      <c r="FV501" s="15"/>
      <c r="FW501" s="15"/>
      <c r="FX501" s="15"/>
      <c r="FY501" s="15"/>
      <c r="FZ501" s="15"/>
      <c r="GA501" s="15"/>
      <c r="GB501" s="15"/>
      <c r="GC501" s="15"/>
      <c r="GD501" s="15"/>
      <c r="GE501" s="15"/>
      <c r="GF501" s="15"/>
      <c r="GG501" s="15"/>
      <c r="GH501" s="15"/>
      <c r="GI501" s="15"/>
      <c r="GJ501" s="15"/>
      <c r="GK501" s="15"/>
      <c r="GL501" s="16"/>
      <c r="GN501" s="12"/>
      <c r="GP501" s="13"/>
      <c r="HI501" s="13"/>
      <c r="HJ501" s="43"/>
      <c r="HK501" s="45"/>
      <c r="HL501" s="146"/>
      <c r="HM501" s="147"/>
      <c r="HN501" s="147"/>
      <c r="HO501" s="147"/>
      <c r="HP501" s="147"/>
      <c r="HQ501" s="147"/>
      <c r="HR501" s="147"/>
      <c r="HS501" s="147"/>
      <c r="HT501" s="147"/>
      <c r="HU501" s="147"/>
      <c r="HV501" s="147"/>
      <c r="HW501" s="147"/>
      <c r="HX501" s="147"/>
      <c r="HY501" s="147"/>
      <c r="HZ501" s="147"/>
      <c r="IA501" s="147"/>
      <c r="IB501" s="147"/>
      <c r="IC501" s="147"/>
      <c r="ID501" s="147"/>
      <c r="IE501" s="148"/>
      <c r="JF501" s="5"/>
      <c r="JO501" s="4"/>
      <c r="KJ501" s="13"/>
      <c r="KM501" s="14"/>
      <c r="KN501" s="15"/>
      <c r="KO501" s="15"/>
      <c r="KP501" s="15"/>
      <c r="KQ501" s="15"/>
      <c r="KR501" s="15"/>
      <c r="KS501" s="15"/>
      <c r="KT501" s="15"/>
      <c r="KU501" s="15"/>
      <c r="KV501" s="15"/>
      <c r="KW501" s="15"/>
      <c r="KX501" s="15"/>
      <c r="KY501" s="15"/>
      <c r="KZ501" s="15"/>
      <c r="LA501" s="15"/>
      <c r="LB501" s="15"/>
      <c r="LC501" s="15"/>
      <c r="LD501" s="15"/>
      <c r="LE501" s="15"/>
      <c r="LF501" s="15"/>
      <c r="LG501" s="15"/>
      <c r="LH501" s="15"/>
      <c r="LI501" s="15"/>
      <c r="LJ501" s="16"/>
      <c r="LL501" s="12"/>
      <c r="MI501" s="13"/>
      <c r="MK501" s="13"/>
      <c r="ML501" s="12"/>
      <c r="MW501" s="13"/>
      <c r="MY501" s="12"/>
      <c r="OD501" s="5"/>
    </row>
    <row r="502" spans="8:394" ht="18" customHeight="1">
      <c r="H502" s="4"/>
      <c r="AD502" s="12"/>
      <c r="AF502" s="9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  <c r="BB502" s="10"/>
      <c r="BC502" s="10"/>
      <c r="BD502" s="18"/>
      <c r="CB502" s="13"/>
      <c r="CD502" s="13"/>
      <c r="CE502" s="14"/>
      <c r="CF502" s="15"/>
      <c r="CG502" s="15"/>
      <c r="CH502" s="15"/>
      <c r="CI502" s="15"/>
      <c r="CJ502" s="15"/>
      <c r="CK502" s="15"/>
      <c r="CL502" s="15"/>
      <c r="CM502" s="15"/>
      <c r="CN502" s="15"/>
      <c r="CO502" s="15"/>
      <c r="CP502" s="15"/>
      <c r="CQ502" s="15"/>
      <c r="CR502" s="15"/>
      <c r="CS502" s="15"/>
      <c r="CT502" s="15"/>
      <c r="CU502" s="15"/>
      <c r="DW502" s="5"/>
      <c r="EQ502" s="4"/>
      <c r="FL502" s="13"/>
      <c r="FM502" s="43"/>
      <c r="FN502" s="43"/>
      <c r="GN502" s="14"/>
      <c r="GO502" s="15"/>
      <c r="GP502" s="16"/>
      <c r="HI502" s="13"/>
      <c r="HJ502" s="43"/>
      <c r="HK502" s="45"/>
      <c r="HL502" s="149"/>
      <c r="HM502" s="150"/>
      <c r="HN502" s="150"/>
      <c r="HO502" s="150"/>
      <c r="HP502" s="150"/>
      <c r="HQ502" s="150"/>
      <c r="HR502" s="150"/>
      <c r="HS502" s="150"/>
      <c r="HT502" s="150"/>
      <c r="HU502" s="150"/>
      <c r="HV502" s="150"/>
      <c r="HW502" s="150"/>
      <c r="HX502" s="150"/>
      <c r="HY502" s="150"/>
      <c r="HZ502" s="150"/>
      <c r="IA502" s="150"/>
      <c r="IB502" s="150"/>
      <c r="IC502" s="150"/>
      <c r="ID502" s="150"/>
      <c r="IE502" s="151"/>
      <c r="JF502" s="5"/>
      <c r="JO502" s="4"/>
      <c r="KJ502" s="13"/>
      <c r="LL502" s="12"/>
      <c r="MI502" s="13"/>
      <c r="MK502" s="13"/>
      <c r="ML502" s="12"/>
      <c r="MW502" s="13"/>
      <c r="MY502" s="12"/>
      <c r="OD502" s="5"/>
    </row>
    <row r="503" spans="8:394" ht="18" customHeight="1">
      <c r="H503" s="4"/>
      <c r="AD503" s="12"/>
      <c r="AF503" s="12"/>
      <c r="BD503" s="18"/>
      <c r="CB503" s="13"/>
      <c r="CD503" s="13"/>
      <c r="CU503" s="13"/>
      <c r="DW503" s="5"/>
      <c r="EQ503" s="4"/>
      <c r="FL503" s="13"/>
      <c r="FM503" s="43"/>
      <c r="FN503" s="43"/>
      <c r="FO503" s="9"/>
      <c r="FP503" s="10"/>
      <c r="FQ503" s="10"/>
      <c r="FR503" s="10"/>
      <c r="FS503" s="10"/>
      <c r="FT503" s="10"/>
      <c r="FU503" s="10"/>
      <c r="FV503" s="10"/>
      <c r="FW503" s="10"/>
      <c r="FX503" s="10"/>
      <c r="FY503" s="10"/>
      <c r="FZ503" s="10"/>
      <c r="GA503" s="10"/>
      <c r="GB503" s="10"/>
      <c r="GC503" s="10"/>
      <c r="GD503" s="10"/>
      <c r="GE503" s="10"/>
      <c r="GF503" s="10"/>
      <c r="GG503" s="10"/>
      <c r="GH503" s="10"/>
      <c r="GI503" s="10"/>
      <c r="GJ503" s="10"/>
      <c r="GK503" s="10"/>
      <c r="GL503" s="11"/>
      <c r="GN503" s="12"/>
      <c r="HI503" s="13"/>
      <c r="HJ503" s="43"/>
      <c r="HK503" s="45"/>
      <c r="HL503" s="152"/>
      <c r="HM503" s="153"/>
      <c r="HN503" s="153"/>
      <c r="HO503" s="153"/>
      <c r="HP503" s="153"/>
      <c r="HQ503" s="153"/>
      <c r="HR503" s="153"/>
      <c r="HS503" s="153"/>
      <c r="HT503" s="153"/>
      <c r="HU503" s="153"/>
      <c r="HV503" s="153"/>
      <c r="HW503" s="153"/>
      <c r="HX503" s="153"/>
      <c r="HY503" s="153"/>
      <c r="HZ503" s="153"/>
      <c r="IA503" s="153"/>
      <c r="IB503" s="153"/>
      <c r="IC503" s="150"/>
      <c r="ID503" s="150"/>
      <c r="IE503" s="151"/>
      <c r="JF503" s="5"/>
      <c r="JO503" s="4"/>
      <c r="KK503" s="9"/>
      <c r="KL503" s="10"/>
      <c r="KM503" s="9"/>
      <c r="KN503" s="10"/>
      <c r="KO503" s="10"/>
      <c r="KP503" s="10"/>
      <c r="KQ503" s="9"/>
      <c r="KR503" s="10"/>
      <c r="KS503" s="10"/>
      <c r="KT503" s="10"/>
      <c r="KU503" s="10"/>
      <c r="KV503" s="10"/>
      <c r="KW503" s="10"/>
      <c r="KX503" s="10"/>
      <c r="KY503" s="10"/>
      <c r="KZ503" s="10"/>
      <c r="LA503" s="10"/>
      <c r="LB503" s="10"/>
      <c r="LC503" s="10"/>
      <c r="LD503" s="10"/>
      <c r="LE503" s="10"/>
      <c r="LF503" s="10"/>
      <c r="LG503" s="10"/>
      <c r="LH503" s="10"/>
      <c r="LI503" s="10"/>
      <c r="LJ503" s="10"/>
      <c r="LK503" s="10"/>
      <c r="MI503" s="13"/>
      <c r="ML503" s="12"/>
      <c r="MW503" s="13"/>
      <c r="MY503" s="12"/>
      <c r="OD503" s="5"/>
    </row>
    <row r="504" spans="8:394" ht="18" customHeight="1">
      <c r="H504" s="4"/>
      <c r="AD504" s="12"/>
      <c r="AF504" s="12"/>
      <c r="BD504" s="18"/>
      <c r="CB504" s="13"/>
      <c r="CD504" s="13"/>
      <c r="CE504" s="9"/>
      <c r="CF504" s="10"/>
      <c r="CG504" s="10"/>
      <c r="CH504" s="10"/>
      <c r="CI504" s="10"/>
      <c r="CJ504" s="10"/>
      <c r="CK504" s="10"/>
      <c r="CL504" s="10"/>
      <c r="CM504" s="10"/>
      <c r="CN504" s="10"/>
      <c r="CO504" s="10"/>
      <c r="CP504" s="10"/>
      <c r="CQ504" s="10"/>
      <c r="CR504" s="10"/>
      <c r="CS504" s="10"/>
      <c r="CT504" s="11"/>
      <c r="CU504" s="13"/>
      <c r="DW504" s="5"/>
      <c r="EQ504" s="4"/>
      <c r="FM504" s="42"/>
      <c r="FN504" s="43"/>
      <c r="FO504" s="12"/>
      <c r="GL504" s="13"/>
      <c r="GN504" s="12"/>
      <c r="HI504" s="13"/>
      <c r="HJ504" s="43"/>
      <c r="HK504" s="45"/>
      <c r="HL504" s="150"/>
      <c r="HM504" s="150"/>
      <c r="HN504" s="150"/>
      <c r="HO504" s="150"/>
      <c r="HP504" s="150"/>
      <c r="HQ504" s="150"/>
      <c r="HR504" s="150"/>
      <c r="HS504" s="150"/>
      <c r="HT504" s="150"/>
      <c r="HU504" s="150"/>
      <c r="HV504" s="150"/>
      <c r="HW504" s="150"/>
      <c r="HX504" s="150"/>
      <c r="HY504" s="150"/>
      <c r="HZ504" s="150"/>
      <c r="IA504" s="150"/>
      <c r="IB504" s="151"/>
      <c r="IC504" s="150"/>
      <c r="ID504" s="150"/>
      <c r="IE504" s="151"/>
      <c r="JF504" s="5"/>
      <c r="JO504" s="4"/>
      <c r="KK504" s="12"/>
      <c r="KM504" s="12"/>
      <c r="KQ504" s="12"/>
      <c r="MI504" s="13"/>
      <c r="ML504" s="12"/>
      <c r="MW504" s="13"/>
      <c r="MY504" s="12"/>
      <c r="OD504" s="5"/>
    </row>
    <row r="505" spans="8:394" ht="18" customHeight="1">
      <c r="H505" s="4"/>
      <c r="AD505" s="12"/>
      <c r="AF505" s="12"/>
      <c r="BD505" s="19"/>
      <c r="CB505" s="13"/>
      <c r="CD505" s="13"/>
      <c r="CE505" s="12"/>
      <c r="CT505" s="13"/>
      <c r="CU505" s="13"/>
      <c r="DW505" s="5"/>
      <c r="EQ505" s="4"/>
      <c r="FM505" s="42"/>
      <c r="FN505" s="43"/>
      <c r="FO505" s="12"/>
      <c r="GL505" s="13"/>
      <c r="GN505" s="12"/>
      <c r="HI505" s="13"/>
      <c r="HJ505" s="43"/>
      <c r="HK505" s="45"/>
      <c r="HL505" s="146"/>
      <c r="HM505" s="147"/>
      <c r="HN505" s="147"/>
      <c r="HO505" s="147"/>
      <c r="HP505" s="147"/>
      <c r="HQ505" s="147"/>
      <c r="HR505" s="147"/>
      <c r="HS505" s="147"/>
      <c r="HT505" s="147"/>
      <c r="HU505" s="147"/>
      <c r="HV505" s="147"/>
      <c r="HW505" s="147"/>
      <c r="HX505" s="147"/>
      <c r="HY505" s="147"/>
      <c r="HZ505" s="147"/>
      <c r="IA505" s="148"/>
      <c r="IB505" s="151"/>
      <c r="IC505" s="150"/>
      <c r="ID505" s="150"/>
      <c r="IE505" s="151"/>
      <c r="JF505" s="5"/>
      <c r="JO505" s="4"/>
      <c r="KK505" s="12"/>
      <c r="KM505" s="12"/>
      <c r="KQ505" s="12"/>
      <c r="MI505" s="13"/>
      <c r="ML505" s="12"/>
      <c r="MW505" s="13"/>
      <c r="MY505" s="12"/>
      <c r="OD505" s="5"/>
    </row>
    <row r="506" spans="8:394" ht="18" customHeight="1">
      <c r="H506" s="4"/>
      <c r="AD506" s="12"/>
      <c r="AF506" s="12"/>
      <c r="AJ506" s="9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  <c r="BB506" s="10"/>
      <c r="BC506" s="10"/>
      <c r="CB506" s="13"/>
      <c r="CD506" s="13"/>
      <c r="CE506" s="12"/>
      <c r="CT506" s="13"/>
      <c r="CU506" s="13"/>
      <c r="DW506" s="5"/>
      <c r="EQ506" s="4"/>
      <c r="FM506" s="42"/>
      <c r="FN506" s="43"/>
      <c r="FO506" s="12"/>
      <c r="GL506" s="13"/>
      <c r="GN506" s="12"/>
      <c r="HI506" s="13"/>
      <c r="HJ506" s="43"/>
      <c r="HK506" s="45"/>
      <c r="HL506" s="149"/>
      <c r="HM506" s="150"/>
      <c r="HN506" s="150"/>
      <c r="HO506" s="150"/>
      <c r="HP506" s="150"/>
      <c r="HQ506" s="150"/>
      <c r="HR506" s="150"/>
      <c r="HS506" s="150"/>
      <c r="HT506" s="150"/>
      <c r="HU506" s="150"/>
      <c r="HV506" s="150"/>
      <c r="HW506" s="150"/>
      <c r="HX506" s="150"/>
      <c r="HY506" s="150"/>
      <c r="HZ506" s="150"/>
      <c r="IA506" s="151"/>
      <c r="IB506" s="151"/>
      <c r="IC506" s="150"/>
      <c r="ID506" s="150"/>
      <c r="IE506" s="151"/>
      <c r="JF506" s="5"/>
      <c r="JO506" s="4"/>
      <c r="KK506" s="12"/>
      <c r="KM506" s="12"/>
      <c r="KQ506" s="12"/>
      <c r="MI506" s="13"/>
      <c r="ML506" s="12"/>
      <c r="MW506" s="13"/>
      <c r="MY506" s="12"/>
      <c r="OD506" s="5"/>
    </row>
    <row r="507" spans="8:394" ht="18" customHeight="1">
      <c r="H507" s="4"/>
      <c r="AD507" s="17"/>
      <c r="AE507" s="9"/>
      <c r="AF507" s="12"/>
      <c r="AJ507" s="12"/>
      <c r="CB507" s="13"/>
      <c r="CC507" s="17"/>
      <c r="CD507" s="17"/>
      <c r="CE507" s="12"/>
      <c r="CT507" s="13"/>
      <c r="CU507" s="13"/>
      <c r="DW507" s="5"/>
      <c r="EQ507" s="4"/>
      <c r="FM507" s="42"/>
      <c r="FN507" s="43"/>
      <c r="FO507" s="12"/>
      <c r="FS507" s="9"/>
      <c r="FT507" s="10"/>
      <c r="FU507" s="10"/>
      <c r="FV507" s="10"/>
      <c r="FW507" s="10"/>
      <c r="FX507" s="10"/>
      <c r="FY507" s="10"/>
      <c r="FZ507" s="10"/>
      <c r="GA507" s="10"/>
      <c r="GB507" s="10"/>
      <c r="GC507" s="10"/>
      <c r="GD507" s="10"/>
      <c r="GE507" s="10"/>
      <c r="GF507" s="10"/>
      <c r="GG507" s="10"/>
      <c r="GH507" s="10"/>
      <c r="GI507" s="10"/>
      <c r="GJ507" s="10"/>
      <c r="GK507" s="10"/>
      <c r="GL507" s="10"/>
      <c r="GM507" s="10"/>
      <c r="HI507" s="13"/>
      <c r="HJ507" s="43"/>
      <c r="HK507" s="45"/>
      <c r="HL507" s="149"/>
      <c r="HM507" s="150"/>
      <c r="HN507" s="150"/>
      <c r="HO507" s="150"/>
      <c r="HP507" s="150"/>
      <c r="HQ507" s="150"/>
      <c r="HR507" s="150"/>
      <c r="HS507" s="150"/>
      <c r="HT507" s="150"/>
      <c r="HU507" s="150"/>
      <c r="HV507" s="150"/>
      <c r="HW507" s="150"/>
      <c r="HX507" s="150"/>
      <c r="HY507" s="150"/>
      <c r="HZ507" s="150"/>
      <c r="IA507" s="151"/>
      <c r="IB507" s="151"/>
      <c r="IC507" s="150"/>
      <c r="ID507" s="150"/>
      <c r="IE507" s="151"/>
      <c r="JF507" s="5"/>
      <c r="JO507" s="4"/>
      <c r="KK507" s="12"/>
      <c r="KM507" s="12"/>
      <c r="KQ507" s="12"/>
      <c r="MI507" s="13"/>
      <c r="ML507" s="12"/>
      <c r="MW507" s="13"/>
      <c r="MY507" s="12"/>
      <c r="OD507" s="5"/>
    </row>
    <row r="508" spans="8:394" ht="18" customHeight="1">
      <c r="H508" s="4"/>
      <c r="AD508" s="18"/>
      <c r="AE508" s="12"/>
      <c r="AF508" s="12"/>
      <c r="AG508" s="9"/>
      <c r="AH508" s="11"/>
      <c r="AJ508" s="12"/>
      <c r="CB508" s="13"/>
      <c r="CC508" s="18"/>
      <c r="CD508" s="18"/>
      <c r="CE508" s="12"/>
      <c r="CI508" s="9"/>
      <c r="CJ508" s="10"/>
      <c r="CK508" s="10"/>
      <c r="CL508" s="10"/>
      <c r="CM508" s="10"/>
      <c r="CN508" s="10"/>
      <c r="CO508" s="10"/>
      <c r="CP508" s="11"/>
      <c r="CT508" s="13"/>
      <c r="CU508" s="13"/>
      <c r="CV508" s="9"/>
      <c r="CW508" s="10"/>
      <c r="CX508" s="10"/>
      <c r="CY508" s="10"/>
      <c r="CZ508" s="10"/>
      <c r="DA508" s="10"/>
      <c r="DB508" s="10"/>
      <c r="DC508" s="10"/>
      <c r="DD508" s="10"/>
      <c r="DE508" s="10"/>
      <c r="DF508" s="10"/>
      <c r="DG508" s="10"/>
      <c r="DH508" s="10"/>
      <c r="DI508" s="10"/>
      <c r="DJ508" s="10"/>
      <c r="DK508" s="10"/>
      <c r="DL508" s="10"/>
      <c r="DM508" s="10"/>
      <c r="DN508" s="10"/>
      <c r="DO508" s="10"/>
      <c r="DP508" s="10"/>
      <c r="DQ508" s="10"/>
      <c r="DR508" s="10"/>
      <c r="DS508" s="10"/>
      <c r="DT508" s="10"/>
      <c r="DU508" s="10"/>
      <c r="DV508" s="9"/>
      <c r="DW508" s="11"/>
      <c r="EQ508" s="4"/>
      <c r="FM508" s="125"/>
      <c r="FN508" s="125"/>
      <c r="FO508" s="12"/>
      <c r="FS508" s="12"/>
      <c r="HI508" s="13"/>
      <c r="HJ508" s="125"/>
      <c r="HK508" s="125"/>
      <c r="HL508" s="149"/>
      <c r="HM508" s="150"/>
      <c r="HN508" s="150"/>
      <c r="HO508" s="150"/>
      <c r="HP508" s="150"/>
      <c r="HQ508" s="150"/>
      <c r="HR508" s="150"/>
      <c r="HS508" s="150"/>
      <c r="HT508" s="150"/>
      <c r="HU508" s="150"/>
      <c r="HV508" s="150"/>
      <c r="HW508" s="150"/>
      <c r="HX508" s="150"/>
      <c r="HY508" s="150"/>
      <c r="HZ508" s="150"/>
      <c r="IA508" s="151"/>
      <c r="IB508" s="151"/>
      <c r="IC508" s="150"/>
      <c r="ID508" s="150"/>
      <c r="IE508" s="151"/>
      <c r="JF508" s="5"/>
      <c r="JO508" s="4"/>
      <c r="KK508" s="12"/>
      <c r="KM508" s="9"/>
      <c r="KN508" s="10"/>
      <c r="KO508" s="10"/>
      <c r="KP508" s="11"/>
      <c r="KQ508" s="12"/>
      <c r="MI508" s="13"/>
      <c r="ML508" s="12"/>
      <c r="MW508" s="13"/>
      <c r="MY508" s="12"/>
      <c r="OD508" s="5"/>
    </row>
    <row r="509" spans="8:394" ht="18" customHeight="1">
      <c r="H509" s="4"/>
      <c r="AD509" s="18"/>
      <c r="AE509" s="12"/>
      <c r="AF509" s="12"/>
      <c r="AG509" s="12"/>
      <c r="AH509" s="13"/>
      <c r="AJ509" s="12"/>
      <c r="CB509" s="13"/>
      <c r="CC509" s="18"/>
      <c r="CD509" s="18"/>
      <c r="CE509" s="12"/>
      <c r="CI509" s="12"/>
      <c r="CP509" s="13"/>
      <c r="CT509" s="13"/>
      <c r="CU509" s="13"/>
      <c r="CV509" s="12"/>
      <c r="DV509" s="12"/>
      <c r="DW509" s="13"/>
      <c r="EQ509" s="4"/>
      <c r="FM509" s="108"/>
      <c r="FN509" s="108"/>
      <c r="FO509" s="12"/>
      <c r="FP509" s="168"/>
      <c r="FQ509" s="169"/>
      <c r="FS509" s="12"/>
      <c r="HI509" s="13"/>
      <c r="HJ509" s="108"/>
      <c r="HK509" s="108"/>
      <c r="HL509" s="149"/>
      <c r="HM509" s="150"/>
      <c r="HN509" s="150"/>
      <c r="HO509" s="150"/>
      <c r="HP509" s="150"/>
      <c r="HQ509" s="150"/>
      <c r="HR509" s="150"/>
      <c r="HS509" s="150"/>
      <c r="HT509" s="150"/>
      <c r="HU509" s="150"/>
      <c r="HV509" s="150"/>
      <c r="HW509" s="150"/>
      <c r="HX509" s="150"/>
      <c r="HY509" s="150"/>
      <c r="HZ509" s="150"/>
      <c r="IA509" s="151"/>
      <c r="IB509" s="151"/>
      <c r="IC509" s="146"/>
      <c r="ID509" s="147"/>
      <c r="IE509" s="148"/>
      <c r="IF509" s="10"/>
      <c r="IG509" s="10"/>
      <c r="IH509" s="10"/>
      <c r="II509" s="10"/>
      <c r="IJ509" s="10"/>
      <c r="IK509" s="10"/>
      <c r="IL509" s="10"/>
      <c r="IM509" s="10"/>
      <c r="IN509" s="10"/>
      <c r="IO509" s="10"/>
      <c r="IP509" s="10"/>
      <c r="IQ509" s="10"/>
      <c r="IR509" s="10"/>
      <c r="IS509" s="10"/>
      <c r="IT509" s="10"/>
      <c r="IU509" s="10"/>
      <c r="IV509" s="10"/>
      <c r="IW509" s="10"/>
      <c r="IX509" s="10"/>
      <c r="IY509" s="10"/>
      <c r="IZ509" s="10"/>
      <c r="JA509" s="10"/>
      <c r="JB509" s="10"/>
      <c r="JC509" s="10"/>
      <c r="JD509" s="10"/>
      <c r="JE509" s="9"/>
      <c r="JF509" s="11"/>
      <c r="JO509" s="4"/>
      <c r="KK509" s="12"/>
      <c r="KM509" s="12"/>
      <c r="KP509" s="13"/>
      <c r="KQ509" s="12"/>
      <c r="MI509" s="13"/>
      <c r="ML509" s="12"/>
      <c r="MW509" s="13"/>
      <c r="MY509" s="12"/>
      <c r="NF509" s="10"/>
      <c r="NG509" s="10"/>
      <c r="NH509" s="10"/>
      <c r="NI509" s="10"/>
      <c r="NJ509" s="10"/>
      <c r="NK509" s="10"/>
      <c r="NL509" s="10"/>
      <c r="NM509" s="10"/>
      <c r="NN509" s="10"/>
      <c r="NO509" s="10"/>
      <c r="NP509" s="10"/>
      <c r="NQ509" s="10"/>
      <c r="NR509" s="10"/>
      <c r="NS509" s="10"/>
      <c r="NT509" s="10"/>
      <c r="NU509" s="10"/>
      <c r="NV509" s="10"/>
      <c r="NW509" s="10"/>
      <c r="NX509" s="10"/>
      <c r="NY509" s="10"/>
      <c r="NZ509" s="10"/>
      <c r="OA509" s="10"/>
      <c r="OB509" s="10"/>
      <c r="OC509" s="9"/>
      <c r="OD509" s="11"/>
    </row>
    <row r="510" spans="8:394" ht="18" customHeight="1">
      <c r="H510" s="4"/>
      <c r="AD510" s="18"/>
      <c r="AE510" s="12"/>
      <c r="AF510" s="12"/>
      <c r="AG510" s="12"/>
      <c r="AH510" s="13"/>
      <c r="AJ510" s="12"/>
      <c r="CB510" s="13"/>
      <c r="CC510" s="18"/>
      <c r="CD510" s="18"/>
      <c r="CE510" s="12"/>
      <c r="CI510" s="12"/>
      <c r="CP510" s="13"/>
      <c r="CT510" s="13"/>
      <c r="CU510" s="13"/>
      <c r="CV510" s="12"/>
      <c r="DV510" s="12"/>
      <c r="DW510" s="13"/>
      <c r="EQ510" s="4"/>
      <c r="FM510" s="108"/>
      <c r="FN510" s="108"/>
      <c r="FO510" s="12"/>
      <c r="FP510" s="170"/>
      <c r="FQ510" s="172"/>
      <c r="FS510" s="12"/>
      <c r="HI510" s="13"/>
      <c r="HJ510" s="108"/>
      <c r="HK510" s="108"/>
      <c r="HL510" s="149"/>
      <c r="HM510" s="150"/>
      <c r="HN510" s="150"/>
      <c r="HO510" s="150"/>
      <c r="HP510" s="150"/>
      <c r="HQ510" s="150"/>
      <c r="HR510" s="150"/>
      <c r="HS510" s="150"/>
      <c r="HT510" s="150"/>
      <c r="HU510" s="150"/>
      <c r="HV510" s="150"/>
      <c r="HW510" s="150"/>
      <c r="HX510" s="150"/>
      <c r="HY510" s="150"/>
      <c r="HZ510" s="150"/>
      <c r="IA510" s="151"/>
      <c r="IB510" s="151"/>
      <c r="IC510" s="149"/>
      <c r="ID510" s="150"/>
      <c r="IE510" s="151"/>
      <c r="JE510" s="12"/>
      <c r="JF510" s="13"/>
      <c r="JO510" s="4"/>
      <c r="KK510" s="12"/>
      <c r="KM510" s="12"/>
      <c r="KP510" s="13"/>
      <c r="KQ510" s="12"/>
      <c r="KY510" s="15"/>
      <c r="KZ510" s="15"/>
      <c r="LA510" s="15"/>
      <c r="LB510" s="15"/>
      <c r="LC510" s="15"/>
      <c r="LD510" s="15"/>
      <c r="LE510" s="15"/>
      <c r="LF510" s="15"/>
      <c r="LG510" s="15"/>
      <c r="LH510" s="15"/>
      <c r="LI510" s="15"/>
      <c r="LJ510" s="15"/>
      <c r="LK510" s="15"/>
      <c r="LL510" s="15"/>
      <c r="LM510" s="15"/>
      <c r="LN510" s="15"/>
      <c r="LO510" s="15"/>
      <c r="LP510" s="15"/>
      <c r="LQ510" s="15"/>
      <c r="LR510" s="15"/>
      <c r="LS510" s="15"/>
      <c r="LT510" s="15"/>
      <c r="LU510" s="15"/>
      <c r="LV510" s="15"/>
      <c r="LW510" s="15"/>
      <c r="LX510" s="15"/>
      <c r="LY510" s="15"/>
      <c r="LZ510" s="15"/>
      <c r="MA510" s="15"/>
      <c r="MB510" s="15"/>
      <c r="MC510" s="15"/>
      <c r="MD510" s="15"/>
      <c r="ME510" s="15"/>
      <c r="MF510" s="15"/>
      <c r="MG510" s="15"/>
      <c r="MH510" s="15"/>
      <c r="MI510" s="16"/>
      <c r="ML510" s="12"/>
      <c r="MW510" s="13"/>
      <c r="MY510" s="12"/>
      <c r="OC510" s="12"/>
      <c r="OD510" s="13"/>
    </row>
    <row r="511" spans="8:394" ht="18" customHeight="1">
      <c r="H511" s="4"/>
      <c r="AD511" s="18"/>
      <c r="AE511" s="12"/>
      <c r="AF511" s="12"/>
      <c r="AG511" s="14"/>
      <c r="AH511" s="16"/>
      <c r="AJ511" s="12"/>
      <c r="CB511" s="13"/>
      <c r="CC511" s="18"/>
      <c r="CD511" s="18"/>
      <c r="CE511" s="12"/>
      <c r="CI511" s="12"/>
      <c r="CP511" s="13"/>
      <c r="CT511" s="13"/>
      <c r="CU511" s="13"/>
      <c r="CV511" s="12"/>
      <c r="DV511" s="12"/>
      <c r="DW511" s="13"/>
      <c r="EQ511" s="4"/>
      <c r="FM511" s="108"/>
      <c r="FN511" s="108"/>
      <c r="FO511" s="12"/>
      <c r="FP511" s="170"/>
      <c r="FQ511" s="172"/>
      <c r="FS511" s="12"/>
      <c r="HI511" s="13"/>
      <c r="HJ511" s="108"/>
      <c r="HK511" s="108"/>
      <c r="HL511" s="149"/>
      <c r="HM511" s="150"/>
      <c r="HN511" s="150"/>
      <c r="HO511" s="150"/>
      <c r="HP511" s="150"/>
      <c r="HQ511" s="150"/>
      <c r="HR511" s="150"/>
      <c r="HS511" s="150"/>
      <c r="HT511" s="150"/>
      <c r="HU511" s="150"/>
      <c r="HV511" s="150"/>
      <c r="HW511" s="150"/>
      <c r="HX511" s="150"/>
      <c r="HY511" s="150"/>
      <c r="HZ511" s="150"/>
      <c r="IA511" s="151"/>
      <c r="IB511" s="151"/>
      <c r="IC511" s="149"/>
      <c r="ID511" s="150"/>
      <c r="IE511" s="151"/>
      <c r="JE511" s="12"/>
      <c r="JF511" s="13"/>
      <c r="JO511" s="4"/>
      <c r="KK511" s="12"/>
      <c r="KM511" s="14"/>
      <c r="KN511" s="15"/>
      <c r="KO511" s="15"/>
      <c r="KP511" s="16"/>
      <c r="KQ511" s="12"/>
      <c r="KX511" s="13"/>
      <c r="LB511" s="13"/>
      <c r="LD511" s="13"/>
      <c r="MC511" s="127"/>
      <c r="MD511" s="127"/>
      <c r="ME511" s="127"/>
      <c r="MF511" s="127"/>
      <c r="MG511" s="127"/>
      <c r="MH511" s="127"/>
      <c r="ML511" s="12"/>
      <c r="MW511" s="13"/>
      <c r="MY511" s="12"/>
      <c r="OC511" s="12"/>
      <c r="OD511" s="13"/>
    </row>
    <row r="512" spans="8:394" ht="18" customHeight="1">
      <c r="H512" s="4"/>
      <c r="AD512" s="19"/>
      <c r="AE512" s="14"/>
      <c r="AF512" s="12"/>
      <c r="AJ512" s="12"/>
      <c r="CB512" s="13"/>
      <c r="CC512" s="19"/>
      <c r="CD512" s="19"/>
      <c r="CE512" s="12"/>
      <c r="CI512" s="12"/>
      <c r="CP512" s="13"/>
      <c r="CT512" s="13"/>
      <c r="CU512" s="13"/>
      <c r="CV512" s="12"/>
      <c r="DV512" s="12"/>
      <c r="DW512" s="13"/>
      <c r="EQ512" s="4"/>
      <c r="FM512" s="108"/>
      <c r="FN512" s="108"/>
      <c r="FO512" s="12"/>
      <c r="FP512" s="173"/>
      <c r="FQ512" s="174"/>
      <c r="FS512" s="12"/>
      <c r="HI512" s="13"/>
      <c r="HJ512" s="108"/>
      <c r="HK512" s="108"/>
      <c r="HL512" s="149"/>
      <c r="HM512" s="150"/>
      <c r="HN512" s="150"/>
      <c r="HO512" s="150"/>
      <c r="HP512" s="150"/>
      <c r="HQ512" s="150"/>
      <c r="HR512" s="150"/>
      <c r="HS512" s="150"/>
      <c r="HT512" s="150"/>
      <c r="HU512" s="150"/>
      <c r="HV512" s="150"/>
      <c r="HW512" s="150"/>
      <c r="HX512" s="150"/>
      <c r="HY512" s="150"/>
      <c r="HZ512" s="150"/>
      <c r="IA512" s="151"/>
      <c r="IB512" s="151"/>
      <c r="IC512" s="149"/>
      <c r="ID512" s="150"/>
      <c r="IE512" s="151"/>
      <c r="JE512" s="12"/>
      <c r="JF512" s="13"/>
      <c r="JO512" s="4"/>
      <c r="KK512" s="12"/>
      <c r="KM512" s="12"/>
      <c r="KQ512" s="12"/>
      <c r="KX512" s="13"/>
      <c r="LB512" s="13"/>
      <c r="LD512" s="13"/>
      <c r="MC512" s="127"/>
      <c r="MD512" s="127"/>
      <c r="ME512" s="127"/>
      <c r="MF512" s="127"/>
      <c r="MG512" s="127"/>
      <c r="MH512" s="127"/>
      <c r="ML512" s="12"/>
      <c r="MW512" s="13"/>
      <c r="MY512" s="12"/>
      <c r="OC512" s="12"/>
      <c r="OD512" s="13"/>
    </row>
    <row r="513" spans="8:394" ht="18" customHeight="1">
      <c r="H513" s="4"/>
      <c r="AD513" s="12"/>
      <c r="AF513" s="12"/>
      <c r="AJ513" s="14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15"/>
      <c r="AZ513" s="15"/>
      <c r="BA513" s="15"/>
      <c r="BB513" s="15"/>
      <c r="BC513" s="15"/>
      <c r="BD513" s="15"/>
      <c r="CB513" s="13"/>
      <c r="CD513" s="13"/>
      <c r="CE513" s="12"/>
      <c r="CI513" s="12"/>
      <c r="CP513" s="13"/>
      <c r="CT513" s="13"/>
      <c r="CU513" s="13"/>
      <c r="CV513" s="12"/>
      <c r="DV513" s="12"/>
      <c r="DW513" s="13"/>
      <c r="EQ513" s="4"/>
      <c r="FM513" s="126"/>
      <c r="FN513" s="126"/>
      <c r="FO513" s="12"/>
      <c r="FS513" s="12"/>
      <c r="HI513" s="13"/>
      <c r="HJ513" s="126"/>
      <c r="HK513" s="126"/>
      <c r="HL513" s="149"/>
      <c r="HM513" s="150"/>
      <c r="HN513" s="150"/>
      <c r="HO513" s="150"/>
      <c r="HP513" s="150"/>
      <c r="HQ513" s="150"/>
      <c r="HR513" s="150"/>
      <c r="HS513" s="150"/>
      <c r="HT513" s="150"/>
      <c r="HU513" s="150"/>
      <c r="HV513" s="150"/>
      <c r="HW513" s="150"/>
      <c r="HX513" s="150"/>
      <c r="HY513" s="150"/>
      <c r="HZ513" s="150"/>
      <c r="IA513" s="151"/>
      <c r="IB513" s="151"/>
      <c r="IC513" s="149"/>
      <c r="ID513" s="150"/>
      <c r="IE513" s="151"/>
      <c r="JE513" s="12"/>
      <c r="JF513" s="13"/>
      <c r="JO513" s="4"/>
      <c r="KK513" s="12"/>
      <c r="KM513" s="12"/>
      <c r="KQ513" s="12"/>
      <c r="KX513" s="13"/>
      <c r="LB513" s="13"/>
      <c r="LE513" s="9"/>
      <c r="LF513" s="10"/>
      <c r="LG513" s="10"/>
      <c r="LH513" s="10"/>
      <c r="LI513" s="10"/>
      <c r="LJ513" s="10"/>
      <c r="LK513" s="10"/>
      <c r="LL513" s="10"/>
      <c r="LM513" s="10"/>
      <c r="LN513" s="10"/>
      <c r="LO513" s="10"/>
      <c r="LP513" s="10"/>
      <c r="LQ513" s="10"/>
      <c r="LR513" s="10"/>
      <c r="LS513" s="10"/>
      <c r="LT513" s="10"/>
      <c r="LU513" s="10"/>
      <c r="LV513" s="10"/>
      <c r="LW513" s="10"/>
      <c r="LX513" s="10"/>
      <c r="LY513" s="10"/>
      <c r="LZ513" s="10"/>
      <c r="MA513" s="10"/>
      <c r="MB513" s="10"/>
      <c r="MC513" s="10"/>
      <c r="MD513" s="10"/>
      <c r="ME513" s="10"/>
      <c r="MF513" s="10"/>
      <c r="MG513" s="10"/>
      <c r="MH513" s="10"/>
      <c r="MI513" s="10"/>
      <c r="MJ513" s="10"/>
      <c r="MK513" s="10"/>
      <c r="ML513" s="10"/>
      <c r="MM513" s="10"/>
      <c r="MN513" s="10"/>
      <c r="MO513" s="10"/>
      <c r="MP513" s="10"/>
      <c r="MQ513" s="10"/>
      <c r="MR513" s="10"/>
      <c r="MS513" s="10"/>
      <c r="MT513" s="10"/>
      <c r="MU513" s="10"/>
      <c r="MV513" s="10"/>
      <c r="MW513" s="11"/>
      <c r="MY513" s="12"/>
      <c r="OC513" s="12"/>
      <c r="OD513" s="13"/>
    </row>
    <row r="514" spans="8:394" ht="18" customHeight="1">
      <c r="H514" s="4"/>
      <c r="AD514" s="12"/>
      <c r="AF514" s="12"/>
      <c r="BC514" s="13"/>
      <c r="BE514" s="12"/>
      <c r="CB514" s="13"/>
      <c r="CD514" s="13"/>
      <c r="CE514" s="12"/>
      <c r="CI514" s="12"/>
      <c r="CP514" s="13"/>
      <c r="CT514" s="13"/>
      <c r="CU514" s="13"/>
      <c r="CV514" s="12"/>
      <c r="DV514" s="12"/>
      <c r="DW514" s="13"/>
      <c r="EQ514" s="4"/>
      <c r="FM514" s="42"/>
      <c r="FN514" s="43"/>
      <c r="FO514" s="12"/>
      <c r="FS514" s="14"/>
      <c r="FT514" s="15"/>
      <c r="FU514" s="15"/>
      <c r="FV514" s="15"/>
      <c r="FW514" s="15"/>
      <c r="FX514" s="15"/>
      <c r="FY514" s="15"/>
      <c r="FZ514" s="15"/>
      <c r="GA514" s="15"/>
      <c r="GB514" s="15"/>
      <c r="GC514" s="15"/>
      <c r="GD514" s="15"/>
      <c r="GE514" s="15"/>
      <c r="GF514" s="15"/>
      <c r="GG514" s="15"/>
      <c r="GH514" s="15"/>
      <c r="GI514" s="15"/>
      <c r="GJ514" s="15"/>
      <c r="GK514" s="15"/>
      <c r="GL514" s="15"/>
      <c r="GM514" s="15"/>
      <c r="HI514" s="13"/>
      <c r="HJ514" s="43"/>
      <c r="HK514" s="45"/>
      <c r="HL514" s="149"/>
      <c r="HM514" s="150"/>
      <c r="HN514" s="150"/>
      <c r="HO514" s="150"/>
      <c r="HP514" s="150"/>
      <c r="HQ514" s="150"/>
      <c r="HR514" s="150"/>
      <c r="HS514" s="150"/>
      <c r="HT514" s="150"/>
      <c r="HU514" s="150"/>
      <c r="HV514" s="150"/>
      <c r="HW514" s="150"/>
      <c r="HX514" s="150"/>
      <c r="HY514" s="150"/>
      <c r="HZ514" s="150"/>
      <c r="IA514" s="151"/>
      <c r="IB514" s="151"/>
      <c r="IC514" s="149"/>
      <c r="ID514" s="150"/>
      <c r="IE514" s="151"/>
      <c r="JE514" s="12"/>
      <c r="JF514" s="13"/>
      <c r="JO514" s="4"/>
      <c r="KK514" s="12"/>
      <c r="KM514" s="12"/>
      <c r="KQ514" s="12"/>
      <c r="KX514" s="13"/>
      <c r="LB514" s="13"/>
      <c r="LE514" s="12"/>
      <c r="MW514" s="13"/>
      <c r="MY514" s="12"/>
      <c r="OC514" s="12"/>
      <c r="OD514" s="13"/>
    </row>
    <row r="515" spans="8:394" ht="18" customHeight="1">
      <c r="H515" s="4"/>
      <c r="AD515" s="12"/>
      <c r="AF515" s="12"/>
      <c r="BC515" s="13"/>
      <c r="BE515" s="12"/>
      <c r="CB515" s="13"/>
      <c r="CD515" s="13"/>
      <c r="CE515" s="12"/>
      <c r="CI515" s="14"/>
      <c r="CJ515" s="15"/>
      <c r="CK515" s="15"/>
      <c r="CL515" s="15"/>
      <c r="CM515" s="15"/>
      <c r="CN515" s="15"/>
      <c r="CO515" s="15"/>
      <c r="CP515" s="16"/>
      <c r="CT515" s="13"/>
      <c r="CU515" s="13"/>
      <c r="CV515" s="14"/>
      <c r="CW515" s="15"/>
      <c r="CX515" s="15"/>
      <c r="CY515" s="15"/>
      <c r="CZ515" s="15"/>
      <c r="DA515" s="15"/>
      <c r="DB515" s="15"/>
      <c r="DC515" s="15"/>
      <c r="DD515" s="15"/>
      <c r="DE515" s="15"/>
      <c r="DF515" s="15"/>
      <c r="DG515" s="15"/>
      <c r="DH515" s="15"/>
      <c r="DI515" s="15"/>
      <c r="DJ515" s="15"/>
      <c r="DK515" s="15"/>
      <c r="DL515" s="15"/>
      <c r="DM515" s="15"/>
      <c r="DN515" s="15"/>
      <c r="DO515" s="15"/>
      <c r="DP515" s="15"/>
      <c r="DQ515" s="15"/>
      <c r="DR515" s="15"/>
      <c r="DS515" s="15"/>
      <c r="DT515" s="15"/>
      <c r="DU515" s="15"/>
      <c r="DV515" s="14"/>
      <c r="DW515" s="16"/>
      <c r="EQ515" s="4"/>
      <c r="FM515" s="42"/>
      <c r="FN515" s="43"/>
      <c r="FO515" s="12"/>
      <c r="GL515" s="13"/>
      <c r="GN515" s="12"/>
      <c r="HI515" s="13"/>
      <c r="HJ515" s="43"/>
      <c r="HK515" s="45"/>
      <c r="HL515" s="149"/>
      <c r="HM515" s="150"/>
      <c r="HN515" s="150"/>
      <c r="HO515" s="150"/>
      <c r="HP515" s="150"/>
      <c r="HQ515" s="150"/>
      <c r="HR515" s="150"/>
      <c r="HS515" s="150"/>
      <c r="HT515" s="150"/>
      <c r="HU515" s="150"/>
      <c r="HV515" s="150"/>
      <c r="HW515" s="150"/>
      <c r="HX515" s="150"/>
      <c r="HY515" s="150"/>
      <c r="HZ515" s="150"/>
      <c r="IA515" s="151"/>
      <c r="IB515" s="151"/>
      <c r="IC515" s="149"/>
      <c r="ID515" s="150"/>
      <c r="IE515" s="151"/>
      <c r="JE515" s="12"/>
      <c r="JF515" s="13"/>
      <c r="JO515" s="4"/>
      <c r="KK515" s="12"/>
      <c r="KM515" s="12"/>
      <c r="KQ515" s="12"/>
      <c r="KX515" s="13"/>
      <c r="LB515" s="13"/>
      <c r="LE515" s="12"/>
      <c r="LL515" s="9"/>
      <c r="LM515" s="10"/>
      <c r="LN515" s="10"/>
      <c r="LO515" s="10"/>
      <c r="LP515" s="10"/>
      <c r="LQ515" s="10"/>
      <c r="LR515" s="11"/>
      <c r="MW515" s="13"/>
      <c r="MY515" s="12"/>
      <c r="OC515" s="12"/>
      <c r="OD515" s="13"/>
    </row>
    <row r="516" spans="8:394" ht="18" customHeight="1">
      <c r="H516" s="4"/>
      <c r="AD516" s="12"/>
      <c r="AF516" s="12"/>
      <c r="BC516" s="13"/>
      <c r="BE516" s="12"/>
      <c r="CB516" s="13"/>
      <c r="CD516" s="13"/>
      <c r="CE516" s="12"/>
      <c r="CT516" s="13"/>
      <c r="CU516" s="13"/>
      <c r="DW516" s="5"/>
      <c r="EQ516" s="4"/>
      <c r="FM516" s="42"/>
      <c r="FN516" s="43"/>
      <c r="FO516" s="12"/>
      <c r="GL516" s="13"/>
      <c r="GN516" s="12"/>
      <c r="HI516" s="13"/>
      <c r="HJ516" s="43"/>
      <c r="HK516" s="45"/>
      <c r="HL516" s="149"/>
      <c r="HM516" s="150"/>
      <c r="HN516" s="150"/>
      <c r="HO516" s="150"/>
      <c r="HP516" s="150"/>
      <c r="HQ516" s="150"/>
      <c r="HR516" s="150"/>
      <c r="HS516" s="150"/>
      <c r="HT516" s="150"/>
      <c r="HU516" s="150"/>
      <c r="HV516" s="150"/>
      <c r="HW516" s="150"/>
      <c r="HX516" s="150"/>
      <c r="HY516" s="150"/>
      <c r="HZ516" s="150"/>
      <c r="IA516" s="151"/>
      <c r="IB516" s="151"/>
      <c r="IC516" s="152"/>
      <c r="ID516" s="153"/>
      <c r="IE516" s="154"/>
      <c r="IF516" s="15"/>
      <c r="IG516" s="15"/>
      <c r="IH516" s="15"/>
      <c r="II516" s="15"/>
      <c r="IJ516" s="15"/>
      <c r="IK516" s="15"/>
      <c r="IL516" s="15"/>
      <c r="IM516" s="15"/>
      <c r="IN516" s="15"/>
      <c r="IO516" s="15"/>
      <c r="IP516" s="15"/>
      <c r="IQ516" s="15"/>
      <c r="IR516" s="15"/>
      <c r="IS516" s="15"/>
      <c r="IT516" s="15"/>
      <c r="IU516" s="15"/>
      <c r="IV516" s="15"/>
      <c r="IW516" s="15"/>
      <c r="IX516" s="15"/>
      <c r="IY516" s="15"/>
      <c r="IZ516" s="15"/>
      <c r="JA516" s="15"/>
      <c r="JB516" s="15"/>
      <c r="JC516" s="15"/>
      <c r="JD516" s="15"/>
      <c r="JE516" s="14"/>
      <c r="JF516" s="16"/>
      <c r="JO516" s="4"/>
      <c r="KK516" s="12"/>
      <c r="KM516" s="9"/>
      <c r="KN516" s="10"/>
      <c r="KO516" s="10"/>
      <c r="KP516" s="11"/>
      <c r="KQ516" s="12"/>
      <c r="KX516" s="13"/>
      <c r="KY516" s="9"/>
      <c r="KZ516" s="10"/>
      <c r="LA516" s="10"/>
      <c r="LB516" s="11"/>
      <c r="LE516" s="12"/>
      <c r="LL516" s="12"/>
      <c r="LR516" s="13"/>
      <c r="MW516" s="13"/>
      <c r="MY516" s="12"/>
      <c r="NF516" s="15"/>
      <c r="NG516" s="15"/>
      <c r="NH516" s="15"/>
      <c r="NI516" s="15"/>
      <c r="NJ516" s="15"/>
      <c r="NK516" s="15"/>
      <c r="NL516" s="15"/>
      <c r="NM516" s="15"/>
      <c r="NN516" s="15"/>
      <c r="NO516" s="15"/>
      <c r="NP516" s="15"/>
      <c r="NQ516" s="15"/>
      <c r="NR516" s="15"/>
      <c r="NS516" s="15"/>
      <c r="NT516" s="15"/>
      <c r="NU516" s="15"/>
      <c r="NV516" s="15"/>
      <c r="NW516" s="15"/>
      <c r="NX516" s="15"/>
      <c r="NY516" s="15"/>
      <c r="NZ516" s="15"/>
      <c r="OA516" s="15"/>
      <c r="OB516" s="15"/>
      <c r="OC516" s="14"/>
      <c r="OD516" s="16"/>
    </row>
    <row r="517" spans="8:394" ht="18" customHeight="1">
      <c r="H517" s="4"/>
      <c r="AD517" s="12"/>
      <c r="AF517" s="14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15"/>
      <c r="AZ517" s="15"/>
      <c r="BA517" s="15"/>
      <c r="BB517" s="15"/>
      <c r="BC517" s="16"/>
      <c r="BD517" s="15"/>
      <c r="BE517" s="14"/>
      <c r="BF517" s="15"/>
      <c r="BG517" s="15"/>
      <c r="BH517" s="15"/>
      <c r="BI517" s="15"/>
      <c r="BJ517" s="15"/>
      <c r="BK517" s="15"/>
      <c r="BL517" s="15"/>
      <c r="BM517" s="15"/>
      <c r="BN517" s="15"/>
      <c r="BO517" s="15"/>
      <c r="BP517" s="15"/>
      <c r="BQ517" s="15"/>
      <c r="BR517" s="15"/>
      <c r="BS517" s="15"/>
      <c r="BT517" s="15"/>
      <c r="BU517" s="15"/>
      <c r="BV517" s="15"/>
      <c r="BW517" s="15"/>
      <c r="BX517" s="15"/>
      <c r="BY517" s="15"/>
      <c r="BZ517" s="15"/>
      <c r="CA517" s="15"/>
      <c r="CB517" s="16"/>
      <c r="CD517" s="13"/>
      <c r="CE517" s="12"/>
      <c r="CT517" s="13"/>
      <c r="CU517" s="13"/>
      <c r="DW517" s="5"/>
      <c r="EQ517" s="4"/>
      <c r="FM517" s="42"/>
      <c r="FN517" s="43"/>
      <c r="FO517" s="12"/>
      <c r="GL517" s="13"/>
      <c r="GN517" s="12"/>
      <c r="HI517" s="13"/>
      <c r="HJ517" s="43"/>
      <c r="HK517" s="45"/>
      <c r="HL517" s="149"/>
      <c r="HM517" s="150"/>
      <c r="HN517" s="150"/>
      <c r="HO517" s="150"/>
      <c r="HP517" s="150"/>
      <c r="HQ517" s="150"/>
      <c r="HR517" s="150"/>
      <c r="HS517" s="150"/>
      <c r="HT517" s="150"/>
      <c r="HU517" s="150"/>
      <c r="HV517" s="150"/>
      <c r="HW517" s="150"/>
      <c r="HX517" s="150"/>
      <c r="HY517" s="150"/>
      <c r="HZ517" s="150"/>
      <c r="IA517" s="151"/>
      <c r="IB517" s="151"/>
      <c r="IC517" s="150"/>
      <c r="ID517" s="150"/>
      <c r="IE517" s="151"/>
      <c r="JF517" s="5"/>
      <c r="JO517" s="4"/>
      <c r="KK517" s="12"/>
      <c r="KM517" s="12"/>
      <c r="KP517" s="13"/>
      <c r="KQ517" s="12"/>
      <c r="KX517" s="13"/>
      <c r="KY517" s="12"/>
      <c r="LB517" s="13"/>
      <c r="LE517" s="12"/>
      <c r="LL517" s="12"/>
      <c r="LR517" s="13"/>
      <c r="MW517" s="13"/>
      <c r="MY517" s="12"/>
      <c r="OD517" s="5"/>
    </row>
    <row r="518" spans="8:394" ht="18" customHeight="1">
      <c r="H518" s="4"/>
      <c r="AD518" s="12"/>
      <c r="BJ518" s="14"/>
      <c r="BK518" s="15"/>
      <c r="BL518" s="15"/>
      <c r="BM518" s="15"/>
      <c r="BN518" s="15"/>
      <c r="BO518" s="16"/>
      <c r="BV518" s="127"/>
      <c r="BW518" s="127"/>
      <c r="BX518" s="127"/>
      <c r="BY518" s="127"/>
      <c r="BZ518" s="127"/>
      <c r="CA518" s="127"/>
      <c r="CD518" s="13"/>
      <c r="CE518" s="12"/>
      <c r="CT518" s="13"/>
      <c r="CU518" s="13"/>
      <c r="DW518" s="5"/>
      <c r="EQ518" s="4"/>
      <c r="FM518" s="42"/>
      <c r="FN518" s="43"/>
      <c r="FO518" s="14"/>
      <c r="FP518" s="15"/>
      <c r="FQ518" s="15"/>
      <c r="FR518" s="15"/>
      <c r="FS518" s="15"/>
      <c r="FT518" s="15"/>
      <c r="FU518" s="15"/>
      <c r="FV518" s="15"/>
      <c r="FW518" s="15"/>
      <c r="FX518" s="15"/>
      <c r="FY518" s="15"/>
      <c r="FZ518" s="15"/>
      <c r="GA518" s="15"/>
      <c r="GB518" s="15"/>
      <c r="GC518" s="15"/>
      <c r="GD518" s="15"/>
      <c r="GE518" s="15"/>
      <c r="GF518" s="15"/>
      <c r="GG518" s="15"/>
      <c r="GH518" s="15"/>
      <c r="GI518" s="15"/>
      <c r="GJ518" s="15"/>
      <c r="GK518" s="15"/>
      <c r="GL518" s="16"/>
      <c r="GN518" s="14"/>
      <c r="GO518" s="15"/>
      <c r="GP518" s="15"/>
      <c r="GQ518" s="15"/>
      <c r="GR518" s="15"/>
      <c r="GS518" s="15"/>
      <c r="GT518" s="15"/>
      <c r="GU518" s="15"/>
      <c r="GV518" s="15"/>
      <c r="GW518" s="15"/>
      <c r="GX518" s="15"/>
      <c r="GY518" s="15"/>
      <c r="GZ518" s="15"/>
      <c r="HA518" s="15"/>
      <c r="HB518" s="15"/>
      <c r="HC518" s="15"/>
      <c r="HD518" s="15"/>
      <c r="HE518" s="15"/>
      <c r="HF518" s="15"/>
      <c r="HG518" s="15"/>
      <c r="HH518" s="15"/>
      <c r="HI518" s="16"/>
      <c r="HJ518" s="43"/>
      <c r="HK518" s="45"/>
      <c r="HL518" s="149"/>
      <c r="HM518" s="150"/>
      <c r="HN518" s="150"/>
      <c r="HO518" s="150"/>
      <c r="HP518" s="150"/>
      <c r="HQ518" s="150"/>
      <c r="HR518" s="150"/>
      <c r="HS518" s="150"/>
      <c r="HT518" s="150"/>
      <c r="HU518" s="150"/>
      <c r="HV518" s="150"/>
      <c r="HW518" s="150"/>
      <c r="HX518" s="150"/>
      <c r="HY518" s="150"/>
      <c r="HZ518" s="150"/>
      <c r="IA518" s="151"/>
      <c r="IB518" s="151"/>
      <c r="IC518" s="150"/>
      <c r="ID518" s="150"/>
      <c r="IE518" s="151"/>
      <c r="JF518" s="5"/>
      <c r="JO518" s="4"/>
      <c r="KK518" s="12"/>
      <c r="KM518" s="12"/>
      <c r="KP518" s="13"/>
      <c r="KQ518" s="12"/>
      <c r="KX518" s="13"/>
      <c r="KY518" s="12"/>
      <c r="LB518" s="13"/>
      <c r="LE518" s="12"/>
      <c r="LL518" s="12"/>
      <c r="LR518" s="13"/>
      <c r="MW518" s="13"/>
      <c r="MY518" s="12"/>
      <c r="OD518" s="5"/>
    </row>
    <row r="519" spans="8:394" ht="18" customHeight="1">
      <c r="H519" s="4"/>
      <c r="AD519" s="14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15"/>
      <c r="AZ519" s="15"/>
      <c r="BA519" s="15"/>
      <c r="BB519" s="15"/>
      <c r="BC519" s="15"/>
      <c r="BD519" s="15"/>
      <c r="BE519" s="15"/>
      <c r="BF519" s="15"/>
      <c r="BG519" s="15"/>
      <c r="BH519" s="15"/>
      <c r="BI519" s="15"/>
      <c r="BJ519" s="20"/>
      <c r="BK519" s="21"/>
      <c r="BL519" s="21"/>
      <c r="BM519" s="21"/>
      <c r="BN519" s="21"/>
      <c r="BO519" s="22"/>
      <c r="BP519" s="15"/>
      <c r="BQ519" s="15"/>
      <c r="BR519" s="15"/>
      <c r="BS519" s="15"/>
      <c r="BT519" s="15"/>
      <c r="BU519" s="15"/>
      <c r="BV519" s="100"/>
      <c r="BW519" s="100"/>
      <c r="BX519" s="100"/>
      <c r="BY519" s="100"/>
      <c r="BZ519" s="100"/>
      <c r="CA519" s="100"/>
      <c r="CB519" s="15"/>
      <c r="CC519" s="15"/>
      <c r="CD519" s="16"/>
      <c r="CE519" s="14"/>
      <c r="CF519" s="15"/>
      <c r="CG519" s="15"/>
      <c r="CH519" s="15"/>
      <c r="CI519" s="15"/>
      <c r="CJ519" s="15"/>
      <c r="CK519" s="15"/>
      <c r="CL519" s="15"/>
      <c r="CM519" s="15"/>
      <c r="CN519" s="15"/>
      <c r="CO519" s="15"/>
      <c r="CP519" s="15"/>
      <c r="CQ519" s="15"/>
      <c r="CR519" s="15"/>
      <c r="CS519" s="15"/>
      <c r="CT519" s="16"/>
      <c r="CU519" s="13"/>
      <c r="DW519" s="5"/>
      <c r="EQ519" s="4"/>
      <c r="FM519" s="42"/>
      <c r="FN519" s="43"/>
      <c r="FO519" s="43"/>
      <c r="FP519" s="43"/>
      <c r="FQ519" s="43"/>
      <c r="FR519" s="43"/>
      <c r="FS519" s="43"/>
      <c r="FT519" s="43"/>
      <c r="FU519" s="43"/>
      <c r="FV519" s="43"/>
      <c r="FW519" s="43"/>
      <c r="FX519" s="43"/>
      <c r="FY519" s="43"/>
      <c r="FZ519" s="43"/>
      <c r="GA519" s="43"/>
      <c r="GB519" s="43"/>
      <c r="GC519" s="43"/>
      <c r="GD519" s="43"/>
      <c r="GE519" s="43"/>
      <c r="GF519" s="43"/>
      <c r="GG519" s="43"/>
      <c r="GH519" s="43"/>
      <c r="GI519" s="43"/>
      <c r="GJ519" s="43"/>
      <c r="GK519" s="43"/>
      <c r="GL519" s="43"/>
      <c r="GM519" s="43"/>
      <c r="GN519" s="43"/>
      <c r="GO519" s="43"/>
      <c r="GP519" s="43"/>
      <c r="GQ519" s="43"/>
      <c r="GR519" s="43"/>
      <c r="GS519" s="123"/>
      <c r="GT519" s="109"/>
      <c r="GU519" s="109"/>
      <c r="GV519" s="109"/>
      <c r="GW519" s="109"/>
      <c r="GX519" s="124"/>
      <c r="GY519" s="43"/>
      <c r="GZ519" s="43"/>
      <c r="HA519" s="43"/>
      <c r="HB519" s="43"/>
      <c r="HC519" s="127"/>
      <c r="HD519" s="127"/>
      <c r="HE519" s="127"/>
      <c r="HF519" s="127"/>
      <c r="HG519" s="127"/>
      <c r="HH519" s="127"/>
      <c r="HI519" s="43"/>
      <c r="HJ519" s="43"/>
      <c r="HK519" s="45"/>
      <c r="HL519" s="149"/>
      <c r="HM519" s="150"/>
      <c r="HN519" s="150"/>
      <c r="HO519" s="150"/>
      <c r="HP519" s="150"/>
      <c r="HQ519" s="150"/>
      <c r="HR519" s="150"/>
      <c r="HS519" s="150"/>
      <c r="HT519" s="150"/>
      <c r="HU519" s="150"/>
      <c r="HV519" s="150"/>
      <c r="HW519" s="150"/>
      <c r="HX519" s="150"/>
      <c r="HY519" s="150"/>
      <c r="HZ519" s="150"/>
      <c r="IA519" s="151"/>
      <c r="IB519" s="151"/>
      <c r="IC519" s="150"/>
      <c r="ID519" s="150"/>
      <c r="IE519" s="151"/>
      <c r="JF519" s="5"/>
      <c r="JO519" s="4"/>
      <c r="KK519" s="12"/>
      <c r="KM519" s="14"/>
      <c r="KN519" s="15"/>
      <c r="KO519" s="15"/>
      <c r="KP519" s="16"/>
      <c r="KQ519" s="12"/>
      <c r="KX519" s="13"/>
      <c r="KY519" s="14"/>
      <c r="KZ519" s="15"/>
      <c r="LA519" s="15"/>
      <c r="LB519" s="16"/>
      <c r="LE519" s="12"/>
      <c r="LL519" s="12"/>
      <c r="LR519" s="13"/>
      <c r="MW519" s="13"/>
      <c r="MY519" s="12"/>
      <c r="OD519" s="5"/>
    </row>
    <row r="520" spans="8:394" ht="18" customHeight="1">
      <c r="H520" s="4"/>
      <c r="AN520" s="10"/>
      <c r="AQ520" s="10"/>
      <c r="AS520" s="10"/>
      <c r="AV520" s="10"/>
      <c r="AW520" s="10"/>
      <c r="AX520" s="9"/>
      <c r="AY520" s="9"/>
      <c r="AZ520" s="10"/>
      <c r="BA520" s="10"/>
      <c r="BB520" s="10"/>
      <c r="BC520" s="10"/>
      <c r="BD520" s="10"/>
      <c r="BO520" s="9"/>
      <c r="BP520" s="10"/>
      <c r="BQ520" s="10"/>
      <c r="BR520" s="10"/>
      <c r="BS520" s="10"/>
      <c r="BT520" s="10"/>
      <c r="BU520" s="10"/>
      <c r="BV520" s="10"/>
      <c r="BW520" s="10"/>
      <c r="BX520" s="10"/>
      <c r="BY520" s="10"/>
      <c r="BZ520" s="10"/>
      <c r="CA520" s="10"/>
      <c r="CB520" s="10"/>
      <c r="CC520" s="10"/>
      <c r="CD520" s="11"/>
      <c r="CE520" s="9"/>
      <c r="CF520" s="10"/>
      <c r="CG520" s="10"/>
      <c r="CH520" s="10"/>
      <c r="CI520" s="10"/>
      <c r="CJ520" s="10"/>
      <c r="CK520" s="10"/>
      <c r="CL520" s="10"/>
      <c r="CM520" s="10"/>
      <c r="CN520" s="10"/>
      <c r="CO520" s="10"/>
      <c r="CP520" s="10"/>
      <c r="CQ520" s="10"/>
      <c r="CR520" s="10"/>
      <c r="CS520" s="10"/>
      <c r="CT520" s="11"/>
      <c r="CU520" s="13"/>
      <c r="DW520" s="5"/>
      <c r="EQ520" s="4"/>
      <c r="FM520" s="46"/>
      <c r="FN520" s="47"/>
      <c r="FO520" s="47"/>
      <c r="FP520" s="47"/>
      <c r="FQ520" s="47"/>
      <c r="FR520" s="47"/>
      <c r="FS520" s="47"/>
      <c r="FT520" s="47"/>
      <c r="FU520" s="47"/>
      <c r="FV520" s="47"/>
      <c r="FW520" s="43"/>
      <c r="FX520" s="47"/>
      <c r="FY520" s="47"/>
      <c r="FZ520" s="43"/>
      <c r="GA520" s="47"/>
      <c r="GB520" s="43"/>
      <c r="GC520" s="47"/>
      <c r="GD520" s="47"/>
      <c r="GE520" s="43"/>
      <c r="GF520" s="43"/>
      <c r="GG520" s="43"/>
      <c r="GH520" s="43"/>
      <c r="GI520" s="43"/>
      <c r="GJ520" s="43"/>
      <c r="GK520" s="43"/>
      <c r="GL520" s="43"/>
      <c r="GM520" s="43"/>
      <c r="GN520" s="43"/>
      <c r="GO520" s="43"/>
      <c r="GP520" s="43"/>
      <c r="GQ520" s="43"/>
      <c r="GR520" s="43"/>
      <c r="GS520" s="40"/>
      <c r="GT520" s="41"/>
      <c r="GU520" s="41"/>
      <c r="GV520" s="41"/>
      <c r="GW520" s="41"/>
      <c r="GX520" s="44"/>
      <c r="GY520" s="43"/>
      <c r="GZ520" s="43"/>
      <c r="HA520" s="43"/>
      <c r="HB520" s="43"/>
      <c r="HC520" s="127"/>
      <c r="HD520" s="127"/>
      <c r="HE520" s="127"/>
      <c r="HF520" s="127"/>
      <c r="HG520" s="127"/>
      <c r="HH520" s="127"/>
      <c r="HI520" s="43"/>
      <c r="HJ520" s="43"/>
      <c r="HK520" s="45"/>
      <c r="HL520" s="149"/>
      <c r="HM520" s="150"/>
      <c r="HN520" s="150"/>
      <c r="HO520" s="150"/>
      <c r="HP520" s="150"/>
      <c r="HQ520" s="150"/>
      <c r="HR520" s="150"/>
      <c r="HS520" s="150"/>
      <c r="HT520" s="150"/>
      <c r="HU520" s="150"/>
      <c r="HV520" s="150"/>
      <c r="HW520" s="150"/>
      <c r="HX520" s="150"/>
      <c r="HY520" s="150"/>
      <c r="HZ520" s="150"/>
      <c r="IA520" s="151"/>
      <c r="IB520" s="151"/>
      <c r="IC520" s="150"/>
      <c r="ID520" s="150"/>
      <c r="IE520" s="151"/>
      <c r="JF520" s="5"/>
      <c r="JO520" s="4"/>
      <c r="KK520" s="12"/>
      <c r="KM520" s="12"/>
      <c r="KQ520" s="12"/>
      <c r="KX520" s="13"/>
      <c r="KY520" s="9"/>
      <c r="KZ520" s="10"/>
      <c r="LA520" s="10"/>
      <c r="LB520" s="11"/>
      <c r="LE520" s="12"/>
      <c r="LL520" s="12"/>
      <c r="LR520" s="13"/>
      <c r="MW520" s="13"/>
      <c r="MY520" s="12"/>
      <c r="OD520" s="5"/>
    </row>
    <row r="521" spans="8:394" ht="18" customHeight="1">
      <c r="H521" s="4"/>
      <c r="AX521" s="12"/>
      <c r="AY521" s="12"/>
      <c r="BO521" s="12"/>
      <c r="CD521" s="13"/>
      <c r="CE521" s="12"/>
      <c r="CT521" s="13"/>
      <c r="CU521" s="13"/>
      <c r="DW521" s="5"/>
      <c r="EQ521" s="4"/>
      <c r="FW521" s="10"/>
      <c r="FZ521" s="10"/>
      <c r="GB521" s="146"/>
      <c r="GC521" s="147"/>
      <c r="GD521" s="147"/>
      <c r="GE521" s="146"/>
      <c r="GF521" s="146"/>
      <c r="GG521" s="147"/>
      <c r="GH521" s="147"/>
      <c r="GI521" s="147"/>
      <c r="GJ521" s="147"/>
      <c r="GK521" s="147"/>
      <c r="GL521" s="147"/>
      <c r="GM521" s="147"/>
      <c r="GN521" s="147"/>
      <c r="GO521" s="147"/>
      <c r="GP521" s="147"/>
      <c r="GQ521" s="147"/>
      <c r="GR521" s="147"/>
      <c r="GS521" s="147"/>
      <c r="GT521" s="147"/>
      <c r="GU521" s="147"/>
      <c r="GV521" s="147"/>
      <c r="GW521" s="147"/>
      <c r="GX521" s="147"/>
      <c r="GY521" s="147"/>
      <c r="GZ521" s="147"/>
      <c r="HA521" s="147"/>
      <c r="HB521" s="147"/>
      <c r="HC521" s="147"/>
      <c r="HD521" s="147"/>
      <c r="HE521" s="147"/>
      <c r="HF521" s="147"/>
      <c r="HG521" s="147"/>
      <c r="HH521" s="147"/>
      <c r="HI521" s="147"/>
      <c r="HJ521" s="147"/>
      <c r="HK521" s="147"/>
      <c r="HL521" s="147"/>
      <c r="HM521" s="147"/>
      <c r="HN521" s="147"/>
      <c r="HO521" s="147"/>
      <c r="HP521" s="147"/>
      <c r="HQ521" s="147"/>
      <c r="HR521" s="147"/>
      <c r="HS521" s="147"/>
      <c r="HT521" s="147"/>
      <c r="HU521" s="147"/>
      <c r="HV521" s="147"/>
      <c r="HW521" s="147"/>
      <c r="HX521" s="147"/>
      <c r="HY521" s="147"/>
      <c r="HZ521" s="147"/>
      <c r="IA521" s="148"/>
      <c r="IB521" s="151"/>
      <c r="IC521" s="150"/>
      <c r="ID521" s="150"/>
      <c r="IE521" s="151"/>
      <c r="JF521" s="5"/>
      <c r="JO521" s="4"/>
      <c r="KK521" s="12"/>
      <c r="KM521" s="12"/>
      <c r="KQ521" s="12"/>
      <c r="KX521" s="13"/>
      <c r="KY521" s="12"/>
      <c r="LB521" s="13"/>
      <c r="LE521" s="12"/>
      <c r="LL521" s="12"/>
      <c r="LR521" s="13"/>
      <c r="MW521" s="13"/>
      <c r="MY521" s="12"/>
      <c r="OD521" s="5"/>
    </row>
    <row r="522" spans="8:394" ht="18" customHeight="1">
      <c r="H522" s="4"/>
      <c r="AX522" s="12"/>
      <c r="AY522" s="12"/>
      <c r="BO522" s="12"/>
      <c r="CD522" s="13"/>
      <c r="CE522" s="12"/>
      <c r="CT522" s="13"/>
      <c r="CU522" s="13"/>
      <c r="DW522" s="5"/>
      <c r="EQ522" s="4"/>
      <c r="GB522" s="149"/>
      <c r="GC522" s="150"/>
      <c r="GD522" s="150"/>
      <c r="GE522" s="149"/>
      <c r="GF522" s="149"/>
      <c r="GG522" s="150"/>
      <c r="GH522" s="150"/>
      <c r="GI522" s="150"/>
      <c r="GJ522" s="150"/>
      <c r="GK522" s="150"/>
      <c r="GL522" s="150"/>
      <c r="GM522" s="150"/>
      <c r="GN522" s="150"/>
      <c r="GO522" s="150"/>
      <c r="GP522" s="150"/>
      <c r="GQ522" s="150"/>
      <c r="GR522" s="150"/>
      <c r="GS522" s="150"/>
      <c r="GT522" s="150"/>
      <c r="GU522" s="150"/>
      <c r="GV522" s="150"/>
      <c r="GW522" s="150"/>
      <c r="GX522" s="150"/>
      <c r="GY522" s="150"/>
      <c r="GZ522" s="150"/>
      <c r="HA522" s="150"/>
      <c r="HB522" s="150"/>
      <c r="HC522" s="150"/>
      <c r="HD522" s="150"/>
      <c r="HE522" s="150"/>
      <c r="HF522" s="150"/>
      <c r="HG522" s="150"/>
      <c r="HH522" s="150"/>
      <c r="HI522" s="150"/>
      <c r="HJ522" s="150"/>
      <c r="HK522" s="150"/>
      <c r="HL522" s="150"/>
      <c r="HM522" s="150"/>
      <c r="HN522" s="150"/>
      <c r="HO522" s="150"/>
      <c r="HP522" s="150"/>
      <c r="HQ522" s="150"/>
      <c r="HR522" s="150"/>
      <c r="HS522" s="150"/>
      <c r="HT522" s="150"/>
      <c r="HU522" s="150"/>
      <c r="HV522" s="150"/>
      <c r="HW522" s="150"/>
      <c r="HX522" s="150"/>
      <c r="HY522" s="150"/>
      <c r="HZ522" s="150"/>
      <c r="IA522" s="151"/>
      <c r="IB522" s="151"/>
      <c r="IC522" s="150"/>
      <c r="ID522" s="150"/>
      <c r="IE522" s="151"/>
      <c r="JF522" s="5"/>
      <c r="JO522" s="4"/>
      <c r="KK522" s="12"/>
      <c r="KM522" s="12"/>
      <c r="KQ522" s="12"/>
      <c r="KX522" s="13"/>
      <c r="KY522" s="12"/>
      <c r="LB522" s="13"/>
      <c r="LE522" s="12"/>
      <c r="LL522" s="12"/>
      <c r="LR522" s="13"/>
      <c r="MW522" s="13"/>
      <c r="MY522" s="12"/>
      <c r="OD522" s="5"/>
    </row>
    <row r="523" spans="8:394" ht="18" customHeight="1">
      <c r="H523" s="4"/>
      <c r="AX523" s="12"/>
      <c r="AY523" s="12"/>
      <c r="BO523" s="12"/>
      <c r="CD523" s="13"/>
      <c r="CE523" s="12"/>
      <c r="CT523" s="13"/>
      <c r="CU523" s="13"/>
      <c r="DW523" s="5"/>
      <c r="EQ523" s="4"/>
      <c r="GB523" s="149"/>
      <c r="GC523" s="150"/>
      <c r="GD523" s="150"/>
      <c r="GE523" s="149"/>
      <c r="GF523" s="149"/>
      <c r="GG523" s="150"/>
      <c r="GH523" s="150"/>
      <c r="GI523" s="150"/>
      <c r="GJ523" s="150"/>
      <c r="GK523" s="150"/>
      <c r="GL523" s="150"/>
      <c r="GM523" s="150"/>
      <c r="GN523" s="150"/>
      <c r="GO523" s="150"/>
      <c r="GP523" s="150"/>
      <c r="GQ523" s="150"/>
      <c r="GR523" s="150"/>
      <c r="GS523" s="150"/>
      <c r="GT523" s="150"/>
      <c r="GU523" s="150"/>
      <c r="GV523" s="150"/>
      <c r="GW523" s="150"/>
      <c r="GX523" s="150"/>
      <c r="GY523" s="150"/>
      <c r="GZ523" s="150"/>
      <c r="HA523" s="150"/>
      <c r="HB523" s="150"/>
      <c r="HC523" s="150"/>
      <c r="HD523" s="150"/>
      <c r="HE523" s="150"/>
      <c r="HF523" s="150"/>
      <c r="HG523" s="150"/>
      <c r="HH523" s="150"/>
      <c r="HI523" s="150"/>
      <c r="HJ523" s="150"/>
      <c r="HK523" s="150"/>
      <c r="HL523" s="150"/>
      <c r="HM523" s="150"/>
      <c r="HN523" s="150"/>
      <c r="HO523" s="150"/>
      <c r="HP523" s="150"/>
      <c r="HQ523" s="150"/>
      <c r="HR523" s="150"/>
      <c r="HS523" s="150"/>
      <c r="HT523" s="150"/>
      <c r="HU523" s="150"/>
      <c r="HV523" s="150"/>
      <c r="HW523" s="150"/>
      <c r="HX523" s="150"/>
      <c r="HY523" s="150"/>
      <c r="HZ523" s="150"/>
      <c r="IA523" s="151"/>
      <c r="IB523" s="151"/>
      <c r="IC523" s="150"/>
      <c r="ID523" s="150"/>
      <c r="IE523" s="151"/>
      <c r="JF523" s="5"/>
      <c r="JO523" s="4"/>
      <c r="KK523" s="12"/>
      <c r="KM523" s="12"/>
      <c r="KQ523" s="12"/>
      <c r="KX523" s="13"/>
      <c r="KY523" s="14"/>
      <c r="KZ523" s="15"/>
      <c r="LA523" s="15"/>
      <c r="LB523" s="16"/>
      <c r="LE523" s="12"/>
      <c r="LL523" s="12"/>
      <c r="LR523" s="13"/>
      <c r="MW523" s="13"/>
      <c r="MY523" s="12"/>
      <c r="OD523" s="5"/>
    </row>
    <row r="524" spans="8:394" ht="18" customHeight="1">
      <c r="H524" s="4"/>
      <c r="AX524" s="12"/>
      <c r="AY524" s="12"/>
      <c r="BC524" s="9"/>
      <c r="BD524" s="10"/>
      <c r="BE524" s="10"/>
      <c r="BF524" s="10"/>
      <c r="BG524" s="10"/>
      <c r="BH524" s="10"/>
      <c r="BI524" s="10"/>
      <c r="BJ524" s="11"/>
      <c r="BO524" s="12"/>
      <c r="BS524" s="9"/>
      <c r="BT524" s="10"/>
      <c r="BU524" s="10"/>
      <c r="BV524" s="10"/>
      <c r="BW524" s="10"/>
      <c r="BX524" s="10"/>
      <c r="BY524" s="10"/>
      <c r="BZ524" s="11"/>
      <c r="CD524" s="13"/>
      <c r="CE524" s="12"/>
      <c r="CI524" s="9"/>
      <c r="CJ524" s="10"/>
      <c r="CK524" s="10"/>
      <c r="CL524" s="10"/>
      <c r="CM524" s="10"/>
      <c r="CN524" s="10"/>
      <c r="CO524" s="10"/>
      <c r="CP524" s="11"/>
      <c r="CT524" s="13"/>
      <c r="CU524" s="13"/>
      <c r="DW524" s="5"/>
      <c r="EQ524" s="4"/>
      <c r="GB524" s="149"/>
      <c r="GC524" s="150"/>
      <c r="GD524" s="150"/>
      <c r="GE524" s="149"/>
      <c r="GF524" s="149"/>
      <c r="GG524" s="150"/>
      <c r="GH524" s="150"/>
      <c r="GI524" s="150"/>
      <c r="GJ524" s="150"/>
      <c r="GK524" s="150"/>
      <c r="GL524" s="150"/>
      <c r="GM524" s="150"/>
      <c r="GN524" s="150"/>
      <c r="GO524" s="150"/>
      <c r="GP524" s="150"/>
      <c r="GQ524" s="150"/>
      <c r="GR524" s="150"/>
      <c r="GS524" s="150"/>
      <c r="GT524" s="150"/>
      <c r="GU524" s="150"/>
      <c r="GV524" s="150"/>
      <c r="GW524" s="150"/>
      <c r="GX524" s="150"/>
      <c r="GY524" s="150"/>
      <c r="GZ524" s="150"/>
      <c r="HA524" s="150"/>
      <c r="HB524" s="150"/>
      <c r="HC524" s="150"/>
      <c r="HD524" s="150"/>
      <c r="HE524" s="150"/>
      <c r="HF524" s="150"/>
      <c r="HG524" s="150"/>
      <c r="HH524" s="150"/>
      <c r="HI524" s="150"/>
      <c r="HJ524" s="150"/>
      <c r="HK524" s="150"/>
      <c r="HL524" s="150"/>
      <c r="HM524" s="150"/>
      <c r="HN524" s="150"/>
      <c r="HO524" s="150"/>
      <c r="HP524" s="150"/>
      <c r="HQ524" s="150"/>
      <c r="HR524" s="150"/>
      <c r="HS524" s="150"/>
      <c r="HT524" s="150"/>
      <c r="HU524" s="150"/>
      <c r="HV524" s="150"/>
      <c r="HW524" s="150"/>
      <c r="HX524" s="150"/>
      <c r="HY524" s="150"/>
      <c r="HZ524" s="150"/>
      <c r="IA524" s="151"/>
      <c r="IB524" s="151"/>
      <c r="IC524" s="150"/>
      <c r="ID524" s="150"/>
      <c r="IE524" s="151"/>
      <c r="JF524" s="5"/>
      <c r="JO524" s="4"/>
      <c r="KK524" s="12"/>
      <c r="KM524" s="9"/>
      <c r="KN524" s="10"/>
      <c r="KO524" s="10"/>
      <c r="KP524" s="11"/>
      <c r="KQ524" s="10"/>
      <c r="KR524" s="10"/>
      <c r="KS524" s="10"/>
      <c r="KT524" s="10"/>
      <c r="KU524" s="9"/>
      <c r="KV524" s="10"/>
      <c r="KW524" s="10"/>
      <c r="KX524" s="11"/>
      <c r="LB524" s="13"/>
      <c r="LE524" s="12"/>
      <c r="LL524" s="12"/>
      <c r="LR524" s="13"/>
      <c r="MW524" s="13"/>
      <c r="MY524" s="12"/>
      <c r="OD524" s="5"/>
    </row>
    <row r="525" spans="8:394" ht="18" customHeight="1">
      <c r="H525" s="4"/>
      <c r="AX525" s="12"/>
      <c r="AY525" s="12"/>
      <c r="BC525" s="12"/>
      <c r="BJ525" s="13"/>
      <c r="BO525" s="12"/>
      <c r="BS525" s="12"/>
      <c r="BZ525" s="13"/>
      <c r="CD525" s="13"/>
      <c r="CE525" s="12"/>
      <c r="CI525" s="12"/>
      <c r="CP525" s="13"/>
      <c r="CT525" s="13"/>
      <c r="CU525" s="13"/>
      <c r="DW525" s="5"/>
      <c r="EQ525" s="4"/>
      <c r="GB525" s="149"/>
      <c r="GC525" s="150"/>
      <c r="GD525" s="150"/>
      <c r="GE525" s="146"/>
      <c r="GF525" s="149"/>
      <c r="GG525" s="150"/>
      <c r="GH525" s="150"/>
      <c r="GI525" s="150"/>
      <c r="GJ525" s="150"/>
      <c r="GK525" s="150"/>
      <c r="GL525" s="150"/>
      <c r="GM525" s="150"/>
      <c r="GN525" s="150"/>
      <c r="GO525" s="150"/>
      <c r="GP525" s="150"/>
      <c r="GQ525" s="150"/>
      <c r="GR525" s="150"/>
      <c r="GS525" s="150"/>
      <c r="GT525" s="150"/>
      <c r="GU525" s="150"/>
      <c r="GV525" s="150"/>
      <c r="GW525" s="150"/>
      <c r="GX525" s="150"/>
      <c r="GY525" s="150"/>
      <c r="GZ525" s="150"/>
      <c r="HA525" s="150"/>
      <c r="HB525" s="150"/>
      <c r="HC525" s="150"/>
      <c r="HD525" s="150"/>
      <c r="HE525" s="150"/>
      <c r="HF525" s="150"/>
      <c r="HG525" s="150"/>
      <c r="HH525" s="150"/>
      <c r="HI525" s="150"/>
      <c r="HJ525" s="150"/>
      <c r="HK525" s="150"/>
      <c r="HL525" s="150"/>
      <c r="HM525" s="150"/>
      <c r="HN525" s="150"/>
      <c r="HO525" s="150"/>
      <c r="HP525" s="150"/>
      <c r="HQ525" s="150"/>
      <c r="HR525" s="150"/>
      <c r="HS525" s="150"/>
      <c r="HT525" s="150"/>
      <c r="HU525" s="150"/>
      <c r="HV525" s="150"/>
      <c r="HW525" s="150"/>
      <c r="HX525" s="150"/>
      <c r="HY525" s="150"/>
      <c r="HZ525" s="150"/>
      <c r="IA525" s="151"/>
      <c r="IB525" s="151"/>
      <c r="IC525" s="150"/>
      <c r="ID525" s="150"/>
      <c r="IE525" s="151"/>
      <c r="JF525" s="5"/>
      <c r="JO525" s="4"/>
      <c r="KK525" s="12"/>
      <c r="KM525" s="12"/>
      <c r="KP525" s="13"/>
      <c r="KU525" s="12"/>
      <c r="KX525" s="13"/>
      <c r="LB525" s="13"/>
      <c r="LE525" s="12"/>
      <c r="LL525" s="12"/>
      <c r="LR525" s="13"/>
      <c r="MW525" s="13"/>
      <c r="MY525" s="12"/>
      <c r="OD525" s="5"/>
    </row>
    <row r="526" spans="8:394" ht="18" customHeight="1">
      <c r="H526" s="4"/>
      <c r="AX526" s="12"/>
      <c r="AY526" s="12"/>
      <c r="BC526" s="12"/>
      <c r="BJ526" s="13"/>
      <c r="BO526" s="12"/>
      <c r="BS526" s="12"/>
      <c r="BZ526" s="13"/>
      <c r="CD526" s="13"/>
      <c r="CE526" s="12"/>
      <c r="CI526" s="12"/>
      <c r="CP526" s="13"/>
      <c r="CT526" s="13"/>
      <c r="CU526" s="13"/>
      <c r="DW526" s="5"/>
      <c r="EQ526" s="4"/>
      <c r="GB526" s="149"/>
      <c r="GC526" s="150"/>
      <c r="GD526" s="150"/>
      <c r="GE526" s="149"/>
      <c r="GF526" s="149"/>
      <c r="GG526" s="150"/>
      <c r="GH526" s="150"/>
      <c r="GI526" s="150"/>
      <c r="GJ526" s="150"/>
      <c r="GK526" s="150"/>
      <c r="GL526" s="150"/>
      <c r="GM526" s="150"/>
      <c r="GN526" s="150"/>
      <c r="GO526" s="150"/>
      <c r="GP526" s="150"/>
      <c r="GQ526" s="150"/>
      <c r="GR526" s="150"/>
      <c r="GS526" s="150"/>
      <c r="GT526" s="150"/>
      <c r="GU526" s="150"/>
      <c r="GV526" s="150"/>
      <c r="GW526" s="150"/>
      <c r="GX526" s="150"/>
      <c r="GY526" s="150"/>
      <c r="GZ526" s="150"/>
      <c r="HA526" s="150"/>
      <c r="HB526" s="150"/>
      <c r="HC526" s="150"/>
      <c r="HD526" s="150"/>
      <c r="HE526" s="150"/>
      <c r="HF526" s="150"/>
      <c r="HG526" s="150"/>
      <c r="HH526" s="150"/>
      <c r="HI526" s="150"/>
      <c r="HJ526" s="150"/>
      <c r="HK526" s="150"/>
      <c r="HL526" s="150"/>
      <c r="HM526" s="150"/>
      <c r="HN526" s="150"/>
      <c r="HO526" s="150"/>
      <c r="HP526" s="150"/>
      <c r="HQ526" s="150"/>
      <c r="HR526" s="150"/>
      <c r="HS526" s="150"/>
      <c r="HT526" s="150"/>
      <c r="HU526" s="150"/>
      <c r="HV526" s="150"/>
      <c r="HW526" s="150"/>
      <c r="HX526" s="150"/>
      <c r="HY526" s="150"/>
      <c r="HZ526" s="150"/>
      <c r="IA526" s="151"/>
      <c r="IB526" s="151"/>
      <c r="IC526" s="150"/>
      <c r="ID526" s="150"/>
      <c r="IE526" s="151"/>
      <c r="JF526" s="5"/>
      <c r="JO526" s="4"/>
      <c r="KK526" s="12"/>
      <c r="KM526" s="12"/>
      <c r="KP526" s="13"/>
      <c r="KU526" s="12"/>
      <c r="KX526" s="13"/>
      <c r="LB526" s="13"/>
      <c r="LE526" s="12"/>
      <c r="LL526" s="14"/>
      <c r="LM526" s="15"/>
      <c r="LN526" s="15"/>
      <c r="LO526" s="15"/>
      <c r="LP526" s="15"/>
      <c r="LQ526" s="15"/>
      <c r="LR526" s="16"/>
      <c r="MW526" s="13"/>
      <c r="MY526" s="12"/>
      <c r="OD526" s="5"/>
    </row>
    <row r="527" spans="8:394" ht="18" customHeight="1">
      <c r="H527" s="4"/>
      <c r="AX527" s="12"/>
      <c r="AY527" s="12"/>
      <c r="BC527" s="12"/>
      <c r="BJ527" s="13"/>
      <c r="BO527" s="12"/>
      <c r="BS527" s="12"/>
      <c r="BZ527" s="13"/>
      <c r="CD527" s="13"/>
      <c r="CE527" s="12"/>
      <c r="CI527" s="12"/>
      <c r="CP527" s="13"/>
      <c r="CT527" s="13"/>
      <c r="CU527" s="13"/>
      <c r="DW527" s="5"/>
      <c r="EQ527" s="4"/>
      <c r="GB527" s="149"/>
      <c r="GC527" s="150"/>
      <c r="GD527" s="150"/>
      <c r="GE527" s="149"/>
      <c r="GF527" s="149"/>
      <c r="GG527" s="150"/>
      <c r="GH527" s="150"/>
      <c r="GI527" s="150"/>
      <c r="GJ527" s="150"/>
      <c r="GK527" s="150"/>
      <c r="GL527" s="150"/>
      <c r="GM527" s="150"/>
      <c r="GN527" s="150"/>
      <c r="GO527" s="150"/>
      <c r="GP527" s="150"/>
      <c r="GQ527" s="150"/>
      <c r="GR527" s="150"/>
      <c r="GS527" s="150"/>
      <c r="GT527" s="150"/>
      <c r="GU527" s="150"/>
      <c r="GV527" s="150"/>
      <c r="GW527" s="150"/>
      <c r="GX527" s="150"/>
      <c r="GY527" s="150"/>
      <c r="GZ527" s="150"/>
      <c r="HA527" s="150"/>
      <c r="HB527" s="150"/>
      <c r="HC527" s="150"/>
      <c r="HD527" s="150"/>
      <c r="HE527" s="150"/>
      <c r="HF527" s="150"/>
      <c r="HG527" s="150"/>
      <c r="HH527" s="150"/>
      <c r="HI527" s="150"/>
      <c r="HJ527" s="150"/>
      <c r="HK527" s="150"/>
      <c r="HL527" s="150"/>
      <c r="HM527" s="150"/>
      <c r="HN527" s="150"/>
      <c r="HO527" s="150"/>
      <c r="HP527" s="150"/>
      <c r="HQ527" s="150"/>
      <c r="HR527" s="150"/>
      <c r="HS527" s="150"/>
      <c r="HT527" s="150"/>
      <c r="HU527" s="150"/>
      <c r="HV527" s="150"/>
      <c r="HW527" s="150"/>
      <c r="HX527" s="150"/>
      <c r="HY527" s="150"/>
      <c r="HZ527" s="150"/>
      <c r="IA527" s="151"/>
      <c r="IB527" s="151"/>
      <c r="IC527" s="150"/>
      <c r="ID527" s="150"/>
      <c r="IE527" s="151"/>
      <c r="JF527" s="5"/>
      <c r="JO527" s="4"/>
      <c r="KK527" s="12"/>
      <c r="KM527" s="14"/>
      <c r="KN527" s="15"/>
      <c r="KO527" s="15"/>
      <c r="KP527" s="16"/>
      <c r="KQ527" s="15"/>
      <c r="KR527" s="15"/>
      <c r="KS527" s="15"/>
      <c r="KT527" s="15"/>
      <c r="KU527" s="14"/>
      <c r="KV527" s="15"/>
      <c r="KW527" s="15"/>
      <c r="KX527" s="16"/>
      <c r="KY527" s="15"/>
      <c r="KZ527" s="15"/>
      <c r="LA527" s="15"/>
      <c r="LB527" s="16"/>
      <c r="LE527" s="12"/>
      <c r="MW527" s="13"/>
      <c r="MY527" s="12"/>
      <c r="OD527" s="5"/>
    </row>
    <row r="528" spans="8:394" ht="18" customHeight="1">
      <c r="H528" s="4"/>
      <c r="AX528" s="12"/>
      <c r="AY528" s="12"/>
      <c r="BC528" s="12"/>
      <c r="BJ528" s="13"/>
      <c r="BO528" s="12"/>
      <c r="BS528" s="12"/>
      <c r="BZ528" s="13"/>
      <c r="CD528" s="13"/>
      <c r="CE528" s="12"/>
      <c r="CI528" s="12"/>
      <c r="CP528" s="13"/>
      <c r="CT528" s="13"/>
      <c r="CU528" s="13"/>
      <c r="DW528" s="5"/>
      <c r="EQ528" s="4"/>
      <c r="GB528" s="149"/>
      <c r="GC528" s="150"/>
      <c r="GD528" s="150"/>
      <c r="GE528" s="149"/>
      <c r="GF528" s="149"/>
      <c r="GG528" s="150"/>
      <c r="GH528" s="150"/>
      <c r="GI528" s="150"/>
      <c r="GJ528" s="150"/>
      <c r="GK528" s="150"/>
      <c r="GL528" s="150"/>
      <c r="GM528" s="150"/>
      <c r="GN528" s="150"/>
      <c r="GO528" s="150"/>
      <c r="GP528" s="150"/>
      <c r="GQ528" s="150"/>
      <c r="GR528" s="150"/>
      <c r="GS528" s="150"/>
      <c r="GT528" s="150"/>
      <c r="GU528" s="150"/>
      <c r="GV528" s="150"/>
      <c r="GW528" s="150"/>
      <c r="GX528" s="150"/>
      <c r="GY528" s="150"/>
      <c r="GZ528" s="150"/>
      <c r="HA528" s="150"/>
      <c r="HB528" s="150"/>
      <c r="HC528" s="150"/>
      <c r="HD528" s="150"/>
      <c r="HE528" s="150"/>
      <c r="HF528" s="150"/>
      <c r="HG528" s="150"/>
      <c r="HH528" s="150"/>
      <c r="HI528" s="150"/>
      <c r="HJ528" s="150"/>
      <c r="HK528" s="150"/>
      <c r="HL528" s="150"/>
      <c r="HM528" s="150"/>
      <c r="HN528" s="150"/>
      <c r="HO528" s="150"/>
      <c r="HP528" s="150"/>
      <c r="HQ528" s="150"/>
      <c r="HR528" s="150"/>
      <c r="HS528" s="150"/>
      <c r="HT528" s="150"/>
      <c r="HU528" s="150"/>
      <c r="HV528" s="150"/>
      <c r="HW528" s="150"/>
      <c r="HX528" s="150"/>
      <c r="HY528" s="150"/>
      <c r="HZ528" s="150"/>
      <c r="IA528" s="151"/>
      <c r="IB528" s="151"/>
      <c r="IC528" s="150"/>
      <c r="ID528" s="150"/>
      <c r="IE528" s="151"/>
      <c r="JF528" s="5"/>
      <c r="JO528" s="4"/>
      <c r="KK528" s="12"/>
      <c r="LE528" s="12"/>
      <c r="MW528" s="13"/>
      <c r="MY528" s="12"/>
      <c r="OD528" s="5"/>
    </row>
    <row r="529" spans="8:394" ht="18" customHeight="1">
      <c r="H529" s="4"/>
      <c r="AX529" s="12"/>
      <c r="AY529" s="12"/>
      <c r="BC529" s="12"/>
      <c r="BJ529" s="13"/>
      <c r="BO529" s="12"/>
      <c r="BS529" s="12"/>
      <c r="BZ529" s="13"/>
      <c r="CD529" s="13"/>
      <c r="CE529" s="12"/>
      <c r="CI529" s="12"/>
      <c r="CP529" s="13"/>
      <c r="CT529" s="13"/>
      <c r="CU529" s="13"/>
      <c r="DW529" s="5"/>
      <c r="EQ529" s="4"/>
      <c r="GB529" s="149"/>
      <c r="GC529" s="150"/>
      <c r="GD529" s="150"/>
      <c r="GE529" s="149"/>
      <c r="GF529" s="149"/>
      <c r="GG529" s="150"/>
      <c r="GH529" s="150"/>
      <c r="GI529" s="150"/>
      <c r="GJ529" s="150"/>
      <c r="GK529" s="150"/>
      <c r="GL529" s="150"/>
      <c r="GM529" s="150"/>
      <c r="GN529" s="150"/>
      <c r="GO529" s="150"/>
      <c r="GP529" s="150"/>
      <c r="GQ529" s="150"/>
      <c r="GR529" s="150"/>
      <c r="GS529" s="150"/>
      <c r="GT529" s="150"/>
      <c r="GU529" s="150"/>
      <c r="GV529" s="150"/>
      <c r="GW529" s="150"/>
      <c r="GX529" s="150"/>
      <c r="GY529" s="150"/>
      <c r="GZ529" s="150"/>
      <c r="HA529" s="150"/>
      <c r="HB529" s="150"/>
      <c r="HC529" s="150"/>
      <c r="HD529" s="150"/>
      <c r="HE529" s="150"/>
      <c r="HF529" s="150"/>
      <c r="HG529" s="150"/>
      <c r="HH529" s="150"/>
      <c r="HI529" s="150"/>
      <c r="HJ529" s="150"/>
      <c r="HK529" s="150"/>
      <c r="HL529" s="150"/>
      <c r="HM529" s="150"/>
      <c r="HN529" s="150"/>
      <c r="HO529" s="150"/>
      <c r="HP529" s="150"/>
      <c r="HQ529" s="150"/>
      <c r="HR529" s="150"/>
      <c r="HS529" s="150"/>
      <c r="HT529" s="150"/>
      <c r="HU529" s="150"/>
      <c r="HV529" s="150"/>
      <c r="HW529" s="150"/>
      <c r="HX529" s="150"/>
      <c r="HY529" s="150"/>
      <c r="HZ529" s="150"/>
      <c r="IA529" s="151"/>
      <c r="IB529" s="151"/>
      <c r="IC529" s="150"/>
      <c r="ID529" s="150"/>
      <c r="IE529" s="151"/>
      <c r="JF529" s="5"/>
      <c r="JO529" s="4"/>
      <c r="KK529" s="14"/>
      <c r="KL529" s="15"/>
      <c r="KM529" s="15"/>
      <c r="KN529" s="15"/>
      <c r="KO529" s="15"/>
      <c r="KP529" s="15"/>
      <c r="KQ529" s="15"/>
      <c r="KR529" s="15"/>
      <c r="KS529" s="15"/>
      <c r="KT529" s="15"/>
      <c r="KU529" s="15"/>
      <c r="KV529" s="15"/>
      <c r="KW529" s="15"/>
      <c r="KX529" s="15"/>
      <c r="KY529" s="15"/>
      <c r="KZ529" s="15"/>
      <c r="LA529" s="15"/>
      <c r="LB529" s="15"/>
      <c r="LC529" s="15"/>
      <c r="LD529" s="15"/>
      <c r="LE529" s="12"/>
      <c r="MW529" s="13"/>
      <c r="MY529" s="12"/>
      <c r="OD529" s="5"/>
    </row>
    <row r="530" spans="8:394" ht="18" customHeight="1">
      <c r="H530" s="4"/>
      <c r="AX530" s="12"/>
      <c r="AY530" s="12"/>
      <c r="BC530" s="12"/>
      <c r="BJ530" s="13"/>
      <c r="BO530" s="12"/>
      <c r="BS530" s="12"/>
      <c r="BZ530" s="13"/>
      <c r="CD530" s="13"/>
      <c r="CE530" s="12"/>
      <c r="CI530" s="12"/>
      <c r="CP530" s="13"/>
      <c r="CT530" s="13"/>
      <c r="CU530" s="13"/>
      <c r="DW530" s="5"/>
      <c r="EQ530" s="4"/>
      <c r="GB530" s="149"/>
      <c r="GC530" s="150"/>
      <c r="GD530" s="150"/>
      <c r="GE530" s="149"/>
      <c r="GF530" s="149"/>
      <c r="GG530" s="150"/>
      <c r="GH530" s="150"/>
      <c r="GI530" s="150"/>
      <c r="GJ530" s="150"/>
      <c r="GK530" s="150"/>
      <c r="GL530" s="150"/>
      <c r="GM530" s="150"/>
      <c r="GN530" s="150"/>
      <c r="GO530" s="150"/>
      <c r="GP530" s="150"/>
      <c r="GQ530" s="150"/>
      <c r="GR530" s="150"/>
      <c r="GS530" s="150"/>
      <c r="GT530" s="150"/>
      <c r="GU530" s="150"/>
      <c r="GV530" s="150"/>
      <c r="GW530" s="150"/>
      <c r="GX530" s="150"/>
      <c r="GY530" s="150"/>
      <c r="GZ530" s="150"/>
      <c r="HA530" s="150"/>
      <c r="HB530" s="150"/>
      <c r="HC530" s="150"/>
      <c r="HD530" s="150"/>
      <c r="HE530" s="150"/>
      <c r="HF530" s="150"/>
      <c r="HG530" s="150"/>
      <c r="HH530" s="150"/>
      <c r="HI530" s="150"/>
      <c r="HJ530" s="150"/>
      <c r="HK530" s="150"/>
      <c r="HL530" s="150"/>
      <c r="HM530" s="150"/>
      <c r="HN530" s="150"/>
      <c r="HO530" s="150"/>
      <c r="HP530" s="150"/>
      <c r="HQ530" s="150"/>
      <c r="HR530" s="150"/>
      <c r="HS530" s="150"/>
      <c r="HT530" s="150"/>
      <c r="HU530" s="150"/>
      <c r="HV530" s="150"/>
      <c r="HW530" s="150"/>
      <c r="HX530" s="150"/>
      <c r="HY530" s="150"/>
      <c r="HZ530" s="150"/>
      <c r="IA530" s="151"/>
      <c r="IB530" s="151"/>
      <c r="IC530" s="150"/>
      <c r="ID530" s="150"/>
      <c r="IE530" s="151"/>
      <c r="JF530" s="5"/>
      <c r="JO530" s="4"/>
      <c r="LC530" s="11"/>
      <c r="LE530" s="12"/>
      <c r="MW530" s="13"/>
      <c r="MY530" s="12"/>
      <c r="OD530" s="5"/>
    </row>
    <row r="531" spans="8:394" ht="18" customHeight="1">
      <c r="H531" s="4"/>
      <c r="AX531" s="12"/>
      <c r="AY531" s="12"/>
      <c r="BC531" s="14"/>
      <c r="BD531" s="15"/>
      <c r="BE531" s="15"/>
      <c r="BF531" s="15"/>
      <c r="BG531" s="15"/>
      <c r="BH531" s="15"/>
      <c r="BI531" s="15"/>
      <c r="BJ531" s="16"/>
      <c r="BO531" s="12"/>
      <c r="BS531" s="14"/>
      <c r="BT531" s="15"/>
      <c r="BU531" s="15"/>
      <c r="BV531" s="15"/>
      <c r="BW531" s="15"/>
      <c r="BX531" s="15"/>
      <c r="BY531" s="15"/>
      <c r="BZ531" s="16"/>
      <c r="CD531" s="13"/>
      <c r="CE531" s="12"/>
      <c r="CI531" s="14"/>
      <c r="CJ531" s="15"/>
      <c r="CK531" s="15"/>
      <c r="CL531" s="15"/>
      <c r="CM531" s="15"/>
      <c r="CN531" s="15"/>
      <c r="CO531" s="15"/>
      <c r="CP531" s="16"/>
      <c r="CT531" s="13"/>
      <c r="CU531" s="13"/>
      <c r="DW531" s="5"/>
      <c r="EQ531" s="4"/>
      <c r="GB531" s="149"/>
      <c r="GC531" s="150"/>
      <c r="GD531" s="150"/>
      <c r="GE531" s="149"/>
      <c r="GF531" s="149"/>
      <c r="GG531" s="150"/>
      <c r="GH531" s="150"/>
      <c r="GI531" s="150"/>
      <c r="GJ531" s="150"/>
      <c r="GK531" s="150"/>
      <c r="GL531" s="150"/>
      <c r="GM531" s="150"/>
      <c r="GN531" s="150"/>
      <c r="GO531" s="150"/>
      <c r="GP531" s="150"/>
      <c r="GQ531" s="150"/>
      <c r="GR531" s="150"/>
      <c r="GS531" s="150"/>
      <c r="GT531" s="150"/>
      <c r="GU531" s="150"/>
      <c r="GV531" s="150"/>
      <c r="GW531" s="150"/>
      <c r="GX531" s="150"/>
      <c r="GY531" s="150"/>
      <c r="GZ531" s="150"/>
      <c r="HA531" s="150"/>
      <c r="HB531" s="150"/>
      <c r="HC531" s="150"/>
      <c r="HD531" s="150"/>
      <c r="HE531" s="150"/>
      <c r="HF531" s="150"/>
      <c r="HG531" s="150"/>
      <c r="HH531" s="150"/>
      <c r="HI531" s="150"/>
      <c r="HJ531" s="150"/>
      <c r="HK531" s="150"/>
      <c r="HL531" s="150"/>
      <c r="HM531" s="150"/>
      <c r="HN531" s="150"/>
      <c r="HO531" s="150"/>
      <c r="HP531" s="150"/>
      <c r="HQ531" s="150"/>
      <c r="HR531" s="150"/>
      <c r="HS531" s="150"/>
      <c r="HT531" s="150"/>
      <c r="HU531" s="150"/>
      <c r="HV531" s="150"/>
      <c r="HW531" s="150"/>
      <c r="HX531" s="150"/>
      <c r="HY531" s="150"/>
      <c r="HZ531" s="150"/>
      <c r="IA531" s="151"/>
      <c r="IB531" s="151"/>
      <c r="IC531" s="150"/>
      <c r="ID531" s="150"/>
      <c r="IE531" s="151"/>
      <c r="JF531" s="5"/>
      <c r="JO531" s="4"/>
      <c r="LC531" s="13"/>
      <c r="LE531" s="12"/>
      <c r="MW531" s="13"/>
      <c r="MY531" s="12"/>
      <c r="OD531" s="5"/>
    </row>
    <row r="532" spans="8:394" ht="18" customHeight="1">
      <c r="H532" s="4"/>
      <c r="AX532" s="12"/>
      <c r="AY532" s="12"/>
      <c r="BO532" s="12"/>
      <c r="CD532" s="13"/>
      <c r="CE532" s="12"/>
      <c r="CT532" s="13"/>
      <c r="CU532" s="13"/>
      <c r="DW532" s="5"/>
      <c r="EQ532" s="4"/>
      <c r="GB532" s="149"/>
      <c r="GC532" s="150"/>
      <c r="GD532" s="150"/>
      <c r="GE532" s="149"/>
      <c r="GF532" s="149"/>
      <c r="GG532" s="150"/>
      <c r="GH532" s="150"/>
      <c r="GI532" s="150"/>
      <c r="GJ532" s="150"/>
      <c r="GK532" s="150"/>
      <c r="GL532" s="150"/>
      <c r="GM532" s="150"/>
      <c r="GN532" s="150"/>
      <c r="GO532" s="150"/>
      <c r="GP532" s="150"/>
      <c r="GQ532" s="150"/>
      <c r="GR532" s="150"/>
      <c r="GS532" s="150"/>
      <c r="GT532" s="150"/>
      <c r="GU532" s="150"/>
      <c r="GV532" s="150"/>
      <c r="GW532" s="150"/>
      <c r="GX532" s="150"/>
      <c r="GY532" s="150"/>
      <c r="GZ532" s="150"/>
      <c r="HA532" s="150"/>
      <c r="HB532" s="150"/>
      <c r="HC532" s="150"/>
      <c r="HD532" s="150"/>
      <c r="HE532" s="150"/>
      <c r="HF532" s="150"/>
      <c r="HG532" s="150"/>
      <c r="HH532" s="150"/>
      <c r="HI532" s="150"/>
      <c r="HJ532" s="150"/>
      <c r="HK532" s="150"/>
      <c r="HL532" s="150"/>
      <c r="HM532" s="150"/>
      <c r="HN532" s="150"/>
      <c r="HO532" s="150"/>
      <c r="HP532" s="150"/>
      <c r="HQ532" s="150"/>
      <c r="HR532" s="150"/>
      <c r="HS532" s="150"/>
      <c r="HT532" s="150"/>
      <c r="HU532" s="150"/>
      <c r="HV532" s="150"/>
      <c r="HW532" s="150"/>
      <c r="HX532" s="150"/>
      <c r="HY532" s="150"/>
      <c r="HZ532" s="150"/>
      <c r="IA532" s="151"/>
      <c r="IB532" s="151"/>
      <c r="IC532" s="150"/>
      <c r="ID532" s="150"/>
      <c r="IE532" s="151"/>
      <c r="JF532" s="5"/>
      <c r="JO532" s="4"/>
      <c r="LC532" s="13"/>
      <c r="LE532" s="14"/>
      <c r="LF532" s="15"/>
      <c r="LG532" s="15"/>
      <c r="LH532" s="15"/>
      <c r="LI532" s="15"/>
      <c r="LJ532" s="15"/>
      <c r="LK532" s="15"/>
      <c r="LL532" s="15"/>
      <c r="LM532" s="15"/>
      <c r="LN532" s="15"/>
      <c r="LO532" s="15"/>
      <c r="LP532" s="15"/>
      <c r="LQ532" s="15"/>
      <c r="LR532" s="15"/>
      <c r="LS532" s="15"/>
      <c r="LT532" s="15"/>
      <c r="LU532" s="15"/>
      <c r="LV532" s="15"/>
      <c r="LW532" s="15"/>
      <c r="LX532" s="15"/>
      <c r="LY532" s="15"/>
      <c r="LZ532" s="15"/>
      <c r="MA532" s="15"/>
      <c r="MB532" s="15"/>
      <c r="MC532" s="15"/>
      <c r="MD532" s="15"/>
      <c r="ME532" s="15"/>
      <c r="MF532" s="15"/>
      <c r="MG532" s="15"/>
      <c r="MH532" s="15"/>
      <c r="MI532" s="15"/>
      <c r="MJ532" s="15"/>
      <c r="MK532" s="15"/>
      <c r="ML532" s="15"/>
      <c r="MM532" s="15"/>
      <c r="MN532" s="15"/>
      <c r="MO532" s="15"/>
      <c r="MP532" s="15"/>
      <c r="MQ532" s="15"/>
      <c r="MR532" s="15"/>
      <c r="MS532" s="15"/>
      <c r="MT532" s="15"/>
      <c r="MU532" s="15"/>
      <c r="MV532" s="15"/>
      <c r="MW532" s="16"/>
      <c r="MY532" s="12"/>
      <c r="OD532" s="5"/>
    </row>
    <row r="533" spans="8:394" ht="18" customHeight="1">
      <c r="H533" s="4"/>
      <c r="AX533" s="12"/>
      <c r="AY533" s="12"/>
      <c r="BO533" s="12"/>
      <c r="CD533" s="13"/>
      <c r="CE533" s="12"/>
      <c r="CT533" s="13"/>
      <c r="CU533" s="13"/>
      <c r="DW533" s="5"/>
      <c r="EQ533" s="4"/>
      <c r="GB533" s="149"/>
      <c r="GC533" s="150"/>
      <c r="GD533" s="150"/>
      <c r="GE533" s="149"/>
      <c r="GF533" s="149"/>
      <c r="GG533" s="150"/>
      <c r="GH533" s="150"/>
      <c r="GI533" s="150"/>
      <c r="GJ533" s="150"/>
      <c r="GK533" s="150"/>
      <c r="GL533" s="150"/>
      <c r="GM533" s="150"/>
      <c r="GN533" s="150"/>
      <c r="GO533" s="150"/>
      <c r="GP533" s="150"/>
      <c r="GQ533" s="150"/>
      <c r="GR533" s="150"/>
      <c r="GS533" s="150"/>
      <c r="GT533" s="150"/>
      <c r="GU533" s="150"/>
      <c r="GV533" s="150"/>
      <c r="GW533" s="150"/>
      <c r="GX533" s="150"/>
      <c r="GY533" s="150"/>
      <c r="GZ533" s="150"/>
      <c r="HA533" s="150"/>
      <c r="HB533" s="150"/>
      <c r="HC533" s="150"/>
      <c r="HD533" s="150"/>
      <c r="HE533" s="150"/>
      <c r="HF533" s="150"/>
      <c r="HG533" s="150"/>
      <c r="HH533" s="150"/>
      <c r="HI533" s="150"/>
      <c r="HJ533" s="150"/>
      <c r="HK533" s="150"/>
      <c r="HL533" s="150"/>
      <c r="HM533" s="150"/>
      <c r="HN533" s="150"/>
      <c r="HO533" s="150"/>
      <c r="HP533" s="150"/>
      <c r="HQ533" s="150"/>
      <c r="HR533" s="150"/>
      <c r="HS533" s="150"/>
      <c r="HT533" s="150"/>
      <c r="HU533" s="150"/>
      <c r="HV533" s="150"/>
      <c r="HW533" s="150"/>
      <c r="HX533" s="150"/>
      <c r="HY533" s="150"/>
      <c r="HZ533" s="150"/>
      <c r="IA533" s="151"/>
      <c r="IB533" s="151"/>
      <c r="IC533" s="150"/>
      <c r="ID533" s="150"/>
      <c r="IE533" s="151"/>
      <c r="JF533" s="5"/>
      <c r="JO533" s="4"/>
      <c r="LC533" s="13"/>
      <c r="MY533" s="12"/>
      <c r="OD533" s="5"/>
    </row>
    <row r="534" spans="8:394" ht="18" customHeight="1">
      <c r="H534" s="4"/>
      <c r="AX534" s="12"/>
      <c r="AY534" s="12"/>
      <c r="BO534" s="12"/>
      <c r="CD534" s="13"/>
      <c r="CE534" s="12"/>
      <c r="CT534" s="13"/>
      <c r="CU534" s="13"/>
      <c r="DW534" s="5"/>
      <c r="EQ534" s="4"/>
      <c r="GB534" s="149"/>
      <c r="GC534" s="150"/>
      <c r="GD534" s="150"/>
      <c r="GE534" s="149"/>
      <c r="GF534" s="149"/>
      <c r="GG534" s="150"/>
      <c r="GH534" s="150"/>
      <c r="GI534" s="150"/>
      <c r="GJ534" s="150"/>
      <c r="GK534" s="150"/>
      <c r="GL534" s="150"/>
      <c r="GM534" s="150"/>
      <c r="GN534" s="150"/>
      <c r="GO534" s="150"/>
      <c r="GP534" s="150"/>
      <c r="GQ534" s="150"/>
      <c r="GR534" s="150"/>
      <c r="GS534" s="150"/>
      <c r="GT534" s="150"/>
      <c r="GU534" s="150"/>
      <c r="GV534" s="150"/>
      <c r="GW534" s="150"/>
      <c r="GX534" s="150"/>
      <c r="GY534" s="150"/>
      <c r="GZ534" s="150"/>
      <c r="HA534" s="150"/>
      <c r="HB534" s="150"/>
      <c r="HC534" s="150"/>
      <c r="HD534" s="150"/>
      <c r="HE534" s="150"/>
      <c r="HF534" s="150"/>
      <c r="HG534" s="150"/>
      <c r="HH534" s="150"/>
      <c r="HI534" s="150"/>
      <c r="HJ534" s="150"/>
      <c r="HK534" s="150"/>
      <c r="HL534" s="150"/>
      <c r="HM534" s="150"/>
      <c r="HN534" s="150"/>
      <c r="HO534" s="150"/>
      <c r="HP534" s="150"/>
      <c r="HQ534" s="150"/>
      <c r="HR534" s="150"/>
      <c r="HS534" s="150"/>
      <c r="HT534" s="150"/>
      <c r="HU534" s="150"/>
      <c r="HV534" s="150"/>
      <c r="HW534" s="150"/>
      <c r="HX534" s="150"/>
      <c r="HY534" s="150"/>
      <c r="HZ534" s="150"/>
      <c r="IA534" s="151"/>
      <c r="IB534" s="151"/>
      <c r="IC534" s="150"/>
      <c r="ID534" s="150"/>
      <c r="IE534" s="151"/>
      <c r="JF534" s="5"/>
      <c r="JO534" s="4"/>
      <c r="LD534" s="10"/>
      <c r="LE534" s="10"/>
      <c r="LF534" s="10"/>
      <c r="LG534" s="10"/>
      <c r="LH534" s="10"/>
      <c r="LI534" s="10"/>
      <c r="LJ534" s="10"/>
      <c r="LK534" s="10"/>
      <c r="LL534" s="10"/>
      <c r="LM534" s="10"/>
      <c r="LN534" s="10"/>
      <c r="LO534" s="10"/>
      <c r="LP534" s="10"/>
      <c r="LQ534" s="10"/>
      <c r="LR534" s="10"/>
      <c r="LS534" s="10"/>
      <c r="LT534" s="10"/>
      <c r="LU534" s="10"/>
      <c r="LV534" s="10"/>
      <c r="LW534" s="10"/>
      <c r="LX534" s="10"/>
      <c r="LY534" s="10"/>
      <c r="LZ534" s="10"/>
      <c r="MA534" s="10"/>
      <c r="MB534" s="10"/>
      <c r="MC534" s="10"/>
      <c r="MD534" s="10"/>
      <c r="ME534" s="10"/>
      <c r="MF534" s="10"/>
      <c r="MG534" s="10"/>
      <c r="MH534" s="10"/>
      <c r="MI534" s="10"/>
      <c r="MJ534" s="10"/>
      <c r="MK534" s="10"/>
      <c r="ML534" s="10"/>
      <c r="MM534" s="10"/>
      <c r="MN534" s="10"/>
      <c r="MO534" s="10"/>
      <c r="MP534" s="10"/>
      <c r="MQ534" s="10"/>
      <c r="MR534" s="10"/>
      <c r="MS534" s="10"/>
      <c r="MT534" s="10"/>
      <c r="MU534" s="10"/>
      <c r="MV534" s="10"/>
      <c r="MW534" s="10"/>
      <c r="MX534" s="10"/>
      <c r="OD534" s="5"/>
    </row>
    <row r="535" spans="8:394" ht="18" customHeight="1">
      <c r="H535" s="4"/>
      <c r="AX535" s="12"/>
      <c r="AY535" s="14"/>
      <c r="AZ535" s="15"/>
      <c r="BA535" s="15"/>
      <c r="BB535" s="15"/>
      <c r="BC535" s="15"/>
      <c r="BD535" s="15"/>
      <c r="BE535" s="15"/>
      <c r="BF535" s="15"/>
      <c r="BG535" s="15"/>
      <c r="BH535" s="15"/>
      <c r="BI535" s="15"/>
      <c r="BJ535" s="15"/>
      <c r="BK535" s="15"/>
      <c r="BL535" s="15"/>
      <c r="BM535" s="15"/>
      <c r="BN535" s="15"/>
      <c r="BO535" s="14"/>
      <c r="BP535" s="15"/>
      <c r="BQ535" s="15"/>
      <c r="BR535" s="15"/>
      <c r="BS535" s="15"/>
      <c r="BT535" s="15"/>
      <c r="BU535" s="15"/>
      <c r="BV535" s="15"/>
      <c r="BW535" s="15"/>
      <c r="BX535" s="15"/>
      <c r="BY535" s="15"/>
      <c r="BZ535" s="15"/>
      <c r="CA535" s="15"/>
      <c r="CB535" s="15"/>
      <c r="CC535" s="15"/>
      <c r="CD535" s="16"/>
      <c r="CE535" s="14"/>
      <c r="CF535" s="15"/>
      <c r="CG535" s="15"/>
      <c r="CH535" s="15"/>
      <c r="CI535" s="15"/>
      <c r="CJ535" s="15"/>
      <c r="CK535" s="15"/>
      <c r="CL535" s="15"/>
      <c r="CM535" s="15"/>
      <c r="CN535" s="15"/>
      <c r="CO535" s="15"/>
      <c r="CP535" s="15"/>
      <c r="CQ535" s="15"/>
      <c r="CR535" s="15"/>
      <c r="CS535" s="15"/>
      <c r="CT535" s="16"/>
      <c r="CU535" s="13"/>
      <c r="DW535" s="5"/>
      <c r="EQ535" s="4"/>
      <c r="GB535" s="149"/>
      <c r="GC535" s="150"/>
      <c r="GD535" s="150"/>
      <c r="GE535" s="149"/>
      <c r="GF535" s="149"/>
      <c r="GG535" s="150"/>
      <c r="GH535" s="150"/>
      <c r="GI535" s="150"/>
      <c r="GJ535" s="150"/>
      <c r="GK535" s="150"/>
      <c r="GL535" s="150"/>
      <c r="GM535" s="150"/>
      <c r="GN535" s="150"/>
      <c r="GO535" s="150"/>
      <c r="GP535" s="150"/>
      <c r="GQ535" s="150"/>
      <c r="GR535" s="150"/>
      <c r="GS535" s="150"/>
      <c r="GT535" s="150"/>
      <c r="GU535" s="150"/>
      <c r="GV535" s="150"/>
      <c r="GW535" s="150"/>
      <c r="GX535" s="150"/>
      <c r="GY535" s="150"/>
      <c r="GZ535" s="150"/>
      <c r="HA535" s="150"/>
      <c r="HB535" s="150"/>
      <c r="HC535" s="150"/>
      <c r="HD535" s="150"/>
      <c r="HE535" s="150"/>
      <c r="HF535" s="150"/>
      <c r="HG535" s="150"/>
      <c r="HH535" s="150"/>
      <c r="HI535" s="150"/>
      <c r="HJ535" s="150"/>
      <c r="HK535" s="150"/>
      <c r="HL535" s="150"/>
      <c r="HM535" s="150"/>
      <c r="HN535" s="150"/>
      <c r="HO535" s="150"/>
      <c r="HP535" s="150"/>
      <c r="HQ535" s="150"/>
      <c r="HR535" s="150"/>
      <c r="HS535" s="150"/>
      <c r="HT535" s="150"/>
      <c r="HU535" s="150"/>
      <c r="HV535" s="150"/>
      <c r="HW535" s="150"/>
      <c r="HX535" s="150"/>
      <c r="HY535" s="150"/>
      <c r="HZ535" s="150"/>
      <c r="IA535" s="151"/>
      <c r="IB535" s="151"/>
      <c r="IC535" s="150"/>
      <c r="ID535" s="150"/>
      <c r="IE535" s="151"/>
      <c r="JF535" s="5"/>
      <c r="JO535" s="4"/>
      <c r="OD535" s="5"/>
    </row>
    <row r="536" spans="8:394" ht="18" customHeight="1">
      <c r="H536" s="4"/>
      <c r="AX536" s="14"/>
      <c r="AY536" s="15"/>
      <c r="AZ536" s="15"/>
      <c r="BA536" s="15"/>
      <c r="BB536" s="15"/>
      <c r="BC536" s="15"/>
      <c r="BD536" s="15"/>
      <c r="BE536" s="15"/>
      <c r="BF536" s="15"/>
      <c r="BG536" s="15"/>
      <c r="BH536" s="15"/>
      <c r="BI536" s="15"/>
      <c r="BJ536" s="15"/>
      <c r="BK536" s="15"/>
      <c r="BL536" s="15"/>
      <c r="BM536" s="15"/>
      <c r="BN536" s="15"/>
      <c r="BO536" s="15"/>
      <c r="BP536" s="15"/>
      <c r="BQ536" s="15"/>
      <c r="BR536" s="15"/>
      <c r="BS536" s="15"/>
      <c r="BT536" s="15"/>
      <c r="BU536" s="15"/>
      <c r="BV536" s="15"/>
      <c r="BW536" s="15"/>
      <c r="BX536" s="15"/>
      <c r="BY536" s="15"/>
      <c r="BZ536" s="15"/>
      <c r="CA536" s="15"/>
      <c r="CB536" s="15"/>
      <c r="CC536" s="15"/>
      <c r="CD536" s="15"/>
      <c r="CE536" s="15"/>
      <c r="CF536" s="15"/>
      <c r="CG536" s="15"/>
      <c r="CH536" s="15"/>
      <c r="CI536" s="15"/>
      <c r="CJ536" s="15"/>
      <c r="CK536" s="15"/>
      <c r="CL536" s="15"/>
      <c r="CM536" s="15"/>
      <c r="CN536" s="15"/>
      <c r="CO536" s="15"/>
      <c r="CP536" s="15"/>
      <c r="CQ536" s="15"/>
      <c r="CR536" s="15"/>
      <c r="CS536" s="15"/>
      <c r="CT536" s="15"/>
      <c r="CU536" s="16"/>
      <c r="DW536" s="5"/>
      <c r="EQ536" s="4"/>
      <c r="GB536" s="149"/>
      <c r="GC536" s="150"/>
      <c r="GD536" s="150"/>
      <c r="GE536" s="149"/>
      <c r="GF536" s="149"/>
      <c r="GG536" s="150"/>
      <c r="GH536" s="150"/>
      <c r="GI536" s="150"/>
      <c r="GJ536" s="150"/>
      <c r="GK536" s="150"/>
      <c r="GL536" s="150"/>
      <c r="GM536" s="150"/>
      <c r="GN536" s="150"/>
      <c r="GO536" s="150"/>
      <c r="GP536" s="150"/>
      <c r="GQ536" s="150"/>
      <c r="GR536" s="150"/>
      <c r="GS536" s="150"/>
      <c r="GT536" s="150"/>
      <c r="GU536" s="150"/>
      <c r="GV536" s="150"/>
      <c r="GW536" s="150"/>
      <c r="GX536" s="150"/>
      <c r="GY536" s="150"/>
      <c r="GZ536" s="150"/>
      <c r="HA536" s="150"/>
      <c r="HB536" s="150"/>
      <c r="HC536" s="150"/>
      <c r="HD536" s="150"/>
      <c r="HE536" s="150"/>
      <c r="HF536" s="150"/>
      <c r="HG536" s="150"/>
      <c r="HH536" s="150"/>
      <c r="HI536" s="150"/>
      <c r="HJ536" s="150"/>
      <c r="HK536" s="150"/>
      <c r="HL536" s="150"/>
      <c r="HM536" s="150"/>
      <c r="HN536" s="150"/>
      <c r="HO536" s="150"/>
      <c r="HP536" s="150"/>
      <c r="HQ536" s="150"/>
      <c r="HR536" s="150"/>
      <c r="HS536" s="150"/>
      <c r="HT536" s="150"/>
      <c r="HU536" s="150"/>
      <c r="HV536" s="150"/>
      <c r="HW536" s="150"/>
      <c r="HX536" s="150"/>
      <c r="HY536" s="150"/>
      <c r="HZ536" s="150"/>
      <c r="IA536" s="151"/>
      <c r="IB536" s="151"/>
      <c r="IC536" s="150"/>
      <c r="ID536" s="150"/>
      <c r="IE536" s="151"/>
      <c r="JF536" s="5"/>
      <c r="JO536" s="4"/>
      <c r="OD536" s="5"/>
    </row>
    <row r="537" spans="8:394" ht="18" customHeight="1">
      <c r="H537" s="4"/>
      <c r="DW537" s="5"/>
      <c r="EQ537" s="4"/>
      <c r="GB537" s="149"/>
      <c r="GC537" s="150"/>
      <c r="GD537" s="150"/>
      <c r="GE537" s="149"/>
      <c r="GF537" s="149"/>
      <c r="GG537" s="150"/>
      <c r="GH537" s="150"/>
      <c r="GI537" s="150"/>
      <c r="GJ537" s="150"/>
      <c r="GK537" s="150"/>
      <c r="GL537" s="150"/>
      <c r="GM537" s="150"/>
      <c r="GN537" s="150"/>
      <c r="GO537" s="150"/>
      <c r="GP537" s="150"/>
      <c r="GQ537" s="150"/>
      <c r="GR537" s="150"/>
      <c r="GS537" s="150"/>
      <c r="GT537" s="150"/>
      <c r="GU537" s="150"/>
      <c r="GV537" s="150"/>
      <c r="GW537" s="150"/>
      <c r="GX537" s="150"/>
      <c r="GY537" s="150"/>
      <c r="GZ537" s="150"/>
      <c r="HA537" s="150"/>
      <c r="HB537" s="150"/>
      <c r="HC537" s="150"/>
      <c r="HD537" s="150"/>
      <c r="HE537" s="150"/>
      <c r="HF537" s="150"/>
      <c r="HG537" s="150"/>
      <c r="HH537" s="150"/>
      <c r="HI537" s="150"/>
      <c r="HJ537" s="150"/>
      <c r="HK537" s="150"/>
      <c r="HL537" s="150"/>
      <c r="HM537" s="150"/>
      <c r="HN537" s="150"/>
      <c r="HO537" s="150"/>
      <c r="HP537" s="150"/>
      <c r="HQ537" s="150"/>
      <c r="HR537" s="150"/>
      <c r="HS537" s="150"/>
      <c r="HT537" s="150"/>
      <c r="HU537" s="150"/>
      <c r="HV537" s="150"/>
      <c r="HW537" s="150"/>
      <c r="HX537" s="150"/>
      <c r="HY537" s="150"/>
      <c r="HZ537" s="150"/>
      <c r="IA537" s="151"/>
      <c r="IB537" s="151"/>
      <c r="IC537" s="150"/>
      <c r="ID537" s="150"/>
      <c r="IE537" s="151"/>
      <c r="JF537" s="5"/>
      <c r="JO537" s="4"/>
      <c r="OD537" s="5"/>
    </row>
    <row r="538" spans="8:394" ht="18" customHeight="1">
      <c r="H538" s="4"/>
      <c r="DW538" s="5"/>
      <c r="EQ538" s="4"/>
      <c r="GB538" s="149"/>
      <c r="GC538" s="150"/>
      <c r="GD538" s="150"/>
      <c r="GE538" s="149"/>
      <c r="GF538" s="149"/>
      <c r="GG538" s="146"/>
      <c r="GH538" s="148"/>
      <c r="GI538" s="150"/>
      <c r="GJ538" s="150"/>
      <c r="GK538" s="150"/>
      <c r="GL538" s="150"/>
      <c r="GM538" s="150"/>
      <c r="GN538" s="150"/>
      <c r="GO538" s="150"/>
      <c r="GP538" s="150"/>
      <c r="GQ538" s="150"/>
      <c r="GR538" s="150"/>
      <c r="GS538" s="150"/>
      <c r="GT538" s="150"/>
      <c r="GU538" s="150"/>
      <c r="GV538" s="150"/>
      <c r="GW538" s="150"/>
      <c r="GX538" s="150"/>
      <c r="GY538" s="150"/>
      <c r="GZ538" s="150"/>
      <c r="HA538" s="150"/>
      <c r="HB538" s="150"/>
      <c r="HC538" s="146"/>
      <c r="HD538" s="148"/>
      <c r="HE538" s="150"/>
      <c r="HF538" s="150"/>
      <c r="HG538" s="150"/>
      <c r="HH538" s="150"/>
      <c r="HI538" s="150"/>
      <c r="HJ538" s="150"/>
      <c r="HK538" s="150"/>
      <c r="HL538" s="150"/>
      <c r="HM538" s="150"/>
      <c r="HN538" s="150"/>
      <c r="HO538" s="150"/>
      <c r="HP538" s="150"/>
      <c r="HQ538" s="150"/>
      <c r="HR538" s="150"/>
      <c r="HS538" s="150"/>
      <c r="HT538" s="150"/>
      <c r="HU538" s="150"/>
      <c r="HV538" s="150"/>
      <c r="HW538" s="150"/>
      <c r="HX538" s="150"/>
      <c r="HY538" s="146"/>
      <c r="HZ538" s="148"/>
      <c r="IA538" s="151"/>
      <c r="IB538" s="151"/>
      <c r="IC538" s="150"/>
      <c r="ID538" s="150"/>
      <c r="IE538" s="151"/>
      <c r="JF538" s="5"/>
      <c r="JO538" s="4"/>
      <c r="OD538" s="5"/>
    </row>
    <row r="539" spans="8:394" ht="18" customHeight="1">
      <c r="H539" s="4"/>
      <c r="DW539" s="5"/>
      <c r="EQ539" s="4"/>
      <c r="GB539" s="149"/>
      <c r="GC539" s="150"/>
      <c r="GD539" s="150"/>
      <c r="GE539" s="149"/>
      <c r="GF539" s="149"/>
      <c r="GG539" s="152"/>
      <c r="GH539" s="154"/>
      <c r="GI539" s="150"/>
      <c r="GJ539" s="150"/>
      <c r="GK539" s="150"/>
      <c r="GL539" s="150"/>
      <c r="GM539" s="150"/>
      <c r="GN539" s="150"/>
      <c r="GO539" s="150"/>
      <c r="GP539" s="150"/>
      <c r="GQ539" s="150"/>
      <c r="GR539" s="150"/>
      <c r="GS539" s="150"/>
      <c r="GT539" s="150"/>
      <c r="GU539" s="150"/>
      <c r="GV539" s="150"/>
      <c r="GW539" s="150"/>
      <c r="GX539" s="150"/>
      <c r="GY539" s="150"/>
      <c r="GZ539" s="150"/>
      <c r="HA539" s="150"/>
      <c r="HB539" s="150"/>
      <c r="HC539" s="152"/>
      <c r="HD539" s="154"/>
      <c r="HE539" s="150"/>
      <c r="HF539" s="150"/>
      <c r="HG539" s="150"/>
      <c r="HH539" s="150"/>
      <c r="HI539" s="150"/>
      <c r="HJ539" s="150"/>
      <c r="HK539" s="150"/>
      <c r="HL539" s="150"/>
      <c r="HM539" s="150"/>
      <c r="HN539" s="150"/>
      <c r="HO539" s="150"/>
      <c r="HP539" s="150"/>
      <c r="HQ539" s="150"/>
      <c r="HR539" s="150"/>
      <c r="HS539" s="150"/>
      <c r="HT539" s="150"/>
      <c r="HU539" s="150"/>
      <c r="HV539" s="150"/>
      <c r="HW539" s="150"/>
      <c r="HX539" s="150"/>
      <c r="HY539" s="152"/>
      <c r="HZ539" s="154"/>
      <c r="IA539" s="151"/>
      <c r="IB539" s="151"/>
      <c r="IC539" s="150"/>
      <c r="ID539" s="150"/>
      <c r="IE539" s="151"/>
      <c r="JF539" s="5"/>
      <c r="JO539" s="4"/>
      <c r="OD539" s="5"/>
    </row>
    <row r="540" spans="8:394" ht="18" customHeight="1">
      <c r="H540" s="4"/>
      <c r="DW540" s="5"/>
      <c r="EQ540" s="4"/>
      <c r="GB540" s="149"/>
      <c r="GC540" s="150"/>
      <c r="GD540" s="150"/>
      <c r="GE540" s="149"/>
      <c r="GF540" s="152"/>
      <c r="GG540" s="153"/>
      <c r="GH540" s="153"/>
      <c r="GI540" s="153"/>
      <c r="GJ540" s="153"/>
      <c r="GK540" s="153"/>
      <c r="GL540" s="153"/>
      <c r="GM540" s="153"/>
      <c r="GN540" s="153"/>
      <c r="GO540" s="153"/>
      <c r="GP540" s="153"/>
      <c r="GQ540" s="153"/>
      <c r="GR540" s="153"/>
      <c r="GS540" s="153"/>
      <c r="GT540" s="153"/>
      <c r="GU540" s="153"/>
      <c r="GV540" s="153"/>
      <c r="GW540" s="153"/>
      <c r="GX540" s="153"/>
      <c r="GY540" s="153"/>
      <c r="GZ540" s="153"/>
      <c r="HA540" s="153"/>
      <c r="HB540" s="153"/>
      <c r="HC540" s="153"/>
      <c r="HD540" s="153"/>
      <c r="HE540" s="153"/>
      <c r="HF540" s="153"/>
      <c r="HG540" s="153"/>
      <c r="HH540" s="153"/>
      <c r="HI540" s="153"/>
      <c r="HJ540" s="153"/>
      <c r="HK540" s="153"/>
      <c r="HL540" s="153"/>
      <c r="HM540" s="153"/>
      <c r="HN540" s="153"/>
      <c r="HO540" s="153"/>
      <c r="HP540" s="153"/>
      <c r="HQ540" s="153"/>
      <c r="HR540" s="153"/>
      <c r="HS540" s="153"/>
      <c r="HT540" s="153"/>
      <c r="HU540" s="153"/>
      <c r="HV540" s="153"/>
      <c r="HW540" s="153"/>
      <c r="HX540" s="153"/>
      <c r="HY540" s="153"/>
      <c r="HZ540" s="153"/>
      <c r="IA540" s="154"/>
      <c r="IB540" s="151"/>
      <c r="IC540" s="150"/>
      <c r="ID540" s="150"/>
      <c r="IE540" s="151"/>
      <c r="JF540" s="5"/>
      <c r="JO540" s="4"/>
      <c r="OD540" s="5"/>
    </row>
    <row r="541" spans="8:394" ht="18" customHeight="1">
      <c r="H541" s="4"/>
      <c r="DW541" s="5"/>
      <c r="EQ541" s="4"/>
      <c r="GB541" s="149"/>
      <c r="GC541" s="150"/>
      <c r="GD541" s="150"/>
      <c r="GE541" s="152"/>
      <c r="GF541" s="153"/>
      <c r="GG541" s="153"/>
      <c r="GH541" s="153"/>
      <c r="GI541" s="153"/>
      <c r="GJ541" s="153"/>
      <c r="GK541" s="153"/>
      <c r="GL541" s="153"/>
      <c r="GM541" s="153"/>
      <c r="GN541" s="153"/>
      <c r="GO541" s="153"/>
      <c r="GP541" s="153"/>
      <c r="GQ541" s="153"/>
      <c r="GR541" s="153"/>
      <c r="GS541" s="153"/>
      <c r="GT541" s="153"/>
      <c r="GU541" s="153"/>
      <c r="GV541" s="153"/>
      <c r="GW541" s="153"/>
      <c r="GX541" s="153"/>
      <c r="GY541" s="153"/>
      <c r="GZ541" s="153"/>
      <c r="HA541" s="153"/>
      <c r="HB541" s="153"/>
      <c r="HC541" s="153"/>
      <c r="HD541" s="153"/>
      <c r="HE541" s="153"/>
      <c r="HF541" s="153"/>
      <c r="HG541" s="153"/>
      <c r="HH541" s="153"/>
      <c r="HI541" s="153"/>
      <c r="HJ541" s="153"/>
      <c r="HK541" s="153"/>
      <c r="HL541" s="153"/>
      <c r="HM541" s="153"/>
      <c r="HN541" s="153"/>
      <c r="HO541" s="153"/>
      <c r="HP541" s="153"/>
      <c r="HQ541" s="153"/>
      <c r="HR541" s="153"/>
      <c r="HS541" s="153"/>
      <c r="HT541" s="153"/>
      <c r="HU541" s="153"/>
      <c r="HV541" s="153"/>
      <c r="HW541" s="153"/>
      <c r="HX541" s="153"/>
      <c r="HY541" s="153"/>
      <c r="HZ541" s="153"/>
      <c r="IA541" s="153"/>
      <c r="IB541" s="154"/>
      <c r="IC541" s="150"/>
      <c r="ID541" s="150"/>
      <c r="IE541" s="151"/>
      <c r="JF541" s="5"/>
      <c r="JO541" s="4"/>
      <c r="OD541" s="5"/>
    </row>
    <row r="542" spans="8:394" ht="18" customHeight="1">
      <c r="H542" s="4"/>
      <c r="DW542" s="5"/>
      <c r="EQ542" s="4"/>
      <c r="GB542" s="149"/>
      <c r="GC542" s="150"/>
      <c r="GD542" s="150"/>
      <c r="GE542" s="150"/>
      <c r="GF542" s="150"/>
      <c r="GG542" s="150"/>
      <c r="GH542" s="150"/>
      <c r="GI542" s="150"/>
      <c r="GJ542" s="150"/>
      <c r="GK542" s="150"/>
      <c r="GL542" s="150"/>
      <c r="GM542" s="150"/>
      <c r="GN542" s="150"/>
      <c r="GO542" s="150"/>
      <c r="GP542" s="150"/>
      <c r="GQ542" s="150"/>
      <c r="GR542" s="150"/>
      <c r="GS542" s="150"/>
      <c r="GT542" s="150"/>
      <c r="GU542" s="150"/>
      <c r="GV542" s="150"/>
      <c r="GW542" s="150"/>
      <c r="GX542" s="150"/>
      <c r="GY542" s="150"/>
      <c r="GZ542" s="150"/>
      <c r="HA542" s="150"/>
      <c r="HB542" s="150"/>
      <c r="HC542" s="150"/>
      <c r="HD542" s="150"/>
      <c r="HE542" s="150"/>
      <c r="HF542" s="150"/>
      <c r="HG542" s="150"/>
      <c r="HH542" s="150"/>
      <c r="HI542" s="150"/>
      <c r="HJ542" s="150"/>
      <c r="HK542" s="150"/>
      <c r="HL542" s="150"/>
      <c r="HM542" s="150"/>
      <c r="HN542" s="150"/>
      <c r="HO542" s="150"/>
      <c r="HP542" s="150"/>
      <c r="HQ542" s="150"/>
      <c r="HR542" s="150"/>
      <c r="HS542" s="150"/>
      <c r="HT542" s="150"/>
      <c r="HU542" s="150"/>
      <c r="HV542" s="150"/>
      <c r="HW542" s="150"/>
      <c r="HX542" s="150"/>
      <c r="HY542" s="150"/>
      <c r="HZ542" s="150"/>
      <c r="IA542" s="150"/>
      <c r="IB542" s="150"/>
      <c r="IC542" s="150"/>
      <c r="ID542" s="150"/>
      <c r="IE542" s="151"/>
      <c r="JF542" s="5"/>
      <c r="JO542" s="4"/>
      <c r="OD542" s="5"/>
    </row>
    <row r="543" spans="8:394" ht="18" customHeight="1">
      <c r="H543" s="4"/>
      <c r="DW543" s="5"/>
      <c r="EQ543" s="4"/>
      <c r="GB543" s="149"/>
      <c r="GC543" s="150"/>
      <c r="GD543" s="150"/>
      <c r="GE543" s="150"/>
      <c r="GF543" s="150"/>
      <c r="GG543" s="150"/>
      <c r="GH543" s="150"/>
      <c r="GI543" s="150"/>
      <c r="GJ543" s="150"/>
      <c r="GK543" s="150"/>
      <c r="GL543" s="150"/>
      <c r="GM543" s="150"/>
      <c r="GN543" s="150"/>
      <c r="GO543" s="150"/>
      <c r="GP543" s="150"/>
      <c r="GQ543" s="150"/>
      <c r="GR543" s="150"/>
      <c r="GS543" s="150"/>
      <c r="GT543" s="150"/>
      <c r="GU543" s="150"/>
      <c r="GV543" s="150"/>
      <c r="GW543" s="150"/>
      <c r="GX543" s="150"/>
      <c r="GY543" s="150"/>
      <c r="GZ543" s="150"/>
      <c r="HA543" s="150"/>
      <c r="HB543" s="150"/>
      <c r="HC543" s="150"/>
      <c r="HD543" s="150"/>
      <c r="HE543" s="150"/>
      <c r="HF543" s="150"/>
      <c r="HG543" s="150"/>
      <c r="HH543" s="150"/>
      <c r="HI543" s="150"/>
      <c r="HJ543" s="150"/>
      <c r="HK543" s="150"/>
      <c r="HL543" s="150"/>
      <c r="HM543" s="150"/>
      <c r="HN543" s="150"/>
      <c r="HO543" s="150"/>
      <c r="HP543" s="150"/>
      <c r="HQ543" s="150"/>
      <c r="HR543" s="150"/>
      <c r="HS543" s="150"/>
      <c r="HT543" s="150"/>
      <c r="HU543" s="150"/>
      <c r="HV543" s="150"/>
      <c r="HW543" s="150"/>
      <c r="HX543" s="150"/>
      <c r="HY543" s="150"/>
      <c r="HZ543" s="150"/>
      <c r="IA543" s="150"/>
      <c r="IB543" s="150"/>
      <c r="IC543" s="150"/>
      <c r="ID543" s="150"/>
      <c r="IE543" s="151"/>
      <c r="JF543" s="5"/>
      <c r="JO543" s="4"/>
      <c r="OD543" s="5"/>
    </row>
    <row r="544" spans="8:394" ht="18" customHeight="1">
      <c r="H544" s="4"/>
      <c r="DW544" s="5"/>
      <c r="EQ544" s="4"/>
      <c r="GB544" s="152"/>
      <c r="GC544" s="153"/>
      <c r="GD544" s="153"/>
      <c r="GE544" s="153"/>
      <c r="GF544" s="153"/>
      <c r="GG544" s="153"/>
      <c r="GH544" s="153"/>
      <c r="GI544" s="153"/>
      <c r="GJ544" s="153"/>
      <c r="GK544" s="153"/>
      <c r="GL544" s="153"/>
      <c r="GM544" s="153"/>
      <c r="GN544" s="153"/>
      <c r="GO544" s="153"/>
      <c r="GP544" s="153"/>
      <c r="GQ544" s="153"/>
      <c r="GR544" s="153"/>
      <c r="GS544" s="153"/>
      <c r="GT544" s="153"/>
      <c r="GU544" s="153"/>
      <c r="GV544" s="153"/>
      <c r="GW544" s="153"/>
      <c r="GX544" s="153"/>
      <c r="GY544" s="153"/>
      <c r="GZ544" s="153"/>
      <c r="HA544" s="153"/>
      <c r="HB544" s="153"/>
      <c r="HC544" s="153"/>
      <c r="HD544" s="153"/>
      <c r="HE544" s="153"/>
      <c r="HF544" s="153"/>
      <c r="HG544" s="153"/>
      <c r="HH544" s="153"/>
      <c r="HI544" s="153"/>
      <c r="HJ544" s="153"/>
      <c r="HK544" s="153"/>
      <c r="HL544" s="153"/>
      <c r="HM544" s="153"/>
      <c r="HN544" s="153"/>
      <c r="HO544" s="153"/>
      <c r="HP544" s="153"/>
      <c r="HQ544" s="153"/>
      <c r="HR544" s="153"/>
      <c r="HS544" s="153"/>
      <c r="HT544" s="153"/>
      <c r="HU544" s="153"/>
      <c r="HV544" s="153"/>
      <c r="HW544" s="153"/>
      <c r="HX544" s="153"/>
      <c r="HY544" s="153"/>
      <c r="HZ544" s="153"/>
      <c r="IA544" s="153"/>
      <c r="IB544" s="153"/>
      <c r="IC544" s="153"/>
      <c r="ID544" s="153"/>
      <c r="IE544" s="154"/>
      <c r="JF544" s="5"/>
      <c r="JO544" s="4"/>
      <c r="OD544" s="5"/>
    </row>
    <row r="545" spans="8:394" ht="18" customHeight="1">
      <c r="H545" s="4"/>
      <c r="DW545" s="5"/>
      <c r="EQ545" s="4"/>
      <c r="JF545" s="5"/>
      <c r="JO545" s="4"/>
      <c r="OD545" s="5"/>
    </row>
    <row r="546" spans="8:394" ht="18" customHeight="1">
      <c r="H546" s="4"/>
      <c r="DW546" s="5"/>
      <c r="EQ546" s="4"/>
      <c r="JF546" s="5"/>
      <c r="JO546" s="4"/>
      <c r="OD546" s="5"/>
    </row>
    <row r="547" spans="8:394" ht="18" customHeight="1">
      <c r="H547" s="4"/>
      <c r="DW547" s="5"/>
      <c r="EQ547" s="4"/>
      <c r="JF547" s="5"/>
      <c r="JO547" s="4"/>
      <c r="OD547" s="5"/>
    </row>
    <row r="548" spans="8:394" ht="18" customHeight="1">
      <c r="H548" s="4"/>
      <c r="DW548" s="5"/>
      <c r="EQ548" s="4"/>
      <c r="JF548" s="5"/>
      <c r="JO548" s="4"/>
      <c r="OD548" s="5"/>
    </row>
    <row r="549" spans="8:394" ht="18" customHeight="1" thickBot="1">
      <c r="H549" s="6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BP549" s="7"/>
      <c r="BQ549" s="7"/>
      <c r="BR549" s="7"/>
      <c r="BS549" s="7"/>
      <c r="BT549" s="7"/>
      <c r="BU549" s="7"/>
      <c r="BV549" s="7"/>
      <c r="BW549" s="7"/>
      <c r="BX549" s="7"/>
      <c r="BY549" s="7"/>
      <c r="BZ549" s="7"/>
      <c r="CA549" s="7"/>
      <c r="CB549" s="7"/>
      <c r="CC549" s="7"/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/>
      <c r="CQ549" s="7"/>
      <c r="CR549" s="7"/>
      <c r="CS549" s="7"/>
      <c r="CT549" s="7"/>
      <c r="CU549" s="7"/>
      <c r="CV549" s="7"/>
      <c r="CW549" s="7"/>
      <c r="CX549" s="7"/>
      <c r="CY549" s="7"/>
      <c r="CZ549" s="7"/>
      <c r="DA549" s="7"/>
      <c r="DB549" s="7"/>
      <c r="DC549" s="7"/>
      <c r="DD549" s="7"/>
      <c r="DE549" s="7"/>
      <c r="DF549" s="7"/>
      <c r="DG549" s="7"/>
      <c r="DH549" s="7"/>
      <c r="DI549" s="7"/>
      <c r="DJ549" s="7"/>
      <c r="DK549" s="7"/>
      <c r="DL549" s="7"/>
      <c r="DM549" s="7"/>
      <c r="DN549" s="7"/>
      <c r="DO549" s="7"/>
      <c r="DP549" s="7"/>
      <c r="DQ549" s="7"/>
      <c r="DR549" s="7"/>
      <c r="DS549" s="7"/>
      <c r="DT549" s="7"/>
      <c r="DU549" s="7"/>
      <c r="DV549" s="7"/>
      <c r="DW549" s="8"/>
      <c r="EQ549" s="4"/>
      <c r="JF549" s="5"/>
      <c r="JO549" s="4"/>
      <c r="OD549" s="5"/>
    </row>
    <row r="550" spans="8:394" ht="18" customHeight="1" thickBot="1">
      <c r="EQ550" s="6"/>
      <c r="ER550" s="7"/>
      <c r="ES550" s="7"/>
      <c r="ET550" s="7"/>
      <c r="EU550" s="7"/>
      <c r="EV550" s="7"/>
      <c r="EW550" s="7"/>
      <c r="EX550" s="7"/>
      <c r="EY550" s="7"/>
      <c r="EZ550" s="7"/>
      <c r="FA550" s="7"/>
      <c r="FB550" s="7"/>
      <c r="FC550" s="7"/>
      <c r="FD550" s="7"/>
      <c r="FE550" s="7"/>
      <c r="FF550" s="7"/>
      <c r="FG550" s="7"/>
      <c r="FH550" s="7"/>
      <c r="FI550" s="7"/>
      <c r="FJ550" s="7"/>
      <c r="FK550" s="7"/>
      <c r="FL550" s="7"/>
      <c r="FM550" s="7"/>
      <c r="FN550" s="7"/>
      <c r="FO550" s="7"/>
      <c r="FP550" s="7"/>
      <c r="FQ550" s="7"/>
      <c r="FR550" s="7"/>
      <c r="FS550" s="7"/>
      <c r="FT550" s="7"/>
      <c r="FU550" s="7"/>
      <c r="FV550" s="7"/>
      <c r="FW550" s="7"/>
      <c r="FX550" s="7"/>
      <c r="FY550" s="7"/>
      <c r="FZ550" s="7"/>
      <c r="GA550" s="7"/>
      <c r="GB550" s="7"/>
      <c r="GC550" s="7"/>
      <c r="GD550" s="7"/>
      <c r="GE550" s="7"/>
      <c r="GF550" s="7"/>
      <c r="GG550" s="7"/>
      <c r="GH550" s="7"/>
      <c r="GI550" s="7"/>
      <c r="GJ550" s="7"/>
      <c r="GK550" s="7"/>
      <c r="GL550" s="7"/>
      <c r="GM550" s="7"/>
      <c r="GN550" s="7"/>
      <c r="GO550" s="7"/>
      <c r="GP550" s="7"/>
      <c r="GQ550" s="7"/>
      <c r="GR550" s="7"/>
      <c r="GS550" s="7"/>
      <c r="GT550" s="7"/>
      <c r="GU550" s="7"/>
      <c r="GV550" s="7"/>
      <c r="GW550" s="7"/>
      <c r="GX550" s="7"/>
      <c r="GY550" s="7"/>
      <c r="GZ550" s="7"/>
      <c r="HA550" s="7"/>
      <c r="HB550" s="7"/>
      <c r="HC550" s="7"/>
      <c r="HD550" s="7"/>
      <c r="HE550" s="7"/>
      <c r="HF550" s="7"/>
      <c r="HG550" s="7"/>
      <c r="HH550" s="7"/>
      <c r="HI550" s="7"/>
      <c r="HJ550" s="7"/>
      <c r="HK550" s="7"/>
      <c r="HL550" s="7"/>
      <c r="HM550" s="7"/>
      <c r="HN550" s="7"/>
      <c r="HO550" s="7"/>
      <c r="HP550" s="7"/>
      <c r="HQ550" s="7"/>
      <c r="HR550" s="7"/>
      <c r="HS550" s="7"/>
      <c r="HT550" s="7"/>
      <c r="HU550" s="7"/>
      <c r="HV550" s="7"/>
      <c r="HW550" s="7"/>
      <c r="HX550" s="7"/>
      <c r="HY550" s="7"/>
      <c r="HZ550" s="7"/>
      <c r="IA550" s="7"/>
      <c r="IB550" s="7"/>
      <c r="IC550" s="7"/>
      <c r="ID550" s="7"/>
      <c r="IE550" s="7"/>
      <c r="IF550" s="7"/>
      <c r="IG550" s="7"/>
      <c r="IH550" s="7"/>
      <c r="II550" s="7"/>
      <c r="IJ550" s="7"/>
      <c r="IK550" s="7"/>
      <c r="IL550" s="7"/>
      <c r="IM550" s="7"/>
      <c r="IN550" s="7"/>
      <c r="IO550" s="7"/>
      <c r="IP550" s="7"/>
      <c r="IQ550" s="7"/>
      <c r="IR550" s="7"/>
      <c r="IS550" s="7"/>
      <c r="IT550" s="7"/>
      <c r="IU550" s="7"/>
      <c r="IV550" s="7"/>
      <c r="IW550" s="7"/>
      <c r="IX550" s="7"/>
      <c r="IY550" s="7"/>
      <c r="IZ550" s="7"/>
      <c r="JA550" s="7"/>
      <c r="JB550" s="7"/>
      <c r="JC550" s="7"/>
      <c r="JD550" s="7"/>
      <c r="JE550" s="7"/>
      <c r="JF550" s="8"/>
      <c r="JO550" s="6"/>
      <c r="JP550" s="7"/>
      <c r="JQ550" s="7"/>
      <c r="JR550" s="7"/>
      <c r="JS550" s="7"/>
      <c r="JT550" s="7"/>
      <c r="JU550" s="7"/>
      <c r="JV550" s="7"/>
      <c r="JW550" s="7"/>
      <c r="JX550" s="7"/>
      <c r="JY550" s="7"/>
      <c r="JZ550" s="7"/>
      <c r="KA550" s="7"/>
      <c r="KB550" s="7"/>
      <c r="KC550" s="7"/>
      <c r="KD550" s="7"/>
      <c r="KE550" s="7"/>
      <c r="KF550" s="7"/>
      <c r="KG550" s="7"/>
      <c r="KH550" s="7"/>
      <c r="KI550" s="7"/>
      <c r="KJ550" s="7"/>
      <c r="KK550" s="7"/>
      <c r="KL550" s="7"/>
      <c r="KM550" s="7"/>
      <c r="KN550" s="7"/>
      <c r="KO550" s="7"/>
      <c r="KP550" s="7"/>
      <c r="KQ550" s="7"/>
      <c r="KR550" s="7"/>
      <c r="KS550" s="7"/>
      <c r="KT550" s="7"/>
      <c r="KU550" s="7"/>
      <c r="KV550" s="7"/>
      <c r="KW550" s="7"/>
      <c r="KX550" s="7"/>
      <c r="KY550" s="7"/>
      <c r="KZ550" s="7"/>
      <c r="LA550" s="7"/>
      <c r="LB550" s="7"/>
      <c r="LC550" s="7"/>
      <c r="LD550" s="7"/>
      <c r="LE550" s="7"/>
      <c r="LF550" s="7"/>
      <c r="LG550" s="7"/>
      <c r="LH550" s="7"/>
      <c r="LI550" s="7"/>
      <c r="LJ550" s="7"/>
      <c r="LK550" s="7"/>
      <c r="LL550" s="7"/>
      <c r="LM550" s="7"/>
      <c r="LN550" s="7"/>
      <c r="LO550" s="7"/>
      <c r="LP550" s="7"/>
      <c r="LQ550" s="7"/>
      <c r="LR550" s="7"/>
      <c r="LS550" s="7"/>
      <c r="LT550" s="7"/>
      <c r="LU550" s="7"/>
      <c r="LV550" s="7"/>
      <c r="LW550" s="7"/>
      <c r="LX550" s="7"/>
      <c r="LY550" s="7"/>
      <c r="LZ550" s="7"/>
      <c r="MA550" s="7"/>
      <c r="MB550" s="7"/>
      <c r="MC550" s="7"/>
      <c r="MD550" s="7"/>
      <c r="ME550" s="7"/>
      <c r="MF550" s="7"/>
      <c r="MG550" s="7"/>
      <c r="MH550" s="7"/>
      <c r="MI550" s="7"/>
      <c r="MJ550" s="7"/>
      <c r="MK550" s="7"/>
      <c r="ML550" s="7"/>
      <c r="MM550" s="7"/>
      <c r="MN550" s="7"/>
      <c r="MO550" s="7"/>
      <c r="MP550" s="7"/>
      <c r="MQ550" s="7"/>
      <c r="MR550" s="7"/>
      <c r="MS550" s="7"/>
      <c r="MT550" s="7"/>
      <c r="MU550" s="7"/>
      <c r="MV550" s="7"/>
      <c r="MW550" s="7"/>
      <c r="MX550" s="7"/>
      <c r="MY550" s="7"/>
      <c r="MZ550" s="7"/>
      <c r="NA550" s="7"/>
      <c r="NB550" s="7"/>
      <c r="NC550" s="7"/>
      <c r="ND550" s="7"/>
      <c r="NE550" s="7"/>
      <c r="NF550" s="7"/>
      <c r="NG550" s="7"/>
      <c r="NH550" s="7"/>
      <c r="NI550" s="7"/>
      <c r="NJ550" s="7"/>
      <c r="NK550" s="7"/>
      <c r="NL550" s="7"/>
      <c r="NM550" s="7"/>
      <c r="NN550" s="7"/>
      <c r="NO550" s="7"/>
      <c r="NP550" s="7"/>
      <c r="NQ550" s="7"/>
      <c r="NR550" s="7"/>
      <c r="NS550" s="7"/>
      <c r="NT550" s="7"/>
      <c r="NU550" s="7"/>
      <c r="NV550" s="7"/>
      <c r="NW550" s="7"/>
      <c r="NX550" s="7"/>
      <c r="NY550" s="7"/>
      <c r="NZ550" s="7"/>
      <c r="OA550" s="7"/>
      <c r="OB550" s="7"/>
      <c r="OC550" s="7"/>
      <c r="OD550" s="8"/>
    </row>
    <row r="555" spans="8:394" ht="18" customHeight="1" thickBot="1"/>
    <row r="556" spans="8:394" ht="18" customHeight="1">
      <c r="H556" s="1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3"/>
    </row>
    <row r="557" spans="8:394" ht="18" customHeight="1">
      <c r="H557" s="4"/>
      <c r="DW557" s="5"/>
      <c r="FC557" s="17"/>
      <c r="HL557" s="17"/>
    </row>
    <row r="558" spans="8:394" ht="18" customHeight="1">
      <c r="H558" s="4"/>
      <c r="DW558" s="5"/>
      <c r="FC558" s="18"/>
      <c r="HL558" s="18"/>
    </row>
    <row r="559" spans="8:394" ht="18" customHeight="1">
      <c r="H559" s="4"/>
      <c r="DW559" s="5"/>
      <c r="FC559" s="18"/>
      <c r="HL559" s="18"/>
    </row>
    <row r="560" spans="8:394" ht="18" customHeight="1">
      <c r="H560" s="4"/>
      <c r="DW560" s="5"/>
      <c r="FC560" s="18"/>
      <c r="HL560" s="18"/>
    </row>
    <row r="561" spans="8:221" ht="18" customHeight="1">
      <c r="H561" s="4"/>
      <c r="DW561" s="5"/>
      <c r="FC561" s="18"/>
      <c r="HL561" s="18"/>
    </row>
    <row r="562" spans="8:221" ht="18" customHeight="1">
      <c r="H562" s="4"/>
      <c r="DW562" s="5"/>
      <c r="FC562" s="18"/>
      <c r="HL562" s="18"/>
    </row>
    <row r="563" spans="8:221" ht="18" customHeight="1">
      <c r="H563" s="4"/>
      <c r="DW563" s="5"/>
      <c r="FB563" s="9"/>
      <c r="FC563" s="10"/>
      <c r="FD563" s="10"/>
      <c r="FE563" s="10"/>
      <c r="FF563" s="10"/>
      <c r="FG563" s="10"/>
      <c r="FH563" s="10"/>
      <c r="FI563" s="10"/>
      <c r="FJ563" s="10"/>
      <c r="FK563" s="10"/>
      <c r="FL563" s="10"/>
      <c r="FM563" s="10"/>
      <c r="FN563" s="10"/>
      <c r="FO563" s="10"/>
      <c r="FP563" s="10"/>
      <c r="FQ563" s="10"/>
      <c r="FR563" s="10"/>
      <c r="FS563" s="10"/>
      <c r="FT563" s="10"/>
      <c r="FU563" s="10"/>
      <c r="FV563" s="10"/>
      <c r="FW563" s="10"/>
      <c r="FX563" s="10"/>
      <c r="FY563" s="10"/>
      <c r="FZ563" s="10"/>
      <c r="GA563" s="10"/>
      <c r="GB563" s="10"/>
      <c r="GC563" s="10"/>
      <c r="GD563" s="10"/>
      <c r="GE563" s="10"/>
      <c r="GF563" s="10"/>
      <c r="GG563" s="10"/>
      <c r="GH563" s="10"/>
      <c r="GI563" s="10"/>
      <c r="GJ563" s="10"/>
      <c r="GK563" s="10"/>
      <c r="GL563" s="10"/>
      <c r="GM563" s="10"/>
      <c r="GN563" s="10"/>
      <c r="GO563" s="10"/>
      <c r="GP563" s="10"/>
      <c r="GQ563" s="10"/>
      <c r="GR563" s="10"/>
      <c r="GS563" s="10"/>
      <c r="GT563" s="10"/>
      <c r="GU563" s="10"/>
      <c r="GV563" s="10"/>
      <c r="GW563" s="10"/>
      <c r="GX563" s="10"/>
      <c r="GY563" s="10"/>
      <c r="GZ563" s="10"/>
      <c r="HA563" s="10"/>
      <c r="HB563" s="10"/>
      <c r="HC563" s="10"/>
      <c r="HD563" s="10"/>
      <c r="HE563" s="10"/>
      <c r="HF563" s="10"/>
      <c r="HG563" s="10"/>
      <c r="HH563" s="10"/>
      <c r="HI563" s="10"/>
      <c r="HJ563" s="10"/>
      <c r="HK563" s="10"/>
      <c r="HL563" s="10"/>
      <c r="HM563" s="11"/>
    </row>
    <row r="564" spans="8:221" ht="18" customHeight="1">
      <c r="H564" s="4"/>
      <c r="DW564" s="5"/>
      <c r="FB564" s="14"/>
      <c r="FC564" s="15"/>
      <c r="FD564" s="15"/>
      <c r="FE564" s="15"/>
      <c r="FF564" s="15"/>
      <c r="FG564" s="15"/>
      <c r="FH564" s="15"/>
      <c r="FI564" s="15"/>
      <c r="FJ564" s="15"/>
      <c r="FK564" s="15"/>
      <c r="FL564" s="15"/>
      <c r="FM564" s="15"/>
      <c r="FN564" s="15"/>
      <c r="FO564" s="15"/>
      <c r="FP564" s="15"/>
      <c r="FQ564" s="15"/>
      <c r="FR564" s="15"/>
      <c r="FS564" s="15"/>
      <c r="FT564" s="15"/>
      <c r="FU564" s="15"/>
      <c r="FV564" s="15"/>
      <c r="FW564" s="15"/>
      <c r="FX564" s="15"/>
      <c r="FY564" s="15"/>
      <c r="FZ564" s="15"/>
      <c r="GA564" s="15"/>
      <c r="GB564" s="15"/>
      <c r="GC564" s="15"/>
      <c r="GD564" s="15"/>
      <c r="GE564" s="15"/>
      <c r="GF564" s="15"/>
      <c r="GG564" s="15"/>
      <c r="GH564" s="15"/>
      <c r="GI564" s="15"/>
      <c r="GJ564" s="15"/>
      <c r="GK564" s="15"/>
      <c r="GL564" s="15"/>
      <c r="GM564" s="15"/>
      <c r="GN564" s="15"/>
      <c r="GO564" s="15"/>
      <c r="GP564" s="15"/>
      <c r="GQ564" s="15"/>
      <c r="GR564" s="15"/>
      <c r="GS564" s="15"/>
      <c r="GT564" s="15"/>
      <c r="GU564" s="15"/>
      <c r="GV564" s="15"/>
      <c r="GW564" s="15"/>
      <c r="GX564" s="15"/>
      <c r="GY564" s="15"/>
      <c r="GZ564" s="15"/>
      <c r="HA564" s="15"/>
      <c r="HB564" s="15"/>
      <c r="HC564" s="15"/>
      <c r="HD564" s="15"/>
      <c r="HE564" s="15"/>
      <c r="HF564" s="15"/>
      <c r="HG564" s="15"/>
      <c r="HH564" s="15"/>
      <c r="HI564" s="15"/>
      <c r="HJ564" s="15"/>
      <c r="HK564" s="15"/>
      <c r="HL564" s="15"/>
      <c r="HM564" s="16"/>
    </row>
    <row r="565" spans="8:221" ht="18" customHeight="1">
      <c r="H565" s="4"/>
      <c r="DW565" s="5"/>
      <c r="FC565" s="12"/>
      <c r="FD565" s="13"/>
      <c r="FY565" s="18"/>
      <c r="FZ565" s="12"/>
      <c r="GK565" s="13"/>
      <c r="GS565" s="13"/>
      <c r="GT565" s="18"/>
      <c r="GU565" s="12"/>
      <c r="HK565" s="12"/>
      <c r="HL565" s="13"/>
    </row>
    <row r="566" spans="8:221" ht="18" customHeight="1">
      <c r="H566" s="4"/>
      <c r="DW566" s="5"/>
      <c r="FC566" s="12"/>
      <c r="FD566" s="13"/>
      <c r="FY566" s="18"/>
      <c r="FZ566" s="12"/>
      <c r="GK566" s="13"/>
      <c r="GS566" s="13"/>
      <c r="GT566" s="18"/>
      <c r="GU566" s="12"/>
      <c r="HK566" s="12"/>
      <c r="HL566" s="13"/>
    </row>
    <row r="567" spans="8:221" ht="18" customHeight="1">
      <c r="H567" s="4"/>
      <c r="DW567" s="5"/>
      <c r="FC567" s="12"/>
      <c r="FD567" s="13"/>
      <c r="FY567" s="18"/>
      <c r="FZ567" s="12"/>
      <c r="GK567" s="13"/>
      <c r="GS567" s="13"/>
      <c r="GT567" s="18"/>
      <c r="GU567" s="12"/>
      <c r="HK567" s="12"/>
      <c r="HL567" s="13"/>
    </row>
    <row r="568" spans="8:221" ht="18" customHeight="1">
      <c r="H568" s="4"/>
      <c r="DW568" s="5"/>
      <c r="FC568" s="12"/>
      <c r="FD568" s="13"/>
      <c r="FY568" s="18"/>
      <c r="FZ568" s="12"/>
      <c r="GK568" s="13"/>
      <c r="GS568" s="13"/>
      <c r="GT568" s="18"/>
      <c r="GU568" s="12"/>
      <c r="HK568" s="12"/>
      <c r="HL568" s="13"/>
    </row>
    <row r="569" spans="8:221" ht="18" customHeight="1">
      <c r="H569" s="4"/>
      <c r="DW569" s="5"/>
      <c r="FC569" s="12"/>
      <c r="FD569" s="13"/>
      <c r="FY569" s="18"/>
      <c r="FZ569" s="12"/>
      <c r="GK569" s="13"/>
      <c r="GS569" s="13"/>
      <c r="GT569" s="18"/>
      <c r="GU569" s="12"/>
      <c r="HK569" s="12"/>
      <c r="HL569" s="13"/>
    </row>
    <row r="570" spans="8:221" ht="18" customHeight="1">
      <c r="H570" s="4"/>
      <c r="DW570" s="5"/>
      <c r="FC570" s="12"/>
      <c r="FD570" s="13"/>
      <c r="FY570" s="18"/>
      <c r="FZ570" s="12"/>
      <c r="GK570" s="13"/>
      <c r="GS570" s="13"/>
      <c r="GT570" s="18"/>
      <c r="GU570" s="12"/>
      <c r="HK570" s="12"/>
      <c r="HL570" s="13"/>
    </row>
    <row r="571" spans="8:221" ht="18" customHeight="1">
      <c r="H571" s="4"/>
      <c r="DW571" s="5"/>
      <c r="FC571" s="12"/>
      <c r="FD571" s="13"/>
      <c r="FY571" s="18"/>
      <c r="FZ571" s="12"/>
      <c r="GK571" s="13"/>
      <c r="GS571" s="13"/>
      <c r="GT571" s="18"/>
      <c r="GU571" s="12"/>
      <c r="HK571" s="12"/>
      <c r="HL571" s="13"/>
    </row>
    <row r="572" spans="8:221" ht="18" customHeight="1">
      <c r="H572" s="4"/>
      <c r="DW572" s="5"/>
      <c r="FC572" s="12"/>
      <c r="FD572" s="13"/>
      <c r="FY572" s="18"/>
      <c r="FZ572" s="12"/>
      <c r="GK572" s="13"/>
      <c r="GS572" s="13"/>
      <c r="GT572" s="18"/>
      <c r="GU572" s="12"/>
      <c r="HK572" s="12"/>
      <c r="HL572" s="13"/>
    </row>
    <row r="573" spans="8:221" ht="18" customHeight="1">
      <c r="H573" s="4"/>
      <c r="DW573" s="5"/>
      <c r="FC573" s="12"/>
      <c r="FD573" s="13"/>
      <c r="FY573" s="18"/>
      <c r="FZ573" s="12"/>
      <c r="GK573" s="13"/>
      <c r="GS573" s="13"/>
      <c r="GT573" s="18"/>
      <c r="GU573" s="12"/>
      <c r="HK573" s="12"/>
      <c r="HL573" s="13"/>
    </row>
    <row r="574" spans="8:221" ht="18" customHeight="1">
      <c r="H574" s="4"/>
      <c r="DW574" s="5"/>
      <c r="FC574" s="12"/>
      <c r="FD574" s="13"/>
      <c r="FY574" s="18"/>
      <c r="FZ574" s="12"/>
      <c r="GK574" s="13"/>
      <c r="GS574" s="13"/>
      <c r="GT574" s="18"/>
      <c r="GU574" s="12"/>
      <c r="HK574" s="12"/>
      <c r="HL574" s="13"/>
    </row>
    <row r="575" spans="8:221" ht="18" customHeight="1">
      <c r="H575" s="4"/>
      <c r="DW575" s="5"/>
      <c r="FC575" s="12"/>
      <c r="FD575" s="13"/>
      <c r="FY575" s="18"/>
      <c r="FZ575" s="12"/>
      <c r="GK575" s="13"/>
      <c r="GS575" s="13"/>
      <c r="GT575" s="18"/>
      <c r="GU575" s="12"/>
      <c r="HK575" s="12"/>
      <c r="HL575" s="13"/>
    </row>
    <row r="576" spans="8:221" ht="18" customHeight="1">
      <c r="H576" s="4"/>
      <c r="DW576" s="5"/>
      <c r="FC576" s="12"/>
      <c r="FD576" s="13"/>
      <c r="FY576" s="18"/>
      <c r="FZ576" s="12"/>
      <c r="GK576" s="13"/>
      <c r="GS576" s="13"/>
      <c r="GT576" s="18"/>
      <c r="GU576" s="12"/>
      <c r="HK576" s="12"/>
      <c r="HL576" s="13"/>
    </row>
    <row r="577" spans="8:252" ht="18" customHeight="1">
      <c r="H577" s="4"/>
      <c r="DW577" s="5"/>
      <c r="FC577" s="12"/>
      <c r="FD577" s="13"/>
      <c r="FY577" s="18"/>
      <c r="FZ577" s="12"/>
      <c r="GK577" s="13"/>
      <c r="GS577" s="13"/>
      <c r="GT577" s="18"/>
      <c r="GU577" s="12"/>
      <c r="HK577" s="12"/>
      <c r="HL577" s="13"/>
      <c r="ID577" s="9"/>
      <c r="IE577" s="11"/>
    </row>
    <row r="578" spans="8:252" ht="18" customHeight="1">
      <c r="H578" s="4"/>
      <c r="DW578" s="5"/>
      <c r="FC578" s="12"/>
      <c r="FD578" s="13"/>
      <c r="FY578" s="18"/>
      <c r="FZ578" s="12"/>
      <c r="GK578" s="13"/>
      <c r="GS578" s="13"/>
      <c r="GT578" s="18"/>
      <c r="GU578" s="12"/>
      <c r="HK578" s="12"/>
      <c r="HL578" s="13"/>
      <c r="ID578" s="12"/>
      <c r="IE578" s="13"/>
    </row>
    <row r="579" spans="8:252" ht="18" customHeight="1">
      <c r="H579" s="4"/>
      <c r="DW579" s="5"/>
      <c r="FC579" s="12"/>
      <c r="FD579" s="13"/>
      <c r="FY579" s="18"/>
      <c r="FZ579" s="12"/>
      <c r="GK579" s="13"/>
      <c r="GS579" s="13"/>
      <c r="GT579" s="18"/>
      <c r="GU579" s="12"/>
      <c r="HK579" s="12"/>
      <c r="HL579" s="13"/>
      <c r="ID579" s="12"/>
      <c r="IE579" s="13"/>
    </row>
    <row r="580" spans="8:252" ht="18" customHeight="1">
      <c r="H580" s="4"/>
      <c r="DW580" s="5"/>
      <c r="FC580" s="12"/>
      <c r="FD580" s="13"/>
      <c r="FY580" s="18"/>
      <c r="FZ580" s="12"/>
      <c r="GK580" s="13"/>
      <c r="GS580" s="13"/>
      <c r="GT580" s="18"/>
      <c r="GU580" s="12"/>
      <c r="HK580" s="12"/>
      <c r="HL580" s="13"/>
      <c r="ID580" s="12"/>
      <c r="IE580" s="13"/>
    </row>
    <row r="581" spans="8:252" ht="18" customHeight="1">
      <c r="H581" s="4"/>
      <c r="DW581" s="5"/>
      <c r="FC581" s="12"/>
      <c r="FD581" s="13"/>
      <c r="FY581" s="18"/>
      <c r="FZ581" s="12"/>
      <c r="GK581" s="13"/>
      <c r="GS581" s="13"/>
      <c r="GT581" s="18"/>
      <c r="GU581" s="12"/>
      <c r="HK581" s="12"/>
      <c r="HL581" s="13"/>
      <c r="ID581" s="12"/>
      <c r="IE581" s="13"/>
    </row>
    <row r="582" spans="8:252" ht="18" customHeight="1">
      <c r="H582" s="4"/>
      <c r="DW582" s="5"/>
      <c r="FC582" s="12"/>
      <c r="FD582" s="13"/>
      <c r="FY582" s="18"/>
      <c r="FZ582" s="12"/>
      <c r="GK582" s="13"/>
      <c r="GS582" s="13"/>
      <c r="GT582" s="18"/>
      <c r="GU582" s="12"/>
      <c r="HK582" s="12"/>
      <c r="HL582" s="13"/>
      <c r="ID582" s="12"/>
      <c r="IE582" s="13"/>
    </row>
    <row r="583" spans="8:252" ht="18" customHeight="1">
      <c r="H583" s="4"/>
      <c r="S583" s="9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  <c r="BB583" s="10"/>
      <c r="BC583" s="10"/>
      <c r="BD583" s="10"/>
      <c r="BE583" s="10"/>
      <c r="BF583" s="10"/>
      <c r="BG583" s="10"/>
      <c r="BH583" s="10"/>
      <c r="BI583" s="10"/>
      <c r="BJ583" s="10"/>
      <c r="BK583" s="10"/>
      <c r="BL583" s="10"/>
      <c r="BM583" s="10"/>
      <c r="BN583" s="10"/>
      <c r="BO583" s="11"/>
      <c r="DW583" s="5"/>
      <c r="FC583" s="12"/>
      <c r="FD583" s="13"/>
      <c r="FY583" s="18"/>
      <c r="FZ583" s="12"/>
      <c r="GK583" s="13"/>
      <c r="GS583" s="13"/>
      <c r="GT583" s="18"/>
      <c r="GU583" s="12"/>
      <c r="HK583" s="12"/>
      <c r="HL583" s="13"/>
      <c r="ID583" s="12"/>
      <c r="IE583" s="13"/>
      <c r="IG583" s="17"/>
    </row>
    <row r="584" spans="8:252" ht="18" customHeight="1">
      <c r="H584" s="4"/>
      <c r="S584" s="12"/>
      <c r="BO584" s="13"/>
      <c r="DW584" s="5"/>
      <c r="FC584" s="12"/>
      <c r="FD584" s="13"/>
      <c r="FY584" s="18"/>
      <c r="FZ584" s="12"/>
      <c r="GK584" s="13"/>
      <c r="GS584" s="13"/>
      <c r="GT584" s="18"/>
      <c r="GU584" s="12"/>
      <c r="HK584" s="12"/>
      <c r="HL584" s="13"/>
      <c r="ID584" s="12"/>
      <c r="IE584" s="13"/>
      <c r="IG584" s="18"/>
    </row>
    <row r="585" spans="8:252" ht="18" customHeight="1">
      <c r="H585" s="4"/>
      <c r="S585" s="12"/>
      <c r="U585" s="9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1"/>
      <c r="AU585" s="10"/>
      <c r="AV585" s="9"/>
      <c r="AW585" s="10"/>
      <c r="AX585" s="10"/>
      <c r="AY585" s="10"/>
      <c r="AZ585" s="11"/>
      <c r="BA585" s="10"/>
      <c r="BB585" s="10"/>
      <c r="BC585" s="10"/>
      <c r="BD585" s="10"/>
      <c r="BE585" s="11"/>
      <c r="BF585" s="9"/>
      <c r="BG585" s="10"/>
      <c r="BH585" s="10"/>
      <c r="BI585" s="10"/>
      <c r="BJ585" s="10"/>
      <c r="BK585" s="10"/>
      <c r="BL585" s="10"/>
      <c r="BM585" s="11"/>
      <c r="BO585" s="13"/>
      <c r="DW585" s="5"/>
      <c r="FC585" s="12"/>
      <c r="FD585" s="13"/>
      <c r="FY585" s="18"/>
      <c r="FZ585" s="12"/>
      <c r="GK585" s="13"/>
      <c r="GS585" s="13"/>
      <c r="GT585" s="18"/>
      <c r="GU585" s="12"/>
      <c r="HK585" s="12"/>
      <c r="HL585" s="13"/>
      <c r="ID585" s="12"/>
      <c r="IE585" s="13"/>
      <c r="IG585" s="18"/>
    </row>
    <row r="586" spans="8:252" ht="18" customHeight="1">
      <c r="H586" s="4"/>
      <c r="S586" s="12"/>
      <c r="U586" s="12"/>
      <c r="AT586" s="13"/>
      <c r="AV586" s="12"/>
      <c r="AZ586" s="13"/>
      <c r="BE586" s="13"/>
      <c r="BF586" s="12"/>
      <c r="BM586" s="13"/>
      <c r="BO586" s="13"/>
      <c r="DW586" s="5"/>
      <c r="FC586" s="12"/>
      <c r="FD586" s="13"/>
      <c r="FY586" s="18"/>
      <c r="FZ586" s="12"/>
      <c r="GK586" s="13"/>
      <c r="GS586" s="13"/>
      <c r="GT586" s="18"/>
      <c r="GU586" s="12"/>
      <c r="HK586" s="12"/>
      <c r="HL586" s="13"/>
      <c r="ID586" s="12"/>
      <c r="IE586" s="13"/>
      <c r="IG586" s="18"/>
    </row>
    <row r="587" spans="8:252" ht="18" customHeight="1">
      <c r="H587" s="4"/>
      <c r="S587" s="12"/>
      <c r="U587" s="12"/>
      <c r="AT587" s="13"/>
      <c r="AV587" s="12"/>
      <c r="AZ587" s="13"/>
      <c r="BE587" s="13"/>
      <c r="BF587" s="12"/>
      <c r="BM587" s="13"/>
      <c r="BO587" s="13"/>
      <c r="DW587" s="5"/>
      <c r="FC587" s="12"/>
      <c r="FD587" s="13"/>
      <c r="FY587" s="18"/>
      <c r="FZ587" s="12"/>
      <c r="GK587" s="13"/>
      <c r="GS587" s="13"/>
      <c r="GT587" s="18"/>
      <c r="GU587" s="12"/>
      <c r="HK587" s="12"/>
      <c r="HL587" s="13"/>
      <c r="ID587" s="12"/>
      <c r="IE587" s="13"/>
      <c r="IG587" s="18"/>
    </row>
    <row r="588" spans="8:252" ht="18" customHeight="1">
      <c r="H588" s="4"/>
      <c r="S588" s="12"/>
      <c r="U588" s="12"/>
      <c r="AT588" s="13"/>
      <c r="AV588" s="12"/>
      <c r="AZ588" s="13"/>
      <c r="BE588" s="13"/>
      <c r="BF588" s="12"/>
      <c r="BM588" s="13"/>
      <c r="BO588" s="13"/>
      <c r="DW588" s="5"/>
      <c r="FC588" s="12"/>
      <c r="FD588" s="13"/>
      <c r="FE588" s="15"/>
      <c r="FF588" s="15"/>
      <c r="FG588" s="15"/>
      <c r="FH588" s="15"/>
      <c r="FI588" s="15"/>
      <c r="FJ588" s="15"/>
      <c r="FK588" s="15"/>
      <c r="FL588" s="15"/>
      <c r="FM588" s="15"/>
      <c r="FN588" s="15"/>
      <c r="FO588" s="15"/>
      <c r="FP588" s="15"/>
      <c r="FQ588" s="15"/>
      <c r="FR588" s="15"/>
      <c r="FS588" s="15"/>
      <c r="FT588" s="15"/>
      <c r="FU588" s="15"/>
      <c r="FV588" s="15"/>
      <c r="FW588" s="15"/>
      <c r="FX588" s="15"/>
      <c r="FY588" s="19"/>
      <c r="FZ588" s="14"/>
      <c r="GA588" s="15"/>
      <c r="GB588" s="15"/>
      <c r="GC588" s="15"/>
      <c r="GD588" s="15"/>
      <c r="GE588" s="15"/>
      <c r="GF588" s="15"/>
      <c r="GG588" s="15"/>
      <c r="GH588" s="15"/>
      <c r="GI588" s="15"/>
      <c r="GJ588" s="15"/>
      <c r="GK588" s="16"/>
      <c r="GL588" s="15"/>
      <c r="GM588" s="15"/>
      <c r="GN588" s="15"/>
      <c r="GO588" s="15"/>
      <c r="GP588" s="15"/>
      <c r="GQ588" s="15"/>
      <c r="GR588" s="15"/>
      <c r="GS588" s="16"/>
      <c r="GT588" s="19"/>
      <c r="GU588" s="14"/>
      <c r="GV588" s="15"/>
      <c r="GW588" s="15"/>
      <c r="GX588" s="15"/>
      <c r="GY588" s="15"/>
      <c r="GZ588" s="15"/>
      <c r="HA588" s="15"/>
      <c r="HB588" s="15"/>
      <c r="HC588" s="15"/>
      <c r="HD588" s="15"/>
      <c r="HE588" s="15"/>
      <c r="HF588" s="15"/>
      <c r="HG588" s="15"/>
      <c r="HH588" s="15"/>
      <c r="HI588" s="15"/>
      <c r="HJ588" s="15"/>
      <c r="HK588" s="12"/>
      <c r="HL588" s="13"/>
      <c r="ID588" s="12"/>
      <c r="IE588" s="13"/>
      <c r="IG588" s="18"/>
    </row>
    <row r="589" spans="8:252" ht="18" customHeight="1">
      <c r="H589" s="4"/>
      <c r="S589" s="12"/>
      <c r="U589" s="12"/>
      <c r="AT589" s="13"/>
      <c r="AV589" s="14"/>
      <c r="AW589" s="15"/>
      <c r="AX589" s="15"/>
      <c r="AY589" s="15"/>
      <c r="AZ589" s="16"/>
      <c r="BA589" s="15"/>
      <c r="BB589" s="15"/>
      <c r="BC589" s="15"/>
      <c r="BD589" s="15"/>
      <c r="BE589" s="16"/>
      <c r="BF589" s="12"/>
      <c r="BM589" s="13"/>
      <c r="BO589" s="13"/>
      <c r="DW589" s="5"/>
      <c r="FC589" s="12"/>
      <c r="FD589" s="13"/>
      <c r="FE589" s="10"/>
      <c r="FF589" s="10"/>
      <c r="FG589" s="10"/>
      <c r="FH589" s="10"/>
      <c r="FI589" s="10"/>
      <c r="FJ589" s="10"/>
      <c r="FK589" s="10"/>
      <c r="FL589" s="10"/>
      <c r="FM589" s="10"/>
      <c r="FN589" s="10"/>
      <c r="FO589" s="10"/>
      <c r="FP589" s="10"/>
      <c r="FQ589" s="10"/>
      <c r="FR589" s="10"/>
      <c r="FS589" s="10"/>
      <c r="FT589" s="10"/>
      <c r="FU589" s="10"/>
      <c r="FV589" s="10"/>
      <c r="FW589" s="10"/>
      <c r="FX589" s="10"/>
      <c r="FY589" s="10"/>
      <c r="FZ589" s="10"/>
      <c r="GA589" s="10"/>
      <c r="GB589" s="10"/>
      <c r="GC589" s="10"/>
      <c r="GD589" s="10"/>
      <c r="GE589" s="10"/>
      <c r="GF589" s="10"/>
      <c r="GG589" s="10"/>
      <c r="GH589" s="10"/>
      <c r="GI589" s="10"/>
      <c r="GJ589" s="10"/>
      <c r="GK589" s="10"/>
      <c r="GL589" s="10"/>
      <c r="GM589" s="10"/>
      <c r="GN589" s="10"/>
      <c r="GO589" s="10"/>
      <c r="GP589" s="10"/>
      <c r="GQ589" s="10"/>
      <c r="GR589" s="10"/>
      <c r="GS589" s="10"/>
      <c r="GT589" s="10"/>
      <c r="GU589" s="10"/>
      <c r="GV589" s="10"/>
      <c r="GW589" s="10"/>
      <c r="GX589" s="10"/>
      <c r="GY589" s="10"/>
      <c r="GZ589" s="10"/>
      <c r="HA589" s="10"/>
      <c r="HB589" s="10"/>
      <c r="HC589" s="10"/>
      <c r="HD589" s="10"/>
      <c r="HE589" s="10"/>
      <c r="HF589" s="10"/>
      <c r="HG589" s="10"/>
      <c r="HH589" s="10"/>
      <c r="HI589" s="10"/>
      <c r="HJ589" s="10"/>
      <c r="HK589" s="12"/>
      <c r="HL589" s="13"/>
      <c r="HM589" s="10"/>
      <c r="HN589" s="10"/>
      <c r="HO589" s="10"/>
      <c r="HP589" s="10"/>
      <c r="HQ589" s="10"/>
      <c r="HR589" s="10"/>
      <c r="HS589" s="10"/>
      <c r="HT589" s="10"/>
      <c r="HU589" s="10"/>
      <c r="HV589" s="10"/>
      <c r="HW589" s="10"/>
      <c r="HX589" s="10"/>
      <c r="HY589" s="10"/>
      <c r="HZ589" s="10"/>
      <c r="IA589" s="10"/>
      <c r="IB589" s="10"/>
      <c r="IC589" s="10"/>
      <c r="ID589" s="10"/>
      <c r="IE589" s="10"/>
      <c r="IF589" s="10"/>
      <c r="IG589" s="11"/>
    </row>
    <row r="590" spans="8:252" ht="18" customHeight="1">
      <c r="H590" s="4"/>
      <c r="S590" s="12"/>
      <c r="U590" s="12"/>
      <c r="AT590" s="13"/>
      <c r="AV590" s="12"/>
      <c r="BF590" s="12"/>
      <c r="BM590" s="13"/>
      <c r="BO590" s="13"/>
      <c r="DW590" s="5"/>
      <c r="FC590" s="12"/>
      <c r="FD590" s="13"/>
      <c r="HK590" s="12"/>
      <c r="HL590" s="13"/>
      <c r="IG590" s="13"/>
    </row>
    <row r="591" spans="8:252" ht="18" customHeight="1">
      <c r="H591" s="4"/>
      <c r="S591" s="12"/>
      <c r="U591" s="12"/>
      <c r="AT591" s="13"/>
      <c r="AV591" s="12"/>
      <c r="BF591" s="12"/>
      <c r="BM591" s="13"/>
      <c r="BO591" s="13"/>
      <c r="DW591" s="5"/>
      <c r="FC591" s="12"/>
      <c r="FD591" s="13"/>
      <c r="HK591" s="12"/>
      <c r="HL591" s="13"/>
      <c r="IG591" s="13"/>
    </row>
    <row r="592" spans="8:252" ht="18" customHeight="1" thickBot="1">
      <c r="H592" s="4"/>
      <c r="S592" s="12"/>
      <c r="U592" s="12"/>
      <c r="AT592" s="13"/>
      <c r="AV592" s="12"/>
      <c r="BF592" s="12"/>
      <c r="BM592" s="13"/>
      <c r="BO592" s="13"/>
      <c r="DW592" s="5"/>
      <c r="ER592" s="7"/>
      <c r="ES592" s="7"/>
      <c r="ET592" s="7"/>
      <c r="EU592" s="7"/>
      <c r="EV592" s="7"/>
      <c r="EW592" s="7"/>
      <c r="EX592" s="7"/>
      <c r="EY592" s="7"/>
      <c r="EZ592" s="7"/>
      <c r="FA592" s="7"/>
      <c r="FB592" s="7"/>
      <c r="FC592" s="12"/>
      <c r="FD592" s="13"/>
      <c r="FE592" s="7"/>
      <c r="FF592" s="7"/>
      <c r="FG592" s="7"/>
      <c r="FH592" s="7"/>
      <c r="FI592" s="7"/>
      <c r="FJ592" s="7"/>
      <c r="FK592" s="7"/>
      <c r="FL592" s="7"/>
      <c r="FM592" s="7"/>
      <c r="FN592" s="7"/>
      <c r="FO592" s="7"/>
      <c r="FP592" s="7"/>
      <c r="FQ592" s="7"/>
      <c r="FR592" s="7"/>
      <c r="FS592" s="7"/>
      <c r="FT592" s="7"/>
      <c r="FU592" s="7"/>
      <c r="FV592" s="7"/>
      <c r="FW592" s="7"/>
      <c r="FX592" s="7"/>
      <c r="FY592" s="7"/>
      <c r="FZ592" s="7"/>
      <c r="GA592" s="7"/>
      <c r="GB592" s="7"/>
      <c r="GC592" s="7"/>
      <c r="GD592" s="7"/>
      <c r="GE592" s="7"/>
      <c r="GF592" s="7"/>
      <c r="GG592" s="7"/>
      <c r="GH592" s="7"/>
      <c r="GI592" s="7"/>
      <c r="GJ592" s="7"/>
      <c r="GK592" s="7"/>
      <c r="GL592" s="7"/>
      <c r="GM592" s="7"/>
      <c r="GN592" s="7"/>
      <c r="GO592" s="7"/>
      <c r="GP592" s="7"/>
      <c r="GQ592" s="7"/>
      <c r="GR592" s="7"/>
      <c r="GS592" s="7"/>
      <c r="GT592" s="7"/>
      <c r="GU592" s="7"/>
      <c r="GV592" s="7"/>
      <c r="GW592" s="7"/>
      <c r="GX592" s="7"/>
      <c r="GY592" s="7"/>
      <c r="GZ592" s="7"/>
      <c r="HA592" s="7"/>
      <c r="HB592" s="7"/>
      <c r="HC592" s="7"/>
      <c r="HD592" s="7"/>
      <c r="HE592" s="7"/>
      <c r="HF592" s="7"/>
      <c r="HG592" s="7"/>
      <c r="HH592" s="7"/>
      <c r="HI592" s="7"/>
      <c r="HJ592" s="7"/>
      <c r="HK592" s="12"/>
      <c r="HL592" s="13"/>
      <c r="HM592" s="7"/>
      <c r="HN592" s="7"/>
      <c r="HO592" s="7"/>
      <c r="HP592" s="7"/>
      <c r="HQ592" s="7"/>
      <c r="HR592" s="7"/>
      <c r="HS592" s="7"/>
      <c r="HT592" s="7"/>
      <c r="HU592" s="7"/>
      <c r="HV592" s="7"/>
      <c r="HW592" s="7"/>
      <c r="HX592" s="7"/>
      <c r="HY592" s="7"/>
      <c r="HZ592" s="7"/>
      <c r="IA592" s="7"/>
      <c r="IB592" s="7"/>
      <c r="IC592" s="7"/>
      <c r="ID592" s="7"/>
      <c r="IE592" s="7"/>
      <c r="IF592" s="7"/>
      <c r="IG592" s="180"/>
      <c r="IH592" s="7"/>
      <c r="II592" s="7"/>
      <c r="IJ592" s="7"/>
      <c r="IK592" s="7"/>
      <c r="IL592" s="7"/>
      <c r="IM592" s="7"/>
      <c r="IN592" s="7"/>
      <c r="IO592" s="7"/>
      <c r="IP592" s="7"/>
      <c r="IQ592" s="7"/>
      <c r="IR592" s="7"/>
    </row>
    <row r="593" spans="8:220" ht="18" customHeight="1">
      <c r="H593" s="4"/>
      <c r="S593" s="12"/>
      <c r="U593" s="12"/>
      <c r="AT593" s="13"/>
      <c r="AV593" s="12"/>
      <c r="BF593" s="12"/>
      <c r="BM593" s="13"/>
      <c r="BO593" s="13"/>
      <c r="BQ593" s="15"/>
      <c r="BR593" s="15"/>
      <c r="BS593" s="15"/>
      <c r="BT593" s="15"/>
      <c r="BU593" s="15"/>
      <c r="BV593" s="15"/>
      <c r="BW593" s="15"/>
      <c r="BX593" s="15"/>
      <c r="BY593" s="15"/>
      <c r="BZ593" s="15"/>
      <c r="CA593" s="15"/>
      <c r="CB593" s="15"/>
      <c r="CC593" s="15"/>
      <c r="CD593" s="15"/>
      <c r="DW593" s="5"/>
      <c r="FC593" s="12"/>
      <c r="FD593" s="13"/>
      <c r="HK593" s="12"/>
      <c r="HL593" s="13"/>
    </row>
    <row r="594" spans="8:220" ht="18" customHeight="1">
      <c r="H594" s="4"/>
      <c r="S594" s="12"/>
      <c r="U594" s="12"/>
      <c r="AT594" s="13"/>
      <c r="AV594" s="14"/>
      <c r="AW594" s="15"/>
      <c r="AX594" s="15"/>
      <c r="AY594" s="15"/>
      <c r="AZ594" s="15"/>
      <c r="BA594" s="15"/>
      <c r="BB594" s="15"/>
      <c r="BC594" s="15"/>
      <c r="BD594" s="15"/>
      <c r="BE594" s="15"/>
      <c r="BF594" s="14"/>
      <c r="BG594" s="15"/>
      <c r="BH594" s="15"/>
      <c r="BI594" s="15"/>
      <c r="BJ594" s="15"/>
      <c r="BK594" s="15"/>
      <c r="BL594" s="15"/>
      <c r="BM594" s="16"/>
      <c r="BP594" s="10"/>
      <c r="BU594" s="20"/>
      <c r="BV594" s="21"/>
      <c r="BW594" s="21"/>
      <c r="BX594" s="21"/>
      <c r="BY594" s="21"/>
      <c r="BZ594" s="22"/>
      <c r="CD594" s="11"/>
      <c r="DW594" s="5"/>
      <c r="FC594" s="12"/>
      <c r="FD594" s="13"/>
      <c r="HK594" s="12"/>
      <c r="HL594" s="13"/>
    </row>
    <row r="595" spans="8:220" ht="18" customHeight="1">
      <c r="H595" s="4"/>
      <c r="S595" s="12"/>
      <c r="U595" s="12"/>
      <c r="AT595" s="13"/>
      <c r="AV595" s="15"/>
      <c r="AW595" s="15"/>
      <c r="AX595" s="100"/>
      <c r="AY595" s="100"/>
      <c r="AZ595" s="100"/>
      <c r="BA595" s="100"/>
      <c r="BB595" s="100"/>
      <c r="BC595" s="15"/>
      <c r="BD595" s="15"/>
      <c r="BE595" s="15"/>
      <c r="BF595" s="15"/>
      <c r="BG595" s="15"/>
      <c r="BH595" s="15"/>
      <c r="BI595" s="15"/>
      <c r="BJ595" s="15"/>
      <c r="BK595" s="15"/>
      <c r="BL595" s="15"/>
      <c r="BM595" s="15"/>
      <c r="BN595" s="15"/>
      <c r="BO595" s="15"/>
      <c r="BQ595" s="15"/>
      <c r="BR595" s="15"/>
      <c r="BS595" s="15"/>
      <c r="BT595" s="15"/>
      <c r="BU595" s="20"/>
      <c r="BV595" s="21"/>
      <c r="BW595" s="21"/>
      <c r="BX595" s="21"/>
      <c r="BY595" s="21"/>
      <c r="BZ595" s="22"/>
      <c r="CD595" s="13"/>
      <c r="DW595" s="5"/>
      <c r="FC595" s="12"/>
      <c r="FD595" s="13"/>
      <c r="HK595" s="12"/>
      <c r="HL595" s="13"/>
    </row>
    <row r="596" spans="8:220" ht="18" customHeight="1">
      <c r="H596" s="4"/>
      <c r="S596" s="12"/>
      <c r="U596" s="12"/>
      <c r="AT596" s="13"/>
      <c r="AV596" s="9"/>
      <c r="AW596" s="10"/>
      <c r="AX596" s="10"/>
      <c r="AY596" s="10"/>
      <c r="AZ596" s="10"/>
      <c r="BA596" s="10"/>
      <c r="BB596" s="10"/>
      <c r="BC596" s="10"/>
      <c r="BD596" s="10"/>
      <c r="BE596" t="s">
        <v>45</v>
      </c>
      <c r="BF596" s="10"/>
      <c r="BG596" s="10"/>
      <c r="BH596" s="10"/>
      <c r="BI596" s="10"/>
      <c r="BJ596" s="10"/>
      <c r="BK596" s="10"/>
      <c r="BL596" s="10"/>
      <c r="BM596" s="10"/>
      <c r="BN596" s="10"/>
      <c r="BO596" s="10"/>
      <c r="BP596" s="10"/>
      <c r="BQ596" s="10"/>
      <c r="BR596" s="10"/>
      <c r="BS596" s="10"/>
      <c r="BT596" s="10"/>
      <c r="BU596" s="10"/>
      <c r="BV596" s="10"/>
      <c r="BW596" s="10"/>
      <c r="BX596" s="10"/>
      <c r="BY596" s="10"/>
      <c r="BZ596" s="10"/>
      <c r="CA596" s="10"/>
      <c r="CB596" s="11"/>
      <c r="CD596" s="13"/>
      <c r="DW596" s="5"/>
      <c r="FC596" s="14"/>
      <c r="FD596" s="16"/>
      <c r="HK596" s="14"/>
      <c r="HL596" s="16"/>
    </row>
    <row r="597" spans="8:220" ht="18" customHeight="1">
      <c r="H597" s="4"/>
      <c r="S597" s="12"/>
      <c r="U597" s="12"/>
      <c r="AT597" s="13"/>
      <c r="AV597" s="12"/>
      <c r="CB597" s="13"/>
      <c r="CD597" s="13"/>
      <c r="DW597" s="5"/>
    </row>
    <row r="598" spans="8:220" ht="18" customHeight="1">
      <c r="H598" s="4"/>
      <c r="S598" s="12"/>
      <c r="U598" s="12"/>
      <c r="AT598" s="13"/>
      <c r="AV598" s="12"/>
      <c r="CB598" s="13"/>
      <c r="CD598" s="13"/>
      <c r="DW598" s="5"/>
    </row>
    <row r="599" spans="8:220" ht="18" customHeight="1">
      <c r="H599" s="4"/>
      <c r="S599" s="12"/>
      <c r="U599" s="12"/>
      <c r="AT599" s="13"/>
      <c r="AU599" s="127"/>
      <c r="AV599" s="12"/>
      <c r="CB599" s="13"/>
      <c r="CD599" s="13"/>
      <c r="DW599" s="5"/>
    </row>
    <row r="600" spans="8:220" ht="18" customHeight="1">
      <c r="H600" s="4"/>
      <c r="S600" s="12"/>
      <c r="U600" s="12"/>
      <c r="AT600" s="13"/>
      <c r="AU600" s="127"/>
      <c r="AV600" s="12"/>
      <c r="CB600" s="13"/>
      <c r="CD600" s="13"/>
      <c r="DW600" s="5"/>
    </row>
    <row r="601" spans="8:220" ht="18" customHeight="1">
      <c r="H601" s="4"/>
      <c r="S601" s="12"/>
      <c r="U601" s="12"/>
      <c r="AT601" s="13"/>
      <c r="AU601" s="127"/>
      <c r="AV601" s="12"/>
      <c r="BY601" s="9"/>
      <c r="BZ601" s="10"/>
      <c r="CA601" s="10"/>
      <c r="CB601" s="11"/>
      <c r="CD601" s="13"/>
      <c r="DW601" s="5"/>
    </row>
    <row r="602" spans="8:220" ht="18" customHeight="1">
      <c r="H602" s="4"/>
      <c r="S602" s="12"/>
      <c r="U602" s="12"/>
      <c r="AT602" s="13"/>
      <c r="AU602" s="127"/>
      <c r="AV602" s="12"/>
      <c r="BY602" s="12"/>
      <c r="CB602" s="13"/>
      <c r="CD602" s="13"/>
      <c r="DW602" s="5"/>
    </row>
    <row r="603" spans="8:220" ht="18" customHeight="1">
      <c r="H603" s="4"/>
      <c r="S603" s="12"/>
      <c r="U603" s="12"/>
      <c r="AT603" s="13"/>
      <c r="AU603" s="127"/>
      <c r="AV603" s="12"/>
      <c r="BS603" s="9"/>
      <c r="BT603" s="10"/>
      <c r="BU603" s="10"/>
      <c r="BV603" s="11"/>
      <c r="BY603" s="12"/>
      <c r="CB603" s="13"/>
      <c r="CD603" s="13"/>
      <c r="DW603" s="5"/>
    </row>
    <row r="604" spans="8:220" ht="18" customHeight="1">
      <c r="H604" s="4"/>
      <c r="S604" s="12"/>
      <c r="U604" s="12"/>
      <c r="AT604" s="13"/>
      <c r="AU604" s="127"/>
      <c r="AV604" s="12"/>
      <c r="BS604" s="12"/>
      <c r="BV604" s="13"/>
      <c r="BY604" s="12"/>
      <c r="CB604" s="13"/>
      <c r="CD604" s="13"/>
      <c r="DW604" s="5"/>
    </row>
    <row r="605" spans="8:220" ht="18" customHeight="1">
      <c r="H605" s="4"/>
      <c r="S605" s="12"/>
      <c r="U605" s="14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  <c r="AG605" s="15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6"/>
      <c r="AV605" s="14"/>
      <c r="AW605" s="15"/>
      <c r="AX605" s="15"/>
      <c r="AY605" s="15"/>
      <c r="AZ605" s="15"/>
      <c r="BA605" s="15"/>
      <c r="BB605" s="15"/>
      <c r="BC605" s="15"/>
      <c r="BD605" s="15"/>
      <c r="BS605" s="12"/>
      <c r="BV605" s="13"/>
      <c r="BY605" s="12"/>
      <c r="CB605" s="13"/>
      <c r="CD605" s="13"/>
      <c r="DV605" s="9"/>
      <c r="DW605" s="11"/>
    </row>
    <row r="606" spans="8:220" ht="18" customHeight="1">
      <c r="H606" s="4"/>
      <c r="S606" s="12"/>
      <c r="Y606" s="127"/>
      <c r="Z606" s="127"/>
      <c r="AA606" s="127"/>
      <c r="AB606" s="127"/>
      <c r="AC606" s="127"/>
      <c r="AW606" s="127"/>
      <c r="AX606" s="127"/>
      <c r="AY606" s="127"/>
      <c r="AZ606" s="127"/>
      <c r="BA606" s="127"/>
      <c r="BB606" s="127"/>
      <c r="BE606" s="12"/>
      <c r="BS606" s="14"/>
      <c r="BT606" s="15"/>
      <c r="BU606" s="15"/>
      <c r="BV606" s="16"/>
      <c r="BY606" s="12"/>
      <c r="CB606" s="13"/>
      <c r="CD606" s="13"/>
      <c r="DV606" s="12"/>
      <c r="DW606" s="13"/>
    </row>
    <row r="607" spans="8:220" ht="18" customHeight="1">
      <c r="H607" s="4"/>
      <c r="S607" s="12"/>
      <c r="U607" s="9"/>
      <c r="V607" s="10"/>
      <c r="W607" s="10"/>
      <c r="X607" s="10"/>
      <c r="Y607" s="10"/>
      <c r="Z607" s="10"/>
      <c r="AA607" s="10"/>
      <c r="AB607" s="10"/>
      <c r="AC607" s="10"/>
      <c r="AD607" s="11"/>
      <c r="AF607" s="9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  <c r="BB607" s="10"/>
      <c r="BC607" s="11"/>
      <c r="BE607" s="12"/>
      <c r="BY607" s="12"/>
      <c r="CB607" s="13"/>
      <c r="CD607" s="13"/>
      <c r="CH607" s="9"/>
      <c r="CI607" s="10"/>
      <c r="CJ607" s="10"/>
      <c r="CK607" s="10"/>
      <c r="CL607" s="10"/>
      <c r="CM607" s="11"/>
      <c r="CN607" s="10"/>
      <c r="CO607" s="10"/>
      <c r="CP607" s="10"/>
      <c r="CQ607" s="10"/>
      <c r="CR607" s="10"/>
      <c r="CS607" s="10"/>
      <c r="CT607" s="10"/>
      <c r="CU607" s="10"/>
      <c r="CV607" s="10"/>
      <c r="CW607" s="10"/>
      <c r="CX607" s="10"/>
      <c r="CY607" s="10"/>
      <c r="CZ607" s="10"/>
      <c r="DA607" s="10"/>
      <c r="DB607" s="10"/>
      <c r="DC607" s="10"/>
      <c r="DD607" s="10"/>
      <c r="DE607" s="10"/>
      <c r="DF607" s="11"/>
      <c r="DV607" s="12"/>
      <c r="DW607" s="13"/>
    </row>
    <row r="608" spans="8:220" ht="18" customHeight="1">
      <c r="H608" s="4"/>
      <c r="S608" s="12"/>
      <c r="U608" s="12"/>
      <c r="AD608" s="13"/>
      <c r="AF608" s="12"/>
      <c r="BC608" s="13"/>
      <c r="BE608" s="12"/>
      <c r="BY608" s="14"/>
      <c r="BZ608" s="15"/>
      <c r="CA608" s="15"/>
      <c r="CB608" s="16"/>
      <c r="CD608" s="13"/>
      <c r="CH608" s="12"/>
      <c r="CM608" s="13"/>
      <c r="DF608" s="13"/>
      <c r="DV608" s="12"/>
      <c r="DW608" s="13"/>
    </row>
    <row r="609" spans="8:127" ht="18" customHeight="1">
      <c r="H609" s="4"/>
      <c r="S609" s="12"/>
      <c r="U609" s="12"/>
      <c r="AD609" s="13"/>
      <c r="AF609" s="12"/>
      <c r="BC609" s="13"/>
      <c r="BE609" s="14"/>
      <c r="BF609" s="15"/>
      <c r="CB609" s="13"/>
      <c r="CD609" s="13"/>
      <c r="CH609" s="12"/>
      <c r="CM609" s="13"/>
      <c r="DF609" s="13"/>
      <c r="DV609" s="12"/>
      <c r="DW609" s="13"/>
    </row>
    <row r="610" spans="8:127" ht="18" customHeight="1">
      <c r="H610" s="4"/>
      <c r="S610" s="12"/>
      <c r="U610" s="12"/>
      <c r="AD610" s="13"/>
      <c r="AF610" s="12"/>
      <c r="BC610" s="13"/>
      <c r="BE610" s="9"/>
      <c r="BF610" s="10"/>
      <c r="BG610" s="11"/>
      <c r="CB610" s="13"/>
      <c r="CD610" s="13"/>
      <c r="CH610" s="12"/>
      <c r="CM610" s="13"/>
      <c r="DF610" s="13"/>
      <c r="DV610" s="12"/>
      <c r="DW610" s="13"/>
    </row>
    <row r="611" spans="8:127" ht="18" customHeight="1">
      <c r="H611" s="4"/>
      <c r="S611" s="12"/>
      <c r="U611" s="14"/>
      <c r="V611" s="15"/>
      <c r="W611" s="15"/>
      <c r="X611" s="15"/>
      <c r="Y611" s="15"/>
      <c r="Z611" s="15"/>
      <c r="AA611" s="15"/>
      <c r="AB611" s="15"/>
      <c r="AC611" s="15"/>
      <c r="AD611" s="16"/>
      <c r="AF611" s="12"/>
      <c r="BC611" s="13"/>
      <c r="BE611" s="12"/>
      <c r="BG611" s="13"/>
      <c r="CB611" s="13"/>
      <c r="CD611" s="13"/>
      <c r="CH611" s="12"/>
      <c r="CM611" s="13"/>
      <c r="DF611" s="13"/>
      <c r="DV611" s="12"/>
      <c r="DW611" s="13"/>
    </row>
    <row r="612" spans="8:127" ht="18" customHeight="1">
      <c r="H612" s="4"/>
      <c r="S612" s="12"/>
      <c r="U612" s="12"/>
      <c r="Z612" s="12"/>
      <c r="AD612" s="13"/>
      <c r="AF612" s="12"/>
      <c r="BC612" s="13"/>
      <c r="BE612" s="14"/>
      <c r="BF612" s="15"/>
      <c r="BG612" s="16"/>
      <c r="CB612" s="13"/>
      <c r="CD612" s="13"/>
      <c r="CE612" s="12"/>
      <c r="CH612" s="12"/>
      <c r="CM612" s="13"/>
      <c r="DF612" s="13"/>
      <c r="DV612" s="12"/>
      <c r="DW612" s="13"/>
    </row>
    <row r="613" spans="8:127" ht="18" customHeight="1">
      <c r="H613" s="4"/>
      <c r="S613" s="12"/>
      <c r="U613" s="12"/>
      <c r="Z613" s="12"/>
      <c r="AD613" s="13"/>
      <c r="AF613" s="12"/>
      <c r="BC613" s="13"/>
      <c r="BE613" s="9"/>
      <c r="BF613" s="10"/>
      <c r="BG613" s="10"/>
      <c r="BH613" s="10"/>
      <c r="BI613" s="10"/>
      <c r="BJ613" s="11"/>
      <c r="CB613" s="13"/>
      <c r="CD613" s="13"/>
      <c r="CH613" s="12"/>
      <c r="CM613" s="13"/>
      <c r="DF613" s="13"/>
      <c r="DV613" s="12"/>
      <c r="DW613" s="13"/>
    </row>
    <row r="614" spans="8:127" ht="18" customHeight="1">
      <c r="H614" s="4"/>
      <c r="S614" s="12"/>
      <c r="U614" s="12"/>
      <c r="Z614" s="12"/>
      <c r="AD614" s="13"/>
      <c r="AF614" s="12"/>
      <c r="BC614" s="13"/>
      <c r="BE614" s="9"/>
      <c r="BF614" s="11"/>
      <c r="BG614" s="10"/>
      <c r="BH614" s="10"/>
      <c r="BI614" s="10"/>
      <c r="BJ614" s="11"/>
      <c r="CB614" s="13"/>
      <c r="CD614" s="13"/>
      <c r="CH614" s="12"/>
      <c r="CM614" s="13"/>
      <c r="DF614" s="13"/>
      <c r="DV614" s="12"/>
      <c r="DW614" s="13"/>
    </row>
    <row r="615" spans="8:127" ht="18" customHeight="1">
      <c r="H615" s="4"/>
      <c r="S615" s="12"/>
      <c r="U615" s="12"/>
      <c r="Z615" s="12"/>
      <c r="AD615" s="13"/>
      <c r="AF615" s="12"/>
      <c r="BC615" s="13"/>
      <c r="BE615" s="12"/>
      <c r="BF615" s="13"/>
      <c r="BJ615" s="13"/>
      <c r="BZ615" s="9"/>
      <c r="CA615" s="10"/>
      <c r="CB615" s="11"/>
      <c r="CD615" s="13"/>
      <c r="CH615" s="12"/>
      <c r="CM615" s="13"/>
      <c r="DF615" s="13"/>
      <c r="DV615" s="12"/>
      <c r="DW615" s="13"/>
    </row>
    <row r="616" spans="8:127" ht="18" customHeight="1">
      <c r="H616" s="4"/>
      <c r="S616" s="12"/>
      <c r="U616" s="14"/>
      <c r="V616" s="15"/>
      <c r="W616" s="15"/>
      <c r="X616" s="15"/>
      <c r="Y616" s="15"/>
      <c r="Z616" s="14"/>
      <c r="AA616" s="15"/>
      <c r="AB616" s="15"/>
      <c r="AC616" s="15"/>
      <c r="AD616" s="13"/>
      <c r="AF616" s="12"/>
      <c r="BC616" s="13"/>
      <c r="BE616" s="12"/>
      <c r="BF616" s="13"/>
      <c r="BJ616" s="13"/>
      <c r="BZ616" s="12"/>
      <c r="CB616" s="17"/>
      <c r="CD616" s="13"/>
      <c r="CH616" s="12"/>
      <c r="CM616" s="13"/>
      <c r="DF616" s="13"/>
      <c r="DV616" s="12"/>
      <c r="DW616" s="13"/>
    </row>
    <row r="617" spans="8:127" ht="18" customHeight="1">
      <c r="H617" s="4"/>
      <c r="S617" s="12"/>
      <c r="AC617" s="10"/>
      <c r="AD617" s="10"/>
      <c r="AE617" s="11"/>
      <c r="BC617" s="13"/>
      <c r="BE617" s="12"/>
      <c r="BF617" s="13"/>
      <c r="BJ617" s="13"/>
      <c r="BZ617" s="12"/>
      <c r="CB617" s="18"/>
      <c r="CD617" s="13"/>
      <c r="CH617" s="14"/>
      <c r="CI617" s="15"/>
      <c r="CJ617" s="15"/>
      <c r="CK617" s="15"/>
      <c r="CL617" s="15"/>
      <c r="CM617" s="16"/>
      <c r="CN617" s="15"/>
      <c r="CO617" s="15"/>
      <c r="CP617" s="15"/>
      <c r="CQ617" s="15"/>
      <c r="CR617" s="15"/>
      <c r="CS617" s="15"/>
      <c r="CT617" s="15"/>
      <c r="CU617" s="15"/>
      <c r="CV617" s="15"/>
      <c r="CW617" s="15"/>
      <c r="CX617" s="15"/>
      <c r="CY617" s="15"/>
      <c r="CZ617" s="15"/>
      <c r="DA617" s="15"/>
      <c r="DB617" s="15"/>
      <c r="DC617" s="15"/>
      <c r="DD617" s="15"/>
      <c r="DE617" s="15"/>
      <c r="DF617" s="16"/>
      <c r="DV617" s="12"/>
      <c r="DW617" s="13"/>
    </row>
    <row r="618" spans="8:127" ht="18" customHeight="1">
      <c r="H618" s="4"/>
      <c r="S618" s="14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E618" s="13"/>
      <c r="BC618" s="13"/>
      <c r="BE618" s="12"/>
      <c r="BF618" s="13"/>
      <c r="BG618" s="15"/>
      <c r="BH618" s="15"/>
      <c r="BI618" s="15"/>
      <c r="BJ618" s="16"/>
      <c r="BZ618" s="12"/>
      <c r="CB618" s="18"/>
      <c r="CD618" s="13"/>
      <c r="DV618" s="12"/>
      <c r="DW618" s="13"/>
    </row>
    <row r="619" spans="8:127" ht="18" customHeight="1">
      <c r="H619" s="4"/>
      <c r="AD619" s="14"/>
      <c r="AE619" s="16"/>
      <c r="BC619" s="13"/>
      <c r="BE619" s="12"/>
      <c r="BF619" s="13"/>
      <c r="BG619" s="10"/>
      <c r="BH619" s="10"/>
      <c r="BI619" s="10"/>
      <c r="BJ619" s="11"/>
      <c r="BZ619" s="12"/>
      <c r="CB619" s="18"/>
      <c r="CD619" s="13"/>
      <c r="DV619" s="12"/>
      <c r="DW619" s="13"/>
    </row>
    <row r="620" spans="8:127" ht="18" customHeight="1">
      <c r="H620" s="4"/>
      <c r="AC620" s="13"/>
      <c r="AD620" s="18"/>
      <c r="AE620" s="12"/>
      <c r="AF620" s="12"/>
      <c r="BC620" s="13"/>
      <c r="BE620" s="12"/>
      <c r="BF620" s="13"/>
      <c r="BJ620" s="13"/>
      <c r="BZ620" s="12"/>
      <c r="CB620" s="18"/>
      <c r="CD620" s="13"/>
      <c r="DV620" s="14"/>
      <c r="DW620" s="16"/>
    </row>
    <row r="621" spans="8:127" ht="18" customHeight="1">
      <c r="H621" s="4"/>
      <c r="AC621" s="13"/>
      <c r="AD621" s="18"/>
      <c r="AE621" s="12"/>
      <c r="AF621" s="12"/>
      <c r="BC621" s="13"/>
      <c r="BE621" s="12"/>
      <c r="BF621" s="13"/>
      <c r="BJ621" s="13"/>
      <c r="BZ621" s="12"/>
      <c r="CB621" s="19"/>
      <c r="CD621" s="13"/>
      <c r="DW621" s="5"/>
    </row>
    <row r="622" spans="8:127" ht="18" customHeight="1">
      <c r="H622" s="4"/>
      <c r="AC622" s="13"/>
      <c r="AD622" s="18"/>
      <c r="AE622" s="12"/>
      <c r="AF622" s="12"/>
      <c r="BC622" s="13"/>
      <c r="BE622" s="12"/>
      <c r="BF622" s="13"/>
      <c r="BJ622" s="13"/>
      <c r="BZ622" s="14"/>
      <c r="CA622" s="15"/>
      <c r="CB622" s="16"/>
      <c r="CD622" s="13"/>
      <c r="DW622" s="5"/>
    </row>
    <row r="623" spans="8:127" ht="18" customHeight="1">
      <c r="H623" s="4"/>
      <c r="AD623" s="18"/>
      <c r="AE623" s="12"/>
      <c r="AF623" s="12"/>
      <c r="BC623" s="13"/>
      <c r="BE623" s="12"/>
      <c r="BF623" s="13"/>
      <c r="BJ623" s="13"/>
      <c r="CB623" s="13"/>
      <c r="CD623" s="13"/>
      <c r="DW623" s="5"/>
    </row>
    <row r="624" spans="8:127" ht="18" customHeight="1">
      <c r="H624" s="4"/>
      <c r="AC624" s="13"/>
      <c r="AD624" s="18"/>
      <c r="AE624" s="12"/>
      <c r="AF624" s="12"/>
      <c r="BC624" s="13"/>
      <c r="BE624" s="20"/>
      <c r="BF624" s="21"/>
      <c r="BG624" s="21"/>
      <c r="BH624" s="21"/>
      <c r="BI624" s="21"/>
      <c r="BJ624" s="22"/>
      <c r="CB624" s="13"/>
      <c r="CD624" s="13"/>
      <c r="DW624" s="5"/>
    </row>
    <row r="625" spans="8:127" ht="18" customHeight="1">
      <c r="H625" s="4"/>
      <c r="AC625" s="13"/>
      <c r="AD625" s="19"/>
      <c r="AE625" s="14"/>
      <c r="AF625" s="12"/>
      <c r="BC625" s="13"/>
      <c r="BE625" s="12"/>
      <c r="BG625" s="13"/>
      <c r="CB625" s="13"/>
      <c r="CD625" s="13"/>
      <c r="DW625" s="5"/>
    </row>
    <row r="626" spans="8:127" ht="18" customHeight="1">
      <c r="H626" s="4"/>
      <c r="AC626" s="13"/>
      <c r="AF626" s="14"/>
      <c r="AG626" s="15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15"/>
      <c r="AZ626" s="15"/>
      <c r="BA626" s="15"/>
      <c r="BB626" s="15"/>
      <c r="BC626" s="16"/>
      <c r="BE626" s="12"/>
      <c r="BG626" s="13"/>
      <c r="CB626" s="13"/>
      <c r="CD626" s="13"/>
      <c r="DW626" s="5"/>
    </row>
    <row r="627" spans="8:127" ht="18" customHeight="1">
      <c r="H627" s="4"/>
      <c r="AC627" s="13"/>
      <c r="BE627" s="14"/>
      <c r="BF627" s="15"/>
      <c r="BG627" s="16"/>
      <c r="CB627" s="13"/>
      <c r="CD627" s="13"/>
      <c r="DW627" s="5"/>
    </row>
    <row r="628" spans="8:127" ht="18" customHeight="1">
      <c r="H628" s="4"/>
      <c r="AC628" s="13"/>
      <c r="AF628" s="9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74"/>
      <c r="BA628" s="85"/>
      <c r="BB628" s="85"/>
      <c r="BC628" s="75"/>
      <c r="BE628" s="12"/>
      <c r="CB628" s="13"/>
      <c r="CC628" s="12"/>
      <c r="CE628" s="14"/>
      <c r="CF628" s="15"/>
      <c r="CG628" s="15"/>
      <c r="CH628" s="15"/>
      <c r="CI628" s="15"/>
      <c r="CJ628" s="15"/>
      <c r="CK628" s="15"/>
      <c r="CL628" s="15"/>
      <c r="CM628" s="15"/>
      <c r="CN628" s="15"/>
      <c r="CO628" s="15"/>
      <c r="CP628" s="15"/>
      <c r="CQ628" s="15"/>
      <c r="CR628" s="15"/>
      <c r="CS628" s="15"/>
      <c r="CT628" s="15"/>
      <c r="CU628" s="15"/>
      <c r="DW628" s="5"/>
    </row>
    <row r="629" spans="8:127" ht="18" customHeight="1">
      <c r="H629" s="4"/>
      <c r="AD629" s="12"/>
      <c r="AF629" s="12"/>
      <c r="AZ629" s="86"/>
      <c r="BA629" s="87"/>
      <c r="BB629" s="87"/>
      <c r="BC629" s="88"/>
      <c r="BE629" s="12"/>
      <c r="CB629" s="13"/>
      <c r="CC629" s="17"/>
      <c r="CD629" s="17"/>
      <c r="CU629" s="13"/>
      <c r="DW629" s="5"/>
    </row>
    <row r="630" spans="8:127" ht="18" customHeight="1">
      <c r="H630" s="4"/>
      <c r="AD630" s="12"/>
      <c r="AF630" s="12"/>
      <c r="AZ630" s="86"/>
      <c r="BA630" s="87"/>
      <c r="BB630" s="87"/>
      <c r="BC630" s="88"/>
      <c r="BE630" s="12"/>
      <c r="CB630" s="13"/>
      <c r="CC630" s="18"/>
      <c r="CD630" s="18"/>
      <c r="CE630" s="9"/>
      <c r="CF630" s="10"/>
      <c r="CG630" s="10"/>
      <c r="CH630" s="10"/>
      <c r="CI630" s="10"/>
      <c r="CJ630" s="10"/>
      <c r="CK630" s="10"/>
      <c r="CL630" s="10"/>
      <c r="CM630" s="10"/>
      <c r="CN630" s="10"/>
      <c r="CO630" s="10"/>
      <c r="CP630" s="10"/>
      <c r="CQ630" s="10"/>
      <c r="CR630" s="10"/>
      <c r="CS630" s="10"/>
      <c r="CT630" s="11"/>
      <c r="CU630" s="13"/>
      <c r="DW630" s="5"/>
    </row>
    <row r="631" spans="8:127" ht="18" customHeight="1">
      <c r="H631" s="4"/>
      <c r="AD631" s="12"/>
      <c r="AF631" s="12"/>
      <c r="AZ631" s="76"/>
      <c r="BA631" s="89"/>
      <c r="BB631" s="89"/>
      <c r="BC631" s="77"/>
      <c r="BE631" s="12"/>
      <c r="CB631" s="13"/>
      <c r="CC631" s="18"/>
      <c r="CD631" s="18"/>
      <c r="CE631" s="12"/>
      <c r="CT631" s="13"/>
      <c r="CU631" s="13"/>
      <c r="DW631" s="5"/>
    </row>
    <row r="632" spans="8:127" ht="18" customHeight="1">
      <c r="H632" s="4"/>
      <c r="AD632" s="12"/>
      <c r="AF632" s="12"/>
      <c r="AJ632" s="9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33"/>
      <c r="BA632" s="134"/>
      <c r="BB632" s="134"/>
      <c r="BC632" s="143"/>
      <c r="BD632" s="10"/>
      <c r="CB632" s="13"/>
      <c r="CC632" s="19"/>
      <c r="CD632" s="19"/>
      <c r="CE632" s="12"/>
      <c r="CT632" s="13"/>
      <c r="CU632" s="13"/>
      <c r="DW632" s="5"/>
    </row>
    <row r="633" spans="8:127" ht="18" customHeight="1">
      <c r="H633" s="4"/>
      <c r="AD633" s="17"/>
      <c r="AE633" s="17"/>
      <c r="AF633" s="12"/>
      <c r="AJ633" s="12"/>
      <c r="CB633" s="13"/>
      <c r="CC633" s="12"/>
      <c r="CE633" s="12"/>
      <c r="CT633" s="13"/>
      <c r="CU633" s="13"/>
      <c r="DW633" s="5"/>
    </row>
    <row r="634" spans="8:127" ht="18" customHeight="1">
      <c r="H634" s="4"/>
      <c r="AD634" s="18"/>
      <c r="AE634" s="18"/>
      <c r="AF634" s="12"/>
      <c r="AG634" s="9"/>
      <c r="AH634" s="11"/>
      <c r="AJ634" s="12"/>
      <c r="CB634" s="13"/>
      <c r="CD634" s="13"/>
      <c r="CE634" s="12"/>
      <c r="CI634" s="9"/>
      <c r="CJ634" s="10"/>
      <c r="CK634" s="10"/>
      <c r="CL634" s="10"/>
      <c r="CM634" s="10"/>
      <c r="CN634" s="10"/>
      <c r="CO634" s="10"/>
      <c r="CP634" s="11"/>
      <c r="CT634" s="13"/>
      <c r="CU634" s="13"/>
      <c r="CV634" s="9"/>
      <c r="CW634" s="10"/>
      <c r="CX634" s="10"/>
      <c r="CY634" s="10"/>
      <c r="CZ634" s="10"/>
      <c r="DA634" s="10"/>
      <c r="DB634" s="10"/>
      <c r="DC634" s="10"/>
      <c r="DD634" s="10"/>
      <c r="DE634" s="10"/>
      <c r="DF634" s="10"/>
      <c r="DG634" s="10"/>
      <c r="DH634" s="10"/>
      <c r="DI634" s="10"/>
      <c r="DJ634" s="10"/>
      <c r="DK634" s="10"/>
      <c r="DL634" s="10"/>
      <c r="DM634" s="10"/>
      <c r="DN634" s="10"/>
      <c r="DO634" s="10"/>
      <c r="DP634" s="10"/>
      <c r="DQ634" s="10"/>
      <c r="DR634" s="10"/>
      <c r="DS634" s="10"/>
      <c r="DT634" s="10"/>
      <c r="DU634" s="10"/>
      <c r="DV634" s="9"/>
      <c r="DW634" s="11"/>
    </row>
    <row r="635" spans="8:127" ht="18" customHeight="1">
      <c r="H635" s="4"/>
      <c r="AD635" s="18"/>
      <c r="AE635" s="18"/>
      <c r="AF635" s="12"/>
      <c r="AG635" s="12"/>
      <c r="AH635" s="13"/>
      <c r="AJ635" s="12"/>
      <c r="CB635" s="13"/>
      <c r="CC635" s="12"/>
      <c r="CE635" s="12"/>
      <c r="CI635" s="12"/>
      <c r="CP635" s="13"/>
      <c r="CT635" s="13"/>
      <c r="CU635" s="13"/>
      <c r="CV635" s="12"/>
      <c r="DV635" s="12"/>
      <c r="DW635" s="13"/>
    </row>
    <row r="636" spans="8:127" ht="18" customHeight="1">
      <c r="H636" s="4"/>
      <c r="AD636" s="18"/>
      <c r="AE636" s="18"/>
      <c r="AF636" s="12"/>
      <c r="AG636" s="12"/>
      <c r="AH636" s="13"/>
      <c r="AJ636" s="12"/>
      <c r="CB636" s="13"/>
      <c r="CD636" s="13"/>
      <c r="CE636" s="12"/>
      <c r="CI636" s="12"/>
      <c r="CP636" s="13"/>
      <c r="CT636" s="13"/>
      <c r="CU636" s="13"/>
      <c r="CV636" s="12"/>
      <c r="DV636" s="12"/>
      <c r="DW636" s="13"/>
    </row>
    <row r="637" spans="8:127" ht="18" customHeight="1">
      <c r="H637" s="4"/>
      <c r="AD637" s="18"/>
      <c r="AE637" s="18"/>
      <c r="AF637" s="12"/>
      <c r="AG637" s="14"/>
      <c r="AH637" s="16"/>
      <c r="AJ637" s="12"/>
      <c r="CB637" s="13"/>
      <c r="CD637" s="13"/>
      <c r="CE637" s="12"/>
      <c r="CI637" s="12"/>
      <c r="CP637" s="13"/>
      <c r="CT637" s="13"/>
      <c r="CU637" s="13"/>
      <c r="CV637" s="12"/>
      <c r="DV637" s="12"/>
      <c r="DW637" s="13"/>
    </row>
    <row r="638" spans="8:127" ht="18" customHeight="1">
      <c r="H638" s="4"/>
      <c r="AD638" s="19"/>
      <c r="AE638" s="19"/>
      <c r="AF638" s="12"/>
      <c r="AJ638" s="12"/>
      <c r="CB638" s="13"/>
      <c r="CD638" s="13"/>
      <c r="CE638" s="12"/>
      <c r="CI638" s="12"/>
      <c r="CP638" s="13"/>
      <c r="CT638" s="13"/>
      <c r="CU638" s="13"/>
      <c r="CV638" s="12"/>
      <c r="DV638" s="12"/>
      <c r="DW638" s="13"/>
    </row>
    <row r="639" spans="8:127" ht="18" customHeight="1">
      <c r="H639" s="4"/>
      <c r="AD639" s="12"/>
      <c r="AF639" s="12"/>
      <c r="AJ639" s="14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Y639" s="15"/>
      <c r="AZ639" s="15"/>
      <c r="BA639" s="15"/>
      <c r="BB639" s="15"/>
      <c r="BC639" s="15"/>
      <c r="BD639" s="15"/>
      <c r="BE639" s="15"/>
      <c r="BF639" s="15"/>
      <c r="BG639" s="15"/>
      <c r="BH639" s="15"/>
      <c r="BI639" s="15"/>
      <c r="BJ639" s="15"/>
      <c r="BK639" s="15"/>
      <c r="BL639" s="15"/>
      <c r="BM639" s="15"/>
      <c r="BN639" s="15"/>
      <c r="BO639" s="15"/>
      <c r="BP639" s="15"/>
      <c r="BQ639" s="15"/>
      <c r="BR639" s="15"/>
      <c r="BS639" s="15"/>
      <c r="BT639" s="15"/>
      <c r="BU639" s="15"/>
      <c r="BV639" s="15"/>
      <c r="BW639" s="15"/>
      <c r="BX639" s="15"/>
      <c r="BY639" s="15"/>
      <c r="BZ639" s="15"/>
      <c r="CA639" s="15"/>
      <c r="CB639" s="16"/>
      <c r="CD639" s="13"/>
      <c r="CE639" s="12"/>
      <c r="CI639" s="12"/>
      <c r="CP639" s="13"/>
      <c r="CT639" s="13"/>
      <c r="CU639" s="13"/>
      <c r="CV639" s="12"/>
      <c r="DV639" s="12"/>
      <c r="DW639" s="13"/>
    </row>
    <row r="640" spans="8:127" ht="18" customHeight="1">
      <c r="H640" s="4"/>
      <c r="AD640" s="12"/>
      <c r="AF640" s="12"/>
      <c r="AW640" s="9"/>
      <c r="AX640" s="10"/>
      <c r="AY640" s="10"/>
      <c r="AZ640" s="10"/>
      <c r="BA640" s="10"/>
      <c r="BB640" s="10"/>
      <c r="BC640" s="10"/>
      <c r="BD640" s="10"/>
      <c r="BE640" s="10"/>
      <c r="BF640" s="10"/>
      <c r="BG640" s="10"/>
      <c r="BH640" s="10"/>
      <c r="BI640" s="10"/>
      <c r="BJ640" s="20"/>
      <c r="BK640" s="21"/>
      <c r="BL640" s="21"/>
      <c r="BM640" s="21"/>
      <c r="BN640" s="21"/>
      <c r="BO640" s="22"/>
      <c r="BV640" s="127"/>
      <c r="BW640" s="127"/>
      <c r="BX640" s="127"/>
      <c r="BY640" s="127"/>
      <c r="BZ640" s="127"/>
      <c r="CA640" s="127"/>
      <c r="CD640" s="13"/>
      <c r="CE640" s="12"/>
      <c r="CI640" s="12"/>
      <c r="CP640" s="13"/>
      <c r="CT640" s="13"/>
      <c r="CU640" s="13"/>
      <c r="CV640" s="12"/>
      <c r="DV640" s="12"/>
      <c r="DW640" s="13"/>
    </row>
    <row r="641" spans="8:127" ht="18" customHeight="1">
      <c r="H641" s="4"/>
      <c r="AD641" s="12"/>
      <c r="AF641" s="12"/>
      <c r="AW641" s="12"/>
      <c r="BJ641" s="9"/>
      <c r="BK641" s="10"/>
      <c r="BL641" s="10"/>
      <c r="BM641" s="10"/>
      <c r="BN641" s="10"/>
      <c r="BO641" s="11"/>
      <c r="BV641" s="127"/>
      <c r="BW641" s="127"/>
      <c r="BX641" s="127"/>
      <c r="BY641" s="127"/>
      <c r="BZ641" s="127"/>
      <c r="CA641" s="127"/>
      <c r="CD641" s="13"/>
      <c r="CE641" s="12"/>
      <c r="CI641" s="12"/>
      <c r="CP641" s="13"/>
      <c r="CT641" s="13"/>
      <c r="CU641" s="13"/>
      <c r="CV641" s="14"/>
      <c r="CW641" s="15"/>
      <c r="CX641" s="15"/>
      <c r="CY641" s="15"/>
      <c r="CZ641" s="15"/>
      <c r="DA641" s="15"/>
      <c r="DB641" s="15"/>
      <c r="DC641" s="15"/>
      <c r="DD641" s="15"/>
      <c r="DE641" s="15"/>
      <c r="DF641" s="15"/>
      <c r="DG641" s="15"/>
      <c r="DH641" s="15"/>
      <c r="DI641" s="15"/>
      <c r="DJ641" s="15"/>
      <c r="DK641" s="15"/>
      <c r="DL641" s="15"/>
      <c r="DM641" s="15"/>
      <c r="DN641" s="15"/>
      <c r="DO641" s="15"/>
      <c r="DP641" s="15"/>
      <c r="DQ641" s="15"/>
      <c r="DR641" s="15"/>
      <c r="DS641" s="15"/>
      <c r="DT641" s="15"/>
      <c r="DU641" s="15"/>
      <c r="DV641" s="14"/>
      <c r="DW641" s="16"/>
    </row>
    <row r="642" spans="8:127" ht="18" customHeight="1">
      <c r="H642" s="4"/>
      <c r="AD642" s="12"/>
      <c r="AF642" s="12"/>
      <c r="AW642" s="12"/>
      <c r="AY642" s="9"/>
      <c r="AZ642" s="10"/>
      <c r="BA642" s="10"/>
      <c r="BB642" s="10"/>
      <c r="BC642" s="10"/>
      <c r="BD642" s="10"/>
      <c r="BE642" s="10"/>
      <c r="BF642" s="10"/>
      <c r="BG642" s="10"/>
      <c r="BH642" s="10"/>
      <c r="BI642" s="10"/>
      <c r="BJ642" s="10"/>
      <c r="BK642" s="10"/>
      <c r="BL642" s="10"/>
      <c r="BM642" s="10"/>
      <c r="BN642" s="10"/>
      <c r="BO642" s="10"/>
      <c r="BP642" s="10"/>
      <c r="BQ642" s="10"/>
      <c r="BR642" s="10"/>
      <c r="BS642" s="10"/>
      <c r="BT642" s="10"/>
      <c r="BU642" s="10"/>
      <c r="BV642" s="10"/>
      <c r="BW642" s="10"/>
      <c r="BX642" s="10"/>
      <c r="BY642" s="10"/>
      <c r="BZ642" s="10"/>
      <c r="CA642" s="10"/>
      <c r="CB642" s="10"/>
      <c r="CC642" s="10"/>
      <c r="CD642" s="10"/>
      <c r="CE642" s="10"/>
      <c r="CF642" s="10"/>
      <c r="CG642" s="10"/>
      <c r="CH642" s="10"/>
      <c r="CI642" s="10"/>
      <c r="CJ642" s="10"/>
      <c r="CK642" s="10"/>
      <c r="CL642" s="10"/>
      <c r="CM642" s="10"/>
      <c r="CN642" s="10"/>
      <c r="CO642" s="10"/>
      <c r="CP642" s="10"/>
      <c r="CQ642" s="10"/>
      <c r="CR642" s="10"/>
      <c r="CS642" s="10"/>
      <c r="CT642" s="11"/>
      <c r="CU642" s="13"/>
      <c r="DW642" s="5"/>
    </row>
    <row r="643" spans="8:127" ht="18" customHeight="1">
      <c r="H643" s="4"/>
      <c r="AD643" s="12"/>
      <c r="AF643" s="14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2"/>
      <c r="AY643" s="12"/>
      <c r="CT643" s="13"/>
      <c r="CU643" s="13"/>
      <c r="DW643" s="5"/>
    </row>
    <row r="644" spans="8:127" ht="18" customHeight="1">
      <c r="H644" s="4"/>
      <c r="AD644" s="12"/>
      <c r="AX644" s="13"/>
      <c r="AY644" s="12"/>
      <c r="CT644" s="13"/>
      <c r="CU644" s="13"/>
      <c r="DW644" s="5"/>
    </row>
    <row r="645" spans="8:127" ht="18" customHeight="1">
      <c r="H645" s="4"/>
      <c r="AD645" s="14"/>
      <c r="AE645" s="15"/>
      <c r="AF645" s="15"/>
      <c r="AG645" s="15"/>
      <c r="AH645" s="15"/>
      <c r="AI645" s="15"/>
      <c r="AJ645" s="15"/>
      <c r="AK645" s="15"/>
      <c r="AL645" s="15"/>
      <c r="AM645" s="15"/>
      <c r="AO645" s="15"/>
      <c r="AP645" s="15"/>
      <c r="AR645" s="15"/>
      <c r="AT645" s="15"/>
      <c r="AU645" s="15"/>
      <c r="AV645" s="15"/>
      <c r="AW645" s="15"/>
      <c r="AX645" s="15"/>
      <c r="AY645" s="12"/>
      <c r="CT645" s="13"/>
      <c r="CU645" s="13"/>
      <c r="DW645" s="5"/>
    </row>
    <row r="646" spans="8:127" ht="18" customHeight="1">
      <c r="H646" s="4"/>
      <c r="AN646" s="10"/>
      <c r="AQ646" s="10"/>
      <c r="AS646" s="10"/>
      <c r="AV646" s="10"/>
      <c r="AX646" s="12"/>
      <c r="AY646" s="12"/>
      <c r="CT646" s="13"/>
      <c r="CU646" s="13"/>
      <c r="DW646" s="5"/>
    </row>
    <row r="647" spans="8:127" ht="18" customHeight="1">
      <c r="H647" s="4"/>
      <c r="AX647" s="12"/>
      <c r="AY647" s="12"/>
      <c r="CT647" s="13"/>
      <c r="CU647" s="13"/>
      <c r="DW647" s="5"/>
    </row>
    <row r="648" spans="8:127" ht="18" customHeight="1">
      <c r="H648" s="4"/>
      <c r="AX648" s="12"/>
      <c r="AY648" s="12"/>
      <c r="CT648" s="13"/>
      <c r="CU648" s="13"/>
      <c r="DW648" s="5"/>
    </row>
    <row r="649" spans="8:127" ht="18" customHeight="1">
      <c r="H649" s="4"/>
      <c r="AX649" s="12"/>
      <c r="AY649" s="12"/>
      <c r="CT649" s="13"/>
      <c r="CU649" s="13"/>
      <c r="DW649" s="5"/>
    </row>
    <row r="650" spans="8:127" ht="18" customHeight="1">
      <c r="H650" s="4"/>
      <c r="AX650" s="12"/>
      <c r="AY650" s="12"/>
      <c r="CT650" s="13"/>
      <c r="CU650" s="13"/>
      <c r="DW650" s="5"/>
    </row>
    <row r="651" spans="8:127" ht="18" customHeight="1">
      <c r="H651" s="4"/>
      <c r="AX651" s="12"/>
      <c r="AY651" s="12"/>
      <c r="CT651" s="13"/>
      <c r="CU651" s="13"/>
      <c r="DW651" s="5"/>
    </row>
    <row r="652" spans="8:127" ht="18" customHeight="1">
      <c r="H652" s="4"/>
      <c r="AX652" s="12"/>
      <c r="AY652" s="12"/>
      <c r="CT652" s="13"/>
      <c r="CU652" s="13"/>
      <c r="DW652" s="5"/>
    </row>
    <row r="653" spans="8:127" ht="18" customHeight="1">
      <c r="H653" s="4"/>
      <c r="AX653" s="12"/>
      <c r="AY653" s="12"/>
      <c r="CT653" s="13"/>
      <c r="CU653" s="13"/>
      <c r="DW653" s="5"/>
    </row>
    <row r="654" spans="8:127" ht="18" customHeight="1">
      <c r="H654" s="4"/>
      <c r="AX654" s="12"/>
      <c r="AY654" s="12"/>
      <c r="CT654" s="13"/>
      <c r="CU654" s="13"/>
      <c r="DW654" s="5"/>
    </row>
    <row r="655" spans="8:127" ht="18" customHeight="1">
      <c r="H655" s="4"/>
      <c r="AX655" s="12"/>
      <c r="AY655" s="12"/>
      <c r="CT655" s="13"/>
      <c r="CU655" s="13"/>
      <c r="DW655" s="5"/>
    </row>
    <row r="656" spans="8:127" ht="18" customHeight="1">
      <c r="H656" s="4"/>
      <c r="AX656" s="12"/>
      <c r="AY656" s="12"/>
      <c r="CT656" s="13"/>
      <c r="CU656" s="13"/>
      <c r="DW656" s="5"/>
    </row>
    <row r="657" spans="8:127" ht="18" customHeight="1">
      <c r="H657" s="4"/>
      <c r="AX657" s="12"/>
      <c r="AY657" s="12"/>
      <c r="CT657" s="13"/>
      <c r="CU657" s="13"/>
      <c r="DW657" s="5"/>
    </row>
    <row r="658" spans="8:127" ht="18" customHeight="1">
      <c r="H658" s="4"/>
      <c r="AX658" s="12"/>
      <c r="AY658" s="12"/>
      <c r="CT658" s="13"/>
      <c r="CU658" s="13"/>
      <c r="DW658" s="5"/>
    </row>
    <row r="659" spans="8:127" ht="18" customHeight="1">
      <c r="H659" s="4"/>
      <c r="AX659" s="12"/>
      <c r="AY659" s="12"/>
      <c r="CT659" s="13"/>
      <c r="CU659" s="13"/>
      <c r="DW659" s="5"/>
    </row>
    <row r="660" spans="8:127" ht="18" customHeight="1">
      <c r="H660" s="4"/>
      <c r="AX660" s="12"/>
      <c r="AY660" s="12"/>
      <c r="CT660" s="13"/>
      <c r="CU660" s="13"/>
      <c r="DW660" s="5"/>
    </row>
    <row r="661" spans="8:127" ht="18" customHeight="1">
      <c r="H661" s="4"/>
      <c r="AX661" s="12"/>
      <c r="AY661" s="14"/>
      <c r="AZ661" s="15"/>
      <c r="BA661" s="15"/>
      <c r="BB661" s="15"/>
      <c r="BC661" s="15"/>
      <c r="BD661" s="15"/>
      <c r="BE661" s="15"/>
      <c r="BF661" s="15"/>
      <c r="BG661" s="15"/>
      <c r="BH661" s="15"/>
      <c r="BI661" s="15"/>
      <c r="BJ661" s="15"/>
      <c r="BK661" s="15"/>
      <c r="BL661" s="15"/>
      <c r="BM661" s="15"/>
      <c r="BN661" s="15"/>
      <c r="BO661" s="15"/>
      <c r="BP661" s="15"/>
      <c r="BQ661" s="15"/>
      <c r="BR661" s="15"/>
      <c r="BS661" s="15"/>
      <c r="BT661" s="15"/>
      <c r="BU661" s="15"/>
      <c r="BV661" s="15"/>
      <c r="BW661" s="15"/>
      <c r="BX661" s="15"/>
      <c r="BY661" s="15"/>
      <c r="BZ661" s="15"/>
      <c r="CA661" s="15"/>
      <c r="CB661" s="15"/>
      <c r="CC661" s="15"/>
      <c r="CD661" s="15"/>
      <c r="CE661" s="15"/>
      <c r="CF661" s="15"/>
      <c r="CG661" s="15"/>
      <c r="CH661" s="15"/>
      <c r="CI661" s="15"/>
      <c r="CJ661" s="15"/>
      <c r="CK661" s="15"/>
      <c r="CL661" s="15"/>
      <c r="CM661" s="15"/>
      <c r="CN661" s="15"/>
      <c r="CO661" s="15"/>
      <c r="CP661" s="15"/>
      <c r="CQ661" s="15"/>
      <c r="CR661" s="15"/>
      <c r="CS661" s="15"/>
      <c r="CT661" s="16"/>
      <c r="CU661" s="13"/>
      <c r="DW661" s="5"/>
    </row>
    <row r="662" spans="8:127" ht="18" customHeight="1">
      <c r="H662" s="4"/>
      <c r="AX662" s="14"/>
      <c r="AY662" s="15"/>
      <c r="AZ662" s="15"/>
      <c r="BA662" s="15"/>
      <c r="BB662" s="15"/>
      <c r="BC662" s="15"/>
      <c r="BD662" s="15"/>
      <c r="BE662" s="15"/>
      <c r="BF662" s="15"/>
      <c r="BG662" s="15"/>
      <c r="BH662" s="15"/>
      <c r="BI662" s="15"/>
      <c r="BJ662" s="15"/>
      <c r="BK662" s="15"/>
      <c r="BL662" s="15"/>
      <c r="BM662" s="15"/>
      <c r="BN662" s="15"/>
      <c r="BO662" s="15"/>
      <c r="BP662" s="15"/>
      <c r="BQ662" s="15"/>
      <c r="BR662" s="15"/>
      <c r="BS662" s="15"/>
      <c r="BT662" s="15"/>
      <c r="BU662" s="15"/>
      <c r="BV662" s="15"/>
      <c r="BW662" s="15"/>
      <c r="BX662" s="15"/>
      <c r="BY662" s="15"/>
      <c r="BZ662" s="15"/>
      <c r="CA662" s="15"/>
      <c r="CB662" s="15"/>
      <c r="CC662" s="15"/>
      <c r="CD662" s="15"/>
      <c r="CE662" s="15"/>
      <c r="CF662" s="15"/>
      <c r="CG662" s="15"/>
      <c r="CH662" s="15"/>
      <c r="CI662" s="15"/>
      <c r="CJ662" s="15"/>
      <c r="CK662" s="15"/>
      <c r="CL662" s="15"/>
      <c r="CM662" s="15"/>
      <c r="CN662" s="15"/>
      <c r="CO662" s="15"/>
      <c r="CP662" s="15"/>
      <c r="CQ662" s="15"/>
      <c r="CR662" s="15"/>
      <c r="CS662" s="15"/>
      <c r="CT662" s="15"/>
      <c r="CU662" s="16"/>
      <c r="DW662" s="5"/>
    </row>
    <row r="663" spans="8:127" ht="18" customHeight="1">
      <c r="H663" s="4"/>
      <c r="DW663" s="5"/>
    </row>
    <row r="664" spans="8:127" ht="18" customHeight="1">
      <c r="H664" s="4"/>
      <c r="DW664" s="5"/>
    </row>
    <row r="665" spans="8:127" ht="18" customHeight="1">
      <c r="H665" s="4"/>
      <c r="DW665" s="5"/>
    </row>
    <row r="666" spans="8:127" ht="18" customHeight="1">
      <c r="H666" s="4"/>
      <c r="DW666" s="5"/>
    </row>
    <row r="667" spans="8:127" ht="18" customHeight="1">
      <c r="H667" s="4"/>
      <c r="DW667" s="5"/>
    </row>
    <row r="668" spans="8:127" ht="18" customHeight="1">
      <c r="H668" s="4"/>
      <c r="DW668" s="5"/>
    </row>
    <row r="669" spans="8:127" ht="18" customHeight="1">
      <c r="H669" s="4"/>
      <c r="DW669" s="5"/>
    </row>
    <row r="670" spans="8:127" ht="18" customHeight="1">
      <c r="H670" s="4"/>
      <c r="DW670" s="5"/>
    </row>
    <row r="671" spans="8:127" ht="18" customHeight="1">
      <c r="H671" s="4"/>
      <c r="DW671" s="5"/>
    </row>
    <row r="672" spans="8:127" ht="18" customHeight="1">
      <c r="H672" s="4"/>
      <c r="DW672" s="5"/>
    </row>
    <row r="673" spans="8:127" ht="18" customHeight="1">
      <c r="H673" s="4"/>
      <c r="DW673" s="5"/>
    </row>
    <row r="674" spans="8:127" ht="18" customHeight="1">
      <c r="H674" s="4"/>
      <c r="DW674" s="5"/>
    </row>
    <row r="675" spans="8:127" ht="18" customHeight="1" thickBot="1">
      <c r="H675" s="6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  <c r="BG675" s="7"/>
      <c r="BH675" s="7"/>
      <c r="BI675" s="7"/>
      <c r="BJ675" s="7"/>
      <c r="BK675" s="7"/>
      <c r="BL675" s="7"/>
      <c r="BM675" s="7"/>
      <c r="BN675" s="7"/>
      <c r="BO675" s="7"/>
      <c r="BP675" s="7"/>
      <c r="BQ675" s="7"/>
      <c r="BR675" s="7"/>
      <c r="BS675" s="7"/>
      <c r="BT675" s="7"/>
      <c r="BU675" s="7"/>
      <c r="BV675" s="7"/>
      <c r="BW675" s="7"/>
      <c r="BX675" s="7"/>
      <c r="BY675" s="7"/>
      <c r="BZ675" s="7"/>
      <c r="CA675" s="7"/>
      <c r="CB675" s="7"/>
      <c r="CC675" s="7"/>
      <c r="CD675" s="7"/>
      <c r="CE675" s="7"/>
      <c r="CF675" s="7"/>
      <c r="CG675" s="7"/>
      <c r="CH675" s="7"/>
      <c r="CI675" s="7"/>
      <c r="CJ675" s="7"/>
      <c r="CK675" s="7"/>
      <c r="CL675" s="7"/>
      <c r="CM675" s="7"/>
      <c r="CN675" s="7"/>
      <c r="CO675" s="7"/>
      <c r="CP675" s="7"/>
      <c r="CQ675" s="7"/>
      <c r="CR675" s="7"/>
      <c r="CS675" s="7"/>
      <c r="CT675" s="7"/>
      <c r="CU675" s="7"/>
      <c r="CV675" s="7"/>
      <c r="CW675" s="7"/>
      <c r="CX675" s="7"/>
      <c r="CY675" s="7"/>
      <c r="CZ675" s="7"/>
      <c r="DA675" s="7"/>
      <c r="DB675" s="7"/>
      <c r="DC675" s="7"/>
      <c r="DD675" s="7"/>
      <c r="DE675" s="7"/>
      <c r="DF675" s="7"/>
      <c r="DG675" s="7"/>
      <c r="DH675" s="7"/>
      <c r="DI675" s="7"/>
      <c r="DJ675" s="7"/>
      <c r="DK675" s="7"/>
      <c r="DL675" s="7"/>
      <c r="DM675" s="7"/>
      <c r="DN675" s="7"/>
      <c r="DO675" s="7"/>
      <c r="DP675" s="7"/>
      <c r="DQ675" s="7"/>
      <c r="DR675" s="7"/>
      <c r="DS675" s="7"/>
      <c r="DT675" s="7"/>
      <c r="DU675" s="7"/>
      <c r="DV675" s="7"/>
      <c r="DW675" s="8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54EC3-A040-2C48-8B06-B13E8C7DACA2}">
  <sheetPr codeName="Sheet4"/>
  <dimension ref="H5:PR494"/>
  <sheetViews>
    <sheetView topLeftCell="A399" zoomScale="32" zoomScaleNormal="56" workbookViewId="0">
      <selection activeCell="MU316" sqref="MU316"/>
    </sheetView>
  </sheetViews>
  <sheetFormatPr baseColWidth="10" defaultColWidth="3" defaultRowHeight="18" customHeight="1"/>
  <cols>
    <col min="18" max="18" width="3" customWidth="1"/>
    <col min="66" max="66" width="3" customWidth="1"/>
    <col min="77" max="77" width="3" customWidth="1"/>
    <col min="103" max="103" width="3" customWidth="1"/>
  </cols>
  <sheetData>
    <row r="5" spans="8:127" ht="18" customHeight="1" thickBot="1"/>
    <row r="6" spans="8:127" ht="18" customHeight="1">
      <c r="H6" s="1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3"/>
    </row>
    <row r="7" spans="8:127" ht="18" customHeight="1">
      <c r="H7" s="4"/>
      <c r="DW7" s="5"/>
    </row>
    <row r="8" spans="8:127" ht="18" customHeight="1">
      <c r="H8" s="4"/>
      <c r="DW8" s="5"/>
    </row>
    <row r="9" spans="8:127" ht="18" customHeight="1">
      <c r="H9" s="4"/>
      <c r="DW9" s="5"/>
    </row>
    <row r="10" spans="8:127" ht="18" customHeight="1">
      <c r="H10" s="4"/>
      <c r="DW10" s="5"/>
    </row>
    <row r="11" spans="8:127" ht="18" customHeight="1">
      <c r="H11" s="4"/>
      <c r="DW11" s="5"/>
    </row>
    <row r="12" spans="8:127" ht="18" customHeight="1">
      <c r="H12" s="4"/>
      <c r="DW12" s="5"/>
    </row>
    <row r="13" spans="8:127" ht="18" customHeight="1">
      <c r="H13" s="4"/>
      <c r="DW13" s="5"/>
    </row>
    <row r="14" spans="8:127" ht="18" customHeight="1">
      <c r="H14" s="4"/>
      <c r="DW14" s="5"/>
    </row>
    <row r="15" spans="8:127" ht="18" customHeight="1">
      <c r="H15" s="4"/>
      <c r="DW15" s="5"/>
    </row>
    <row r="16" spans="8:127" ht="18" customHeight="1">
      <c r="H16" s="4"/>
      <c r="DW16" s="5"/>
    </row>
    <row r="17" spans="8:283" ht="18" customHeight="1">
      <c r="H17" s="4"/>
      <c r="DW17" s="5"/>
    </row>
    <row r="18" spans="8:283" ht="18" customHeight="1">
      <c r="H18" s="4"/>
      <c r="DW18" s="5"/>
      <c r="FJ18" s="15"/>
      <c r="FK18" s="15"/>
      <c r="FL18" s="15"/>
      <c r="FM18" s="15"/>
      <c r="IK18" s="15"/>
      <c r="IL18" s="15"/>
      <c r="IM18" s="15"/>
      <c r="IN18" s="15"/>
    </row>
    <row r="19" spans="8:283" ht="18" customHeight="1">
      <c r="H19" s="4"/>
      <c r="DW19" s="5"/>
      <c r="EM19" s="40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4"/>
      <c r="HN19" s="40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4"/>
    </row>
    <row r="20" spans="8:283" ht="18" customHeight="1">
      <c r="H20" s="4"/>
      <c r="DW20" s="5"/>
      <c r="EM20" s="42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5"/>
      <c r="HN20" s="42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  <c r="IW20" s="43"/>
      <c r="IX20" s="43"/>
      <c r="IY20" s="43"/>
      <c r="IZ20" s="43"/>
      <c r="JA20" s="43"/>
      <c r="JB20" s="43"/>
      <c r="JC20" s="43"/>
      <c r="JD20" s="43"/>
      <c r="JE20" s="43"/>
      <c r="JF20" s="43"/>
      <c r="JG20" s="43"/>
      <c r="JH20" s="43"/>
      <c r="JI20" s="43"/>
      <c r="JJ20" s="45"/>
    </row>
    <row r="21" spans="8:283" ht="18" customHeight="1">
      <c r="H21" s="4"/>
      <c r="DW21" s="5"/>
      <c r="EM21" s="42"/>
      <c r="EN21" s="43"/>
      <c r="EO21" s="9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1"/>
      <c r="FO21" s="11"/>
      <c r="FP21" s="10"/>
      <c r="FQ21" s="10"/>
      <c r="FR21" s="10"/>
      <c r="FS21" s="10"/>
      <c r="FT21" s="11"/>
      <c r="FU21" s="10"/>
      <c r="FV21" s="10"/>
      <c r="FW21" s="10"/>
      <c r="FX21" s="10"/>
      <c r="FY21" s="11"/>
      <c r="FZ21" s="43"/>
      <c r="GA21" s="45"/>
      <c r="HN21" s="42"/>
      <c r="HO21" s="43"/>
      <c r="HP21" s="9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1"/>
      <c r="IP21" s="11"/>
      <c r="IQ21" s="10"/>
      <c r="IR21" s="10"/>
      <c r="IS21" s="10"/>
      <c r="IT21" s="10"/>
      <c r="IU21" s="11"/>
      <c r="IV21" s="10"/>
      <c r="IW21" s="10"/>
      <c r="IX21" s="10"/>
      <c r="IY21" s="10"/>
      <c r="IZ21" s="11"/>
      <c r="JA21" s="9"/>
      <c r="JB21" s="10"/>
      <c r="JC21" s="10"/>
      <c r="JD21" s="10"/>
      <c r="JE21" s="10"/>
      <c r="JF21" s="10"/>
      <c r="JG21" s="10"/>
      <c r="JH21" s="11"/>
      <c r="JI21" s="43"/>
      <c r="JJ21" s="45"/>
    </row>
    <row r="22" spans="8:283" ht="18" customHeight="1">
      <c r="H22" s="4"/>
      <c r="DW22" s="5"/>
      <c r="EM22" s="42"/>
      <c r="EN22" s="43"/>
      <c r="EO22" s="12"/>
      <c r="FN22" s="13"/>
      <c r="FO22" s="13"/>
      <c r="FT22" s="13"/>
      <c r="FY22" s="13"/>
      <c r="FZ22" s="43"/>
      <c r="GA22" s="45"/>
      <c r="HN22" s="42"/>
      <c r="HO22" s="43"/>
      <c r="HP22" s="12"/>
      <c r="IO22" s="13"/>
      <c r="IP22" s="13"/>
      <c r="IU22" s="13"/>
      <c r="IZ22" s="13"/>
      <c r="JA22" s="12"/>
      <c r="JH22" s="13"/>
      <c r="JI22" s="43"/>
      <c r="JJ22" s="45"/>
    </row>
    <row r="23" spans="8:283" ht="18" customHeight="1">
      <c r="H23" s="4"/>
      <c r="DW23" s="5"/>
      <c r="EM23" s="42"/>
      <c r="EN23" s="43"/>
      <c r="EO23" s="12"/>
      <c r="FN23" s="13"/>
      <c r="FO23" s="13"/>
      <c r="FT23" s="13"/>
      <c r="FY23" s="13"/>
      <c r="FZ23" s="43"/>
      <c r="GA23" s="45"/>
      <c r="HN23" s="42"/>
      <c r="HO23" s="43"/>
      <c r="HP23" s="12"/>
      <c r="IO23" s="13"/>
      <c r="IP23" s="13"/>
      <c r="IU23" s="13"/>
      <c r="IZ23" s="13"/>
      <c r="JA23" s="12"/>
      <c r="JH23" s="13"/>
      <c r="JI23" s="43"/>
      <c r="JJ23" s="45"/>
    </row>
    <row r="24" spans="8:283" ht="18" customHeight="1">
      <c r="H24" s="4"/>
      <c r="DW24" s="5"/>
      <c r="EM24" s="42"/>
      <c r="EN24" s="43"/>
      <c r="EO24" s="12"/>
      <c r="FN24" s="13"/>
      <c r="FO24" s="13"/>
      <c r="FT24" s="13"/>
      <c r="FY24" s="13"/>
      <c r="FZ24" s="43"/>
      <c r="GA24" s="45"/>
      <c r="HN24" s="42"/>
      <c r="HO24" s="43"/>
      <c r="HP24" s="12"/>
      <c r="IO24" s="13"/>
      <c r="IP24" s="13"/>
      <c r="IU24" s="13"/>
      <c r="IZ24" s="13"/>
      <c r="JA24" s="12"/>
      <c r="JH24" s="13"/>
      <c r="JI24" s="43"/>
      <c r="JJ24" s="45"/>
    </row>
    <row r="25" spans="8:283" ht="18" customHeight="1">
      <c r="H25" s="4"/>
      <c r="DW25" s="5"/>
      <c r="EM25" s="42"/>
      <c r="EN25" s="43"/>
      <c r="EO25" s="12"/>
      <c r="FN25" s="13"/>
      <c r="FO25" s="13"/>
      <c r="FP25" s="15"/>
      <c r="FQ25" s="15"/>
      <c r="FR25" s="15"/>
      <c r="FS25" s="15"/>
      <c r="FT25" s="16"/>
      <c r="FU25" s="15"/>
      <c r="FV25" s="15"/>
      <c r="FW25" s="15"/>
      <c r="FX25" s="15"/>
      <c r="FY25" s="16"/>
      <c r="FZ25" s="43"/>
      <c r="GA25" s="45"/>
      <c r="HN25" s="42"/>
      <c r="HO25" s="43"/>
      <c r="HP25" s="12"/>
      <c r="IO25" s="13"/>
      <c r="IP25" s="13"/>
      <c r="IQ25" s="15"/>
      <c r="IR25" s="15"/>
      <c r="IS25" s="15"/>
      <c r="IT25" s="15"/>
      <c r="IU25" s="16"/>
      <c r="IV25" s="15"/>
      <c r="IW25" s="15"/>
      <c r="IX25" s="15"/>
      <c r="IY25" s="15"/>
      <c r="IZ25" s="16"/>
      <c r="JA25" s="12"/>
      <c r="JH25" s="13"/>
      <c r="JI25" s="43"/>
      <c r="JJ25" s="45"/>
    </row>
    <row r="26" spans="8:283" ht="18" customHeight="1">
      <c r="H26" s="4"/>
      <c r="DW26" s="5"/>
      <c r="EM26" s="42"/>
      <c r="EN26" s="43"/>
      <c r="EO26" s="12"/>
      <c r="FN26" s="13"/>
      <c r="FO26" s="13"/>
      <c r="FY26" s="11"/>
      <c r="FZ26" s="43"/>
      <c r="GA26" s="45"/>
      <c r="HN26" s="42"/>
      <c r="HO26" s="43"/>
      <c r="HP26" s="12"/>
      <c r="IO26" s="13"/>
      <c r="IP26" s="13"/>
      <c r="JA26" s="12"/>
      <c r="JH26" s="13"/>
      <c r="JI26" s="43"/>
      <c r="JJ26" s="45"/>
    </row>
    <row r="27" spans="8:283" ht="18" customHeight="1">
      <c r="H27" s="4"/>
      <c r="DW27" s="5"/>
      <c r="EM27" s="42"/>
      <c r="EN27" s="43"/>
      <c r="EO27" s="12"/>
      <c r="FN27" s="13"/>
      <c r="FO27" s="13"/>
      <c r="FY27" s="13"/>
      <c r="FZ27" s="43"/>
      <c r="GA27" s="45"/>
      <c r="HN27" s="42"/>
      <c r="HO27" s="43"/>
      <c r="HP27" s="12"/>
      <c r="IO27" s="13"/>
      <c r="IP27" s="13"/>
      <c r="JA27" s="12"/>
      <c r="JH27" s="13"/>
      <c r="JI27" s="43"/>
      <c r="JJ27" s="45"/>
    </row>
    <row r="28" spans="8:283" ht="18" customHeight="1">
      <c r="H28" s="4"/>
      <c r="DW28" s="5"/>
      <c r="EM28" s="42"/>
      <c r="EN28" s="43"/>
      <c r="EO28" s="12"/>
      <c r="FN28" s="13"/>
      <c r="FO28" s="13"/>
      <c r="FY28" s="13"/>
      <c r="FZ28" s="43"/>
      <c r="GA28" s="45"/>
      <c r="HN28" s="42"/>
      <c r="HO28" s="43"/>
      <c r="HP28" s="12"/>
      <c r="IO28" s="13"/>
      <c r="IP28" s="13"/>
      <c r="JA28" s="12"/>
      <c r="JH28" s="13"/>
      <c r="JI28" s="43"/>
      <c r="JJ28" s="45"/>
    </row>
    <row r="29" spans="8:283" ht="18" customHeight="1">
      <c r="H29" s="4"/>
      <c r="DW29" s="5"/>
      <c r="EM29" s="42"/>
      <c r="EN29" s="43"/>
      <c r="EO29" s="12"/>
      <c r="FN29" s="13"/>
      <c r="FO29" s="13"/>
      <c r="FY29" s="13"/>
      <c r="FZ29" s="43"/>
      <c r="GA29" s="45"/>
      <c r="GC29" s="15"/>
      <c r="GE29" s="15"/>
      <c r="GG29" s="15"/>
      <c r="GI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HN29" s="42"/>
      <c r="HO29" s="43"/>
      <c r="HP29" s="12"/>
      <c r="IO29" s="13"/>
      <c r="IP29" s="13"/>
      <c r="JA29" s="12"/>
      <c r="JH29" s="13"/>
      <c r="JI29" s="43"/>
      <c r="JJ29" s="4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5"/>
      <c r="JW29" s="15"/>
    </row>
    <row r="30" spans="8:283" ht="18" customHeight="1">
      <c r="H30" s="4"/>
      <c r="DW30" s="5"/>
      <c r="EM30" s="42"/>
      <c r="EN30" s="43"/>
      <c r="EO30" s="12"/>
      <c r="FN30" s="13"/>
      <c r="FO30" s="13"/>
      <c r="FY30" s="16"/>
      <c r="FZ30" s="42"/>
      <c r="GA30" s="43"/>
      <c r="GB30" s="41"/>
      <c r="GC30" s="43"/>
      <c r="GD30" s="41"/>
      <c r="GE30" s="43"/>
      <c r="GF30" s="41"/>
      <c r="GG30" s="43"/>
      <c r="GH30" s="41"/>
      <c r="GI30" s="43"/>
      <c r="GJ30" s="41"/>
      <c r="GK30" s="43"/>
      <c r="GL30" s="43"/>
      <c r="GM30" s="123"/>
      <c r="GN30" s="109"/>
      <c r="GO30" s="109"/>
      <c r="GP30" s="109"/>
      <c r="GQ30" s="109"/>
      <c r="GR30" s="124"/>
      <c r="GS30" s="43"/>
      <c r="GT30" s="43"/>
      <c r="GU30" s="43"/>
      <c r="GV30" s="44"/>
      <c r="HN30" s="42"/>
      <c r="HO30" s="43"/>
      <c r="HP30" s="12"/>
      <c r="IO30" s="13"/>
      <c r="IP30" s="13"/>
      <c r="IY30" s="15"/>
      <c r="IZ30" s="15"/>
      <c r="JA30" s="14"/>
      <c r="JB30" s="15"/>
      <c r="JC30" s="15"/>
      <c r="JD30" s="15"/>
      <c r="JE30" s="15"/>
      <c r="JF30" s="15"/>
      <c r="JG30" s="15"/>
      <c r="JH30" s="16"/>
      <c r="JI30" s="42"/>
      <c r="JJ30" s="43"/>
      <c r="JK30" s="41"/>
      <c r="JL30" s="43"/>
      <c r="JM30" s="43"/>
      <c r="JN30" s="123"/>
      <c r="JO30" s="109"/>
      <c r="JP30" s="109"/>
      <c r="JQ30" s="109"/>
      <c r="JR30" s="109"/>
      <c r="JS30" s="124"/>
      <c r="JT30" s="43"/>
      <c r="JU30" s="43"/>
      <c r="JV30" s="43"/>
      <c r="JW30" s="44"/>
    </row>
    <row r="31" spans="8:283" ht="18" customHeight="1">
      <c r="H31" s="4"/>
      <c r="DW31" s="5"/>
      <c r="EM31" s="42"/>
      <c r="EN31" s="43"/>
      <c r="EO31" s="12"/>
      <c r="FN31" s="13"/>
      <c r="FO31" s="13"/>
      <c r="FP31" s="10"/>
      <c r="FQ31" s="10"/>
      <c r="FR31" s="92"/>
      <c r="FS31" s="92"/>
      <c r="FT31" s="92"/>
      <c r="FU31" s="92"/>
      <c r="FV31" s="92"/>
      <c r="FW31" s="10"/>
      <c r="FX31" s="10"/>
      <c r="FY31" s="15"/>
      <c r="FZ31" s="46"/>
      <c r="GA31" s="47"/>
      <c r="GB31" s="43"/>
      <c r="GC31" s="47"/>
      <c r="GD31" s="43"/>
      <c r="GE31" s="47"/>
      <c r="GF31" s="43"/>
      <c r="GG31" s="47"/>
      <c r="GH31" s="43"/>
      <c r="GI31" s="47"/>
      <c r="GJ31" s="43"/>
      <c r="GK31" s="47"/>
      <c r="GL31" s="47"/>
      <c r="GM31" s="123"/>
      <c r="GN31" s="109"/>
      <c r="GO31" s="109"/>
      <c r="GP31" s="109"/>
      <c r="GQ31" s="109"/>
      <c r="GR31" s="124"/>
      <c r="GS31" s="43"/>
      <c r="GT31" s="43"/>
      <c r="GU31" s="43"/>
      <c r="GV31" s="45"/>
      <c r="HN31" s="42"/>
      <c r="HO31" s="43"/>
      <c r="HP31" s="12"/>
      <c r="IO31" s="13"/>
      <c r="IP31" s="13"/>
      <c r="IQ31" s="10"/>
      <c r="IR31" s="92"/>
      <c r="IS31" s="92"/>
      <c r="IT31" s="92"/>
      <c r="IU31" s="92"/>
      <c r="IV31" s="92"/>
      <c r="IW31" s="10"/>
      <c r="IX31" s="10"/>
      <c r="IY31" s="15"/>
      <c r="IZ31" s="15"/>
      <c r="JA31" s="15"/>
      <c r="JB31" s="15"/>
      <c r="JC31" s="15"/>
      <c r="JD31" s="15"/>
      <c r="JE31" s="15"/>
      <c r="JF31" s="15"/>
      <c r="JG31" s="15"/>
      <c r="JH31" s="15"/>
      <c r="JI31" s="46"/>
      <c r="JJ31" s="47"/>
      <c r="JK31" s="43"/>
      <c r="JL31" s="47"/>
      <c r="JM31" s="47"/>
      <c r="JN31" s="123"/>
      <c r="JO31" s="109"/>
      <c r="JP31" s="109"/>
      <c r="JQ31" s="109"/>
      <c r="JR31" s="109"/>
      <c r="JS31" s="124"/>
      <c r="JT31" s="43"/>
      <c r="JU31" s="43"/>
      <c r="JV31" s="43"/>
      <c r="JW31" s="45"/>
    </row>
    <row r="32" spans="8:283" ht="18" customHeight="1">
      <c r="H32" s="4"/>
      <c r="DW32" s="5"/>
      <c r="EM32" s="42"/>
      <c r="EN32" s="43"/>
      <c r="EO32" s="12"/>
      <c r="FN32" s="13"/>
      <c r="FO32" s="13"/>
      <c r="FP32" s="10"/>
      <c r="FQ32" s="10"/>
      <c r="FR32" s="10"/>
      <c r="FS32" s="10"/>
      <c r="FT32" s="10"/>
      <c r="FU32" s="10"/>
      <c r="FV32" s="10"/>
      <c r="FW32" s="10"/>
      <c r="FX32" s="10"/>
      <c r="FY32" t="s">
        <v>45</v>
      </c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1"/>
      <c r="GU32" s="43"/>
      <c r="GV32" s="45"/>
      <c r="HN32" s="42"/>
      <c r="HO32" s="43"/>
      <c r="HP32" s="12"/>
      <c r="IO32" s="13"/>
      <c r="IP32" s="13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1"/>
      <c r="JV32" s="43"/>
      <c r="JW32" s="45"/>
    </row>
    <row r="33" spans="8:283" ht="18" customHeight="1">
      <c r="H33" s="4"/>
      <c r="AL33" s="15"/>
      <c r="AM33" s="15"/>
      <c r="AN33" s="15"/>
      <c r="AO33" s="15"/>
      <c r="AP33" s="15"/>
      <c r="AQ33" s="15"/>
      <c r="AR33" s="15"/>
      <c r="AS33" s="15"/>
      <c r="DW33" s="5"/>
      <c r="EM33" s="42"/>
      <c r="EN33" s="43"/>
      <c r="EO33" s="12"/>
      <c r="FN33" s="13"/>
      <c r="FO33" s="13"/>
      <c r="GT33" s="13"/>
      <c r="GU33" s="43"/>
      <c r="GV33" s="45"/>
      <c r="HN33" s="42"/>
      <c r="HO33" s="43"/>
      <c r="HP33" s="12"/>
      <c r="IO33" s="13"/>
      <c r="IP33" s="13"/>
      <c r="JU33" s="13"/>
      <c r="JV33" s="43"/>
      <c r="JW33" s="45"/>
    </row>
    <row r="34" spans="8:283" ht="18" customHeight="1">
      <c r="H34" s="4"/>
      <c r="S34" s="40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3"/>
      <c r="AM34" s="123"/>
      <c r="AN34" s="109"/>
      <c r="AO34" s="109"/>
      <c r="AP34" s="109"/>
      <c r="AQ34" s="109"/>
      <c r="AR34" s="124"/>
      <c r="AS34" s="43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4"/>
      <c r="DW34" s="5"/>
      <c r="EM34" s="42"/>
      <c r="EN34" s="43"/>
      <c r="EO34" s="12"/>
      <c r="FN34" s="13"/>
      <c r="FO34" s="90"/>
      <c r="GT34" s="13"/>
      <c r="GU34" s="43"/>
      <c r="GV34" s="45"/>
      <c r="HN34" s="42"/>
      <c r="HO34" s="43"/>
      <c r="HP34" s="12"/>
      <c r="IO34" s="13"/>
      <c r="IP34" s="90"/>
      <c r="JU34" s="13"/>
      <c r="JV34" s="43"/>
      <c r="JW34" s="45"/>
    </row>
    <row r="35" spans="8:283" ht="18" customHeight="1">
      <c r="H35" s="4"/>
      <c r="S35" s="42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7"/>
      <c r="AM35" s="123"/>
      <c r="AN35" s="109"/>
      <c r="AO35" s="109"/>
      <c r="AP35" s="109"/>
      <c r="AQ35" s="109"/>
      <c r="AR35" s="124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5"/>
      <c r="DW35" s="5"/>
      <c r="EM35" s="42"/>
      <c r="EN35" s="43"/>
      <c r="EO35" s="12"/>
      <c r="FN35" s="13"/>
      <c r="FO35" s="90"/>
      <c r="GT35" s="13"/>
      <c r="GU35" s="43"/>
      <c r="GV35" s="45"/>
      <c r="HN35" s="42"/>
      <c r="HO35" s="43"/>
      <c r="HP35" s="12"/>
      <c r="IO35" s="13"/>
      <c r="IP35" s="90"/>
      <c r="JU35" s="13"/>
      <c r="JV35" s="43"/>
      <c r="JW35" s="45"/>
    </row>
    <row r="36" spans="8:283" ht="18" customHeight="1">
      <c r="H36" s="4"/>
      <c r="S36" s="42"/>
      <c r="T36" s="43"/>
      <c r="U36" s="9"/>
      <c r="V36" s="10"/>
      <c r="W36" s="10"/>
      <c r="X36" s="10"/>
      <c r="Y36" s="9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1"/>
      <c r="AK36" s="10"/>
      <c r="AL36" s="10"/>
      <c r="AM36" s="10"/>
      <c r="AN36" s="10"/>
      <c r="AO36" s="10"/>
      <c r="AP36" s="10"/>
      <c r="AQ36" s="10"/>
      <c r="AR36" s="10"/>
      <c r="AS36" s="10"/>
      <c r="AT36" s="11"/>
      <c r="AU36" s="10"/>
      <c r="AV36" s="9"/>
      <c r="AW36" s="10"/>
      <c r="AX36" s="10"/>
      <c r="AY36" s="10"/>
      <c r="AZ36" s="11"/>
      <c r="BA36" s="10"/>
      <c r="BB36" s="10"/>
      <c r="BC36" s="10"/>
      <c r="BD36" s="10"/>
      <c r="BE36" s="11"/>
      <c r="BF36" s="9"/>
      <c r="BG36" s="10"/>
      <c r="BH36" s="10"/>
      <c r="BI36" s="10"/>
      <c r="BJ36" s="10"/>
      <c r="BK36" s="10"/>
      <c r="BL36" s="10"/>
      <c r="BM36" s="11"/>
      <c r="BN36" s="43"/>
      <c r="BO36" s="45"/>
      <c r="DW36" s="5"/>
      <c r="EM36" s="42"/>
      <c r="EN36" s="43"/>
      <c r="EO36" s="12"/>
      <c r="FN36" s="13"/>
      <c r="FO36" s="90"/>
      <c r="GT36" s="13"/>
      <c r="GU36" s="43"/>
      <c r="GV36" s="45"/>
      <c r="HN36" s="42"/>
      <c r="HO36" s="43"/>
      <c r="HP36" s="12"/>
      <c r="IO36" s="13"/>
      <c r="IP36" s="90"/>
      <c r="JU36" s="13"/>
      <c r="JV36" s="43"/>
      <c r="JW36" s="45"/>
    </row>
    <row r="37" spans="8:283" ht="18" customHeight="1">
      <c r="H37" s="4"/>
      <c r="S37" s="42"/>
      <c r="T37" s="43"/>
      <c r="U37" s="12"/>
      <c r="Y37" s="12"/>
      <c r="AJ37" s="13"/>
      <c r="AT37" s="13"/>
      <c r="AV37" s="12"/>
      <c r="AZ37" s="13"/>
      <c r="BE37" s="13"/>
      <c r="BF37" s="12"/>
      <c r="BM37" s="13"/>
      <c r="BN37" s="43"/>
      <c r="BO37" s="45"/>
      <c r="DW37" s="5"/>
      <c r="EM37" s="42"/>
      <c r="EN37" s="43"/>
      <c r="EO37" s="12"/>
      <c r="FN37" s="13"/>
      <c r="FO37" s="90"/>
      <c r="GT37" s="13"/>
      <c r="GU37" s="43"/>
      <c r="GV37" s="45"/>
      <c r="HN37" s="42"/>
      <c r="HO37" s="43"/>
      <c r="HP37" s="12"/>
      <c r="IO37" s="13"/>
      <c r="IP37" s="90"/>
      <c r="JU37" s="13"/>
      <c r="JV37" s="43"/>
      <c r="JW37" s="45"/>
    </row>
    <row r="38" spans="8:283" ht="18" customHeight="1">
      <c r="H38" s="4"/>
      <c r="S38" s="42"/>
      <c r="T38" s="43"/>
      <c r="U38" s="12"/>
      <c r="Y38" s="12"/>
      <c r="AJ38" s="13"/>
      <c r="AT38" s="13"/>
      <c r="AV38" s="12"/>
      <c r="AZ38" s="13"/>
      <c r="BE38" s="13"/>
      <c r="BF38" s="12"/>
      <c r="BM38" s="13"/>
      <c r="BN38" s="43"/>
      <c r="BO38" s="45"/>
      <c r="DW38" s="5"/>
      <c r="EM38" s="42"/>
      <c r="EN38" s="43"/>
      <c r="EO38" s="12"/>
      <c r="FN38" s="13"/>
      <c r="FO38" s="90"/>
      <c r="GT38" s="13"/>
      <c r="GU38" s="43"/>
      <c r="GV38" s="45"/>
      <c r="HN38" s="42"/>
      <c r="HO38" s="43"/>
      <c r="HP38" s="12"/>
      <c r="IO38" s="13"/>
      <c r="IP38" s="90"/>
      <c r="JU38" s="13"/>
      <c r="JV38" s="43"/>
      <c r="JW38" s="45"/>
    </row>
    <row r="39" spans="8:283" ht="18" customHeight="1">
      <c r="H39" s="4"/>
      <c r="S39" s="42"/>
      <c r="T39" s="43"/>
      <c r="U39" s="12"/>
      <c r="Y39" s="12"/>
      <c r="AJ39" s="13"/>
      <c r="AT39" s="13"/>
      <c r="AV39" s="12"/>
      <c r="AZ39" s="13"/>
      <c r="BE39" s="13"/>
      <c r="BF39" s="12"/>
      <c r="BM39" s="13"/>
      <c r="BN39" s="43"/>
      <c r="BO39" s="45"/>
      <c r="DW39" s="5"/>
      <c r="EM39" s="42"/>
      <c r="EN39" s="43"/>
      <c r="EO39" s="12"/>
      <c r="FN39" s="13"/>
      <c r="FO39" s="90"/>
      <c r="GT39" s="13"/>
      <c r="GU39" s="43"/>
      <c r="GV39" s="45"/>
      <c r="HN39" s="42"/>
      <c r="HO39" s="43"/>
      <c r="HP39" s="12"/>
      <c r="IO39" s="13"/>
      <c r="IP39" s="90"/>
      <c r="JU39" s="13"/>
      <c r="JV39" s="43"/>
      <c r="JW39" s="45"/>
    </row>
    <row r="40" spans="8:283" ht="18" customHeight="1">
      <c r="H40" s="4"/>
      <c r="S40" s="42"/>
      <c r="T40" s="43"/>
      <c r="U40" s="12"/>
      <c r="Y40" s="12"/>
      <c r="AJ40" s="13"/>
      <c r="AT40" s="13"/>
      <c r="AV40" s="14"/>
      <c r="AW40" s="15"/>
      <c r="AX40" s="15"/>
      <c r="AY40" s="15"/>
      <c r="AZ40" s="16"/>
      <c r="BA40" s="15"/>
      <c r="BB40" s="15"/>
      <c r="BC40" s="15"/>
      <c r="BD40" s="15"/>
      <c r="BE40" s="16"/>
      <c r="BF40" s="12"/>
      <c r="BM40" s="13"/>
      <c r="BN40" s="43"/>
      <c r="BO40" s="45"/>
      <c r="DW40" s="5"/>
      <c r="EM40" s="42"/>
      <c r="EN40" s="43"/>
      <c r="EO40" s="14"/>
      <c r="EP40" s="15"/>
      <c r="EQ40" s="15"/>
      <c r="ER40" s="15"/>
      <c r="ES40" s="15"/>
      <c r="ET40" s="15"/>
      <c r="EU40" s="15"/>
      <c r="EV40" s="15"/>
      <c r="EW40" s="15"/>
      <c r="EX40" s="15"/>
      <c r="EY40" s="15"/>
      <c r="EZ40" s="15"/>
      <c r="FA40" s="15"/>
      <c r="FB40" s="15"/>
      <c r="FC40" s="15"/>
      <c r="FD40" s="15"/>
      <c r="FE40" s="15"/>
      <c r="FF40" s="15"/>
      <c r="FG40" s="15"/>
      <c r="FH40" s="15"/>
      <c r="FI40" s="15"/>
      <c r="FJ40" s="15"/>
      <c r="FK40" s="15"/>
      <c r="FL40" s="15"/>
      <c r="FM40" s="15"/>
      <c r="FN40" s="16"/>
      <c r="FO40" s="13"/>
      <c r="FX40" s="15"/>
      <c r="GT40" s="13"/>
      <c r="GU40" s="43"/>
      <c r="GV40" s="45"/>
      <c r="HN40" s="42"/>
      <c r="HO40" s="43"/>
      <c r="HP40" s="14"/>
      <c r="HQ40" s="15"/>
      <c r="HR40" s="15"/>
      <c r="HS40" s="15"/>
      <c r="HT40" s="15"/>
      <c r="HU40" s="15"/>
      <c r="HV40" s="15"/>
      <c r="HW40" s="15"/>
      <c r="HX40" s="15"/>
      <c r="HY40" s="15"/>
      <c r="HZ40" s="15"/>
      <c r="IA40" s="15"/>
      <c r="IB40" s="15"/>
      <c r="IC40" s="15"/>
      <c r="ID40" s="15"/>
      <c r="IE40" s="15"/>
      <c r="IF40" s="15"/>
      <c r="IG40" s="15"/>
      <c r="IH40" s="15"/>
      <c r="II40" s="15"/>
      <c r="IJ40" s="15"/>
      <c r="IK40" s="15"/>
      <c r="IL40" s="15"/>
      <c r="IM40" s="15"/>
      <c r="IN40" s="15"/>
      <c r="IO40" s="16"/>
      <c r="IP40" s="13"/>
      <c r="JU40" s="13"/>
      <c r="JV40" s="43"/>
      <c r="JW40" s="45"/>
    </row>
    <row r="41" spans="8:283" ht="18" customHeight="1">
      <c r="H41" s="4"/>
      <c r="S41" s="42"/>
      <c r="T41" s="43"/>
      <c r="U41" s="12"/>
      <c r="Y41" s="12"/>
      <c r="AJ41" s="13"/>
      <c r="AT41" s="13"/>
      <c r="AV41" s="12"/>
      <c r="BF41" s="12"/>
      <c r="BM41" s="13"/>
      <c r="BN41" s="43"/>
      <c r="BO41" s="45"/>
      <c r="DW41" s="5"/>
      <c r="EM41" s="42"/>
      <c r="EN41" s="43"/>
      <c r="EO41" s="14"/>
      <c r="EP41" s="100"/>
      <c r="EQ41" s="100"/>
      <c r="ER41" s="100"/>
      <c r="ES41" s="100"/>
      <c r="ET41" s="100"/>
      <c r="EU41" s="15"/>
      <c r="EV41" s="15"/>
      <c r="EW41" s="15"/>
      <c r="EX41" s="15"/>
      <c r="EY41" s="15"/>
      <c r="EZ41" s="15"/>
      <c r="FA41" s="15"/>
      <c r="FB41" s="15"/>
      <c r="FC41" s="15"/>
      <c r="FD41" s="15"/>
      <c r="FE41" s="15"/>
      <c r="FF41" s="15"/>
      <c r="FG41" s="15"/>
      <c r="FH41" s="15"/>
      <c r="FI41" s="15"/>
      <c r="FJ41" s="15"/>
      <c r="FK41" s="15"/>
      <c r="FL41" s="15"/>
      <c r="FM41" s="15"/>
      <c r="FN41" s="15"/>
      <c r="FO41" s="16"/>
      <c r="FP41" s="207"/>
      <c r="FQ41" s="207"/>
      <c r="FR41" s="207"/>
      <c r="FS41" s="207"/>
      <c r="FT41" s="207"/>
      <c r="FU41" s="207"/>
      <c r="FV41" s="207"/>
      <c r="FW41" s="207"/>
      <c r="FX41" s="209"/>
      <c r="GT41" s="13"/>
      <c r="GU41" s="43"/>
      <c r="GV41" s="45"/>
      <c r="HN41" s="42"/>
      <c r="HO41" s="43"/>
      <c r="HP41" s="14"/>
      <c r="HQ41" s="100"/>
      <c r="HR41" s="100"/>
      <c r="HS41" s="100"/>
      <c r="HT41" s="100"/>
      <c r="HU41" s="100"/>
      <c r="HV41" s="15"/>
      <c r="HW41" s="15"/>
      <c r="HX41" s="15"/>
      <c r="HY41" s="15"/>
      <c r="HZ41" s="15"/>
      <c r="IA41" s="15"/>
      <c r="IB41" s="15"/>
      <c r="IC41" s="15"/>
      <c r="ID41" s="15"/>
      <c r="IE41" s="15"/>
      <c r="IF41" s="15"/>
      <c r="IG41" s="15"/>
      <c r="IH41" s="15"/>
      <c r="II41" s="15"/>
      <c r="IJ41" s="15"/>
      <c r="IK41" s="15"/>
      <c r="IL41" s="15"/>
      <c r="IM41" s="15"/>
      <c r="IN41" s="15"/>
      <c r="IO41" s="15"/>
      <c r="IP41" s="16"/>
      <c r="JU41" s="13"/>
      <c r="JV41" s="43"/>
      <c r="JW41" s="45"/>
    </row>
    <row r="42" spans="8:283" ht="18" customHeight="1">
      <c r="H42" s="4"/>
      <c r="S42" s="42"/>
      <c r="T42" s="43"/>
      <c r="U42" s="12"/>
      <c r="Y42" s="12"/>
      <c r="AJ42" s="13"/>
      <c r="AT42" s="13"/>
      <c r="AV42" s="12"/>
      <c r="BF42" s="12"/>
      <c r="BM42" s="13"/>
      <c r="BN42" s="43"/>
      <c r="BO42" s="45"/>
      <c r="DW42" s="5"/>
      <c r="EM42" s="42"/>
      <c r="EN42" s="43"/>
      <c r="EO42" s="12"/>
      <c r="EY42" s="9"/>
      <c r="EZ42" s="10"/>
      <c r="FA42" s="10"/>
      <c r="FB42" s="10"/>
      <c r="FC42" s="10"/>
      <c r="FD42" s="10"/>
      <c r="FE42" s="10"/>
      <c r="FF42" s="11"/>
      <c r="FH42" s="12"/>
      <c r="FW42" s="13"/>
      <c r="FX42" s="49"/>
      <c r="FY42" s="12"/>
      <c r="GT42" s="13"/>
      <c r="GU42" s="43"/>
      <c r="GV42" s="45"/>
      <c r="HN42" s="42"/>
      <c r="HO42" s="43"/>
      <c r="HP42" s="12"/>
      <c r="HZ42" s="9"/>
      <c r="IA42" s="10"/>
      <c r="IB42" s="10"/>
      <c r="IC42" s="10"/>
      <c r="ID42" s="10"/>
      <c r="IE42" s="10"/>
      <c r="IF42" s="10"/>
      <c r="IG42" s="11"/>
      <c r="II42" s="12"/>
      <c r="IM42" s="12"/>
      <c r="IY42" s="204"/>
      <c r="JU42" s="13"/>
      <c r="JV42" s="43"/>
      <c r="JW42" s="45"/>
    </row>
    <row r="43" spans="8:283" ht="18" customHeight="1">
      <c r="H43" s="4"/>
      <c r="S43" s="42"/>
      <c r="T43" s="43"/>
      <c r="U43" s="12"/>
      <c r="Y43" s="12"/>
      <c r="AJ43" s="13"/>
      <c r="AT43" s="13"/>
      <c r="AV43" s="12"/>
      <c r="BF43" s="12"/>
      <c r="BM43" s="13"/>
      <c r="BN43" s="43"/>
      <c r="BO43" s="45"/>
      <c r="DW43" s="5"/>
      <c r="EM43" s="42"/>
      <c r="EN43" s="43"/>
      <c r="EO43" s="12"/>
      <c r="EY43" s="12"/>
      <c r="FF43" s="13"/>
      <c r="FH43" s="9"/>
      <c r="FI43" s="11"/>
      <c r="FW43" s="13"/>
      <c r="FX43" s="208"/>
      <c r="GT43" s="13"/>
      <c r="GU43" s="43"/>
      <c r="GV43" s="45"/>
      <c r="HN43" s="42"/>
      <c r="HO43" s="43"/>
      <c r="HP43" s="12"/>
      <c r="HZ43" s="12"/>
      <c r="IG43" s="13"/>
      <c r="II43" s="12"/>
      <c r="IM43" s="12"/>
      <c r="IY43" s="205"/>
      <c r="JU43" s="13"/>
      <c r="JV43" s="43"/>
      <c r="JW43" s="45"/>
    </row>
    <row r="44" spans="8:283" ht="18" customHeight="1">
      <c r="H44" s="4"/>
      <c r="S44" s="42"/>
      <c r="T44" s="43"/>
      <c r="U44" s="12"/>
      <c r="Y44" s="12"/>
      <c r="AJ44" s="13"/>
      <c r="AT44" s="13"/>
      <c r="AV44" s="12"/>
      <c r="BF44" s="12"/>
      <c r="BM44" s="13"/>
      <c r="BN44" s="43"/>
      <c r="BO44" s="4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DW44" s="5"/>
      <c r="EM44" s="42"/>
      <c r="EN44" s="43"/>
      <c r="EO44" s="12"/>
      <c r="EY44" s="12"/>
      <c r="FF44" s="13"/>
      <c r="FH44" s="12"/>
      <c r="FI44" s="13"/>
      <c r="FW44" s="13"/>
      <c r="FX44" s="208"/>
      <c r="FY44" s="9"/>
      <c r="FZ44" s="10"/>
      <c r="GA44" s="10"/>
      <c r="GB44" s="10"/>
      <c r="GC44" s="10"/>
      <c r="GD44" s="11"/>
      <c r="GT44" s="13"/>
      <c r="GU44" s="43"/>
      <c r="GV44" s="45"/>
      <c r="HN44" s="42"/>
      <c r="HO44" s="43"/>
      <c r="HP44" s="12"/>
      <c r="HZ44" s="12"/>
      <c r="IG44" s="13"/>
      <c r="II44" s="12"/>
      <c r="IM44" s="12"/>
      <c r="IY44" s="205"/>
      <c r="IZ44" s="10"/>
      <c r="JA44" s="10"/>
      <c r="JB44" s="10"/>
      <c r="JC44" s="10"/>
      <c r="JD44" s="10"/>
      <c r="JE44" s="11"/>
      <c r="JU44" s="13"/>
      <c r="JV44" s="43"/>
      <c r="JW44" s="45"/>
    </row>
    <row r="45" spans="8:283" ht="18" customHeight="1">
      <c r="H45" s="4"/>
      <c r="S45" s="42"/>
      <c r="T45" s="43"/>
      <c r="U45" s="12"/>
      <c r="Y45" s="12"/>
      <c r="AJ45" s="13"/>
      <c r="AT45" s="13"/>
      <c r="AV45" s="14"/>
      <c r="AW45" s="15"/>
      <c r="AX45" s="15"/>
      <c r="AY45" s="15"/>
      <c r="AZ45" s="15"/>
      <c r="BA45" s="15"/>
      <c r="BB45" s="15"/>
      <c r="BC45" s="15"/>
      <c r="BD45" s="15"/>
      <c r="BE45" s="15"/>
      <c r="BF45" s="14"/>
      <c r="BG45" s="15"/>
      <c r="BH45" s="15"/>
      <c r="BI45" s="15"/>
      <c r="BJ45" s="15"/>
      <c r="BK45" s="15"/>
      <c r="BL45" s="15"/>
      <c r="BM45" s="16"/>
      <c r="BN45" s="42"/>
      <c r="BO45" s="43"/>
      <c r="BP45" s="41"/>
      <c r="BQ45" s="43"/>
      <c r="BR45" s="43"/>
      <c r="BS45" s="123"/>
      <c r="BT45" s="109"/>
      <c r="BU45" s="109"/>
      <c r="BV45" s="109"/>
      <c r="BW45" s="109"/>
      <c r="BX45" s="124"/>
      <c r="BY45" s="43"/>
      <c r="BZ45" s="43"/>
      <c r="CA45" s="43"/>
      <c r="CB45" s="44"/>
      <c r="DW45" s="5"/>
      <c r="EM45" s="42"/>
      <c r="EN45" s="43"/>
      <c r="EO45" s="12"/>
      <c r="EY45" s="12"/>
      <c r="FF45" s="13"/>
      <c r="FH45" s="12"/>
      <c r="FI45" s="13"/>
      <c r="FW45" s="13"/>
      <c r="FX45" s="208"/>
      <c r="FY45" s="12"/>
      <c r="GD45" s="13"/>
      <c r="GT45" s="13"/>
      <c r="GU45" s="43"/>
      <c r="GV45" s="45"/>
      <c r="HN45" s="42"/>
      <c r="HO45" s="43"/>
      <c r="HP45" s="12"/>
      <c r="HZ45" s="12"/>
      <c r="IG45" s="13"/>
      <c r="II45" s="12"/>
      <c r="IJ45" s="32"/>
      <c r="IK45" s="32"/>
      <c r="IM45" s="12"/>
      <c r="IY45" s="205"/>
      <c r="JE45" s="13"/>
      <c r="JU45" s="13"/>
      <c r="JV45" s="43"/>
      <c r="JW45" s="45"/>
    </row>
    <row r="46" spans="8:283" ht="18" customHeight="1">
      <c r="H46" s="4"/>
      <c r="S46" s="42"/>
      <c r="T46" s="43"/>
      <c r="U46" s="12"/>
      <c r="Y46" s="12"/>
      <c r="AJ46" s="13"/>
      <c r="AT46" s="13"/>
      <c r="AX46" s="127"/>
      <c r="AY46" s="127"/>
      <c r="AZ46" s="127"/>
      <c r="BA46" s="127"/>
      <c r="BB46" s="127"/>
      <c r="BE46" s="15"/>
      <c r="BF46" s="15"/>
      <c r="BG46" s="15"/>
      <c r="BH46" s="15"/>
      <c r="BI46" s="15"/>
      <c r="BJ46" s="15"/>
      <c r="BK46" s="15"/>
      <c r="BL46" s="15"/>
      <c r="BM46" s="15"/>
      <c r="BN46" s="46"/>
      <c r="BO46" s="47"/>
      <c r="BP46" s="43"/>
      <c r="BQ46" s="47"/>
      <c r="BR46" s="47"/>
      <c r="BS46" s="123"/>
      <c r="BT46" s="109"/>
      <c r="BU46" s="109"/>
      <c r="BV46" s="109"/>
      <c r="BW46" s="109"/>
      <c r="BX46" s="124"/>
      <c r="BY46" s="43"/>
      <c r="BZ46" s="43"/>
      <c r="CA46" s="43"/>
      <c r="CB46" s="45"/>
      <c r="DW46" s="5"/>
      <c r="EM46" s="42"/>
      <c r="EN46" s="43"/>
      <c r="EO46" s="12"/>
      <c r="EY46" s="12"/>
      <c r="FF46" s="13"/>
      <c r="FH46" s="12"/>
      <c r="FI46" s="13"/>
      <c r="FL46" s="9"/>
      <c r="FM46" s="10"/>
      <c r="FN46" s="10"/>
      <c r="FO46" s="10"/>
      <c r="FP46" s="10"/>
      <c r="FQ46" s="10"/>
      <c r="FR46" s="10"/>
      <c r="FS46" s="11"/>
      <c r="FW46" s="13"/>
      <c r="FX46" s="208"/>
      <c r="FY46" s="12"/>
      <c r="GD46" s="13"/>
      <c r="GT46" s="13"/>
      <c r="GU46" s="43"/>
      <c r="GV46" s="45"/>
      <c r="HN46" s="42"/>
      <c r="HO46" s="43"/>
      <c r="HP46" s="12"/>
      <c r="HZ46" s="12"/>
      <c r="IG46" s="13"/>
      <c r="II46" s="12"/>
      <c r="IJ46" s="32"/>
      <c r="IK46" s="32"/>
      <c r="IM46" s="12"/>
      <c r="IY46" s="205"/>
      <c r="JE46" s="13"/>
      <c r="JU46" s="13"/>
      <c r="JV46" s="43"/>
      <c r="JW46" s="45"/>
    </row>
    <row r="47" spans="8:283" ht="18" customHeight="1">
      <c r="H47" s="4"/>
      <c r="S47" s="42"/>
      <c r="T47" s="43"/>
      <c r="U47" s="12"/>
      <c r="Y47" s="14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6"/>
      <c r="AT47" s="13"/>
      <c r="AU47" s="52"/>
      <c r="AV47" s="52"/>
      <c r="AW47" s="52"/>
      <c r="AX47" s="52"/>
      <c r="AY47" s="52"/>
      <c r="AZ47" s="52"/>
      <c r="BA47" s="52"/>
      <c r="BB47" s="52"/>
      <c r="BC47" s="52"/>
      <c r="BD47" s="17"/>
      <c r="BE47" t="s">
        <v>45</v>
      </c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1"/>
      <c r="CA47" s="43"/>
      <c r="CB47" s="45"/>
      <c r="DW47" s="5"/>
      <c r="EM47" s="42"/>
      <c r="EN47" s="43"/>
      <c r="EO47" s="9"/>
      <c r="EP47" s="10"/>
      <c r="EQ47" s="10"/>
      <c r="ER47" s="10"/>
      <c r="ES47" s="10"/>
      <c r="ET47" s="9"/>
      <c r="EU47" s="10"/>
      <c r="EV47" s="10"/>
      <c r="EW47" s="10"/>
      <c r="EX47" s="11"/>
      <c r="EY47" s="12"/>
      <c r="FF47" s="13"/>
      <c r="FH47" s="12"/>
      <c r="FI47" s="13"/>
      <c r="FL47" s="12"/>
      <c r="FS47" s="13"/>
      <c r="FW47" s="13"/>
      <c r="FX47" s="208"/>
      <c r="FY47" s="12"/>
      <c r="GD47" s="13"/>
      <c r="GT47" s="13"/>
      <c r="GU47" s="43"/>
      <c r="GV47" s="45"/>
      <c r="HN47" s="42"/>
      <c r="HO47" s="43"/>
      <c r="HP47" s="9"/>
      <c r="HQ47" s="10"/>
      <c r="HR47" s="10"/>
      <c r="HS47" s="10"/>
      <c r="HT47" s="10"/>
      <c r="HU47" s="9"/>
      <c r="HV47" s="10"/>
      <c r="HW47" s="10"/>
      <c r="HX47" s="10"/>
      <c r="HY47" s="11"/>
      <c r="HZ47" s="12"/>
      <c r="IG47" s="13"/>
      <c r="II47" s="12"/>
      <c r="IM47" s="12"/>
      <c r="IY47" s="205"/>
      <c r="JE47" s="13"/>
      <c r="JU47" s="13"/>
      <c r="JV47" s="43"/>
      <c r="JW47" s="45"/>
    </row>
    <row r="48" spans="8:283" ht="18" customHeight="1">
      <c r="H48" s="4"/>
      <c r="S48" s="42"/>
      <c r="T48" s="43"/>
      <c r="U48" s="12"/>
      <c r="AT48" s="13"/>
      <c r="AU48" s="51"/>
      <c r="AV48" s="51"/>
      <c r="AW48" s="51"/>
      <c r="AX48" s="51"/>
      <c r="AY48" s="51"/>
      <c r="AZ48" s="51"/>
      <c r="BA48" s="51"/>
      <c r="BB48" s="51"/>
      <c r="BC48" s="51"/>
      <c r="BD48" s="18"/>
      <c r="BZ48" s="13"/>
      <c r="CA48" s="43"/>
      <c r="CB48" s="45"/>
      <c r="DW48" s="5"/>
      <c r="EM48" s="42"/>
      <c r="EN48" s="43"/>
      <c r="EO48" s="12"/>
      <c r="ET48" s="12"/>
      <c r="EX48" s="13"/>
      <c r="EY48" s="12"/>
      <c r="FF48" s="13"/>
      <c r="FH48" s="14"/>
      <c r="FI48" s="35"/>
      <c r="FJ48" s="32"/>
      <c r="FL48" s="12"/>
      <c r="FS48" s="13"/>
      <c r="FW48" s="13"/>
      <c r="FX48" s="208"/>
      <c r="FY48" s="12"/>
      <c r="GD48" s="13"/>
      <c r="GT48" s="13"/>
      <c r="GU48" s="43"/>
      <c r="GV48" s="45"/>
      <c r="HN48" s="42"/>
      <c r="HO48" s="43"/>
      <c r="HP48" s="12"/>
      <c r="HU48" s="12"/>
      <c r="HY48" s="13"/>
      <c r="HZ48" s="12"/>
      <c r="IG48" s="13"/>
      <c r="II48" s="12"/>
      <c r="IM48" s="12"/>
      <c r="IY48" s="205"/>
      <c r="JE48" s="13"/>
      <c r="JU48" s="13"/>
      <c r="JV48" s="43"/>
      <c r="JW48" s="45"/>
    </row>
    <row r="49" spans="8:285" ht="18" customHeight="1">
      <c r="H49" s="4"/>
      <c r="S49" s="125"/>
      <c r="T49" s="125"/>
      <c r="U49" s="12"/>
      <c r="AT49" s="13"/>
      <c r="AU49" s="51"/>
      <c r="AV49" s="51"/>
      <c r="AW49" s="51"/>
      <c r="AX49" s="51"/>
      <c r="AY49" s="51"/>
      <c r="AZ49" s="51"/>
      <c r="BA49" s="51"/>
      <c r="BB49" s="51"/>
      <c r="BC49" s="51"/>
      <c r="BD49" s="18"/>
      <c r="BZ49" s="13"/>
      <c r="CA49" s="43"/>
      <c r="CB49" s="45"/>
      <c r="DW49" s="5"/>
      <c r="EM49" s="42"/>
      <c r="EN49" s="43"/>
      <c r="EO49" s="12"/>
      <c r="ET49" s="12"/>
      <c r="EX49" s="13"/>
      <c r="EY49" s="12"/>
      <c r="FF49" s="13"/>
      <c r="FH49" s="12"/>
      <c r="FI49" s="32"/>
      <c r="FJ49" s="32"/>
      <c r="FL49" s="12"/>
      <c r="FS49" s="13"/>
      <c r="FW49" s="13"/>
      <c r="FX49" s="208"/>
      <c r="FY49" s="12"/>
      <c r="GD49" s="13"/>
      <c r="GT49" s="13"/>
      <c r="GU49" s="43"/>
      <c r="GV49" s="45"/>
      <c r="HN49" s="42"/>
      <c r="HO49" s="43"/>
      <c r="HP49" s="12"/>
      <c r="HU49" s="12"/>
      <c r="HY49" s="13"/>
      <c r="HZ49" s="12"/>
      <c r="IG49" s="13"/>
      <c r="II49" s="9"/>
      <c r="IJ49" s="11"/>
      <c r="IM49" s="12"/>
      <c r="IU49" s="15"/>
      <c r="IV49" s="15"/>
      <c r="IW49" s="15"/>
      <c r="IX49" s="15"/>
      <c r="IY49" s="205"/>
      <c r="JE49" s="13"/>
      <c r="JU49" s="13"/>
      <c r="JV49" s="43"/>
      <c r="JW49" s="45"/>
    </row>
    <row r="50" spans="8:285" ht="18" customHeight="1">
      <c r="H50" s="4"/>
      <c r="S50" s="108"/>
      <c r="T50" s="108"/>
      <c r="U50" s="12"/>
      <c r="AT50" s="13"/>
      <c r="AU50" s="51"/>
      <c r="AV50" s="51"/>
      <c r="AW50" s="51"/>
      <c r="AX50" s="51"/>
      <c r="AY50" s="51"/>
      <c r="AZ50" s="51"/>
      <c r="BA50" s="51"/>
      <c r="BB50" s="51"/>
      <c r="BC50" s="51"/>
      <c r="BD50" s="18"/>
      <c r="BZ50" s="13"/>
      <c r="CA50" s="43"/>
      <c r="CB50" s="45"/>
      <c r="DW50" s="5"/>
      <c r="EM50" s="42"/>
      <c r="EN50" s="43"/>
      <c r="EO50" s="12"/>
      <c r="ET50" s="12"/>
      <c r="EX50" s="13"/>
      <c r="EY50" s="12"/>
      <c r="FF50" s="13"/>
      <c r="FH50" s="9"/>
      <c r="FI50" s="11"/>
      <c r="FL50" s="12"/>
      <c r="FS50" s="13"/>
      <c r="FW50" s="13"/>
      <c r="FX50" s="208"/>
      <c r="FY50" s="12"/>
      <c r="GD50" s="13"/>
      <c r="GT50" s="13"/>
      <c r="GU50" s="43"/>
      <c r="GV50" s="45"/>
      <c r="HN50" s="42"/>
      <c r="HO50" s="43"/>
      <c r="HP50" s="12"/>
      <c r="HU50" s="12"/>
      <c r="HY50" s="13"/>
      <c r="HZ50" s="12"/>
      <c r="IG50" s="13"/>
      <c r="II50" s="12"/>
      <c r="IJ50" s="13"/>
      <c r="IM50" s="12"/>
      <c r="IT50" s="13"/>
      <c r="IY50" s="205"/>
      <c r="JE50" s="13"/>
      <c r="JU50" s="13"/>
      <c r="JV50" s="43"/>
      <c r="JW50" s="45"/>
    </row>
    <row r="51" spans="8:285" ht="18" customHeight="1">
      <c r="H51" s="4"/>
      <c r="S51" s="108"/>
      <c r="T51" s="108"/>
      <c r="U51" s="12"/>
      <c r="AT51" s="13"/>
      <c r="AU51" s="51"/>
      <c r="AV51" s="51"/>
      <c r="AW51" s="51"/>
      <c r="AX51" s="51"/>
      <c r="AY51" s="51"/>
      <c r="AZ51" s="51"/>
      <c r="BA51" s="51"/>
      <c r="BB51" s="51"/>
      <c r="BC51" s="51"/>
      <c r="BD51" s="18"/>
      <c r="BW51" s="9"/>
      <c r="BX51" s="10"/>
      <c r="BY51" s="10"/>
      <c r="BZ51" s="11"/>
      <c r="CA51" s="43"/>
      <c r="CB51" s="45"/>
      <c r="DW51" s="5"/>
      <c r="EM51" s="42"/>
      <c r="EN51" s="43"/>
      <c r="EO51" s="14"/>
      <c r="EP51" s="15"/>
      <c r="EQ51" s="15"/>
      <c r="ER51" s="15"/>
      <c r="ES51" s="15"/>
      <c r="ET51" s="14"/>
      <c r="EU51" s="15"/>
      <c r="EV51" s="15"/>
      <c r="EW51" s="15"/>
      <c r="EX51" s="16"/>
      <c r="EY51" s="14"/>
      <c r="EZ51" s="15"/>
      <c r="FA51" s="15"/>
      <c r="FB51" s="15"/>
      <c r="FC51" s="15"/>
      <c r="FD51" s="15"/>
      <c r="FE51" s="15"/>
      <c r="FF51" s="16"/>
      <c r="FG51" s="15"/>
      <c r="FH51" s="12"/>
      <c r="FI51" s="13"/>
      <c r="FL51" s="12"/>
      <c r="FS51" s="13"/>
      <c r="FW51" s="13"/>
      <c r="FX51" s="208"/>
      <c r="FY51" s="12"/>
      <c r="GD51" s="13"/>
      <c r="GT51" s="13"/>
      <c r="GU51" s="43"/>
      <c r="GV51" s="45"/>
      <c r="GW51" s="146"/>
      <c r="GX51" s="147"/>
      <c r="HN51" s="42"/>
      <c r="HO51" s="43"/>
      <c r="HP51" s="14"/>
      <c r="HQ51" s="15"/>
      <c r="HR51" s="15"/>
      <c r="HS51" s="15"/>
      <c r="HT51" s="15"/>
      <c r="HU51" s="14"/>
      <c r="HV51" s="15"/>
      <c r="HW51" s="15"/>
      <c r="HX51" s="15"/>
      <c r="HY51" s="16"/>
      <c r="HZ51" s="14"/>
      <c r="IA51" s="15"/>
      <c r="IB51" s="15"/>
      <c r="IC51" s="15"/>
      <c r="ID51" s="15"/>
      <c r="IE51" s="15"/>
      <c r="IF51" s="15"/>
      <c r="IG51" s="16"/>
      <c r="IH51" s="15"/>
      <c r="II51" s="12"/>
      <c r="IJ51" s="13"/>
      <c r="IM51" s="12"/>
      <c r="IT51" s="13"/>
      <c r="IY51" s="205"/>
      <c r="JE51" s="13"/>
      <c r="JU51" s="13"/>
      <c r="JV51" s="43"/>
      <c r="JW51" s="45"/>
      <c r="JX51" s="146"/>
      <c r="JY51" s="147"/>
    </row>
    <row r="52" spans="8:285" ht="18" customHeight="1">
      <c r="H52" s="4"/>
      <c r="S52" s="108"/>
      <c r="T52" s="108"/>
      <c r="U52" s="12"/>
      <c r="AT52" s="13"/>
      <c r="AU52" s="51"/>
      <c r="AV52" s="51"/>
      <c r="AW52" s="51"/>
      <c r="AX52" s="51"/>
      <c r="AY52" s="51"/>
      <c r="AZ52" s="51"/>
      <c r="BA52" s="51"/>
      <c r="BB52" s="51"/>
      <c r="BC52" s="51"/>
      <c r="BD52" s="18"/>
      <c r="BW52" s="12"/>
      <c r="BZ52" s="13"/>
      <c r="CA52" s="43"/>
      <c r="CB52" s="45"/>
      <c r="DW52" s="5"/>
      <c r="EM52" s="42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1"/>
      <c r="FB52" s="41"/>
      <c r="FC52" s="41"/>
      <c r="FD52" s="41"/>
      <c r="FE52" s="41"/>
      <c r="FF52" s="41"/>
      <c r="FG52" s="41"/>
      <c r="FH52" s="12"/>
      <c r="FI52" s="13"/>
      <c r="FL52" s="12"/>
      <c r="FS52" s="13"/>
      <c r="FW52" s="13"/>
      <c r="FX52" s="208"/>
      <c r="FY52" s="12"/>
      <c r="GD52" s="13"/>
      <c r="GT52" s="13"/>
      <c r="GU52" s="43"/>
      <c r="GV52" s="45"/>
      <c r="GW52" s="149"/>
      <c r="GX52" s="150"/>
      <c r="HN52" s="42"/>
      <c r="HO52" s="43"/>
      <c r="HP52" s="43"/>
      <c r="HQ52" s="43"/>
      <c r="HR52" s="43"/>
      <c r="HS52" s="43"/>
      <c r="HT52" s="43"/>
      <c r="HU52" s="43"/>
      <c r="HV52" s="43"/>
      <c r="HW52" s="43"/>
      <c r="HX52" s="43"/>
      <c r="HY52" s="43"/>
      <c r="HZ52" s="43"/>
      <c r="IA52" s="43"/>
      <c r="IB52" s="41"/>
      <c r="IC52" s="41"/>
      <c r="ID52" s="41"/>
      <c r="IE52" s="41"/>
      <c r="IF52" s="41"/>
      <c r="IG52" s="41"/>
      <c r="IH52" s="41"/>
      <c r="II52" s="12"/>
      <c r="IJ52" s="13"/>
      <c r="IM52" s="12"/>
      <c r="IT52" s="13"/>
      <c r="IY52" s="205"/>
      <c r="JE52" s="13"/>
      <c r="JU52" s="13"/>
      <c r="JV52" s="43"/>
      <c r="JW52" s="45"/>
      <c r="JX52" s="149"/>
      <c r="JY52" s="150"/>
    </row>
    <row r="53" spans="8:285" ht="18" customHeight="1">
      <c r="H53" s="4"/>
      <c r="S53" s="108"/>
      <c r="T53" s="108"/>
      <c r="U53" s="12"/>
      <c r="AB53" s="9"/>
      <c r="AC53" s="10"/>
      <c r="AD53" s="10"/>
      <c r="AE53" s="10"/>
      <c r="AF53" s="10"/>
      <c r="AG53" s="10"/>
      <c r="AH53" s="10"/>
      <c r="AI53" s="10"/>
      <c r="AJ53" s="10"/>
      <c r="AK53" s="11"/>
      <c r="AT53" s="13"/>
      <c r="AU53" s="51"/>
      <c r="AV53" s="51"/>
      <c r="AW53" s="51"/>
      <c r="AX53" s="51"/>
      <c r="AY53" s="51"/>
      <c r="AZ53" s="51"/>
      <c r="BA53" s="51"/>
      <c r="BB53" s="51"/>
      <c r="BC53" s="51"/>
      <c r="BD53" s="18"/>
      <c r="BQ53" s="9"/>
      <c r="BR53" s="10"/>
      <c r="BS53" s="10"/>
      <c r="BT53" s="11"/>
      <c r="BW53" s="12"/>
      <c r="BZ53" s="13"/>
      <c r="CA53" s="43"/>
      <c r="CB53" s="45"/>
      <c r="DW53" s="5"/>
      <c r="EM53" s="46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3"/>
      <c r="EY53" s="47"/>
      <c r="EZ53" s="43"/>
      <c r="FA53" s="43"/>
      <c r="FB53" s="43"/>
      <c r="FC53" s="43"/>
      <c r="FD53" s="43"/>
      <c r="FE53" s="43"/>
      <c r="FF53" s="43"/>
      <c r="FG53" s="43"/>
      <c r="FH53" s="12"/>
      <c r="FI53" s="13"/>
      <c r="FL53" s="12"/>
      <c r="FS53" s="13"/>
      <c r="FW53" s="13"/>
      <c r="FX53" s="208"/>
      <c r="FY53" s="12"/>
      <c r="GD53" s="13"/>
      <c r="GT53" s="13"/>
      <c r="GU53" s="43"/>
      <c r="GV53" s="45"/>
      <c r="GW53" s="184"/>
      <c r="GX53" s="185"/>
      <c r="HN53" s="46"/>
      <c r="HO53" s="47"/>
      <c r="HP53" s="47"/>
      <c r="HQ53" s="47"/>
      <c r="HR53" s="47"/>
      <c r="HS53" s="47"/>
      <c r="HT53" s="47"/>
      <c r="HU53" s="47"/>
      <c r="HV53" s="47"/>
      <c r="HW53" s="47"/>
      <c r="HX53" s="47"/>
      <c r="HY53" s="43"/>
      <c r="HZ53" s="47"/>
      <c r="IA53" s="43"/>
      <c r="IB53" s="43"/>
      <c r="IC53" s="43"/>
      <c r="ID53" s="43"/>
      <c r="IE53" s="43"/>
      <c r="IF53" s="43"/>
      <c r="IG53" s="43"/>
      <c r="IH53" s="43"/>
      <c r="II53" s="12"/>
      <c r="IJ53" s="13"/>
      <c r="IM53" s="12"/>
      <c r="IT53" s="13"/>
      <c r="IY53" s="205"/>
      <c r="JE53" s="13"/>
      <c r="JU53" s="13"/>
      <c r="JV53" s="43"/>
      <c r="JW53" s="45"/>
      <c r="JX53" s="184"/>
      <c r="JY53" s="185"/>
    </row>
    <row r="54" spans="8:285" ht="18" customHeight="1">
      <c r="H54" s="4"/>
      <c r="S54" s="126"/>
      <c r="T54" s="126"/>
      <c r="U54" s="12"/>
      <c r="AB54" s="12"/>
      <c r="AK54" s="13"/>
      <c r="AT54" s="13"/>
      <c r="AU54" s="51"/>
      <c r="AV54" s="51"/>
      <c r="AW54" s="51"/>
      <c r="AX54" s="51"/>
      <c r="AY54" s="51"/>
      <c r="AZ54" s="51"/>
      <c r="BA54" s="51"/>
      <c r="BB54" s="51"/>
      <c r="BC54" s="51"/>
      <c r="BD54" s="18"/>
      <c r="BQ54" s="12"/>
      <c r="BT54" s="13"/>
      <c r="BW54" s="12"/>
      <c r="BZ54" s="13"/>
      <c r="CA54" s="43"/>
      <c r="CB54" s="45"/>
      <c r="DW54" s="5"/>
      <c r="EV54" s="10"/>
      <c r="EW54" s="10"/>
      <c r="EX54" s="10"/>
      <c r="EY54" s="10"/>
      <c r="EZ54" s="10"/>
      <c r="FA54" s="10"/>
      <c r="FB54" s="10"/>
      <c r="FC54" s="10"/>
      <c r="FD54" s="10"/>
      <c r="FE54" s="11"/>
      <c r="FF54" s="42"/>
      <c r="FG54" s="43"/>
      <c r="FH54" s="12"/>
      <c r="FI54" s="13"/>
      <c r="FL54" s="12"/>
      <c r="FS54" s="13"/>
      <c r="FW54" s="13"/>
      <c r="FX54" s="208"/>
      <c r="FY54" s="12"/>
      <c r="GD54" s="13"/>
      <c r="GT54" s="13"/>
      <c r="GU54" s="43"/>
      <c r="GV54" s="45"/>
      <c r="GW54" s="170"/>
      <c r="GX54" s="171"/>
      <c r="HW54" s="10"/>
      <c r="HX54" s="10"/>
      <c r="HY54" s="10"/>
      <c r="HZ54" s="10"/>
      <c r="IA54" s="10"/>
      <c r="IB54" s="10"/>
      <c r="IC54" s="10"/>
      <c r="ID54" s="10"/>
      <c r="IE54" s="10"/>
      <c r="IF54" s="11"/>
      <c r="IG54" s="42"/>
      <c r="IH54" s="43"/>
      <c r="II54" s="14"/>
      <c r="IJ54" s="16"/>
      <c r="IM54" s="12"/>
      <c r="IT54" s="13"/>
      <c r="IY54" s="205"/>
      <c r="JE54" s="13"/>
      <c r="JU54" s="13"/>
      <c r="JV54" s="43"/>
      <c r="JW54" s="45"/>
      <c r="JX54" s="170"/>
      <c r="JY54" s="171"/>
    </row>
    <row r="55" spans="8:285" ht="18" customHeight="1">
      <c r="H55" s="4"/>
      <c r="S55" s="42"/>
      <c r="T55" s="43"/>
      <c r="U55" s="14"/>
      <c r="V55" s="15"/>
      <c r="W55" s="15"/>
      <c r="X55" s="15"/>
      <c r="Y55" s="15"/>
      <c r="Z55" s="15"/>
      <c r="AA55" s="15"/>
      <c r="AB55" s="14"/>
      <c r="AC55" s="15"/>
      <c r="AD55" s="15"/>
      <c r="AE55" s="15"/>
      <c r="AF55" s="15"/>
      <c r="AG55" s="15"/>
      <c r="AH55" s="15"/>
      <c r="AI55" s="15"/>
      <c r="AJ55" s="15"/>
      <c r="AK55" s="16"/>
      <c r="AL55" s="15"/>
      <c r="AM55" s="15"/>
      <c r="AN55" s="15"/>
      <c r="AO55" s="15"/>
      <c r="AP55" s="15"/>
      <c r="AQ55" s="15"/>
      <c r="AR55" s="15"/>
      <c r="AS55" s="15"/>
      <c r="AT55" s="16"/>
      <c r="AU55" s="54"/>
      <c r="AV55" s="54"/>
      <c r="AW55" s="54"/>
      <c r="AX55" s="54"/>
      <c r="AY55" s="54"/>
      <c r="AZ55" s="54"/>
      <c r="BA55" s="54"/>
      <c r="BB55" s="54"/>
      <c r="BC55" s="54"/>
      <c r="BD55" s="19"/>
      <c r="BQ55" s="12"/>
      <c r="BT55" s="13"/>
      <c r="BW55" s="12"/>
      <c r="BZ55" s="13"/>
      <c r="CA55" s="43"/>
      <c r="CB55" s="45"/>
      <c r="CL55" s="17"/>
      <c r="DV55" s="9"/>
      <c r="DW55" s="11"/>
      <c r="FF55" s="42"/>
      <c r="FG55" s="43"/>
      <c r="FH55" s="14"/>
      <c r="FI55" s="16"/>
      <c r="FL55" s="12"/>
      <c r="FS55" s="13"/>
      <c r="FW55" s="13"/>
      <c r="FX55" s="208"/>
      <c r="FY55" s="14"/>
      <c r="FZ55" s="15"/>
      <c r="GA55" s="15"/>
      <c r="GB55" s="15"/>
      <c r="GC55" s="15"/>
      <c r="GD55" s="16"/>
      <c r="GT55" s="13"/>
      <c r="GU55" s="43"/>
      <c r="GV55" s="45"/>
      <c r="GW55" s="149"/>
      <c r="GX55" s="150"/>
      <c r="IG55" s="42"/>
      <c r="IH55" s="43"/>
      <c r="II55" s="12"/>
      <c r="IM55" s="12"/>
      <c r="IT55" s="13"/>
      <c r="IY55" s="205"/>
      <c r="IZ55" s="15"/>
      <c r="JA55" s="15"/>
      <c r="JB55" s="15"/>
      <c r="JC55" s="15"/>
      <c r="JD55" s="15"/>
      <c r="JE55" s="16"/>
      <c r="JU55" s="13"/>
      <c r="JV55" s="43"/>
      <c r="JW55" s="45"/>
      <c r="JX55" s="149"/>
      <c r="JY55" s="150"/>
    </row>
    <row r="56" spans="8:285" ht="18" customHeight="1">
      <c r="H56" s="4"/>
      <c r="S56" s="42"/>
      <c r="T56" s="43"/>
      <c r="U56" s="12"/>
      <c r="V56" s="127"/>
      <c r="W56" s="127"/>
      <c r="X56" s="127"/>
      <c r="Y56" s="127"/>
      <c r="Z56" s="127"/>
      <c r="AW56" s="127"/>
      <c r="AX56" s="127"/>
      <c r="AY56" s="127"/>
      <c r="AZ56" s="127"/>
      <c r="BA56" s="127"/>
      <c r="BB56" s="127"/>
      <c r="BE56" s="12"/>
      <c r="BQ56" s="14"/>
      <c r="BR56" s="15"/>
      <c r="BS56" s="15"/>
      <c r="BT56" s="16"/>
      <c r="BW56" s="12"/>
      <c r="BZ56" s="13"/>
      <c r="CA56" s="43"/>
      <c r="CB56" s="45"/>
      <c r="CL56" s="18"/>
      <c r="DV56" s="12"/>
      <c r="DW56" s="13"/>
      <c r="FF56" s="42"/>
      <c r="FG56" s="43"/>
      <c r="FH56" s="12"/>
      <c r="FL56" s="12"/>
      <c r="FS56" s="13"/>
      <c r="FW56" s="13"/>
      <c r="FX56" s="208"/>
      <c r="GT56" s="13"/>
      <c r="GU56" s="43"/>
      <c r="GV56" s="45"/>
      <c r="GW56" s="149"/>
      <c r="GX56" s="150"/>
      <c r="IG56" s="42"/>
      <c r="IH56" s="43"/>
      <c r="II56" s="9"/>
      <c r="IJ56" s="11"/>
      <c r="IM56" s="12"/>
      <c r="IT56" s="13"/>
      <c r="IY56" s="205"/>
      <c r="JU56" s="13"/>
      <c r="JV56" s="43"/>
      <c r="JW56" s="45"/>
      <c r="JX56" s="149"/>
      <c r="JY56" s="150"/>
    </row>
    <row r="57" spans="8:285" ht="18" customHeight="1">
      <c r="H57" s="4"/>
      <c r="S57" s="42"/>
      <c r="T57" s="43"/>
      <c r="U57" s="9"/>
      <c r="V57" s="10"/>
      <c r="W57" s="10"/>
      <c r="X57" s="10"/>
      <c r="Y57" s="10"/>
      <c r="Z57" s="10"/>
      <c r="AA57" s="10"/>
      <c r="AB57" s="10"/>
      <c r="AC57" s="10"/>
      <c r="AD57" s="11"/>
      <c r="AF57" s="9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1"/>
      <c r="BE57" s="12"/>
      <c r="BW57" s="12"/>
      <c r="BZ57" s="13"/>
      <c r="CA57" s="43"/>
      <c r="CB57" s="45"/>
      <c r="CG57" s="16"/>
      <c r="CH57" s="181"/>
      <c r="CI57" s="10"/>
      <c r="CJ57" s="10"/>
      <c r="CK57" s="10"/>
      <c r="CL57" s="9"/>
      <c r="CM57" s="10"/>
      <c r="CN57" s="10"/>
      <c r="CO57" s="11"/>
      <c r="CP57" s="9"/>
      <c r="CQ57" s="10"/>
      <c r="CR57" s="10"/>
      <c r="CS57" s="10"/>
      <c r="CT57" s="10"/>
      <c r="CU57" s="10"/>
      <c r="CV57" s="10"/>
      <c r="CW57" s="10"/>
      <c r="CX57" s="10"/>
      <c r="CY57" s="10"/>
      <c r="CZ57" s="11"/>
      <c r="DA57" s="10"/>
      <c r="DB57" s="10"/>
      <c r="DC57" s="10"/>
      <c r="DD57" s="10"/>
      <c r="DE57" s="11"/>
      <c r="DF57" s="182"/>
      <c r="DV57" s="12"/>
      <c r="DW57" s="13"/>
      <c r="FF57" s="42"/>
      <c r="FG57" s="43"/>
      <c r="FH57" s="12"/>
      <c r="FL57" s="12"/>
      <c r="FS57" s="13"/>
      <c r="FW57" s="13"/>
      <c r="FX57" s="208"/>
      <c r="GT57" s="13"/>
      <c r="GU57" s="43"/>
      <c r="GV57" s="45"/>
      <c r="GW57" s="149"/>
      <c r="GX57" s="150"/>
      <c r="IG57" s="42"/>
      <c r="IH57" s="43"/>
      <c r="II57" s="12"/>
      <c r="IJ57" s="13"/>
      <c r="IM57" s="12"/>
      <c r="IT57" s="13"/>
      <c r="IY57" s="205"/>
      <c r="JU57" s="13"/>
      <c r="JV57" s="43"/>
      <c r="JW57" s="45"/>
      <c r="JX57" s="149"/>
      <c r="JY57" s="150"/>
    </row>
    <row r="58" spans="8:285" ht="18" customHeight="1">
      <c r="H58" s="4"/>
      <c r="S58" s="42"/>
      <c r="T58" s="43"/>
      <c r="U58" s="12"/>
      <c r="AD58" s="13"/>
      <c r="AF58" s="9"/>
      <c r="AG58" s="10"/>
      <c r="AH58" s="11"/>
      <c r="BC58" s="13"/>
      <c r="BE58" s="12"/>
      <c r="BW58" s="14"/>
      <c r="BX58" s="15"/>
      <c r="BY58" s="15"/>
      <c r="BZ58" s="16"/>
      <c r="CA58" s="43"/>
      <c r="CB58" s="45"/>
      <c r="CF58" s="16"/>
      <c r="CG58" s="181"/>
      <c r="CL58" s="170"/>
      <c r="CM58" s="171"/>
      <c r="CN58" s="171"/>
      <c r="CO58" s="172"/>
      <c r="CP58" s="12"/>
      <c r="CQ58" s="171"/>
      <c r="CR58" s="171"/>
      <c r="CS58" s="171"/>
      <c r="CT58" s="171"/>
      <c r="CV58" s="171"/>
      <c r="CW58" s="171"/>
      <c r="CX58" s="171"/>
      <c r="CY58" s="171"/>
      <c r="CZ58" s="13"/>
      <c r="DF58" s="144"/>
      <c r="DV58" s="12"/>
      <c r="DW58" s="13"/>
      <c r="FF58" s="42"/>
      <c r="FG58" s="43"/>
      <c r="FH58" s="12"/>
      <c r="FL58" s="12"/>
      <c r="FS58" s="13"/>
      <c r="FW58" s="13"/>
      <c r="FX58" s="208"/>
      <c r="GT58" s="13"/>
      <c r="GU58" s="43"/>
      <c r="GV58" s="45"/>
      <c r="GW58" s="149"/>
      <c r="GX58" s="150"/>
      <c r="IG58" s="42"/>
      <c r="IH58" s="43"/>
      <c r="II58" s="12"/>
      <c r="IJ58" s="13"/>
      <c r="IM58" s="12"/>
      <c r="IT58" s="13"/>
      <c r="IY58" s="205"/>
      <c r="JU58" s="13"/>
      <c r="JV58" s="43"/>
      <c r="JW58" s="45"/>
      <c r="JX58" s="149"/>
      <c r="JY58" s="150"/>
    </row>
    <row r="59" spans="8:285" ht="18" customHeight="1">
      <c r="H59" s="4"/>
      <c r="S59" s="42"/>
      <c r="T59" s="43"/>
      <c r="U59" s="12"/>
      <c r="AD59" s="13"/>
      <c r="AF59" s="12"/>
      <c r="AH59" s="13"/>
      <c r="BC59" s="13"/>
      <c r="BE59" s="14"/>
      <c r="BF59" s="15"/>
      <c r="BZ59" s="13"/>
      <c r="CA59" s="43"/>
      <c r="CB59" s="45"/>
      <c r="CF59" s="12"/>
      <c r="CL59" s="170"/>
      <c r="CM59" s="171"/>
      <c r="CN59" s="171"/>
      <c r="CO59" s="172"/>
      <c r="CP59" s="9"/>
      <c r="CQ59" s="10"/>
      <c r="CR59" s="10"/>
      <c r="CS59" s="10"/>
      <c r="CT59" s="10"/>
      <c r="CU59" s="10"/>
      <c r="CV59" s="10"/>
      <c r="CW59" s="10"/>
      <c r="CX59" s="10"/>
      <c r="CY59" s="10"/>
      <c r="CZ59" s="11"/>
      <c r="DB59" s="171"/>
      <c r="DC59" s="171"/>
      <c r="DF59" s="13"/>
      <c r="DV59" s="12"/>
      <c r="DW59" s="13"/>
      <c r="FF59" s="42"/>
      <c r="FG59" s="43"/>
      <c r="FH59" s="12"/>
      <c r="FL59" s="12"/>
      <c r="FS59" s="13"/>
      <c r="FW59" s="13"/>
      <c r="FX59" s="208"/>
      <c r="GT59" s="13"/>
      <c r="GU59" s="43"/>
      <c r="GV59" s="45"/>
      <c r="GW59" s="149"/>
      <c r="GX59" s="150"/>
      <c r="IG59" s="42"/>
      <c r="IH59" s="43"/>
      <c r="II59" s="12"/>
      <c r="IJ59" s="13"/>
      <c r="IM59" s="12"/>
      <c r="IT59" s="13"/>
      <c r="IY59" s="205"/>
      <c r="JU59" s="13"/>
      <c r="JV59" s="43"/>
      <c r="JW59" s="45"/>
      <c r="JX59" s="149"/>
      <c r="JY59" s="150"/>
    </row>
    <row r="60" spans="8:285" ht="18" customHeight="1">
      <c r="H60" s="4"/>
      <c r="S60" s="42"/>
      <c r="T60" s="43"/>
      <c r="U60" s="12"/>
      <c r="AD60" s="13"/>
      <c r="AF60" s="12"/>
      <c r="AH60" s="13"/>
      <c r="BC60" s="13"/>
      <c r="BE60" s="9"/>
      <c r="BF60" s="10"/>
      <c r="BG60" s="11"/>
      <c r="BZ60" s="13"/>
      <c r="CA60" s="43"/>
      <c r="CB60" s="45"/>
      <c r="CF60" s="12"/>
      <c r="CL60" s="170"/>
      <c r="CM60" s="171"/>
      <c r="CN60" s="171"/>
      <c r="CO60" s="172"/>
      <c r="CP60" s="12"/>
      <c r="CZ60" s="13"/>
      <c r="DB60" s="171"/>
      <c r="DC60" s="171"/>
      <c r="DF60" s="13"/>
      <c r="DV60" s="12"/>
      <c r="DW60" s="13"/>
      <c r="FF60" s="42"/>
      <c r="FG60" s="43"/>
      <c r="FH60" s="12"/>
      <c r="FL60" s="12"/>
      <c r="FS60" s="13"/>
      <c r="FW60" s="13"/>
      <c r="FX60" s="208"/>
      <c r="GT60" s="13"/>
      <c r="GU60" s="43"/>
      <c r="GV60" s="45"/>
      <c r="GW60" s="149"/>
      <c r="GX60" s="150"/>
      <c r="IG60" s="42"/>
      <c r="IH60" s="43"/>
      <c r="II60" s="12"/>
      <c r="IJ60" s="13"/>
      <c r="IM60" s="12"/>
      <c r="IT60" s="13"/>
      <c r="IY60" s="205"/>
      <c r="JU60" s="13"/>
      <c r="JV60" s="43"/>
      <c r="JW60" s="45"/>
      <c r="JX60" s="149"/>
      <c r="JY60" s="150"/>
    </row>
    <row r="61" spans="8:285" ht="18" customHeight="1">
      <c r="H61" s="4"/>
      <c r="S61" s="42"/>
      <c r="T61" s="43"/>
      <c r="U61" s="14"/>
      <c r="V61" s="15"/>
      <c r="W61" s="15"/>
      <c r="X61" s="15"/>
      <c r="Y61" s="15"/>
      <c r="Z61" s="15"/>
      <c r="AA61" s="15"/>
      <c r="AB61" s="15"/>
      <c r="AC61" s="15"/>
      <c r="AD61" s="16"/>
      <c r="AF61" s="12"/>
      <c r="AH61" s="13"/>
      <c r="BC61" s="13"/>
      <c r="BE61" s="12"/>
      <c r="BG61" s="13"/>
      <c r="BZ61" s="13"/>
      <c r="CA61" s="43"/>
      <c r="CB61" s="45"/>
      <c r="CF61" s="12"/>
      <c r="CL61" s="170"/>
      <c r="CM61" s="171"/>
      <c r="CN61" s="171"/>
      <c r="CO61" s="172"/>
      <c r="CP61" s="12"/>
      <c r="CZ61" s="13"/>
      <c r="DB61" s="171"/>
      <c r="DC61" s="171"/>
      <c r="DF61" s="13"/>
      <c r="DV61" s="12"/>
      <c r="DW61" s="13"/>
      <c r="FF61" s="42"/>
      <c r="FG61" s="43"/>
      <c r="FH61" s="12"/>
      <c r="FL61" s="12"/>
      <c r="FS61" s="13"/>
      <c r="FW61" s="13"/>
      <c r="FX61" s="208"/>
      <c r="GT61" s="13"/>
      <c r="GU61" s="43"/>
      <c r="GV61" s="45"/>
      <c r="GW61" s="149"/>
      <c r="GX61" s="150"/>
      <c r="IG61" s="42"/>
      <c r="IH61" s="43"/>
      <c r="II61" s="14"/>
      <c r="IJ61" s="16"/>
      <c r="IM61" s="14"/>
      <c r="IN61" s="15"/>
      <c r="IO61" s="15"/>
      <c r="IP61" s="15"/>
      <c r="IQ61" s="15"/>
      <c r="IR61" s="15"/>
      <c r="IS61" s="15"/>
      <c r="IT61" s="16"/>
      <c r="IY61" s="205"/>
      <c r="JU61" s="13"/>
      <c r="JV61" s="43"/>
      <c r="JW61" s="45"/>
      <c r="JX61" s="149"/>
      <c r="JY61" s="150"/>
    </row>
    <row r="62" spans="8:285" ht="18" customHeight="1">
      <c r="H62" s="4"/>
      <c r="S62" s="42"/>
      <c r="T62" s="43"/>
      <c r="U62" s="12"/>
      <c r="Z62" s="12"/>
      <c r="AD62" s="13"/>
      <c r="AF62" s="12"/>
      <c r="AH62" s="13"/>
      <c r="BC62" s="13"/>
      <c r="BE62" s="14"/>
      <c r="BF62" s="15"/>
      <c r="BG62" s="16"/>
      <c r="BZ62" s="13"/>
      <c r="CA62" s="43"/>
      <c r="CB62" s="45"/>
      <c r="CC62" s="12"/>
      <c r="CF62" s="12"/>
      <c r="CL62" s="170"/>
      <c r="CM62" s="171"/>
      <c r="CN62" s="171"/>
      <c r="CO62" s="172"/>
      <c r="CP62" s="12"/>
      <c r="CZ62" s="13"/>
      <c r="DB62" s="171"/>
      <c r="DC62" s="171"/>
      <c r="DF62" s="13"/>
      <c r="DV62" s="12"/>
      <c r="DW62" s="13"/>
      <c r="FF62" s="42"/>
      <c r="FG62" s="43"/>
      <c r="FH62" s="12"/>
      <c r="FL62" s="12"/>
      <c r="FT62" s="10"/>
      <c r="FU62" s="10"/>
      <c r="FV62" s="10"/>
      <c r="FW62" s="10"/>
      <c r="FX62" s="10"/>
      <c r="GT62" s="13"/>
      <c r="GU62" s="43"/>
      <c r="GV62" s="45"/>
      <c r="GW62" s="149"/>
      <c r="GX62" s="150"/>
      <c r="IG62" s="42"/>
      <c r="IH62" s="43"/>
      <c r="II62" s="12"/>
      <c r="IY62" s="205"/>
      <c r="JU62" s="13"/>
      <c r="JV62" s="43"/>
      <c r="JW62" s="45"/>
      <c r="JX62" s="149"/>
      <c r="JY62" s="150"/>
    </row>
    <row r="63" spans="8:285" ht="18" customHeight="1">
      <c r="H63" s="4"/>
      <c r="S63" s="42"/>
      <c r="T63" s="43"/>
      <c r="U63" s="12"/>
      <c r="Z63" s="12"/>
      <c r="AD63" s="13"/>
      <c r="AF63" s="12"/>
      <c r="AH63" s="13"/>
      <c r="BC63" s="13"/>
      <c r="BE63" s="157"/>
      <c r="BF63" s="158"/>
      <c r="BG63" s="158"/>
      <c r="BH63" s="158"/>
      <c r="BI63" s="158"/>
      <c r="BJ63" s="159"/>
      <c r="BZ63" s="13"/>
      <c r="CA63" s="43"/>
      <c r="CB63" s="45"/>
      <c r="CF63" s="12"/>
      <c r="CL63" s="170"/>
      <c r="CM63" s="171"/>
      <c r="CN63" s="171"/>
      <c r="CO63" s="172"/>
      <c r="CP63" s="12"/>
      <c r="CZ63" s="13"/>
      <c r="DB63" s="171"/>
      <c r="DC63" s="171"/>
      <c r="DF63" s="13"/>
      <c r="DV63" s="12"/>
      <c r="DW63" s="13"/>
      <c r="FF63" s="42"/>
      <c r="FG63" s="43"/>
      <c r="FH63" s="12"/>
      <c r="FJ63" s="97"/>
      <c r="FL63" s="12"/>
      <c r="GT63" s="13"/>
      <c r="GU63" s="43"/>
      <c r="GV63" s="45"/>
      <c r="GW63" s="149"/>
      <c r="GX63" s="150"/>
      <c r="IG63" s="42"/>
      <c r="IH63" s="43"/>
      <c r="II63" s="12"/>
      <c r="IO63" s="97"/>
      <c r="IP63" s="97"/>
      <c r="IQ63" s="97"/>
      <c r="IR63" s="97"/>
      <c r="IY63" s="205"/>
      <c r="JU63" s="13"/>
      <c r="JV63" s="43"/>
      <c r="JW63" s="45"/>
      <c r="JX63" s="149"/>
      <c r="JY63" s="150"/>
    </row>
    <row r="64" spans="8:285" ht="18" customHeight="1">
      <c r="H64" s="4"/>
      <c r="S64" s="42"/>
      <c r="T64" s="43"/>
      <c r="U64" s="12"/>
      <c r="Z64" s="12"/>
      <c r="AD64" s="13"/>
      <c r="AF64" s="12"/>
      <c r="AH64" s="13"/>
      <c r="BC64" s="13"/>
      <c r="BE64" s="157"/>
      <c r="BF64" s="159"/>
      <c r="BG64" s="158"/>
      <c r="BH64" s="158"/>
      <c r="BI64" s="158"/>
      <c r="BJ64" s="159"/>
      <c r="BZ64" s="13"/>
      <c r="CA64" s="43"/>
      <c r="CB64" s="45"/>
      <c r="CF64" s="12"/>
      <c r="CL64" s="170"/>
      <c r="CM64" s="171"/>
      <c r="CN64" s="171"/>
      <c r="CO64" s="172"/>
      <c r="CP64" s="12"/>
      <c r="CZ64" s="13"/>
      <c r="DB64" s="171"/>
      <c r="DC64" s="171"/>
      <c r="DF64" s="13"/>
      <c r="DV64" s="12"/>
      <c r="DW64" s="13"/>
      <c r="FF64" s="42"/>
      <c r="FG64" s="43"/>
      <c r="FH64" s="12"/>
      <c r="FJ64" s="97"/>
      <c r="FL64" s="12"/>
      <c r="GT64" s="13"/>
      <c r="GU64" s="43"/>
      <c r="GV64" s="45"/>
      <c r="GW64" s="149"/>
      <c r="GX64" s="150"/>
      <c r="IG64" s="42"/>
      <c r="IH64" s="43"/>
      <c r="II64" s="12"/>
      <c r="IY64" s="205"/>
      <c r="JU64" s="13"/>
      <c r="JV64" s="43"/>
      <c r="JW64" s="45"/>
      <c r="JX64" s="149"/>
      <c r="JY64" s="150"/>
    </row>
    <row r="65" spans="8:285" ht="18" customHeight="1">
      <c r="H65" s="4"/>
      <c r="S65" s="42"/>
      <c r="T65" s="43"/>
      <c r="U65" s="12"/>
      <c r="Z65" s="12"/>
      <c r="AD65" s="13"/>
      <c r="AF65" s="14"/>
      <c r="AG65" s="15"/>
      <c r="AH65" s="16"/>
      <c r="BC65" s="13"/>
      <c r="BE65" s="160"/>
      <c r="BF65" s="161"/>
      <c r="BG65" s="162"/>
      <c r="BH65" s="162"/>
      <c r="BI65" s="162"/>
      <c r="BJ65" s="161"/>
      <c r="BX65" s="9"/>
      <c r="BY65" s="10"/>
      <c r="BZ65" s="11"/>
      <c r="CA65" s="43"/>
      <c r="CB65" s="45"/>
      <c r="CF65" s="14"/>
      <c r="CL65" s="170"/>
      <c r="CM65" s="171"/>
      <c r="CN65" s="171"/>
      <c r="CO65" s="172"/>
      <c r="CP65" s="14"/>
      <c r="CQ65" s="15"/>
      <c r="CR65" s="15"/>
      <c r="CS65" s="15"/>
      <c r="CT65" s="15"/>
      <c r="CU65" s="15"/>
      <c r="CV65" s="15"/>
      <c r="CW65" s="15"/>
      <c r="CX65" s="15"/>
      <c r="CY65" s="15"/>
      <c r="CZ65" s="16"/>
      <c r="DB65" s="171"/>
      <c r="DC65" s="171"/>
      <c r="DF65" s="13"/>
      <c r="DV65" s="12"/>
      <c r="DW65" s="13"/>
      <c r="FF65" s="42"/>
      <c r="FG65" s="43"/>
      <c r="FH65" s="12"/>
      <c r="FJ65" s="97"/>
      <c r="FL65" s="12"/>
      <c r="GT65" s="13"/>
      <c r="GU65" s="43"/>
      <c r="GV65" s="45"/>
      <c r="GW65" s="149"/>
      <c r="GX65" s="150"/>
      <c r="IG65" s="42"/>
      <c r="IH65" s="43"/>
      <c r="II65" s="14"/>
      <c r="IJ65" s="15"/>
      <c r="IK65" s="15"/>
      <c r="IL65" s="15"/>
      <c r="IM65" s="15"/>
      <c r="IN65" s="15"/>
      <c r="IO65" s="15"/>
      <c r="IP65" s="15"/>
      <c r="IQ65" s="15"/>
      <c r="IR65" s="15"/>
      <c r="IS65" s="15"/>
      <c r="IT65" s="15"/>
      <c r="IU65" s="15"/>
      <c r="IV65" s="15"/>
      <c r="IW65" s="15"/>
      <c r="IX65" s="15"/>
      <c r="IY65" s="206"/>
      <c r="IZ65" s="15"/>
      <c r="JA65" s="15"/>
      <c r="JB65" s="15"/>
      <c r="JC65" s="15"/>
      <c r="JD65" s="15"/>
      <c r="JE65" s="15"/>
      <c r="JF65" s="15"/>
      <c r="JG65" s="15"/>
      <c r="JH65" s="15"/>
      <c r="JI65" s="15"/>
      <c r="JJ65" s="15"/>
      <c r="JK65" s="15"/>
      <c r="JL65" s="15"/>
      <c r="JM65" s="15"/>
      <c r="JN65" s="15"/>
      <c r="JO65" s="15"/>
      <c r="JP65" s="15"/>
      <c r="JQ65" s="15"/>
      <c r="JR65" s="15"/>
      <c r="JS65" s="15"/>
      <c r="JT65" s="15"/>
      <c r="JU65" s="16"/>
      <c r="JV65" s="43"/>
      <c r="JW65" s="45"/>
      <c r="JX65" s="149"/>
      <c r="JY65" s="150"/>
    </row>
    <row r="66" spans="8:285" ht="18" customHeight="1">
      <c r="H66" s="4"/>
      <c r="S66" s="42"/>
      <c r="T66" s="43"/>
      <c r="U66" s="14"/>
      <c r="V66" s="15"/>
      <c r="W66" s="15"/>
      <c r="X66" s="15"/>
      <c r="Y66" s="15"/>
      <c r="Z66" s="14"/>
      <c r="AA66" s="15"/>
      <c r="AB66" s="15"/>
      <c r="AC66" s="15"/>
      <c r="AD66" s="16"/>
      <c r="AF66" s="14"/>
      <c r="BC66" s="13"/>
      <c r="BE66" s="160"/>
      <c r="BF66" s="161"/>
      <c r="BG66" s="162"/>
      <c r="BH66" s="162"/>
      <c r="BI66" s="162"/>
      <c r="BJ66" s="161"/>
      <c r="BX66" s="12"/>
      <c r="BZ66" s="176"/>
      <c r="CA66" s="43"/>
      <c r="CB66" s="45"/>
      <c r="CF66" s="11"/>
      <c r="CG66" s="181"/>
      <c r="CL66" s="170"/>
      <c r="CM66" s="171"/>
      <c r="CN66" s="171"/>
      <c r="CO66" s="172"/>
      <c r="CP66" s="12"/>
      <c r="CQ66" s="171"/>
      <c r="CR66" s="171"/>
      <c r="CS66" s="171"/>
      <c r="CT66" s="171"/>
      <c r="CV66" s="171"/>
      <c r="CW66" s="171"/>
      <c r="CX66" s="171"/>
      <c r="CY66" s="171"/>
      <c r="CZ66" s="13"/>
      <c r="DF66" s="145"/>
      <c r="DV66" s="12"/>
      <c r="DW66" s="13"/>
      <c r="FF66" s="42"/>
      <c r="FG66" s="43"/>
      <c r="FH66" s="12"/>
      <c r="FJ66" s="97"/>
      <c r="FL66" s="12"/>
      <c r="GT66" s="13"/>
      <c r="GU66" s="43"/>
      <c r="GV66" s="45"/>
      <c r="GW66" s="149"/>
      <c r="GX66" s="150"/>
      <c r="IG66" s="42"/>
      <c r="IH66" s="43"/>
      <c r="II66" s="43"/>
      <c r="IJ66" s="43"/>
      <c r="IK66" s="43"/>
      <c r="IL66" s="43"/>
      <c r="IM66" s="43"/>
      <c r="IN66" s="43"/>
      <c r="IO66" s="43"/>
      <c r="IP66" s="43"/>
      <c r="IQ66" s="43"/>
      <c r="IR66" s="43"/>
      <c r="IS66" s="43"/>
      <c r="IT66" s="43"/>
      <c r="IU66" s="43"/>
      <c r="IV66" s="43"/>
      <c r="IW66" s="43"/>
      <c r="IX66" s="43"/>
      <c r="IY66" s="43"/>
      <c r="IZ66" s="43"/>
      <c r="JA66" s="43"/>
      <c r="JB66" s="43"/>
      <c r="JC66" s="43"/>
      <c r="JD66" s="43"/>
      <c r="JE66" s="123"/>
      <c r="JF66" s="109"/>
      <c r="JG66" s="109"/>
      <c r="JH66" s="109"/>
      <c r="JI66" s="109"/>
      <c r="JJ66" s="124"/>
      <c r="JK66" s="43"/>
      <c r="JL66" s="43"/>
      <c r="JM66" s="43"/>
      <c r="JN66" s="43"/>
      <c r="JO66" s="127"/>
      <c r="JP66" s="127"/>
      <c r="JQ66" s="127"/>
      <c r="JR66" s="127"/>
      <c r="JS66" s="127"/>
      <c r="JT66" s="127"/>
      <c r="JU66" s="43"/>
      <c r="JV66" s="43"/>
      <c r="JW66" s="45"/>
      <c r="JX66" s="149"/>
      <c r="JY66" s="150"/>
    </row>
    <row r="67" spans="8:285" ht="18" customHeight="1">
      <c r="H67" s="4"/>
      <c r="S67" s="42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1"/>
      <c r="AF67" s="41"/>
      <c r="AG67" s="41"/>
      <c r="AH67" s="44"/>
      <c r="BC67" s="13"/>
      <c r="BE67" s="160"/>
      <c r="BF67" s="161"/>
      <c r="BG67" s="162"/>
      <c r="BH67" s="162"/>
      <c r="BI67" s="162"/>
      <c r="BJ67" s="161"/>
      <c r="BX67" s="12"/>
      <c r="BZ67" s="177"/>
      <c r="CA67" s="43"/>
      <c r="CB67" s="45"/>
      <c r="CG67" s="11"/>
      <c r="CH67" s="181"/>
      <c r="CI67" s="15"/>
      <c r="CJ67" s="15"/>
      <c r="CK67" s="15"/>
      <c r="CL67" s="14"/>
      <c r="CM67" s="15"/>
      <c r="CN67" s="15"/>
      <c r="CO67" s="16"/>
      <c r="CP67" s="14"/>
      <c r="CQ67" s="15"/>
      <c r="CR67" s="15"/>
      <c r="CS67" s="15"/>
      <c r="CT67" s="15"/>
      <c r="CU67" s="15"/>
      <c r="CV67" s="15"/>
      <c r="CW67" s="15"/>
      <c r="CX67" s="15"/>
      <c r="CY67" s="15"/>
      <c r="CZ67" s="16"/>
      <c r="DA67" s="15"/>
      <c r="DB67" s="15"/>
      <c r="DC67" s="15"/>
      <c r="DD67" s="15"/>
      <c r="DE67" s="16"/>
      <c r="DF67" s="183"/>
      <c r="DV67" s="12"/>
      <c r="DW67" s="13"/>
      <c r="FF67" s="42"/>
      <c r="FG67" s="43"/>
      <c r="FH67" s="12"/>
      <c r="FL67" s="12"/>
      <c r="GT67" s="13"/>
      <c r="GU67" s="43"/>
      <c r="GV67" s="45"/>
      <c r="GW67" s="149"/>
      <c r="GX67" s="150"/>
      <c r="IG67" s="46"/>
      <c r="IH67" s="47"/>
      <c r="II67" s="47"/>
      <c r="IJ67" s="47"/>
      <c r="IK67" s="47"/>
      <c r="IL67" s="43"/>
      <c r="IM67" s="47"/>
      <c r="IN67" s="43"/>
      <c r="IO67" s="47"/>
      <c r="IP67" s="43"/>
      <c r="IQ67" s="43"/>
      <c r="IR67" s="43"/>
      <c r="IS67" s="43"/>
      <c r="IT67" s="43"/>
      <c r="IU67" s="43"/>
      <c r="IV67" s="43"/>
      <c r="IW67" s="43"/>
      <c r="IX67" s="43"/>
      <c r="IY67" s="43"/>
      <c r="IZ67" s="43"/>
      <c r="JA67" s="43"/>
      <c r="JB67" s="43"/>
      <c r="JC67" s="43"/>
      <c r="JD67" s="43"/>
      <c r="JE67" s="40"/>
      <c r="JF67" s="41"/>
      <c r="JG67" s="41"/>
      <c r="JH67" s="41"/>
      <c r="JI67" s="41"/>
      <c r="JJ67" s="44"/>
      <c r="JK67" s="43"/>
      <c r="JL67" s="43"/>
      <c r="JM67" s="43"/>
      <c r="JN67" s="43"/>
      <c r="JO67" s="127"/>
      <c r="JP67" s="127"/>
      <c r="JQ67" s="127"/>
      <c r="JR67" s="127"/>
      <c r="JS67" s="127"/>
      <c r="JT67" s="127"/>
      <c r="JU67" s="43"/>
      <c r="JV67" s="43"/>
      <c r="JW67" s="45"/>
      <c r="JX67" s="152"/>
      <c r="JY67" s="153"/>
    </row>
    <row r="68" spans="8:285" ht="18" customHeight="1">
      <c r="H68" s="4"/>
      <c r="S68" s="46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3"/>
      <c r="AE68" s="43"/>
      <c r="AF68" s="43"/>
      <c r="AG68" s="43"/>
      <c r="AH68" s="45"/>
      <c r="BC68" s="13"/>
      <c r="BE68" s="160"/>
      <c r="BF68" s="161"/>
      <c r="BG68" s="163"/>
      <c r="BH68" s="163"/>
      <c r="BI68" s="163"/>
      <c r="BJ68" s="164"/>
      <c r="BX68" s="12"/>
      <c r="BZ68" s="177"/>
      <c r="CA68" s="43"/>
      <c r="CB68" s="45"/>
      <c r="CL68" s="18"/>
      <c r="DV68" s="12"/>
      <c r="DW68" s="13"/>
      <c r="FF68" s="42"/>
      <c r="FG68" s="43"/>
      <c r="FH68" s="12"/>
      <c r="FK68" s="13"/>
      <c r="FL68" s="12"/>
      <c r="GT68" s="13"/>
      <c r="GU68" s="43"/>
      <c r="GV68" s="45"/>
      <c r="GW68" s="149"/>
      <c r="GX68" s="150"/>
      <c r="ID68" s="146"/>
      <c r="IE68" s="147"/>
      <c r="IF68" s="146"/>
      <c r="IG68" s="168"/>
      <c r="IH68" s="146"/>
      <c r="II68" s="147"/>
      <c r="IJ68" s="147"/>
      <c r="IK68" s="147"/>
      <c r="IL68" s="147"/>
      <c r="IM68" s="147"/>
      <c r="IN68" s="147"/>
      <c r="IO68" s="147"/>
      <c r="IP68" s="147"/>
      <c r="IQ68" s="147"/>
      <c r="IR68" s="147"/>
      <c r="IS68" s="147"/>
      <c r="IT68" s="147"/>
      <c r="IU68" s="147"/>
      <c r="IV68" s="147"/>
      <c r="IW68" s="147"/>
      <c r="IX68" s="147"/>
      <c r="IY68" s="147"/>
      <c r="IZ68" s="147"/>
      <c r="JA68" s="147"/>
      <c r="JB68" s="147"/>
      <c r="JC68" s="147"/>
      <c r="JD68" s="147"/>
      <c r="JE68" s="147"/>
      <c r="JF68" s="147"/>
      <c r="JG68" s="148"/>
      <c r="JH68" s="147"/>
      <c r="JI68" s="147"/>
      <c r="JJ68" s="147"/>
      <c r="JK68" s="147"/>
      <c r="JL68" s="147"/>
      <c r="JM68" s="147"/>
      <c r="JN68" s="147"/>
      <c r="JO68" s="147"/>
      <c r="JP68" s="147"/>
      <c r="JQ68" s="147"/>
      <c r="JR68" s="147"/>
      <c r="JS68" s="147"/>
      <c r="JT68" s="147"/>
      <c r="JU68" s="147"/>
      <c r="JV68" s="147"/>
      <c r="JW68" s="147"/>
      <c r="JX68" s="146"/>
      <c r="JY68" s="147"/>
    </row>
    <row r="69" spans="8:285" ht="18" customHeight="1">
      <c r="H69" s="4"/>
      <c r="AB69" s="10"/>
      <c r="AC69" s="10"/>
      <c r="AD69" s="10"/>
      <c r="AE69" s="10"/>
      <c r="AF69" s="11"/>
      <c r="AG69" s="46"/>
      <c r="AH69" s="48"/>
      <c r="BC69" s="13"/>
      <c r="BE69" s="160"/>
      <c r="BF69" s="161"/>
      <c r="BG69" s="158"/>
      <c r="BH69" s="158"/>
      <c r="BI69" s="158"/>
      <c r="BJ69" s="159"/>
      <c r="BX69" s="12"/>
      <c r="BZ69" s="177"/>
      <c r="CA69" s="43"/>
      <c r="CB69" s="45"/>
      <c r="CL69" s="19"/>
      <c r="DV69" s="12"/>
      <c r="DW69" s="13"/>
      <c r="FF69" s="42"/>
      <c r="FG69" s="43"/>
      <c r="FH69" s="14"/>
      <c r="FI69" s="15"/>
      <c r="FJ69" s="15"/>
      <c r="FK69" s="16"/>
      <c r="FL69" s="15"/>
      <c r="FM69" s="15"/>
      <c r="FN69" s="15"/>
      <c r="FO69" s="15"/>
      <c r="FP69" s="15"/>
      <c r="FQ69" s="15"/>
      <c r="FR69" s="15"/>
      <c r="FS69" s="15"/>
      <c r="FT69" s="15"/>
      <c r="FU69" s="15"/>
      <c r="FV69" s="15"/>
      <c r="FW69" s="15"/>
      <c r="FX69" s="15"/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GS69" s="15"/>
      <c r="GT69" s="16"/>
      <c r="GU69" s="43"/>
      <c r="GV69" s="45"/>
      <c r="GW69" s="149"/>
      <c r="GX69" s="150"/>
      <c r="ID69" s="149"/>
      <c r="IE69" s="150"/>
      <c r="IF69" s="149"/>
      <c r="IG69" s="170"/>
      <c r="IH69" s="149"/>
      <c r="II69" s="150"/>
      <c r="IJ69" s="150"/>
      <c r="IK69" s="150"/>
      <c r="IL69" s="150"/>
      <c r="IM69" s="150"/>
      <c r="IN69" s="150"/>
      <c r="IO69" s="150"/>
      <c r="IP69" s="150"/>
      <c r="IQ69" s="150"/>
      <c r="IR69" s="150"/>
      <c r="IS69" s="150"/>
      <c r="IT69" s="150"/>
      <c r="IU69" s="150"/>
      <c r="IV69" s="150"/>
      <c r="IW69" s="150"/>
      <c r="IX69" s="150"/>
      <c r="IY69" s="150"/>
      <c r="IZ69" s="150"/>
      <c r="JA69" s="150"/>
      <c r="JB69" s="150"/>
      <c r="JC69" s="150"/>
      <c r="JD69" s="150"/>
      <c r="JE69" s="150"/>
      <c r="JF69" s="150"/>
      <c r="JG69" s="151"/>
      <c r="JH69" s="150"/>
      <c r="JI69" s="150"/>
      <c r="JJ69" s="150"/>
      <c r="JK69" s="150"/>
      <c r="JL69" s="150"/>
      <c r="JM69" s="150"/>
      <c r="JN69" s="150"/>
      <c r="JO69" s="150"/>
      <c r="JP69" s="150"/>
      <c r="JQ69" s="150"/>
      <c r="JR69" s="150"/>
      <c r="JS69" s="150"/>
      <c r="JT69" s="150"/>
      <c r="JU69" s="150"/>
      <c r="JV69" s="150"/>
      <c r="JW69" s="150"/>
      <c r="JX69" s="149"/>
      <c r="JY69" s="150"/>
    </row>
    <row r="70" spans="8:285" ht="18" customHeight="1">
      <c r="H70" s="4"/>
      <c r="AF70" s="13"/>
      <c r="AG70" s="108"/>
      <c r="AH70" s="42"/>
      <c r="AI70" s="12"/>
      <c r="BC70" s="13"/>
      <c r="BE70" s="160"/>
      <c r="BF70" s="161"/>
      <c r="BG70" s="162"/>
      <c r="BH70" s="162"/>
      <c r="BI70" s="162"/>
      <c r="BJ70" s="161"/>
      <c r="BX70" s="12"/>
      <c r="BZ70" s="177"/>
      <c r="CA70" s="43"/>
      <c r="CB70" s="45"/>
      <c r="DV70" s="14"/>
      <c r="DW70" s="16"/>
      <c r="FF70" s="42"/>
      <c r="FG70" s="43"/>
      <c r="FH70" s="43"/>
      <c r="FI70" s="43"/>
      <c r="FJ70" s="43"/>
      <c r="FK70" s="43"/>
      <c r="FL70" s="43"/>
      <c r="FM70" s="43"/>
      <c r="FN70" s="43"/>
      <c r="FO70" s="43"/>
      <c r="FP70" s="43"/>
      <c r="FQ70" s="43"/>
      <c r="FR70" s="43"/>
      <c r="FS70" s="43"/>
      <c r="FT70" s="43"/>
      <c r="FU70" s="43"/>
      <c r="FV70" s="43"/>
      <c r="FW70" s="43"/>
      <c r="FX70" s="43"/>
      <c r="FY70" s="43"/>
      <c r="FZ70" s="43"/>
      <c r="GA70" s="43"/>
      <c r="GB70" s="43"/>
      <c r="GC70" s="43"/>
      <c r="GD70" s="123"/>
      <c r="GE70" s="109"/>
      <c r="GF70" s="109"/>
      <c r="GG70" s="109"/>
      <c r="GH70" s="109"/>
      <c r="GI70" s="124"/>
      <c r="GJ70" s="43"/>
      <c r="GK70" s="43"/>
      <c r="GL70" s="43"/>
      <c r="GM70" s="43"/>
      <c r="GN70" s="127"/>
      <c r="GO70" s="127"/>
      <c r="GP70" s="127"/>
      <c r="GQ70" s="127"/>
      <c r="GR70" s="127"/>
      <c r="GS70" s="127"/>
      <c r="GT70" s="43"/>
      <c r="GU70" s="43"/>
      <c r="GV70" s="45"/>
      <c r="GW70" s="149"/>
      <c r="GX70" s="150"/>
    </row>
    <row r="71" spans="8:285" ht="18" customHeight="1">
      <c r="H71" s="4"/>
      <c r="AF71" s="13"/>
      <c r="AG71" s="108"/>
      <c r="AH71" s="42"/>
      <c r="AI71" s="12"/>
      <c r="BC71" s="13"/>
      <c r="BE71" s="160"/>
      <c r="BF71" s="161"/>
      <c r="BG71" s="162"/>
      <c r="BH71" s="162"/>
      <c r="BI71" s="162"/>
      <c r="BJ71" s="161"/>
      <c r="BX71" s="12"/>
      <c r="BZ71" s="178"/>
      <c r="CA71" s="43"/>
      <c r="CB71" s="45"/>
      <c r="DW71" s="5"/>
      <c r="FF71" s="46"/>
      <c r="FG71" s="47"/>
      <c r="FH71" s="47"/>
      <c r="FI71" s="47"/>
      <c r="FJ71" s="47"/>
      <c r="FK71" s="43"/>
      <c r="FL71" s="47"/>
      <c r="FM71" s="43"/>
      <c r="FN71" s="47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0"/>
      <c r="GE71" s="41"/>
      <c r="GF71" s="41"/>
      <c r="GG71" s="41"/>
      <c r="GH71" s="41"/>
      <c r="GI71" s="44"/>
      <c r="GJ71" s="43"/>
      <c r="GK71" s="43"/>
      <c r="GL71" s="43"/>
      <c r="GM71" s="43"/>
      <c r="GN71" s="127"/>
      <c r="GO71" s="127"/>
      <c r="GP71" s="127"/>
      <c r="GQ71" s="127"/>
      <c r="GR71" s="127"/>
      <c r="GS71" s="127"/>
      <c r="GT71" s="43"/>
      <c r="GU71" s="43"/>
      <c r="GV71" s="45"/>
      <c r="GW71" s="152"/>
      <c r="GX71" s="153"/>
    </row>
    <row r="72" spans="8:285" ht="18" customHeight="1">
      <c r="H72" s="4"/>
      <c r="AF72" s="13"/>
      <c r="AG72" s="108"/>
      <c r="AH72" s="42"/>
      <c r="AI72" s="12"/>
      <c r="BC72" s="13"/>
      <c r="BE72" s="160"/>
      <c r="BF72" s="161"/>
      <c r="BG72" s="162"/>
      <c r="BH72" s="162"/>
      <c r="BI72" s="162"/>
      <c r="BJ72" s="161"/>
      <c r="BX72" s="14"/>
      <c r="BY72" s="15"/>
      <c r="BZ72" s="16"/>
      <c r="CA72" s="43"/>
      <c r="CB72" s="45"/>
      <c r="DW72" s="5"/>
      <c r="FC72" s="146"/>
      <c r="FD72" s="147"/>
      <c r="FE72" s="146"/>
      <c r="FF72" s="168"/>
      <c r="FG72" s="146"/>
      <c r="FH72" s="147"/>
      <c r="FI72" s="147"/>
      <c r="FJ72" s="147"/>
      <c r="FK72" s="147"/>
      <c r="FL72" s="147"/>
      <c r="FM72" s="147"/>
      <c r="FN72" s="147"/>
      <c r="FO72" s="147"/>
      <c r="FP72" s="147"/>
      <c r="FQ72" s="147"/>
      <c r="FR72" s="147"/>
      <c r="FS72" s="147"/>
      <c r="FT72" s="147"/>
      <c r="FU72" s="147"/>
      <c r="FV72" s="147"/>
      <c r="FW72" s="147"/>
      <c r="FX72" s="147"/>
      <c r="FY72" s="147"/>
      <c r="FZ72" s="147"/>
      <c r="GA72" s="147"/>
      <c r="GB72" s="147"/>
      <c r="GC72" s="147"/>
      <c r="GD72" s="147"/>
      <c r="GE72" s="147"/>
      <c r="GF72" s="148"/>
      <c r="GG72" s="147"/>
      <c r="GH72" s="147"/>
      <c r="GI72" s="147"/>
      <c r="GJ72" s="147"/>
      <c r="GK72" s="147"/>
      <c r="GL72" s="147"/>
      <c r="GM72" s="147"/>
      <c r="GN72" s="147"/>
      <c r="GO72" s="147"/>
      <c r="GP72" s="147"/>
      <c r="GQ72" s="147"/>
      <c r="GR72" s="147"/>
      <c r="GS72" s="147"/>
      <c r="GT72" s="147"/>
      <c r="GU72" s="147"/>
      <c r="GV72" s="147"/>
      <c r="GW72" s="146"/>
      <c r="GX72" s="147"/>
    </row>
    <row r="73" spans="8:285" ht="18" customHeight="1">
      <c r="H73" s="4"/>
      <c r="AG73" s="108"/>
      <c r="AH73" s="42"/>
      <c r="AI73" s="12"/>
      <c r="BC73" s="13"/>
      <c r="BE73" s="160"/>
      <c r="BF73" s="161"/>
      <c r="BG73" s="162"/>
      <c r="BH73" s="162"/>
      <c r="BI73" s="162"/>
      <c r="BJ73" s="161"/>
      <c r="BZ73" s="13"/>
      <c r="CA73" s="43"/>
      <c r="CB73" s="45"/>
      <c r="DW73" s="5"/>
      <c r="FC73" s="149"/>
      <c r="FD73" s="150"/>
      <c r="FE73" s="149"/>
      <c r="FF73" s="170"/>
      <c r="FG73" s="149"/>
      <c r="FH73" s="150"/>
      <c r="FI73" s="150"/>
      <c r="FJ73" s="150"/>
      <c r="FK73" s="150"/>
      <c r="FL73" s="150"/>
      <c r="FM73" s="150"/>
      <c r="FN73" s="150"/>
      <c r="FO73" s="150"/>
      <c r="FP73" s="150"/>
      <c r="FQ73" s="150"/>
      <c r="FR73" s="150"/>
      <c r="FS73" s="150"/>
      <c r="FT73" s="150"/>
      <c r="FU73" s="150"/>
      <c r="FV73" s="150"/>
      <c r="FW73" s="150"/>
      <c r="FX73" s="150"/>
      <c r="FY73" s="150"/>
      <c r="FZ73" s="150"/>
      <c r="GA73" s="150"/>
      <c r="GB73" s="150"/>
      <c r="GC73" s="150"/>
      <c r="GD73" s="150"/>
      <c r="GE73" s="150"/>
      <c r="GF73" s="151"/>
      <c r="GG73" s="150"/>
      <c r="GH73" s="150"/>
      <c r="GI73" s="150"/>
      <c r="GJ73" s="150"/>
      <c r="GK73" s="150"/>
      <c r="GL73" s="150"/>
      <c r="GM73" s="150"/>
      <c r="GN73" s="150"/>
      <c r="GO73" s="150"/>
      <c r="GP73" s="150"/>
      <c r="GQ73" s="150"/>
      <c r="GR73" s="150"/>
      <c r="GS73" s="150"/>
      <c r="GT73" s="150"/>
      <c r="GU73" s="150"/>
      <c r="GV73" s="150"/>
      <c r="GW73" s="149"/>
      <c r="GX73" s="150"/>
    </row>
    <row r="74" spans="8:285" ht="18" customHeight="1">
      <c r="H74" s="4"/>
      <c r="AF74" s="13"/>
      <c r="AG74" s="108"/>
      <c r="AH74" s="42"/>
      <c r="AI74" s="12"/>
      <c r="BC74" s="13"/>
      <c r="BE74" s="165"/>
      <c r="BF74" s="166"/>
      <c r="BG74" s="166"/>
      <c r="BH74" s="166"/>
      <c r="BI74" s="166"/>
      <c r="BJ74" s="167"/>
      <c r="BZ74" s="13"/>
      <c r="CA74" s="43"/>
      <c r="CB74" s="45"/>
      <c r="DW74" s="5"/>
    </row>
    <row r="75" spans="8:285" ht="18" customHeight="1">
      <c r="H75" s="4"/>
      <c r="AF75" s="13"/>
      <c r="AG75" s="126"/>
      <c r="AH75" s="46"/>
      <c r="AI75" s="12"/>
      <c r="BC75" s="13"/>
      <c r="BE75" s="12"/>
      <c r="BG75" s="13"/>
      <c r="BZ75" s="13"/>
      <c r="CA75" s="43"/>
      <c r="CB75" s="45"/>
      <c r="DW75" s="5"/>
    </row>
    <row r="76" spans="8:285" ht="18" customHeight="1">
      <c r="H76" s="4"/>
      <c r="AF76" s="13"/>
      <c r="AG76" s="43"/>
      <c r="AH76" s="43"/>
      <c r="AI76" s="14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6"/>
      <c r="BE76" s="12"/>
      <c r="BG76" s="13"/>
      <c r="BZ76" s="13"/>
      <c r="CA76" s="43"/>
      <c r="CB76" s="45"/>
      <c r="CC76" s="146"/>
      <c r="CD76" s="147"/>
      <c r="CE76" s="147"/>
      <c r="CF76" s="147"/>
      <c r="CG76" s="147"/>
      <c r="CH76" s="147"/>
      <c r="CI76" s="147"/>
      <c r="CJ76" s="147"/>
      <c r="CK76" s="147"/>
      <c r="CL76" s="147"/>
      <c r="CM76" s="147"/>
      <c r="CN76" s="147"/>
      <c r="CO76" s="147"/>
      <c r="CP76" s="147"/>
      <c r="CQ76" s="147"/>
      <c r="CR76" s="147"/>
      <c r="CS76" s="147"/>
      <c r="CT76" s="147"/>
      <c r="CU76" s="147"/>
      <c r="CV76" s="148"/>
      <c r="DW76" s="5"/>
    </row>
    <row r="77" spans="8:285" ht="18" customHeight="1">
      <c r="H77" s="4"/>
      <c r="AF77" s="13"/>
      <c r="AG77" s="42"/>
      <c r="AH77" s="43"/>
      <c r="AI77" s="12"/>
      <c r="BE77" s="14"/>
      <c r="BF77" s="15"/>
      <c r="BG77" s="16"/>
      <c r="BZ77" s="13"/>
      <c r="CA77" s="43"/>
      <c r="CB77" s="45"/>
      <c r="CC77" s="149"/>
      <c r="CD77" s="150"/>
      <c r="CE77" s="150"/>
      <c r="CF77" s="150"/>
      <c r="CG77" s="150"/>
      <c r="CH77" s="150"/>
      <c r="CI77" s="150"/>
      <c r="CJ77" s="150"/>
      <c r="CK77" s="150"/>
      <c r="CL77" s="150"/>
      <c r="CM77" s="150"/>
      <c r="CN77" s="150"/>
      <c r="CO77" s="150"/>
      <c r="CP77" s="150"/>
      <c r="CQ77" s="150"/>
      <c r="CR77" s="150"/>
      <c r="CS77" s="150"/>
      <c r="CT77" s="150"/>
      <c r="CU77" s="150"/>
      <c r="CV77" s="151"/>
      <c r="DW77" s="5"/>
    </row>
    <row r="78" spans="8:285" ht="18" customHeight="1">
      <c r="H78" s="4"/>
      <c r="AF78" s="13"/>
      <c r="AG78" s="43"/>
      <c r="AH78" s="43"/>
      <c r="AI78" s="9"/>
      <c r="AJ78" s="10"/>
      <c r="AK78" s="10"/>
      <c r="AL78" s="10"/>
      <c r="AM78" s="9"/>
      <c r="AN78" s="10"/>
      <c r="AO78" s="10"/>
      <c r="AP78" s="10"/>
      <c r="AQ78" s="10"/>
      <c r="AR78" s="11"/>
      <c r="AS78" s="10"/>
      <c r="AT78" s="10"/>
      <c r="AU78" s="10"/>
      <c r="AV78" s="139"/>
      <c r="AW78" s="52"/>
      <c r="AX78" s="52"/>
      <c r="AY78" s="52"/>
      <c r="AZ78" s="52"/>
      <c r="BA78" s="52"/>
      <c r="BB78" s="52"/>
      <c r="BC78" s="52"/>
      <c r="BD78" s="18"/>
      <c r="BZ78" s="13"/>
      <c r="CA78" s="43"/>
      <c r="CB78" s="45"/>
      <c r="CC78" s="184"/>
      <c r="CD78" s="185"/>
      <c r="CE78" s="185"/>
      <c r="CF78" s="185"/>
      <c r="CG78" s="185"/>
      <c r="CH78" s="185"/>
      <c r="CI78" s="185"/>
      <c r="CJ78" s="185"/>
      <c r="CK78" s="185"/>
      <c r="CL78" s="185"/>
      <c r="CM78" s="185"/>
      <c r="CN78" s="185"/>
      <c r="CO78" s="185"/>
      <c r="CP78" s="185"/>
      <c r="CQ78" s="185"/>
      <c r="CR78" s="185"/>
      <c r="CS78" s="146"/>
      <c r="CT78" s="148"/>
      <c r="CU78" s="150"/>
      <c r="CV78" s="151"/>
      <c r="DW78" s="5"/>
    </row>
    <row r="79" spans="8:285" ht="18" customHeight="1" thickBot="1">
      <c r="H79" s="4"/>
      <c r="AG79" s="42"/>
      <c r="AH79" s="43"/>
      <c r="AI79" s="12"/>
      <c r="AM79" s="14"/>
      <c r="AN79" s="15"/>
      <c r="AO79" s="15"/>
      <c r="AP79" s="15"/>
      <c r="AQ79" s="15"/>
      <c r="AR79" s="16"/>
      <c r="AV79" s="140"/>
      <c r="AW79" s="51"/>
      <c r="AX79" s="51"/>
      <c r="AY79" s="51"/>
      <c r="AZ79" s="51"/>
      <c r="BA79" s="51"/>
      <c r="BB79" s="51"/>
      <c r="BC79" s="51"/>
      <c r="BD79" s="18"/>
      <c r="BZ79" s="13"/>
      <c r="CA79" s="43"/>
      <c r="CB79" s="45"/>
      <c r="CC79" s="170"/>
      <c r="CD79" s="171"/>
      <c r="CE79" s="171"/>
      <c r="CF79" s="171"/>
      <c r="CG79" s="171"/>
      <c r="CH79" s="171"/>
      <c r="CI79" s="171"/>
      <c r="CJ79" s="171"/>
      <c r="CK79" s="171"/>
      <c r="CL79" s="171"/>
      <c r="CM79" s="171"/>
      <c r="CN79" s="171"/>
      <c r="CO79" s="171"/>
      <c r="CP79" s="171"/>
      <c r="CQ79" s="171"/>
      <c r="CR79" s="171"/>
      <c r="CS79" s="152"/>
      <c r="CT79" s="154"/>
      <c r="CU79" s="150"/>
      <c r="CV79" s="151"/>
      <c r="DW79" s="5"/>
      <c r="EA79" s="17"/>
      <c r="EB79" s="197"/>
      <c r="EC79" s="197"/>
      <c r="ED79" s="197"/>
      <c r="EE79" s="197"/>
      <c r="EF79" s="197"/>
      <c r="EG79" s="197"/>
      <c r="EH79" s="197"/>
      <c r="EI79" s="197"/>
      <c r="EJ79" s="197"/>
      <c r="EK79" s="197"/>
      <c r="EL79" s="197"/>
      <c r="EM79" s="197"/>
      <c r="EN79" s="197"/>
      <c r="EO79" s="197"/>
      <c r="EP79" s="197"/>
      <c r="EQ79" s="197"/>
      <c r="ER79" s="197"/>
      <c r="ES79" s="197"/>
      <c r="ET79" s="197"/>
      <c r="EU79" s="197"/>
      <c r="EV79" s="197"/>
      <c r="EW79" s="197"/>
      <c r="EX79" s="197"/>
      <c r="EY79" s="197"/>
      <c r="EZ79" s="197"/>
      <c r="FA79" s="197"/>
      <c r="FB79" s="197"/>
      <c r="FC79" s="197"/>
      <c r="FD79" s="197"/>
      <c r="FE79" s="197"/>
      <c r="FF79" s="197"/>
      <c r="FG79" s="197"/>
      <c r="FH79" s="197"/>
      <c r="FI79" s="197"/>
      <c r="FJ79" s="197"/>
      <c r="FK79" s="197"/>
      <c r="FL79" s="197"/>
      <c r="FM79" s="197"/>
      <c r="FN79" s="197"/>
      <c r="FO79" s="197"/>
      <c r="FP79" s="197"/>
      <c r="FQ79" s="197"/>
      <c r="FR79" s="197"/>
      <c r="FS79" s="197"/>
      <c r="FT79" s="197"/>
      <c r="FU79" s="197"/>
      <c r="FV79" s="197"/>
      <c r="FW79" s="197"/>
      <c r="FX79" s="197"/>
      <c r="FY79" s="197"/>
      <c r="FZ79" s="197"/>
      <c r="GA79" s="197"/>
      <c r="GB79" s="197"/>
      <c r="GC79" s="197"/>
      <c r="GD79" s="197"/>
      <c r="GE79" s="197"/>
      <c r="GF79" s="197"/>
      <c r="GG79" s="197"/>
      <c r="GH79" s="197"/>
      <c r="GI79" s="197"/>
      <c r="GJ79" s="17"/>
    </row>
    <row r="80" spans="8:285" ht="18" customHeight="1" thickTop="1">
      <c r="H80" s="4"/>
      <c r="AG80" s="42"/>
      <c r="AH80" s="43"/>
      <c r="AI80" s="12"/>
      <c r="AV80" s="140"/>
      <c r="AW80" s="51"/>
      <c r="AX80" s="51"/>
      <c r="AY80" s="51"/>
      <c r="AZ80" s="51"/>
      <c r="BA80" s="51"/>
      <c r="BB80" s="51"/>
      <c r="BC80" s="51"/>
      <c r="BD80" s="18"/>
      <c r="BZ80" s="13"/>
      <c r="CA80" s="43"/>
      <c r="CB80" s="45"/>
      <c r="CC80" s="146"/>
      <c r="CD80" s="147"/>
      <c r="CE80" s="147"/>
      <c r="CF80" s="147"/>
      <c r="CG80" s="147"/>
      <c r="CH80" s="147"/>
      <c r="CI80" s="147"/>
      <c r="CJ80" s="147"/>
      <c r="CK80" s="147"/>
      <c r="CL80" s="147"/>
      <c r="CM80" s="147"/>
      <c r="CN80" s="147"/>
      <c r="CO80" s="147"/>
      <c r="CP80" s="147"/>
      <c r="CQ80" s="147"/>
      <c r="CR80" s="148"/>
      <c r="CS80" s="172"/>
      <c r="CT80" s="151"/>
      <c r="CU80" s="150"/>
      <c r="CV80" s="151"/>
      <c r="DW80" s="5"/>
      <c r="EA80" s="18"/>
      <c r="EB80" s="193"/>
      <c r="EC80" s="193"/>
      <c r="ED80" s="193"/>
      <c r="EE80" s="193"/>
      <c r="EF80" s="193"/>
      <c r="EG80" s="193"/>
      <c r="EH80" s="193"/>
      <c r="EI80" s="193"/>
      <c r="EJ80" s="193"/>
      <c r="EK80" s="193"/>
      <c r="EL80" s="193"/>
      <c r="EM80" s="193"/>
      <c r="EN80" s="193"/>
      <c r="EO80" s="193"/>
      <c r="EP80" s="193"/>
      <c r="EQ80" s="193"/>
      <c r="ER80" s="193"/>
      <c r="ES80" s="193"/>
      <c r="ET80" s="193"/>
      <c r="EU80" s="193"/>
      <c r="EV80" s="193"/>
      <c r="EW80" s="193"/>
      <c r="EX80" s="193"/>
      <c r="EY80" s="193"/>
      <c r="EZ80" s="193"/>
      <c r="FA80" s="193"/>
      <c r="FB80" s="193"/>
      <c r="FC80" s="193"/>
      <c r="FD80" s="193"/>
      <c r="FE80" s="193"/>
      <c r="FF80" s="193"/>
      <c r="FG80" s="193"/>
      <c r="FH80" s="193"/>
      <c r="FI80" s="193"/>
      <c r="FJ80" s="193"/>
      <c r="FK80" s="193"/>
      <c r="FL80" s="193"/>
      <c r="FM80" s="193"/>
      <c r="FN80" s="193"/>
      <c r="FO80" s="193"/>
      <c r="FP80" s="193"/>
      <c r="FQ80" s="193"/>
      <c r="FR80" s="193"/>
      <c r="FS80" s="193"/>
      <c r="FT80" s="193"/>
      <c r="FU80" s="193"/>
      <c r="FV80" s="193"/>
      <c r="FW80" s="193"/>
      <c r="FX80" s="193"/>
      <c r="FY80" s="193"/>
      <c r="FZ80" s="193"/>
      <c r="GA80" s="193"/>
      <c r="GB80" s="193"/>
      <c r="GC80" s="193"/>
      <c r="GD80" s="193"/>
      <c r="GE80" s="193"/>
      <c r="GF80" s="193"/>
      <c r="GG80" s="193"/>
      <c r="GH80" s="193"/>
      <c r="GI80" s="193"/>
      <c r="GJ80" s="18"/>
    </row>
    <row r="81" spans="8:288" ht="18" customHeight="1">
      <c r="H81" s="4"/>
      <c r="AG81" s="42"/>
      <c r="AH81" s="43"/>
      <c r="AI81" s="12"/>
      <c r="AV81" s="140"/>
      <c r="AW81" s="51"/>
      <c r="AX81" s="51"/>
      <c r="AY81" s="51"/>
      <c r="AZ81" s="51"/>
      <c r="BA81" s="51"/>
      <c r="BB81" s="51"/>
      <c r="BC81" s="51"/>
      <c r="BD81" s="18"/>
      <c r="BZ81" s="13"/>
      <c r="CA81" s="43"/>
      <c r="CB81" s="45"/>
      <c r="CC81" s="149"/>
      <c r="CD81" s="150"/>
      <c r="CE81" s="150"/>
      <c r="CF81" s="150"/>
      <c r="CG81" s="150"/>
      <c r="CH81" s="150"/>
      <c r="CI81" s="150"/>
      <c r="CJ81" s="150"/>
      <c r="CK81" s="150"/>
      <c r="CL81" s="150"/>
      <c r="CM81" s="150"/>
      <c r="CN81" s="150"/>
      <c r="CO81" s="150"/>
      <c r="CP81" s="150"/>
      <c r="CQ81" s="150"/>
      <c r="CR81" s="151"/>
      <c r="CS81" s="172"/>
      <c r="CT81" s="151"/>
      <c r="CU81" s="150"/>
      <c r="CV81" s="151"/>
      <c r="DW81" s="5"/>
      <c r="EA81" s="18"/>
      <c r="GJ81" s="18"/>
    </row>
    <row r="82" spans="8:288" ht="18" customHeight="1">
      <c r="H82" s="4"/>
      <c r="AG82" s="42"/>
      <c r="AH82" s="43"/>
      <c r="AI82" s="12"/>
      <c r="AM82" s="9"/>
      <c r="AN82" s="10"/>
      <c r="AO82" s="10"/>
      <c r="AP82" s="10"/>
      <c r="AQ82" s="10"/>
      <c r="AR82" s="10"/>
      <c r="AS82" s="10"/>
      <c r="AT82" s="10"/>
      <c r="AU82" s="10"/>
      <c r="AV82" s="139"/>
      <c r="AW82" s="52"/>
      <c r="AX82" s="52"/>
      <c r="AY82" s="52"/>
      <c r="AZ82" s="52"/>
      <c r="BA82" s="52"/>
      <c r="BB82" s="52"/>
      <c r="BC82" s="52"/>
      <c r="BD82" s="17"/>
      <c r="BZ82" s="13"/>
      <c r="CA82" s="43"/>
      <c r="CB82" s="45"/>
      <c r="CC82" s="149"/>
      <c r="CD82" s="150"/>
      <c r="CE82" s="150"/>
      <c r="CF82" s="150"/>
      <c r="CG82" s="150"/>
      <c r="CH82" s="150"/>
      <c r="CI82" s="150"/>
      <c r="CJ82" s="150"/>
      <c r="CK82" s="150"/>
      <c r="CL82" s="150"/>
      <c r="CM82" s="150"/>
      <c r="CN82" s="150"/>
      <c r="CO82" s="150"/>
      <c r="CP82" s="150"/>
      <c r="CQ82" s="150"/>
      <c r="CR82" s="151"/>
      <c r="CS82" s="172"/>
      <c r="CT82" s="151"/>
      <c r="CU82" s="150"/>
      <c r="CV82" s="151"/>
      <c r="DW82" s="5"/>
      <c r="EA82" s="18"/>
      <c r="EB82" s="9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1"/>
      <c r="GJ82" s="18"/>
    </row>
    <row r="83" spans="8:288" ht="18" customHeight="1">
      <c r="H83" s="4"/>
      <c r="AG83" s="125"/>
      <c r="AH83" s="125"/>
      <c r="AI83" s="12"/>
      <c r="AM83" s="12"/>
      <c r="AV83" s="140"/>
      <c r="AW83" s="51"/>
      <c r="AX83" s="51"/>
      <c r="AY83" s="51"/>
      <c r="AZ83" s="51"/>
      <c r="BA83" s="51"/>
      <c r="BB83" s="51"/>
      <c r="BC83" s="51"/>
      <c r="BD83" s="18"/>
      <c r="BZ83" s="13"/>
      <c r="CA83" s="125"/>
      <c r="CB83" s="125"/>
      <c r="CC83" s="149"/>
      <c r="CD83" s="150"/>
      <c r="CE83" s="150"/>
      <c r="CF83" s="150"/>
      <c r="CG83" s="150"/>
      <c r="CH83" s="150"/>
      <c r="CI83" s="150"/>
      <c r="CJ83" s="150"/>
      <c r="CK83" s="150"/>
      <c r="CL83" s="150"/>
      <c r="CM83" s="150"/>
      <c r="CN83" s="150"/>
      <c r="CO83" s="150"/>
      <c r="CP83" s="150"/>
      <c r="CQ83" s="150"/>
      <c r="CR83" s="151"/>
      <c r="CS83" s="172"/>
      <c r="CT83" s="151"/>
      <c r="CU83" s="150"/>
      <c r="CV83" s="151"/>
      <c r="DW83" s="5"/>
      <c r="EA83" s="18"/>
      <c r="EB83" s="12"/>
      <c r="GI83" s="13"/>
      <c r="GJ83" s="18"/>
    </row>
    <row r="84" spans="8:288" ht="18" customHeight="1">
      <c r="H84" s="4"/>
      <c r="AG84" s="108"/>
      <c r="AH84" s="108"/>
      <c r="AI84" s="12"/>
      <c r="AJ84" s="168"/>
      <c r="AK84" s="169"/>
      <c r="AM84" s="12"/>
      <c r="AV84" s="140"/>
      <c r="AW84" s="51"/>
      <c r="AX84" s="51"/>
      <c r="AY84" s="51"/>
      <c r="AZ84" s="51"/>
      <c r="BA84" s="51"/>
      <c r="BB84" s="51"/>
      <c r="BC84" s="51"/>
      <c r="BD84" s="18"/>
      <c r="BZ84" s="13"/>
      <c r="CA84" s="108"/>
      <c r="CB84" s="108"/>
      <c r="CC84" s="149"/>
      <c r="CD84" s="150"/>
      <c r="CE84" s="150"/>
      <c r="CF84" s="150"/>
      <c r="CG84" s="150"/>
      <c r="CH84" s="150"/>
      <c r="CI84" s="150"/>
      <c r="CJ84" s="150"/>
      <c r="CK84" s="150"/>
      <c r="CL84" s="150"/>
      <c r="CM84" s="150"/>
      <c r="CN84" s="150"/>
      <c r="CO84" s="150"/>
      <c r="CP84" s="150"/>
      <c r="CQ84" s="150"/>
      <c r="CR84" s="151"/>
      <c r="CS84" s="172"/>
      <c r="CT84" s="186"/>
      <c r="CU84" s="147"/>
      <c r="CV84" s="148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9"/>
      <c r="DW84" s="11"/>
      <c r="EA84" s="18"/>
      <c r="EB84" s="12"/>
      <c r="GI84" s="13"/>
      <c r="GJ84" s="18"/>
    </row>
    <row r="85" spans="8:288" ht="18" customHeight="1">
      <c r="H85" s="4"/>
      <c r="AG85" s="108"/>
      <c r="AH85" s="108"/>
      <c r="AI85" s="12"/>
      <c r="AJ85" s="170"/>
      <c r="AK85" s="172"/>
      <c r="AM85" s="12"/>
      <c r="AV85" s="140"/>
      <c r="AW85" s="51"/>
      <c r="AX85" s="51"/>
      <c r="AY85" s="51"/>
      <c r="AZ85" s="51"/>
      <c r="BA85" s="51"/>
      <c r="BB85" s="51"/>
      <c r="BC85" s="51"/>
      <c r="BD85" s="18"/>
      <c r="BZ85" s="13"/>
      <c r="CA85" s="108"/>
      <c r="CB85" s="108"/>
      <c r="CC85" s="149"/>
      <c r="CD85" s="150"/>
      <c r="CE85" s="150"/>
      <c r="CF85" s="150"/>
      <c r="CG85" s="150"/>
      <c r="CH85" s="150"/>
      <c r="CI85" s="150"/>
      <c r="CJ85" s="150"/>
      <c r="CK85" s="150"/>
      <c r="CL85" s="150"/>
      <c r="CM85" s="150"/>
      <c r="CN85" s="150"/>
      <c r="CO85" s="150"/>
      <c r="CP85" s="150"/>
      <c r="CQ85" s="150"/>
      <c r="CR85" s="151"/>
      <c r="CS85" s="172"/>
      <c r="CT85" s="187"/>
      <c r="CU85" s="150"/>
      <c r="CV85" s="151"/>
      <c r="DV85" s="12"/>
      <c r="DW85" s="13"/>
      <c r="DZ85" s="20"/>
      <c r="EA85" s="21"/>
      <c r="EB85" s="21"/>
      <c r="EC85" s="21"/>
      <c r="ED85" s="21"/>
      <c r="EE85" s="21"/>
      <c r="EF85" s="21"/>
      <c r="EG85" s="21"/>
      <c r="EH85" s="21"/>
      <c r="EI85" s="21"/>
      <c r="EJ85" s="21"/>
      <c r="EK85" s="21"/>
      <c r="EL85" s="21"/>
      <c r="EM85" s="21"/>
      <c r="EN85" s="21"/>
      <c r="EO85" s="21"/>
      <c r="EP85" s="21"/>
      <c r="EQ85" s="21"/>
      <c r="ER85" s="21"/>
      <c r="ES85" s="21"/>
      <c r="ET85" s="21"/>
      <c r="EU85" s="21"/>
      <c r="EV85" s="21"/>
      <c r="EW85" s="21"/>
      <c r="EX85" s="21"/>
      <c r="EY85" s="21"/>
      <c r="EZ85" s="21"/>
      <c r="FA85" s="21"/>
      <c r="FB85" s="21"/>
      <c r="FC85" s="21"/>
      <c r="FD85" s="21"/>
      <c r="FE85" s="21"/>
      <c r="FF85" s="21"/>
      <c r="FG85" s="21"/>
      <c r="FH85" s="21"/>
      <c r="FI85" s="21"/>
      <c r="FJ85" s="21"/>
      <c r="FK85" s="21"/>
      <c r="FL85" s="21"/>
      <c r="FM85" s="21"/>
      <c r="FN85" s="21"/>
      <c r="FO85" s="21"/>
      <c r="FP85" s="21"/>
      <c r="FQ85" s="21"/>
      <c r="FR85" s="21"/>
      <c r="FS85" s="21"/>
      <c r="FT85" s="21"/>
      <c r="FU85" s="21"/>
      <c r="FV85" s="21"/>
      <c r="FW85" s="21"/>
      <c r="FX85" s="21"/>
      <c r="FY85" s="21"/>
      <c r="FZ85" s="21"/>
      <c r="GA85" s="21"/>
      <c r="GB85" s="21"/>
      <c r="GC85" s="21"/>
      <c r="GD85" s="21"/>
      <c r="GE85" s="21"/>
      <c r="GF85" s="21"/>
      <c r="GG85" s="21"/>
      <c r="GH85" s="21"/>
      <c r="GI85" s="21"/>
      <c r="GJ85" s="21"/>
      <c r="GK85" s="22"/>
    </row>
    <row r="86" spans="8:288" ht="18" customHeight="1">
      <c r="H86" s="4"/>
      <c r="AG86" s="108"/>
      <c r="AH86" s="108"/>
      <c r="AI86" s="12"/>
      <c r="AJ86" s="170"/>
      <c r="AK86" s="172"/>
      <c r="AM86" s="12"/>
      <c r="AV86" s="140"/>
      <c r="AW86" s="51"/>
      <c r="AX86" s="51"/>
      <c r="AY86" s="51"/>
      <c r="AZ86" s="51"/>
      <c r="BA86" s="51"/>
      <c r="BB86" s="51"/>
      <c r="BC86" s="51"/>
      <c r="BD86" s="18"/>
      <c r="BZ86" s="13"/>
      <c r="CA86" s="108"/>
      <c r="CB86" s="108"/>
      <c r="CC86" s="149"/>
      <c r="CD86" s="150"/>
      <c r="CE86" s="150"/>
      <c r="CF86" s="150"/>
      <c r="CG86" s="150"/>
      <c r="CH86" s="150"/>
      <c r="CI86" s="150"/>
      <c r="CJ86" s="150"/>
      <c r="CK86" s="150"/>
      <c r="CL86" s="150"/>
      <c r="CM86" s="150"/>
      <c r="CN86" s="150"/>
      <c r="CO86" s="150"/>
      <c r="CP86" s="150"/>
      <c r="CQ86" s="150"/>
      <c r="CR86" s="151"/>
      <c r="CS86" s="172"/>
      <c r="CT86" s="187"/>
      <c r="CU86" s="150"/>
      <c r="CV86" s="151"/>
      <c r="DV86" s="12"/>
      <c r="DW86" s="13"/>
      <c r="EA86" s="12"/>
      <c r="EB86" s="13"/>
      <c r="EL86" s="189"/>
      <c r="EW86" s="18"/>
      <c r="EX86" s="12"/>
      <c r="FH86" s="9"/>
      <c r="FI86" s="11"/>
      <c r="FQ86" s="13"/>
      <c r="FR86" s="18"/>
      <c r="FS86" s="12"/>
      <c r="GI86" s="12"/>
      <c r="GJ86" s="13"/>
    </row>
    <row r="87" spans="8:288" ht="18" customHeight="1">
      <c r="H87" s="4"/>
      <c r="AG87" s="108"/>
      <c r="AH87" s="108"/>
      <c r="AI87" s="12"/>
      <c r="AJ87" s="173"/>
      <c r="AK87" s="174"/>
      <c r="AM87" s="12"/>
      <c r="AV87" s="140"/>
      <c r="AW87" s="51"/>
      <c r="AX87" s="51"/>
      <c r="AY87" s="51"/>
      <c r="AZ87" s="51"/>
      <c r="BA87" s="51"/>
      <c r="BB87" s="51"/>
      <c r="BC87" s="51"/>
      <c r="BD87" s="18"/>
      <c r="BZ87" s="13"/>
      <c r="CA87" s="108"/>
      <c r="CB87" s="108"/>
      <c r="CC87" s="149"/>
      <c r="CD87" s="150"/>
      <c r="CE87" s="150"/>
      <c r="CF87" s="150"/>
      <c r="CG87" s="150"/>
      <c r="CH87" s="150"/>
      <c r="CI87" s="150"/>
      <c r="CJ87" s="150"/>
      <c r="CK87" s="150"/>
      <c r="CL87" s="150"/>
      <c r="CM87" s="150"/>
      <c r="CN87" s="150"/>
      <c r="CO87" s="150"/>
      <c r="CP87" s="150"/>
      <c r="CQ87" s="150"/>
      <c r="CR87" s="151"/>
      <c r="CS87" s="172"/>
      <c r="CT87" s="187"/>
      <c r="CU87" s="150"/>
      <c r="CV87" s="151"/>
      <c r="DV87" s="12"/>
      <c r="DW87" s="13"/>
      <c r="EA87" s="12"/>
      <c r="EB87" s="13"/>
      <c r="EL87" s="190"/>
      <c r="EW87" s="18"/>
      <c r="EX87" s="12"/>
      <c r="FH87" s="12"/>
      <c r="FI87" s="13"/>
      <c r="FQ87" s="13"/>
      <c r="FR87" s="18"/>
      <c r="FS87" s="12"/>
      <c r="GI87" s="12"/>
      <c r="GJ87" s="13"/>
    </row>
    <row r="88" spans="8:288" ht="18" customHeight="1">
      <c r="H88" s="4"/>
      <c r="AG88" s="126"/>
      <c r="AH88" s="126"/>
      <c r="AI88" s="12"/>
      <c r="AM88" s="12"/>
      <c r="AV88" s="140"/>
      <c r="AW88" s="51"/>
      <c r="AX88" s="51"/>
      <c r="AY88" s="51"/>
      <c r="AZ88" s="51"/>
      <c r="BA88" s="51"/>
      <c r="BB88" s="51"/>
      <c r="BC88" s="51"/>
      <c r="BD88" s="18"/>
      <c r="BZ88" s="13"/>
      <c r="CA88" s="126"/>
      <c r="CB88" s="126"/>
      <c r="CC88" s="149"/>
      <c r="CD88" s="150"/>
      <c r="CE88" s="150"/>
      <c r="CF88" s="150"/>
      <c r="CG88" s="150"/>
      <c r="CH88" s="150"/>
      <c r="CI88" s="150"/>
      <c r="CJ88" s="150"/>
      <c r="CK88" s="150"/>
      <c r="CL88" s="150"/>
      <c r="CM88" s="150"/>
      <c r="CN88" s="150"/>
      <c r="CO88" s="150"/>
      <c r="CP88" s="150"/>
      <c r="CQ88" s="150"/>
      <c r="CR88" s="151"/>
      <c r="CS88" s="172"/>
      <c r="CT88" s="187"/>
      <c r="CU88" s="150"/>
      <c r="CV88" s="151"/>
      <c r="DV88" s="12"/>
      <c r="DW88" s="13"/>
      <c r="EA88" s="12"/>
      <c r="EB88" s="13"/>
      <c r="EL88" s="190"/>
      <c r="EW88" s="18"/>
      <c r="EX88" s="12"/>
      <c r="FH88" s="12"/>
      <c r="FI88" s="13"/>
      <c r="FQ88" s="13"/>
      <c r="FR88" s="18"/>
      <c r="FS88" s="12"/>
      <c r="GI88" s="12"/>
      <c r="GJ88" s="13"/>
    </row>
    <row r="89" spans="8:288" ht="18" customHeight="1">
      <c r="H89" s="4"/>
      <c r="AG89" s="42"/>
      <c r="AH89" s="43"/>
      <c r="AI89" s="12"/>
      <c r="AM89" s="14"/>
      <c r="AN89" s="15"/>
      <c r="AO89" s="15"/>
      <c r="AP89" s="15"/>
      <c r="AQ89" s="15"/>
      <c r="AR89" s="15"/>
      <c r="AS89" s="15"/>
      <c r="AT89" s="15"/>
      <c r="AU89" s="15"/>
      <c r="AV89" s="203"/>
      <c r="AW89" s="54"/>
      <c r="AX89" s="54"/>
      <c r="AY89" s="54"/>
      <c r="AZ89" s="54"/>
      <c r="BA89" s="54"/>
      <c r="BB89" s="54"/>
      <c r="BC89" s="54"/>
      <c r="BD89" s="19"/>
      <c r="BZ89" s="13"/>
      <c r="CA89" s="43"/>
      <c r="CB89" s="45"/>
      <c r="CC89" s="149"/>
      <c r="CD89" s="150"/>
      <c r="CE89" s="150"/>
      <c r="CF89" s="150"/>
      <c r="CG89" s="150"/>
      <c r="CH89" s="150"/>
      <c r="CI89" s="150"/>
      <c r="CJ89" s="150"/>
      <c r="CK89" s="150"/>
      <c r="CL89" s="150"/>
      <c r="CM89" s="150"/>
      <c r="CN89" s="150"/>
      <c r="CO89" s="150"/>
      <c r="CP89" s="150"/>
      <c r="CQ89" s="150"/>
      <c r="CR89" s="151"/>
      <c r="CS89" s="172"/>
      <c r="CT89" s="187"/>
      <c r="CU89" s="150"/>
      <c r="CV89" s="151"/>
      <c r="DV89" s="12"/>
      <c r="DW89" s="13"/>
      <c r="EA89" s="12"/>
      <c r="EB89" s="13"/>
      <c r="EL89" s="190"/>
      <c r="EW89" s="18"/>
      <c r="EX89" s="12"/>
      <c r="FH89" s="12"/>
      <c r="FI89" s="13"/>
      <c r="FQ89" s="13"/>
      <c r="FR89" s="18"/>
      <c r="FS89" s="12"/>
      <c r="GI89" s="12"/>
      <c r="GJ89" s="13"/>
    </row>
    <row r="90" spans="8:288" ht="18" customHeight="1">
      <c r="H90" s="4"/>
      <c r="AG90" s="42"/>
      <c r="AH90" s="43"/>
      <c r="AI90" s="12"/>
      <c r="AV90" s="140"/>
      <c r="AW90" s="51"/>
      <c r="AX90" s="51"/>
      <c r="AY90" s="51"/>
      <c r="AZ90" s="51"/>
      <c r="BA90" s="51"/>
      <c r="BB90" s="51"/>
      <c r="BC90" s="51"/>
      <c r="BD90" s="18"/>
      <c r="BZ90" s="13"/>
      <c r="CA90" s="43"/>
      <c r="CB90" s="45"/>
      <c r="CC90" s="149"/>
      <c r="CD90" s="150"/>
      <c r="CE90" s="150"/>
      <c r="CF90" s="150"/>
      <c r="CG90" s="150"/>
      <c r="CH90" s="150"/>
      <c r="CI90" s="150"/>
      <c r="CJ90" s="150"/>
      <c r="CK90" s="150"/>
      <c r="CL90" s="150"/>
      <c r="CM90" s="150"/>
      <c r="CN90" s="150"/>
      <c r="CO90" s="150"/>
      <c r="CP90" s="150"/>
      <c r="CQ90" s="150"/>
      <c r="CR90" s="151"/>
      <c r="CS90" s="172"/>
      <c r="CT90" s="187"/>
      <c r="CU90" s="150"/>
      <c r="CV90" s="151"/>
      <c r="DV90" s="12"/>
      <c r="DW90" s="13"/>
      <c r="EA90" s="12"/>
      <c r="EB90" s="13"/>
      <c r="EL90" s="190"/>
      <c r="EW90" s="18"/>
      <c r="EX90" s="12"/>
      <c r="FH90" s="12"/>
      <c r="FI90" s="13"/>
      <c r="FQ90" s="13"/>
      <c r="FR90" s="18"/>
      <c r="FS90" s="12"/>
      <c r="GI90" s="12"/>
      <c r="GJ90" s="13"/>
    </row>
    <row r="91" spans="8:288" ht="18" customHeight="1">
      <c r="H91" s="4"/>
      <c r="AG91" s="42"/>
      <c r="AH91" s="43"/>
      <c r="AI91" s="12"/>
      <c r="AV91" s="140"/>
      <c r="AW91" s="51"/>
      <c r="AX91" s="51"/>
      <c r="AY91" s="51"/>
      <c r="AZ91" s="51"/>
      <c r="BA91" s="51"/>
      <c r="BB91" s="51"/>
      <c r="BC91" s="51"/>
      <c r="BD91" s="18"/>
      <c r="BZ91" s="13"/>
      <c r="CA91" s="43"/>
      <c r="CB91" s="45"/>
      <c r="CC91" s="149"/>
      <c r="CD91" s="150"/>
      <c r="CE91" s="150"/>
      <c r="CF91" s="150"/>
      <c r="CG91" s="150"/>
      <c r="CH91" s="150"/>
      <c r="CI91" s="150"/>
      <c r="CJ91" s="150"/>
      <c r="CK91" s="150"/>
      <c r="CL91" s="150"/>
      <c r="CM91" s="150"/>
      <c r="CN91" s="150"/>
      <c r="CO91" s="150"/>
      <c r="CP91" s="150"/>
      <c r="CQ91" s="150"/>
      <c r="CR91" s="151"/>
      <c r="CS91" s="172"/>
      <c r="CT91" s="188"/>
      <c r="CU91" s="153"/>
      <c r="CV91" s="154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4"/>
      <c r="DW91" s="16"/>
      <c r="EA91" s="12"/>
      <c r="EB91" s="13"/>
      <c r="EL91" s="190"/>
      <c r="EW91" s="18"/>
      <c r="EX91" s="12"/>
      <c r="FH91" s="12"/>
      <c r="FI91" s="13"/>
      <c r="FQ91" s="13"/>
      <c r="FR91" s="18"/>
      <c r="FS91" s="12"/>
      <c r="GI91" s="12"/>
      <c r="GJ91" s="13"/>
    </row>
    <row r="92" spans="8:288" ht="18" customHeight="1">
      <c r="H92" s="4"/>
      <c r="AG92" s="42"/>
      <c r="AH92" s="43"/>
      <c r="AI92" s="12"/>
      <c r="AM92" s="9"/>
      <c r="AN92" s="10"/>
      <c r="AO92" s="10"/>
      <c r="AP92" s="10"/>
      <c r="AQ92" s="10"/>
      <c r="AR92" s="11"/>
      <c r="AV92" s="140"/>
      <c r="AW92" s="51"/>
      <c r="AX92" s="51"/>
      <c r="AY92" s="51"/>
      <c r="AZ92" s="51"/>
      <c r="BA92" s="51"/>
      <c r="BB92" s="51"/>
      <c r="BC92" s="51"/>
      <c r="BD92" s="18"/>
      <c r="BZ92" s="13"/>
      <c r="CA92" s="43"/>
      <c r="CB92" s="45"/>
      <c r="CC92" s="149"/>
      <c r="CD92" s="150"/>
      <c r="CE92" s="150"/>
      <c r="CF92" s="150"/>
      <c r="CG92" s="150"/>
      <c r="CH92" s="150"/>
      <c r="CI92" s="150"/>
      <c r="CJ92" s="150"/>
      <c r="CK92" s="150"/>
      <c r="CL92" s="150"/>
      <c r="CM92" s="150"/>
      <c r="CN92" s="150"/>
      <c r="CO92" s="150"/>
      <c r="CP92" s="150"/>
      <c r="CQ92" s="150"/>
      <c r="CR92" s="151"/>
      <c r="CS92" s="172"/>
      <c r="CT92" s="151"/>
      <c r="CU92" s="150"/>
      <c r="CV92" s="151"/>
      <c r="DW92" s="5"/>
      <c r="EA92" s="12"/>
      <c r="EB92" s="13"/>
      <c r="EL92" s="191"/>
      <c r="EW92" s="18"/>
      <c r="EX92" s="12"/>
      <c r="FH92" s="12"/>
      <c r="FI92" s="13"/>
      <c r="FQ92" s="13"/>
      <c r="FR92" s="18"/>
      <c r="FS92" s="12"/>
      <c r="GI92" s="12"/>
      <c r="GJ92" s="13"/>
      <c r="JI92" s="9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1"/>
    </row>
    <row r="93" spans="8:288" ht="18" customHeight="1">
      <c r="H93" s="4"/>
      <c r="AG93" s="42"/>
      <c r="AH93" s="43"/>
      <c r="AI93" s="14"/>
      <c r="AJ93" s="15"/>
      <c r="AK93" s="15"/>
      <c r="AL93" s="15"/>
      <c r="AM93" s="14"/>
      <c r="AN93" s="15"/>
      <c r="AO93" s="15"/>
      <c r="AP93" s="15"/>
      <c r="AQ93" s="15"/>
      <c r="AR93" s="16"/>
      <c r="AS93" s="15"/>
      <c r="AT93" s="15"/>
      <c r="AU93" s="15"/>
      <c r="AV93" s="203"/>
      <c r="AW93" s="54"/>
      <c r="AX93" s="54"/>
      <c r="AY93" s="54"/>
      <c r="AZ93" s="54"/>
      <c r="BA93" s="54"/>
      <c r="BB93" s="54"/>
      <c r="BC93" s="54"/>
      <c r="BD93" s="19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6"/>
      <c r="CA93" s="43"/>
      <c r="CB93" s="45"/>
      <c r="CC93" s="149"/>
      <c r="CD93" s="150"/>
      <c r="CE93" s="150"/>
      <c r="CF93" s="150"/>
      <c r="CG93" s="150"/>
      <c r="CH93" s="150"/>
      <c r="CI93" s="150"/>
      <c r="CJ93" s="150"/>
      <c r="CK93" s="150"/>
      <c r="CL93" s="150"/>
      <c r="CM93" s="150"/>
      <c r="CN93" s="150"/>
      <c r="CO93" s="150"/>
      <c r="CP93" s="150"/>
      <c r="CQ93" s="150"/>
      <c r="CR93" s="151"/>
      <c r="CS93" s="172"/>
      <c r="CT93" s="151"/>
      <c r="CU93" s="150"/>
      <c r="CV93" s="151"/>
      <c r="DW93" s="5"/>
      <c r="EA93" s="12"/>
      <c r="EB93" s="13"/>
      <c r="EL93" s="9"/>
      <c r="EM93" s="11"/>
      <c r="EW93" s="18"/>
      <c r="EX93" s="12"/>
      <c r="FH93" s="12"/>
      <c r="FI93" s="13"/>
      <c r="FQ93" s="13"/>
      <c r="FR93" s="18"/>
      <c r="FS93" s="12"/>
      <c r="GI93" s="12"/>
      <c r="GJ93" s="13"/>
      <c r="JI93" s="12"/>
      <c r="KB93" s="13"/>
    </row>
    <row r="94" spans="8:288" ht="18" customHeight="1">
      <c r="H94" s="4"/>
      <c r="AG94" s="42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123"/>
      <c r="BK94" s="109"/>
      <c r="BL94" s="109"/>
      <c r="BM94" s="109"/>
      <c r="BN94" s="109"/>
      <c r="BO94" s="124"/>
      <c r="BP94" s="43"/>
      <c r="BQ94" s="43"/>
      <c r="BR94" s="43"/>
      <c r="BS94" s="43"/>
      <c r="BT94" s="127"/>
      <c r="BU94" s="127"/>
      <c r="BV94" s="127"/>
      <c r="BW94" s="127"/>
      <c r="BX94" s="127"/>
      <c r="BY94" s="127"/>
      <c r="BZ94" s="43"/>
      <c r="CA94" s="43"/>
      <c r="CB94" s="45"/>
      <c r="CC94" s="149"/>
      <c r="CD94" s="150"/>
      <c r="CE94" s="150"/>
      <c r="CF94" s="150"/>
      <c r="CG94" s="150"/>
      <c r="CH94" s="150"/>
      <c r="CI94" s="150"/>
      <c r="CJ94" s="150"/>
      <c r="CK94" s="150"/>
      <c r="CL94" s="150"/>
      <c r="CM94" s="150"/>
      <c r="CN94" s="150"/>
      <c r="CO94" s="150"/>
      <c r="CP94" s="150"/>
      <c r="CQ94" s="150"/>
      <c r="CR94" s="151"/>
      <c r="CS94" s="172"/>
      <c r="CT94" s="151"/>
      <c r="CU94" s="150"/>
      <c r="CV94" s="151"/>
      <c r="DW94" s="5"/>
      <c r="EA94" s="12"/>
      <c r="EB94" s="13"/>
      <c r="EI94" s="20"/>
      <c r="EJ94" s="21"/>
      <c r="EK94" s="21"/>
      <c r="EL94" s="20"/>
      <c r="EM94" s="22"/>
      <c r="EN94" s="21"/>
      <c r="EO94" s="21"/>
      <c r="EP94" s="22"/>
      <c r="EW94" s="18"/>
      <c r="EX94" s="12"/>
      <c r="FH94" s="12"/>
      <c r="FI94" s="13"/>
      <c r="FQ94" s="13"/>
      <c r="FR94" s="18"/>
      <c r="FS94" s="20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2"/>
      <c r="GI94" s="12"/>
      <c r="GJ94" s="13"/>
      <c r="JI94" s="12"/>
      <c r="KB94" s="13"/>
    </row>
    <row r="95" spans="8:288" ht="18" customHeight="1">
      <c r="H95" s="4"/>
      <c r="AG95" s="46"/>
      <c r="AH95" s="47"/>
      <c r="AI95" s="47"/>
      <c r="AJ95" s="47"/>
      <c r="AK95" s="47"/>
      <c r="AL95" s="47"/>
      <c r="AM95" s="47"/>
      <c r="AN95" s="47"/>
      <c r="AO95" s="47"/>
      <c r="AP95" s="47"/>
      <c r="AQ95" s="43"/>
      <c r="AR95" s="47"/>
      <c r="AS95" s="43"/>
      <c r="AT95" s="47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0"/>
      <c r="BK95" s="41"/>
      <c r="BL95" s="41"/>
      <c r="BM95" s="41"/>
      <c r="BN95" s="41"/>
      <c r="BO95" s="44"/>
      <c r="BP95" s="43"/>
      <c r="BQ95" s="43"/>
      <c r="BR95" s="43"/>
      <c r="BS95" s="43"/>
      <c r="BT95" s="127"/>
      <c r="BU95" s="127"/>
      <c r="BV95" s="127"/>
      <c r="BW95" s="127"/>
      <c r="BX95" s="127"/>
      <c r="BY95" s="127"/>
      <c r="BZ95" s="43"/>
      <c r="CA95" s="43"/>
      <c r="CB95" s="45"/>
      <c r="CC95" s="152"/>
      <c r="CD95" s="153"/>
      <c r="CE95" s="153"/>
      <c r="CF95" s="153"/>
      <c r="CG95" s="153"/>
      <c r="CH95" s="153"/>
      <c r="CI95" s="153"/>
      <c r="CJ95" s="153"/>
      <c r="CK95" s="153"/>
      <c r="CL95" s="153"/>
      <c r="CM95" s="153"/>
      <c r="CN95" s="153"/>
      <c r="CO95" s="153"/>
      <c r="CP95" s="153"/>
      <c r="CQ95" s="153"/>
      <c r="CR95" s="154"/>
      <c r="CS95" s="172"/>
      <c r="CT95" s="151"/>
      <c r="CU95" s="150"/>
      <c r="CV95" s="151"/>
      <c r="DW95" s="5"/>
      <c r="EA95" s="12"/>
      <c r="EB95" s="13"/>
      <c r="EW95" s="18"/>
      <c r="EX95" s="12"/>
      <c r="FH95" s="12"/>
      <c r="FI95" s="13"/>
      <c r="FQ95" s="13"/>
      <c r="FR95" s="18"/>
      <c r="FS95" s="12"/>
      <c r="GI95" s="12"/>
      <c r="GJ95" s="13"/>
      <c r="JI95" s="12"/>
      <c r="KB95" s="13"/>
    </row>
    <row r="96" spans="8:288" ht="18" customHeight="1" thickBot="1">
      <c r="H96" s="4"/>
      <c r="AQ96" s="10"/>
      <c r="AS96" s="146"/>
      <c r="AT96" s="147"/>
      <c r="AU96" s="146"/>
      <c r="AV96" s="168"/>
      <c r="AW96" s="146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  <c r="BI96" s="147"/>
      <c r="BJ96" s="147"/>
      <c r="BK96" s="147"/>
      <c r="BL96" s="148"/>
      <c r="BM96" s="147"/>
      <c r="BN96" s="147"/>
      <c r="BO96" s="147"/>
      <c r="BP96" s="147"/>
      <c r="BQ96" s="147"/>
      <c r="BR96" s="147"/>
      <c r="BS96" s="147"/>
      <c r="BT96" s="147"/>
      <c r="BU96" s="147"/>
      <c r="BV96" s="147"/>
      <c r="BW96" s="147"/>
      <c r="BX96" s="147"/>
      <c r="BY96" s="147"/>
      <c r="BZ96" s="147"/>
      <c r="CA96" s="147"/>
      <c r="CB96" s="147"/>
      <c r="CC96" s="146"/>
      <c r="CD96" s="147"/>
      <c r="CE96" s="147"/>
      <c r="CF96" s="147"/>
      <c r="CG96" s="147"/>
      <c r="CH96" s="147"/>
      <c r="CI96" s="147"/>
      <c r="CJ96" s="147"/>
      <c r="CK96" s="147"/>
      <c r="CL96" s="147"/>
      <c r="CM96" s="147"/>
      <c r="CN96" s="147"/>
      <c r="CO96" s="147"/>
      <c r="CP96" s="147"/>
      <c r="CQ96" s="147"/>
      <c r="CR96" s="148"/>
      <c r="CS96" s="172"/>
      <c r="CT96" s="151"/>
      <c r="CU96" s="150"/>
      <c r="CV96" s="151"/>
      <c r="DW96" s="5"/>
      <c r="EA96" s="12"/>
      <c r="EB96" s="13"/>
      <c r="EW96" s="18"/>
      <c r="EX96" s="12"/>
      <c r="FH96" s="12"/>
      <c r="FI96" s="13"/>
      <c r="FQ96" s="13"/>
      <c r="FR96" s="18"/>
      <c r="FS96" s="9"/>
      <c r="FT96" s="11"/>
      <c r="GG96" s="9"/>
      <c r="GH96" s="11"/>
      <c r="GI96" s="12"/>
      <c r="GJ96" s="13"/>
      <c r="JI96" s="12"/>
      <c r="KB96" s="13"/>
    </row>
    <row r="97" spans="8:288" ht="18" customHeight="1" thickTop="1">
      <c r="H97" s="4"/>
      <c r="AS97" s="149"/>
      <c r="AT97" s="150"/>
      <c r="AU97" s="149"/>
      <c r="AV97" s="170"/>
      <c r="AW97" s="149"/>
      <c r="AX97" s="150"/>
      <c r="AY97" s="150"/>
      <c r="AZ97" s="150"/>
      <c r="BA97" s="150"/>
      <c r="BB97" s="150"/>
      <c r="BC97" s="150"/>
      <c r="BD97" s="150"/>
      <c r="BE97" s="150"/>
      <c r="BF97" s="150"/>
      <c r="BG97" s="150"/>
      <c r="BH97" s="150"/>
      <c r="BI97" s="150"/>
      <c r="BJ97" s="150"/>
      <c r="BK97" s="150"/>
      <c r="BL97" s="151"/>
      <c r="BM97" s="150"/>
      <c r="BN97" s="150"/>
      <c r="BO97" s="150"/>
      <c r="BP97" s="150"/>
      <c r="BQ97" s="150"/>
      <c r="BR97" s="150"/>
      <c r="BS97" s="150"/>
      <c r="BT97" s="150"/>
      <c r="BU97" s="150"/>
      <c r="BV97" s="150"/>
      <c r="BW97" s="150"/>
      <c r="BX97" s="150"/>
      <c r="BY97" s="150"/>
      <c r="BZ97" s="150"/>
      <c r="CA97" s="150"/>
      <c r="CB97" s="150"/>
      <c r="CC97" s="149"/>
      <c r="CD97" s="150"/>
      <c r="CE97" s="150"/>
      <c r="CF97" s="150"/>
      <c r="CG97" s="150"/>
      <c r="CH97" s="150"/>
      <c r="CI97" s="150"/>
      <c r="CJ97" s="150"/>
      <c r="CK97" s="150"/>
      <c r="CL97" s="150"/>
      <c r="CM97" s="150"/>
      <c r="CN97" s="150"/>
      <c r="CO97" s="150"/>
      <c r="CP97" s="150"/>
      <c r="CQ97" s="150"/>
      <c r="CR97" s="151"/>
      <c r="CS97" s="172"/>
      <c r="CT97" s="151"/>
      <c r="CU97" s="150"/>
      <c r="CV97" s="151"/>
      <c r="DW97" s="5"/>
      <c r="EA97" s="12"/>
      <c r="EB97" s="13"/>
      <c r="EP97" s="192"/>
      <c r="EQ97" s="193"/>
      <c r="ER97" s="201"/>
      <c r="ES97" s="193"/>
      <c r="ET97" s="193"/>
      <c r="EU97" s="194"/>
      <c r="EW97" s="24"/>
      <c r="EX97" s="12"/>
      <c r="FH97" s="12"/>
      <c r="FI97" s="13"/>
      <c r="FK97" s="192"/>
      <c r="FL97" s="193"/>
      <c r="FM97" s="201"/>
      <c r="FN97" s="193"/>
      <c r="FO97" s="193"/>
      <c r="FP97" s="194"/>
      <c r="FQ97" s="13"/>
      <c r="FR97" s="18"/>
      <c r="FS97" s="12"/>
      <c r="FT97" s="13"/>
      <c r="FX97" s="192"/>
      <c r="FY97" s="193"/>
      <c r="FZ97" s="201"/>
      <c r="GA97" s="193"/>
      <c r="GB97" s="193"/>
      <c r="GC97" s="194"/>
      <c r="GG97" s="12"/>
      <c r="GH97" s="13"/>
      <c r="GI97" s="12"/>
      <c r="GJ97" s="13"/>
      <c r="JI97" s="12"/>
      <c r="KB97" s="13"/>
    </row>
    <row r="98" spans="8:288" ht="18" customHeight="1">
      <c r="H98" s="4"/>
      <c r="AS98" s="149"/>
      <c r="AT98" s="150"/>
      <c r="AU98" s="149"/>
      <c r="AV98" s="170"/>
      <c r="AW98" s="149"/>
      <c r="AX98" s="150"/>
      <c r="AY98" s="150"/>
      <c r="AZ98" s="150"/>
      <c r="BA98" s="150"/>
      <c r="BB98" s="150"/>
      <c r="BC98" s="150"/>
      <c r="BD98" s="150"/>
      <c r="BE98" s="150"/>
      <c r="BF98" s="150"/>
      <c r="BG98" s="150"/>
      <c r="BH98" s="150"/>
      <c r="BI98" s="150"/>
      <c r="BJ98" s="150"/>
      <c r="BK98" s="150"/>
      <c r="BL98" s="151"/>
      <c r="BM98" s="150"/>
      <c r="BN98" s="150"/>
      <c r="BO98" s="150"/>
      <c r="BP98" s="150"/>
      <c r="BQ98" s="150"/>
      <c r="BR98" s="150"/>
      <c r="BS98" s="150"/>
      <c r="BT98" s="150"/>
      <c r="BU98" s="150"/>
      <c r="BV98" s="150"/>
      <c r="BW98" s="150"/>
      <c r="BX98" s="150"/>
      <c r="BY98" s="150"/>
      <c r="BZ98" s="150"/>
      <c r="CA98" s="150"/>
      <c r="CB98" s="150"/>
      <c r="CC98" s="149"/>
      <c r="CD98" s="150"/>
      <c r="CE98" s="150"/>
      <c r="CF98" s="150"/>
      <c r="CG98" s="150"/>
      <c r="CH98" s="150"/>
      <c r="CI98" s="150"/>
      <c r="CJ98" s="150"/>
      <c r="CK98" s="150"/>
      <c r="CL98" s="150"/>
      <c r="CM98" s="150"/>
      <c r="CN98" s="150"/>
      <c r="CO98" s="150"/>
      <c r="CP98" s="150"/>
      <c r="CQ98" s="150"/>
      <c r="CR98" s="151"/>
      <c r="CS98" s="172"/>
      <c r="CT98" s="151"/>
      <c r="CU98" s="150"/>
      <c r="CV98" s="151"/>
      <c r="DW98" s="5"/>
      <c r="EA98" s="12"/>
      <c r="EB98" s="13"/>
      <c r="EP98" s="195"/>
      <c r="ER98" s="13"/>
      <c r="EU98" s="190"/>
      <c r="EW98" s="24"/>
      <c r="EX98" s="12"/>
      <c r="EY98" s="9"/>
      <c r="EZ98" s="10"/>
      <c r="FA98" s="10"/>
      <c r="FB98" s="10"/>
      <c r="FC98" s="11"/>
      <c r="FH98" s="12"/>
      <c r="FI98" s="13"/>
      <c r="FK98" s="195"/>
      <c r="FM98" s="13"/>
      <c r="FP98" s="190"/>
      <c r="FQ98" s="13"/>
      <c r="FR98" s="18"/>
      <c r="FS98" s="12"/>
      <c r="FT98" s="13"/>
      <c r="FX98" s="195"/>
      <c r="FZ98" s="13"/>
      <c r="GC98" s="190"/>
      <c r="GG98" s="12"/>
      <c r="GH98" s="13"/>
      <c r="GI98" s="12"/>
      <c r="GJ98" s="13"/>
      <c r="HA98" s="9"/>
      <c r="HB98" s="11"/>
      <c r="JI98" s="12"/>
      <c r="KB98" s="13"/>
    </row>
    <row r="99" spans="8:288" ht="18" customHeight="1">
      <c r="H99" s="4"/>
      <c r="AS99" s="149"/>
      <c r="AT99" s="150"/>
      <c r="AU99" s="149"/>
      <c r="AV99" s="170"/>
      <c r="AW99" s="149"/>
      <c r="AX99" s="150"/>
      <c r="AY99" s="150"/>
      <c r="AZ99" s="150"/>
      <c r="BA99" s="150"/>
      <c r="BB99" s="150"/>
      <c r="BC99" s="150"/>
      <c r="BD99" s="150"/>
      <c r="BE99" s="150"/>
      <c r="BF99" s="150"/>
      <c r="BG99" s="150"/>
      <c r="BH99" s="150"/>
      <c r="BI99" s="150"/>
      <c r="BJ99" s="150"/>
      <c r="BK99" s="150"/>
      <c r="BL99" s="151"/>
      <c r="BM99" s="150"/>
      <c r="BN99" s="150"/>
      <c r="BO99" s="150"/>
      <c r="BP99" s="150"/>
      <c r="BQ99" s="150"/>
      <c r="BR99" s="150"/>
      <c r="BS99" s="150"/>
      <c r="BT99" s="150"/>
      <c r="BU99" s="150"/>
      <c r="BV99" s="150"/>
      <c r="BW99" s="150"/>
      <c r="BX99" s="150"/>
      <c r="BY99" s="150"/>
      <c r="BZ99" s="150"/>
      <c r="CA99" s="150"/>
      <c r="CB99" s="150"/>
      <c r="CC99" s="149"/>
      <c r="CD99" s="150"/>
      <c r="CE99" s="150"/>
      <c r="CF99" s="150"/>
      <c r="CG99" s="150"/>
      <c r="CH99" s="150"/>
      <c r="CI99" s="150"/>
      <c r="CJ99" s="150"/>
      <c r="CK99" s="150"/>
      <c r="CL99" s="150"/>
      <c r="CM99" s="150"/>
      <c r="CN99" s="150"/>
      <c r="CO99" s="150"/>
      <c r="CP99" s="150"/>
      <c r="CQ99" s="150"/>
      <c r="CR99" s="151"/>
      <c r="CS99" s="172"/>
      <c r="CT99" s="151"/>
      <c r="CU99" s="150"/>
      <c r="CV99" s="151"/>
      <c r="DW99" s="5"/>
      <c r="EA99" s="12"/>
      <c r="EB99" s="13"/>
      <c r="EP99" s="202"/>
      <c r="EQ99" s="15"/>
      <c r="ER99" s="16"/>
      <c r="EU99" s="190"/>
      <c r="EW99" s="24"/>
      <c r="EX99" s="12"/>
      <c r="EY99" s="12"/>
      <c r="FC99" s="13"/>
      <c r="FH99" s="12"/>
      <c r="FI99" s="13"/>
      <c r="FK99" s="202"/>
      <c r="FL99" s="15"/>
      <c r="FM99" s="16"/>
      <c r="FP99" s="190"/>
      <c r="FQ99" s="13"/>
      <c r="FR99" s="18"/>
      <c r="FS99" s="14"/>
      <c r="FT99" s="16"/>
      <c r="FX99" s="202"/>
      <c r="FY99" s="15"/>
      <c r="FZ99" s="16"/>
      <c r="GC99" s="190"/>
      <c r="GG99" s="14"/>
      <c r="GH99" s="16"/>
      <c r="GI99" s="12"/>
      <c r="GJ99" s="13"/>
      <c r="HA99" s="12"/>
      <c r="HB99" s="13"/>
      <c r="JI99" s="12"/>
      <c r="KB99" s="13"/>
    </row>
    <row r="100" spans="8:288" ht="18" customHeight="1">
      <c r="H100" s="4"/>
      <c r="AS100" s="149"/>
      <c r="AT100" s="150"/>
      <c r="AU100" s="149"/>
      <c r="AV100" s="170"/>
      <c r="AW100" s="149"/>
      <c r="AX100" s="150"/>
      <c r="AY100" s="150"/>
      <c r="AZ100" s="150"/>
      <c r="BA100" s="150"/>
      <c r="BB100" s="150"/>
      <c r="BC100" s="150"/>
      <c r="BD100" s="150"/>
      <c r="BE100" s="150"/>
      <c r="BF100" s="150"/>
      <c r="BG100" s="150"/>
      <c r="BH100" s="150"/>
      <c r="BI100" s="150"/>
      <c r="BJ100" s="150"/>
      <c r="BK100" s="150"/>
      <c r="BL100" s="151"/>
      <c r="BM100" s="150"/>
      <c r="BN100" s="150"/>
      <c r="BO100" s="150"/>
      <c r="BP100" s="150"/>
      <c r="BQ100" s="150"/>
      <c r="BR100" s="150"/>
      <c r="BS100" s="150"/>
      <c r="BT100" s="150"/>
      <c r="BU100" s="150"/>
      <c r="BV100" s="150"/>
      <c r="BW100" s="150"/>
      <c r="BX100" s="150"/>
      <c r="BY100" s="150"/>
      <c r="BZ100" s="150"/>
      <c r="CA100" s="150"/>
      <c r="CB100" s="150"/>
      <c r="CC100" s="149"/>
      <c r="CD100" s="150"/>
      <c r="CE100" s="150"/>
      <c r="CF100" s="150"/>
      <c r="CG100" s="150"/>
      <c r="CH100" s="150"/>
      <c r="CI100" s="150"/>
      <c r="CJ100" s="150"/>
      <c r="CK100" s="150"/>
      <c r="CL100" s="150"/>
      <c r="CM100" s="150"/>
      <c r="CN100" s="150"/>
      <c r="CO100" s="150"/>
      <c r="CP100" s="150"/>
      <c r="CQ100" s="150"/>
      <c r="CR100" s="151"/>
      <c r="CS100" s="172"/>
      <c r="CT100" s="151"/>
      <c r="CU100" s="150"/>
      <c r="CV100" s="151"/>
      <c r="DW100" s="5"/>
      <c r="EA100" s="12"/>
      <c r="EB100" s="13"/>
      <c r="EP100" s="195"/>
      <c r="ES100" s="9"/>
      <c r="ET100" s="10"/>
      <c r="EU100" s="189"/>
      <c r="EW100" s="24"/>
      <c r="EX100" s="12"/>
      <c r="EY100" s="12"/>
      <c r="FC100" s="13"/>
      <c r="FH100" s="12"/>
      <c r="FI100" s="13"/>
      <c r="FK100" s="195"/>
      <c r="FN100" s="9"/>
      <c r="FO100" s="10"/>
      <c r="FP100" s="189"/>
      <c r="FQ100" s="13"/>
      <c r="FR100" s="18"/>
      <c r="FS100" s="12"/>
      <c r="FX100" s="195"/>
      <c r="GA100" s="9"/>
      <c r="GB100" s="10"/>
      <c r="GC100" s="189"/>
      <c r="GI100" s="12"/>
      <c r="GJ100" s="13"/>
      <c r="HA100" s="12"/>
      <c r="HB100" s="13"/>
      <c r="JI100" s="12"/>
      <c r="KB100" s="13"/>
    </row>
    <row r="101" spans="8:288" ht="18" customHeight="1">
      <c r="H101" s="4"/>
      <c r="AS101" s="149"/>
      <c r="AT101" s="150"/>
      <c r="AU101" s="149"/>
      <c r="AV101" s="170"/>
      <c r="AW101" s="149"/>
      <c r="AX101" s="150"/>
      <c r="AY101" s="150"/>
      <c r="AZ101" s="150"/>
      <c r="BA101" s="150"/>
      <c r="BB101" s="150"/>
      <c r="BC101" s="150"/>
      <c r="BD101" s="150"/>
      <c r="BE101" s="150"/>
      <c r="BF101" s="150"/>
      <c r="BG101" s="150"/>
      <c r="BH101" s="150"/>
      <c r="BI101" s="150"/>
      <c r="BJ101" s="150"/>
      <c r="BK101" s="150"/>
      <c r="BL101" s="151"/>
      <c r="BM101" s="150"/>
      <c r="BN101" s="150"/>
      <c r="BO101" s="150"/>
      <c r="BP101" s="150"/>
      <c r="BQ101" s="150"/>
      <c r="BR101" s="150"/>
      <c r="BS101" s="150"/>
      <c r="BT101" s="150"/>
      <c r="BU101" s="150"/>
      <c r="BV101" s="150"/>
      <c r="BW101" s="150"/>
      <c r="BX101" s="150"/>
      <c r="BY101" s="150"/>
      <c r="BZ101" s="150"/>
      <c r="CA101" s="150"/>
      <c r="CB101" s="150"/>
      <c r="CC101" s="149"/>
      <c r="CD101" s="150"/>
      <c r="CE101" s="150"/>
      <c r="CF101" s="150"/>
      <c r="CG101" s="150"/>
      <c r="CH101" s="150"/>
      <c r="CI101" s="150"/>
      <c r="CJ101" s="150"/>
      <c r="CK101" s="150"/>
      <c r="CL101" s="150"/>
      <c r="CM101" s="150"/>
      <c r="CN101" s="150"/>
      <c r="CO101" s="150"/>
      <c r="CP101" s="150"/>
      <c r="CQ101" s="150"/>
      <c r="CR101" s="151"/>
      <c r="CS101" s="172"/>
      <c r="CT101" s="151"/>
      <c r="CU101" s="150"/>
      <c r="CV101" s="151"/>
      <c r="DW101" s="5"/>
      <c r="EA101" s="12"/>
      <c r="EB101" s="13"/>
      <c r="EP101" s="195"/>
      <c r="ES101" s="12"/>
      <c r="EU101" s="190"/>
      <c r="EW101" s="24"/>
      <c r="EX101" s="12"/>
      <c r="EY101" s="14"/>
      <c r="EZ101" s="15"/>
      <c r="FA101" s="15"/>
      <c r="FB101" s="15"/>
      <c r="FC101" s="16"/>
      <c r="FH101" s="12"/>
      <c r="FI101" s="13"/>
      <c r="FK101" s="195"/>
      <c r="FN101" s="12"/>
      <c r="FP101" s="190"/>
      <c r="FQ101" s="13"/>
      <c r="FR101" s="18"/>
      <c r="FS101" s="12"/>
      <c r="FX101" s="195"/>
      <c r="GA101" s="12"/>
      <c r="GC101" s="190"/>
      <c r="GI101" s="12"/>
      <c r="GJ101" s="13"/>
      <c r="HA101" s="12"/>
      <c r="HB101" s="13"/>
      <c r="JI101" s="12"/>
      <c r="KB101" s="13"/>
    </row>
    <row r="102" spans="8:288" ht="18" customHeight="1" thickBot="1">
      <c r="H102" s="4"/>
      <c r="AS102" s="149"/>
      <c r="AT102" s="150"/>
      <c r="AU102" s="149"/>
      <c r="AV102" s="170"/>
      <c r="AW102" s="149"/>
      <c r="AX102" s="150"/>
      <c r="AY102" s="150"/>
      <c r="AZ102" s="150"/>
      <c r="BA102" s="150"/>
      <c r="BB102" s="150"/>
      <c r="BC102" s="150"/>
      <c r="BD102" s="150"/>
      <c r="BE102" s="150"/>
      <c r="BF102" s="150"/>
      <c r="BG102" s="150"/>
      <c r="BH102" s="150"/>
      <c r="BI102" s="150"/>
      <c r="BJ102" s="150"/>
      <c r="BK102" s="150"/>
      <c r="BL102" s="151"/>
      <c r="BM102" s="150"/>
      <c r="BN102" s="150"/>
      <c r="BO102" s="150"/>
      <c r="BP102" s="150"/>
      <c r="BQ102" s="150"/>
      <c r="BR102" s="150"/>
      <c r="BS102" s="150"/>
      <c r="BT102" s="150"/>
      <c r="BU102" s="150"/>
      <c r="BV102" s="150"/>
      <c r="BW102" s="150"/>
      <c r="BX102" s="150"/>
      <c r="BY102" s="150"/>
      <c r="BZ102" s="150"/>
      <c r="CA102" s="150"/>
      <c r="CB102" s="150"/>
      <c r="CC102" s="149"/>
      <c r="CD102" s="150"/>
      <c r="CE102" s="150"/>
      <c r="CF102" s="150"/>
      <c r="CG102" s="150"/>
      <c r="CH102" s="150"/>
      <c r="CI102" s="150"/>
      <c r="CJ102" s="150"/>
      <c r="CK102" s="150"/>
      <c r="CL102" s="150"/>
      <c r="CM102" s="150"/>
      <c r="CN102" s="150"/>
      <c r="CO102" s="150"/>
      <c r="CP102" s="150"/>
      <c r="CQ102" s="150"/>
      <c r="CR102" s="151"/>
      <c r="CS102" s="172"/>
      <c r="CT102" s="151"/>
      <c r="CU102" s="150"/>
      <c r="CV102" s="151"/>
      <c r="DW102" s="5"/>
      <c r="EA102" s="12"/>
      <c r="EB102" s="13"/>
      <c r="EP102" s="196"/>
      <c r="EQ102" s="197"/>
      <c r="ER102" s="197"/>
      <c r="ES102" s="199"/>
      <c r="ET102" s="197"/>
      <c r="EU102" s="198"/>
      <c r="EW102" s="24"/>
      <c r="EX102" s="199"/>
      <c r="EY102" s="197"/>
      <c r="EZ102" s="197"/>
      <c r="FA102" s="197"/>
      <c r="FB102" s="197"/>
      <c r="FC102" s="197"/>
      <c r="FD102" s="197"/>
      <c r="FE102" s="197"/>
      <c r="FF102" s="197"/>
      <c r="FG102" s="200"/>
      <c r="FH102" s="12"/>
      <c r="FI102" s="13"/>
      <c r="FK102" s="196"/>
      <c r="FL102" s="197"/>
      <c r="FM102" s="197"/>
      <c r="FN102" s="199"/>
      <c r="FO102" s="197"/>
      <c r="FP102" s="198"/>
      <c r="FQ102" s="13"/>
      <c r="FR102" s="18"/>
      <c r="FS102" s="12"/>
      <c r="FX102" s="196"/>
      <c r="FY102" s="197"/>
      <c r="FZ102" s="197"/>
      <c r="GA102" s="199"/>
      <c r="GB102" s="197"/>
      <c r="GC102" s="198"/>
      <c r="GI102" s="12"/>
      <c r="GJ102" s="13"/>
      <c r="HA102" s="12"/>
      <c r="HB102" s="13"/>
      <c r="JI102" s="12"/>
      <c r="KB102" s="13"/>
    </row>
    <row r="103" spans="8:288" ht="18" customHeight="1" thickTop="1" thickBot="1">
      <c r="H103" s="4"/>
      <c r="AS103" s="149"/>
      <c r="AT103" s="150"/>
      <c r="AU103" s="149"/>
      <c r="AV103" s="170"/>
      <c r="AW103" s="149"/>
      <c r="AX103" s="150"/>
      <c r="AY103" s="150"/>
      <c r="AZ103" s="150"/>
      <c r="BA103" s="150"/>
      <c r="BB103" s="150"/>
      <c r="BC103" s="150"/>
      <c r="BD103" s="150"/>
      <c r="BE103" s="150"/>
      <c r="BF103" s="150"/>
      <c r="BG103" s="150"/>
      <c r="BH103" s="150"/>
      <c r="BI103" s="150"/>
      <c r="BJ103" s="150"/>
      <c r="BK103" s="150"/>
      <c r="BL103" s="151"/>
      <c r="BM103" s="150"/>
      <c r="BN103" s="150"/>
      <c r="BO103" s="150"/>
      <c r="BP103" s="150"/>
      <c r="BQ103" s="150"/>
      <c r="BR103" s="150"/>
      <c r="BS103" s="150"/>
      <c r="BT103" s="150"/>
      <c r="BU103" s="150"/>
      <c r="BV103" s="150"/>
      <c r="BW103" s="150"/>
      <c r="BX103" s="150"/>
      <c r="BY103" s="150"/>
      <c r="BZ103" s="150"/>
      <c r="CA103" s="150"/>
      <c r="CB103" s="150"/>
      <c r="CC103" s="149"/>
      <c r="CD103" s="150"/>
      <c r="CE103" s="150"/>
      <c r="CF103" s="150"/>
      <c r="CG103" s="150"/>
      <c r="CH103" s="150"/>
      <c r="CI103" s="150"/>
      <c r="CJ103" s="150"/>
      <c r="CK103" s="150"/>
      <c r="CL103" s="150"/>
      <c r="CM103" s="150"/>
      <c r="CN103" s="150"/>
      <c r="CO103" s="150"/>
      <c r="CP103" s="150"/>
      <c r="CQ103" s="150"/>
      <c r="CR103" s="151"/>
      <c r="CS103" s="172"/>
      <c r="CT103" s="151"/>
      <c r="CU103" s="150"/>
      <c r="CV103" s="151"/>
      <c r="DW103" s="5"/>
      <c r="EA103" s="12"/>
      <c r="EB103" s="13"/>
      <c r="EW103" s="24"/>
      <c r="EX103" s="12"/>
      <c r="FH103" s="12"/>
      <c r="FI103" s="13"/>
      <c r="FQ103" s="13"/>
      <c r="FR103" s="18"/>
      <c r="FS103" s="199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200"/>
      <c r="GI103" s="12"/>
      <c r="GJ103" s="13"/>
      <c r="HA103" s="12"/>
      <c r="HB103" s="13"/>
      <c r="JI103" s="12"/>
      <c r="KB103" s="13"/>
    </row>
    <row r="104" spans="8:288" ht="18" customHeight="1" thickTop="1">
      <c r="H104" s="4"/>
      <c r="AS104" s="149"/>
      <c r="AT104" s="150"/>
      <c r="AU104" s="149"/>
      <c r="AV104" s="170"/>
      <c r="AW104" s="149"/>
      <c r="AX104" s="150"/>
      <c r="AY104" s="150"/>
      <c r="AZ104" s="150"/>
      <c r="BA104" s="150"/>
      <c r="BB104" s="150"/>
      <c r="BC104" s="150"/>
      <c r="BD104" s="150"/>
      <c r="BE104" s="150"/>
      <c r="BF104" s="150"/>
      <c r="BG104" s="150"/>
      <c r="BH104" s="150"/>
      <c r="BI104" s="150"/>
      <c r="BJ104" s="150"/>
      <c r="BK104" s="150"/>
      <c r="BL104" s="151"/>
      <c r="BM104" s="150"/>
      <c r="BN104" s="150"/>
      <c r="BO104" s="150"/>
      <c r="BP104" s="150"/>
      <c r="BQ104" s="150"/>
      <c r="BR104" s="150"/>
      <c r="BS104" s="150"/>
      <c r="BT104" s="150"/>
      <c r="BU104" s="150"/>
      <c r="BV104" s="150"/>
      <c r="BW104" s="150"/>
      <c r="BX104" s="150"/>
      <c r="BY104" s="150"/>
      <c r="BZ104" s="150"/>
      <c r="CA104" s="150"/>
      <c r="CB104" s="150"/>
      <c r="CC104" s="149"/>
      <c r="CD104" s="150"/>
      <c r="CE104" s="150"/>
      <c r="CF104" s="150"/>
      <c r="CG104" s="150"/>
      <c r="CH104" s="150"/>
      <c r="CI104" s="150"/>
      <c r="CJ104" s="150"/>
      <c r="CK104" s="150"/>
      <c r="CL104" s="150"/>
      <c r="CM104" s="150"/>
      <c r="CN104" s="150"/>
      <c r="CO104" s="150"/>
      <c r="CP104" s="150"/>
      <c r="CQ104" s="150"/>
      <c r="CR104" s="151"/>
      <c r="CS104" s="172"/>
      <c r="CT104" s="151"/>
      <c r="CU104" s="150"/>
      <c r="CV104" s="151"/>
      <c r="DW104" s="5"/>
      <c r="EA104" s="12"/>
      <c r="EB104" s="13"/>
      <c r="EW104" s="24"/>
      <c r="EX104" s="12"/>
      <c r="EZ104" s="20"/>
      <c r="FA104" s="21"/>
      <c r="FB104" s="22"/>
      <c r="FH104" s="12"/>
      <c r="FI104" s="13"/>
      <c r="FQ104" s="13"/>
      <c r="FR104" s="18"/>
      <c r="FS104" s="12"/>
      <c r="FW104" s="12"/>
      <c r="GD104" s="13"/>
      <c r="GH104" s="13"/>
      <c r="GI104" s="12"/>
      <c r="GJ104" s="13"/>
      <c r="HA104" s="17"/>
      <c r="HB104" s="13"/>
      <c r="JI104" s="12"/>
      <c r="KB104" s="13"/>
    </row>
    <row r="105" spans="8:288" ht="18" customHeight="1">
      <c r="H105" s="4"/>
      <c r="AS105" s="149"/>
      <c r="AT105" s="150"/>
      <c r="AU105" s="149"/>
      <c r="AV105" s="170"/>
      <c r="AW105" s="149"/>
      <c r="AX105" s="150"/>
      <c r="AY105" s="150"/>
      <c r="AZ105" s="150"/>
      <c r="BA105" s="150"/>
      <c r="BB105" s="150"/>
      <c r="BC105" s="150"/>
      <c r="BD105" s="150"/>
      <c r="BE105" s="150"/>
      <c r="BF105" s="150"/>
      <c r="BG105" s="150"/>
      <c r="BH105" s="150"/>
      <c r="BI105" s="150"/>
      <c r="BJ105" s="150"/>
      <c r="BK105" s="150"/>
      <c r="BL105" s="151"/>
      <c r="BM105" s="150"/>
      <c r="BN105" s="150"/>
      <c r="BO105" s="150"/>
      <c r="BP105" s="150"/>
      <c r="BQ105" s="150"/>
      <c r="BR105" s="150"/>
      <c r="BS105" s="150"/>
      <c r="BT105" s="150"/>
      <c r="BU105" s="150"/>
      <c r="BV105" s="150"/>
      <c r="BW105" s="150"/>
      <c r="BX105" s="150"/>
      <c r="BY105" s="150"/>
      <c r="BZ105" s="150"/>
      <c r="CA105" s="150"/>
      <c r="CB105" s="150"/>
      <c r="CC105" s="149"/>
      <c r="CD105" s="150"/>
      <c r="CE105" s="150"/>
      <c r="CF105" s="150"/>
      <c r="CG105" s="150"/>
      <c r="CH105" s="150"/>
      <c r="CI105" s="150"/>
      <c r="CJ105" s="150"/>
      <c r="CK105" s="150"/>
      <c r="CL105" s="150"/>
      <c r="CM105" s="150"/>
      <c r="CN105" s="150"/>
      <c r="CO105" s="150"/>
      <c r="CP105" s="150"/>
      <c r="CQ105" s="150"/>
      <c r="CR105" s="151"/>
      <c r="CS105" s="172"/>
      <c r="CT105" s="151"/>
      <c r="CU105" s="150"/>
      <c r="CV105" s="151"/>
      <c r="DW105" s="5"/>
      <c r="EA105" s="12"/>
      <c r="EB105" s="13"/>
      <c r="EW105" s="24"/>
      <c r="EX105" s="12"/>
      <c r="FA105" s="131"/>
      <c r="FH105" s="12"/>
      <c r="FI105" s="13"/>
      <c r="FQ105" s="13"/>
      <c r="FR105" s="12"/>
      <c r="FS105" s="12"/>
      <c r="FW105" s="12"/>
      <c r="GD105" s="13"/>
      <c r="GE105" s="9"/>
      <c r="GF105" s="10"/>
      <c r="GG105" s="10"/>
      <c r="GH105" s="11"/>
      <c r="GI105" s="12"/>
      <c r="GJ105" s="13"/>
      <c r="HA105" s="18"/>
      <c r="HB105" s="13"/>
      <c r="JI105" s="12"/>
      <c r="KB105" s="13"/>
    </row>
    <row r="106" spans="8:288" ht="18" customHeight="1">
      <c r="H106" s="4"/>
      <c r="AS106" s="149"/>
      <c r="AT106" s="150"/>
      <c r="AU106" s="149"/>
      <c r="AV106" s="170"/>
      <c r="AW106" s="149"/>
      <c r="AX106" s="150"/>
      <c r="AY106" s="150"/>
      <c r="AZ106" s="150"/>
      <c r="BA106" s="150"/>
      <c r="BB106" s="150"/>
      <c r="BC106" s="150"/>
      <c r="BD106" s="150"/>
      <c r="BE106" s="150"/>
      <c r="BF106" s="150"/>
      <c r="BG106" s="150"/>
      <c r="BH106" s="150"/>
      <c r="BI106" s="150"/>
      <c r="BJ106" s="150"/>
      <c r="BK106" s="150"/>
      <c r="BL106" s="151"/>
      <c r="BM106" s="150"/>
      <c r="BN106" s="150"/>
      <c r="BO106" s="150"/>
      <c r="BP106" s="150"/>
      <c r="BQ106" s="150"/>
      <c r="BR106" s="150"/>
      <c r="BS106" s="150"/>
      <c r="BT106" s="150"/>
      <c r="BU106" s="150"/>
      <c r="BV106" s="150"/>
      <c r="BW106" s="150"/>
      <c r="BX106" s="150"/>
      <c r="BY106" s="150"/>
      <c r="BZ106" s="150"/>
      <c r="CA106" s="150"/>
      <c r="CB106" s="150"/>
      <c r="CC106" s="149"/>
      <c r="CD106" s="150"/>
      <c r="CE106" s="150"/>
      <c r="CF106" s="150"/>
      <c r="CG106" s="150"/>
      <c r="CH106" s="150"/>
      <c r="CI106" s="150"/>
      <c r="CJ106" s="150"/>
      <c r="CK106" s="150"/>
      <c r="CL106" s="150"/>
      <c r="CM106" s="150"/>
      <c r="CN106" s="150"/>
      <c r="CO106" s="150"/>
      <c r="CP106" s="150"/>
      <c r="CQ106" s="150"/>
      <c r="CR106" s="151"/>
      <c r="CS106" s="172"/>
      <c r="CT106" s="151"/>
      <c r="CU106" s="150"/>
      <c r="CV106" s="151"/>
      <c r="DW106" s="5"/>
      <c r="EA106" s="12"/>
      <c r="EB106" s="13"/>
      <c r="EC106" s="9"/>
      <c r="ED106" s="10"/>
      <c r="EE106" s="10"/>
      <c r="EF106" s="10"/>
      <c r="EG106" s="10"/>
      <c r="EH106" s="10"/>
      <c r="EI106" s="10"/>
      <c r="EJ106" s="10"/>
      <c r="EK106" s="10"/>
      <c r="EL106" s="10"/>
      <c r="EM106" s="10"/>
      <c r="EN106" s="11"/>
      <c r="EW106" s="24"/>
      <c r="EX106" s="12"/>
      <c r="FH106" s="12"/>
      <c r="FI106" s="13"/>
      <c r="FQ106" s="13"/>
      <c r="FR106" s="12"/>
      <c r="FS106" s="12"/>
      <c r="FW106" s="12"/>
      <c r="GD106" s="13"/>
      <c r="GE106" s="14"/>
      <c r="GF106" s="15"/>
      <c r="GG106" s="15"/>
      <c r="GH106" s="16"/>
      <c r="GI106" s="12"/>
      <c r="GJ106" s="13"/>
      <c r="GL106" s="131"/>
      <c r="GW106" s="131"/>
      <c r="HA106" s="18"/>
      <c r="HB106" s="13"/>
      <c r="JI106" s="12"/>
      <c r="KB106" s="13"/>
    </row>
    <row r="107" spans="8:288" ht="18" customHeight="1">
      <c r="H107" s="4"/>
      <c r="AS107" s="149"/>
      <c r="AT107" s="150"/>
      <c r="AU107" s="149"/>
      <c r="AV107" s="170"/>
      <c r="AW107" s="149"/>
      <c r="AX107" s="150"/>
      <c r="AY107" s="150"/>
      <c r="AZ107" s="150"/>
      <c r="BA107" s="150"/>
      <c r="BB107" s="150"/>
      <c r="BC107" s="150"/>
      <c r="BD107" s="150"/>
      <c r="BE107" s="150"/>
      <c r="BF107" s="150"/>
      <c r="BG107" s="150"/>
      <c r="BH107" s="150"/>
      <c r="BI107" s="150"/>
      <c r="BJ107" s="150"/>
      <c r="BK107" s="150"/>
      <c r="BL107" s="151"/>
      <c r="BM107" s="150"/>
      <c r="BN107" s="150"/>
      <c r="BO107" s="150"/>
      <c r="BP107" s="150"/>
      <c r="BQ107" s="150"/>
      <c r="BR107" s="150"/>
      <c r="BS107" s="150"/>
      <c r="BT107" s="150"/>
      <c r="BU107" s="150"/>
      <c r="BV107" s="150"/>
      <c r="BW107" s="150"/>
      <c r="BX107" s="150"/>
      <c r="BY107" s="150"/>
      <c r="BZ107" s="150"/>
      <c r="CA107" s="150"/>
      <c r="CB107" s="150"/>
      <c r="CC107" s="149"/>
      <c r="CD107" s="150"/>
      <c r="CE107" s="150"/>
      <c r="CF107" s="150"/>
      <c r="CG107" s="150"/>
      <c r="CH107" s="150"/>
      <c r="CI107" s="150"/>
      <c r="CJ107" s="150"/>
      <c r="CK107" s="150"/>
      <c r="CL107" s="150"/>
      <c r="CM107" s="150"/>
      <c r="CN107" s="150"/>
      <c r="CO107" s="150"/>
      <c r="CP107" s="150"/>
      <c r="CQ107" s="150"/>
      <c r="CR107" s="151"/>
      <c r="CS107" s="172"/>
      <c r="CT107" s="151"/>
      <c r="CU107" s="150"/>
      <c r="CV107" s="151"/>
      <c r="DW107" s="5"/>
      <c r="EA107" s="12"/>
      <c r="EC107" s="9"/>
      <c r="ED107" s="10"/>
      <c r="EE107" s="10"/>
      <c r="EF107" s="10"/>
      <c r="EG107" s="10"/>
      <c r="EH107" s="10"/>
      <c r="EI107" s="10"/>
      <c r="EJ107" s="10"/>
      <c r="EK107" s="10"/>
      <c r="EL107" s="10"/>
      <c r="EM107" s="10"/>
      <c r="EN107" s="11"/>
      <c r="EW107" s="24"/>
      <c r="EX107" s="12"/>
      <c r="FD107" s="9"/>
      <c r="FE107" s="11"/>
      <c r="FH107" s="12"/>
      <c r="FI107" s="13"/>
      <c r="FQ107" s="13"/>
      <c r="FR107" s="12"/>
      <c r="FS107" s="12"/>
      <c r="FW107" s="12"/>
      <c r="GD107" s="13"/>
      <c r="GE107" s="9"/>
      <c r="GF107" s="10"/>
      <c r="GG107" s="10"/>
      <c r="GH107" s="11"/>
      <c r="GI107" s="12"/>
      <c r="GJ107" s="13"/>
      <c r="GL107" s="9"/>
      <c r="GM107" s="10"/>
      <c r="GN107" s="10"/>
      <c r="GO107" s="10"/>
      <c r="GP107" s="10"/>
      <c r="GQ107" s="10"/>
      <c r="GR107" s="10"/>
      <c r="GS107" s="10"/>
      <c r="GT107" s="10"/>
      <c r="GU107" s="10"/>
      <c r="GV107" s="10"/>
      <c r="GW107" s="11"/>
      <c r="HA107" s="18"/>
      <c r="HB107" s="13"/>
      <c r="JI107" s="12"/>
      <c r="KB107" s="13"/>
    </row>
    <row r="108" spans="8:288" ht="18" customHeight="1">
      <c r="H108" s="4"/>
      <c r="AS108" s="149"/>
      <c r="AT108" s="150"/>
      <c r="AU108" s="149"/>
      <c r="AV108" s="170"/>
      <c r="AW108" s="149"/>
      <c r="AX108" s="150"/>
      <c r="AY108" s="150"/>
      <c r="AZ108" s="150"/>
      <c r="BA108" s="150"/>
      <c r="BB108" s="150"/>
      <c r="BC108" s="150"/>
      <c r="BD108" s="150"/>
      <c r="BE108" s="150"/>
      <c r="BF108" s="150"/>
      <c r="BG108" s="150"/>
      <c r="BH108" s="150"/>
      <c r="BI108" s="150"/>
      <c r="BJ108" s="150"/>
      <c r="BK108" s="150"/>
      <c r="BL108" s="151"/>
      <c r="BM108" s="150"/>
      <c r="BN108" s="150"/>
      <c r="BO108" s="150"/>
      <c r="BP108" s="150"/>
      <c r="BQ108" s="150"/>
      <c r="BR108" s="150"/>
      <c r="BS108" s="150"/>
      <c r="BT108" s="150"/>
      <c r="BU108" s="150"/>
      <c r="BV108" s="150"/>
      <c r="BW108" s="150"/>
      <c r="BX108" s="150"/>
      <c r="BY108" s="150"/>
      <c r="BZ108" s="150"/>
      <c r="CA108" s="150"/>
      <c r="CB108" s="150"/>
      <c r="CC108" s="149"/>
      <c r="CD108" s="150"/>
      <c r="CE108" s="150"/>
      <c r="CF108" s="150"/>
      <c r="CG108" s="150"/>
      <c r="CH108" s="150"/>
      <c r="CI108" s="150"/>
      <c r="CJ108" s="150"/>
      <c r="CK108" s="150"/>
      <c r="CL108" s="150"/>
      <c r="CM108" s="150"/>
      <c r="CN108" s="150"/>
      <c r="CO108" s="150"/>
      <c r="CP108" s="150"/>
      <c r="CQ108" s="150"/>
      <c r="CR108" s="151"/>
      <c r="CS108" s="172"/>
      <c r="CT108" s="151"/>
      <c r="CU108" s="150"/>
      <c r="CV108" s="151"/>
      <c r="DW108" s="5"/>
      <c r="EA108" s="12"/>
      <c r="EC108" s="12"/>
      <c r="EN108" s="13"/>
      <c r="EW108" s="24"/>
      <c r="EX108" s="12"/>
      <c r="FD108" s="12"/>
      <c r="FE108" s="13"/>
      <c r="FH108" s="12"/>
      <c r="FI108" s="13"/>
      <c r="FQ108" s="13"/>
      <c r="FR108" s="12"/>
      <c r="FS108" s="12"/>
      <c r="FW108" s="12"/>
      <c r="GD108" s="13"/>
      <c r="GE108" s="14"/>
      <c r="GF108" s="15"/>
      <c r="GG108" s="15"/>
      <c r="GH108" s="16"/>
      <c r="GI108" s="12"/>
      <c r="GJ108" s="13"/>
      <c r="GL108" s="12"/>
      <c r="GM108" s="9"/>
      <c r="GN108" s="10"/>
      <c r="GO108" s="10"/>
      <c r="GP108" s="10"/>
      <c r="GQ108" s="10"/>
      <c r="GR108" s="10"/>
      <c r="GS108" s="10"/>
      <c r="GT108" s="10"/>
      <c r="GU108" s="10"/>
      <c r="GV108" s="11"/>
      <c r="GW108" s="13"/>
      <c r="HA108" s="18"/>
      <c r="HB108" s="13"/>
      <c r="JI108" s="12"/>
      <c r="KB108" s="13"/>
    </row>
    <row r="109" spans="8:288" ht="18" customHeight="1">
      <c r="H109" s="4"/>
      <c r="AS109" s="149"/>
      <c r="AT109" s="150"/>
      <c r="AU109" s="149"/>
      <c r="AV109" s="170"/>
      <c r="AW109" s="149"/>
      <c r="AX109" s="150"/>
      <c r="AY109" s="150"/>
      <c r="AZ109" s="150"/>
      <c r="BA109" s="150"/>
      <c r="BB109" s="150"/>
      <c r="BC109" s="150"/>
      <c r="BD109" s="150"/>
      <c r="BE109" s="150"/>
      <c r="BF109" s="150"/>
      <c r="BG109" s="150"/>
      <c r="BH109" s="150"/>
      <c r="BI109" s="150"/>
      <c r="BJ109" s="150"/>
      <c r="BK109" s="150"/>
      <c r="BL109" s="151"/>
      <c r="BM109" s="150"/>
      <c r="BN109" s="150"/>
      <c r="BO109" s="150"/>
      <c r="BP109" s="150"/>
      <c r="BQ109" s="150"/>
      <c r="BR109" s="150"/>
      <c r="BS109" s="150"/>
      <c r="BT109" s="150"/>
      <c r="BU109" s="150"/>
      <c r="BV109" s="150"/>
      <c r="BW109" s="150"/>
      <c r="BX109" s="150"/>
      <c r="BY109" s="150"/>
      <c r="BZ109" s="150"/>
      <c r="CA109" s="150"/>
      <c r="CB109" s="150"/>
      <c r="CC109" s="149"/>
      <c r="CD109" s="150"/>
      <c r="CE109" s="150"/>
      <c r="CF109" s="150"/>
      <c r="CG109" s="150"/>
      <c r="CH109" s="150"/>
      <c r="CI109" s="150"/>
      <c r="CJ109" s="150"/>
      <c r="CK109" s="150"/>
      <c r="CL109" s="150"/>
      <c r="CM109" s="150"/>
      <c r="CN109" s="150"/>
      <c r="CO109" s="150"/>
      <c r="CP109" s="150"/>
      <c r="CQ109" s="150"/>
      <c r="CR109" s="151"/>
      <c r="CS109" s="172"/>
      <c r="CT109" s="151"/>
      <c r="CU109" s="150"/>
      <c r="CV109" s="151"/>
      <c r="DW109" s="5"/>
      <c r="EA109" s="12"/>
      <c r="EC109" s="14"/>
      <c r="ED109" s="20"/>
      <c r="EE109" s="21"/>
      <c r="EF109" s="21"/>
      <c r="EG109" s="21"/>
      <c r="EH109" s="21"/>
      <c r="EI109" s="21"/>
      <c r="EJ109" s="21"/>
      <c r="EK109" s="21"/>
      <c r="EL109" s="21"/>
      <c r="EM109" s="22"/>
      <c r="EN109" s="16"/>
      <c r="EO109" s="15"/>
      <c r="EP109" s="15"/>
      <c r="EQ109" s="15"/>
      <c r="ER109" s="15"/>
      <c r="ES109" s="15"/>
      <c r="ET109" s="15"/>
      <c r="EU109" s="15"/>
      <c r="EV109" s="15"/>
      <c r="EW109" s="25"/>
      <c r="EX109" s="14"/>
      <c r="EY109" s="15"/>
      <c r="EZ109" s="15"/>
      <c r="FA109" s="15"/>
      <c r="FB109" s="15"/>
      <c r="FC109" s="15"/>
      <c r="FD109" s="14"/>
      <c r="FE109" s="16"/>
      <c r="FF109" s="15"/>
      <c r="FG109" s="15"/>
      <c r="FH109" s="14"/>
      <c r="FI109" s="16"/>
      <c r="FJ109" s="15"/>
      <c r="FK109" s="15"/>
      <c r="FL109" s="15"/>
      <c r="FM109" s="15"/>
      <c r="FN109" s="15"/>
      <c r="FO109" s="15"/>
      <c r="FP109" s="15"/>
      <c r="FQ109" s="16"/>
      <c r="FR109" s="14"/>
      <c r="FS109" s="20"/>
      <c r="FT109" s="21"/>
      <c r="FU109" s="21"/>
      <c r="FV109" s="22"/>
      <c r="FW109" s="14"/>
      <c r="FX109" s="15"/>
      <c r="FY109" s="15"/>
      <c r="FZ109" s="15"/>
      <c r="GA109" s="15"/>
      <c r="GB109" s="15"/>
      <c r="GC109" s="15"/>
      <c r="GD109" s="16"/>
      <c r="GE109" s="15"/>
      <c r="GF109" s="15"/>
      <c r="GG109" s="15"/>
      <c r="GH109" s="16"/>
      <c r="GI109" s="12"/>
      <c r="GJ109" s="13"/>
      <c r="GL109" s="14"/>
      <c r="GM109" s="14"/>
      <c r="GN109" s="15"/>
      <c r="GO109" s="15"/>
      <c r="GP109" s="15"/>
      <c r="GQ109" s="15"/>
      <c r="GR109" s="15"/>
      <c r="GS109" s="15"/>
      <c r="GT109" s="15"/>
      <c r="GU109" s="15"/>
      <c r="GV109" s="16"/>
      <c r="GW109" s="16"/>
      <c r="HA109" s="19"/>
      <c r="HB109" s="13"/>
      <c r="JI109" s="12"/>
      <c r="KB109" s="13"/>
    </row>
    <row r="110" spans="8:288" ht="18" customHeight="1">
      <c r="H110" s="4"/>
      <c r="AS110" s="149"/>
      <c r="AT110" s="150"/>
      <c r="AU110" s="149"/>
      <c r="AV110" s="170"/>
      <c r="AW110" s="149"/>
      <c r="AX110" s="150"/>
      <c r="AY110" s="150"/>
      <c r="AZ110" s="150"/>
      <c r="BA110" s="150"/>
      <c r="BB110" s="150"/>
      <c r="BC110" s="150"/>
      <c r="BD110" s="150"/>
      <c r="BE110" s="150"/>
      <c r="BF110" s="150"/>
      <c r="BG110" s="150"/>
      <c r="BH110" s="150"/>
      <c r="BI110" s="150"/>
      <c r="BJ110" s="150"/>
      <c r="BK110" s="150"/>
      <c r="BL110" s="151"/>
      <c r="BM110" s="150"/>
      <c r="BN110" s="150"/>
      <c r="BO110" s="150"/>
      <c r="BP110" s="150"/>
      <c r="BQ110" s="150"/>
      <c r="BR110" s="150"/>
      <c r="BS110" s="150"/>
      <c r="BT110" s="150"/>
      <c r="BU110" s="150"/>
      <c r="BV110" s="150"/>
      <c r="BW110" s="150"/>
      <c r="BX110" s="150"/>
      <c r="BY110" s="150"/>
      <c r="BZ110" s="150"/>
      <c r="CA110" s="150"/>
      <c r="CB110" s="150"/>
      <c r="CC110" s="149"/>
      <c r="CD110" s="150"/>
      <c r="CE110" s="150"/>
      <c r="CF110" s="150"/>
      <c r="CG110" s="150"/>
      <c r="CH110" s="150"/>
      <c r="CI110" s="150"/>
      <c r="CJ110" s="150"/>
      <c r="CK110" s="150"/>
      <c r="CL110" s="150"/>
      <c r="CM110" s="150"/>
      <c r="CN110" s="150"/>
      <c r="CO110" s="150"/>
      <c r="CP110" s="150"/>
      <c r="CQ110" s="150"/>
      <c r="CR110" s="151"/>
      <c r="CS110" s="172"/>
      <c r="CT110" s="151"/>
      <c r="CU110" s="150"/>
      <c r="CV110" s="151"/>
      <c r="DW110" s="5"/>
      <c r="EA110" s="12"/>
      <c r="EB110" s="13"/>
      <c r="EO110" s="10"/>
      <c r="EP110" s="10"/>
      <c r="EQ110" s="10"/>
      <c r="ER110" s="10"/>
      <c r="ES110" s="10"/>
      <c r="ET110" s="10"/>
      <c r="EU110" s="10"/>
      <c r="EV110" s="10"/>
      <c r="EW110" s="10"/>
      <c r="EX110" s="10"/>
      <c r="EY110" s="10"/>
      <c r="EZ110" s="10"/>
      <c r="FA110" s="10"/>
      <c r="FB110" s="10"/>
      <c r="FC110" s="10"/>
      <c r="FD110" s="10"/>
      <c r="FE110" s="10"/>
      <c r="FF110" s="10"/>
      <c r="FG110" s="10"/>
      <c r="FH110" s="10"/>
      <c r="FI110" s="10"/>
      <c r="FJ110" s="10"/>
      <c r="FK110" s="10"/>
      <c r="FL110" s="10"/>
      <c r="FM110" s="10"/>
      <c r="FN110" s="10"/>
      <c r="FO110" s="10"/>
      <c r="FP110" s="10"/>
      <c r="FQ110" s="10"/>
      <c r="FR110" s="10"/>
      <c r="GI110" s="12"/>
      <c r="GJ110" s="13"/>
      <c r="GK110" s="9"/>
      <c r="GL110" s="10"/>
      <c r="GM110" s="10"/>
      <c r="GN110" s="10"/>
      <c r="GO110" s="10"/>
      <c r="GP110" s="10"/>
      <c r="GQ110" s="10"/>
      <c r="GR110" s="10"/>
      <c r="GS110" s="10"/>
      <c r="GT110" s="10"/>
      <c r="GU110" s="10"/>
      <c r="GV110" s="10"/>
      <c r="GW110" s="10"/>
      <c r="GX110" s="10"/>
      <c r="GY110" s="10"/>
      <c r="GZ110" s="10"/>
      <c r="HA110" s="11"/>
      <c r="HB110" s="13"/>
      <c r="JI110" s="12"/>
      <c r="KB110" s="13"/>
    </row>
    <row r="111" spans="8:288" ht="18" customHeight="1">
      <c r="H111" s="4"/>
      <c r="AS111" s="149"/>
      <c r="AT111" s="150"/>
      <c r="AU111" s="149"/>
      <c r="AV111" s="170"/>
      <c r="AW111" s="152"/>
      <c r="AX111" s="153"/>
      <c r="AY111" s="153"/>
      <c r="AZ111" s="153"/>
      <c r="BA111" s="153"/>
      <c r="BB111" s="153"/>
      <c r="BC111" s="153"/>
      <c r="BD111" s="153"/>
      <c r="BE111" s="153"/>
      <c r="BF111" s="153"/>
      <c r="BG111" s="153"/>
      <c r="BH111" s="153"/>
      <c r="BI111" s="153"/>
      <c r="BJ111" s="153"/>
      <c r="BK111" s="153"/>
      <c r="BL111" s="154"/>
      <c r="BM111" s="153"/>
      <c r="BN111" s="153"/>
      <c r="BO111" s="153"/>
      <c r="BP111" s="153"/>
      <c r="BQ111" s="153"/>
      <c r="BR111" s="153"/>
      <c r="BS111" s="153"/>
      <c r="BT111" s="150"/>
      <c r="BU111" s="150"/>
      <c r="BV111" s="153"/>
      <c r="BW111" s="153"/>
      <c r="BX111" s="153"/>
      <c r="BY111" s="153"/>
      <c r="BZ111" s="153"/>
      <c r="CA111" s="153"/>
      <c r="CB111" s="153"/>
      <c r="CC111" s="152"/>
      <c r="CD111" s="153"/>
      <c r="CE111" s="153"/>
      <c r="CF111" s="153"/>
      <c r="CG111" s="153"/>
      <c r="CH111" s="153"/>
      <c r="CI111" s="153"/>
      <c r="CJ111" s="153"/>
      <c r="CK111" s="153"/>
      <c r="CL111" s="153"/>
      <c r="CM111" s="153"/>
      <c r="CN111" s="153"/>
      <c r="CO111" s="153"/>
      <c r="CP111" s="153"/>
      <c r="CQ111" s="153"/>
      <c r="CR111" s="154"/>
      <c r="CS111" s="172"/>
      <c r="CT111" s="151"/>
      <c r="CU111" s="150"/>
      <c r="CV111" s="151"/>
      <c r="DW111" s="5"/>
      <c r="EA111" s="12"/>
      <c r="EB111" s="13"/>
      <c r="GI111" s="12"/>
      <c r="GK111" s="12"/>
      <c r="HA111" s="13"/>
      <c r="HB111" s="13"/>
      <c r="JI111" s="14"/>
      <c r="JJ111" s="15"/>
      <c r="JK111" s="15"/>
      <c r="JL111" s="15"/>
      <c r="JM111" s="15"/>
      <c r="JN111" s="15"/>
      <c r="JO111" s="15"/>
      <c r="JP111" s="15"/>
      <c r="JQ111" s="15"/>
      <c r="JR111" s="15"/>
      <c r="JS111" s="15"/>
      <c r="JT111" s="15"/>
      <c r="JU111" s="15"/>
      <c r="JV111" s="15"/>
      <c r="JW111" s="15"/>
      <c r="JX111" s="15"/>
      <c r="JY111" s="15"/>
      <c r="JZ111" s="15"/>
      <c r="KA111" s="15"/>
      <c r="KB111" s="16"/>
    </row>
    <row r="112" spans="8:288" ht="18" customHeight="1">
      <c r="H112" s="4"/>
      <c r="AS112" s="149"/>
      <c r="AT112" s="150"/>
      <c r="AU112" s="146"/>
      <c r="AV112" s="148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75"/>
      <c r="BI112" s="175"/>
      <c r="BJ112" s="175"/>
      <c r="BK112" s="175"/>
      <c r="BL112" s="175"/>
      <c r="BM112" s="175"/>
      <c r="BN112" s="175"/>
      <c r="BO112" s="175"/>
      <c r="BP112" s="175"/>
      <c r="BQ112" s="175"/>
      <c r="BR112" s="175"/>
      <c r="BS112" s="175"/>
      <c r="BT112" s="146"/>
      <c r="BU112" s="148"/>
      <c r="BV112" s="175"/>
      <c r="BW112" s="175"/>
      <c r="BX112" s="175"/>
      <c r="BY112" s="175"/>
      <c r="BZ112" s="175"/>
      <c r="CA112" s="175"/>
      <c r="CB112" s="175"/>
      <c r="CC112" s="175"/>
      <c r="CD112" s="175"/>
      <c r="CE112" s="175"/>
      <c r="CF112" s="175"/>
      <c r="CG112" s="175"/>
      <c r="CH112" s="175"/>
      <c r="CI112" s="175"/>
      <c r="CJ112" s="175"/>
      <c r="CK112" s="175"/>
      <c r="CL112" s="175"/>
      <c r="CM112" s="175"/>
      <c r="CN112" s="175"/>
      <c r="CO112" s="175"/>
      <c r="CP112" s="175"/>
      <c r="CQ112" s="175"/>
      <c r="CR112" s="175"/>
      <c r="CS112" s="146"/>
      <c r="CT112" s="148"/>
      <c r="CU112" s="150"/>
      <c r="CV112" s="151"/>
      <c r="DW112" s="5"/>
      <c r="EA112" s="12"/>
      <c r="EB112" s="13"/>
      <c r="GI112" s="12"/>
      <c r="GK112" s="12"/>
      <c r="HA112" s="13"/>
      <c r="HB112" s="13"/>
    </row>
    <row r="113" spans="8:217" ht="18" customHeight="1" thickBot="1">
      <c r="H113" s="4"/>
      <c r="AS113" s="149"/>
      <c r="AT113" s="150"/>
      <c r="AU113" s="152"/>
      <c r="AV113" s="154"/>
      <c r="AW113" s="153"/>
      <c r="AX113" s="153"/>
      <c r="AY113" s="153"/>
      <c r="AZ113" s="153"/>
      <c r="BA113" s="153"/>
      <c r="BB113" s="153"/>
      <c r="BC113" s="153"/>
      <c r="BD113" s="153"/>
      <c r="BE113" s="153"/>
      <c r="BF113" s="153"/>
      <c r="BG113" s="153"/>
      <c r="BH113" s="153"/>
      <c r="BI113" s="153"/>
      <c r="BJ113" s="153"/>
      <c r="BK113" s="153"/>
      <c r="BL113" s="153"/>
      <c r="BM113" s="153"/>
      <c r="BN113" s="153"/>
      <c r="BO113" s="153"/>
      <c r="BP113" s="153"/>
      <c r="BQ113" s="153"/>
      <c r="BR113" s="153"/>
      <c r="BS113" s="153"/>
      <c r="BT113" s="152"/>
      <c r="BU113" s="154"/>
      <c r="BV113" s="153"/>
      <c r="BW113" s="153"/>
      <c r="BX113" s="153"/>
      <c r="BY113" s="153"/>
      <c r="BZ113" s="153"/>
      <c r="CA113" s="153"/>
      <c r="CB113" s="153"/>
      <c r="CC113" s="153"/>
      <c r="CD113" s="153"/>
      <c r="CE113" s="153"/>
      <c r="CF113" s="153"/>
      <c r="CG113" s="153"/>
      <c r="CH113" s="153"/>
      <c r="CI113" s="153"/>
      <c r="CJ113" s="153"/>
      <c r="CK113" s="153"/>
      <c r="CL113" s="153"/>
      <c r="CM113" s="153"/>
      <c r="CN113" s="153"/>
      <c r="CO113" s="153"/>
      <c r="CP113" s="153"/>
      <c r="CQ113" s="153"/>
      <c r="CR113" s="153"/>
      <c r="CS113" s="152"/>
      <c r="CT113" s="154"/>
      <c r="CU113" s="150"/>
      <c r="CV113" s="151"/>
      <c r="DW113" s="5"/>
      <c r="DY113" s="7"/>
      <c r="DZ113" s="7"/>
      <c r="EA113" s="12"/>
      <c r="EB113" s="13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12"/>
      <c r="GK113" s="179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180"/>
      <c r="HB113" s="180"/>
      <c r="HC113" s="7"/>
      <c r="HD113" s="7"/>
      <c r="HE113" s="7"/>
      <c r="HF113" s="7"/>
      <c r="HG113" s="7"/>
      <c r="HH113" s="7"/>
      <c r="HI113" s="7"/>
    </row>
    <row r="114" spans="8:217" ht="18" customHeight="1">
      <c r="H114" s="4"/>
      <c r="AS114" s="149"/>
      <c r="AT114" s="150"/>
      <c r="AU114" s="150"/>
      <c r="AV114" s="150"/>
      <c r="AW114" s="150"/>
      <c r="AX114" s="150"/>
      <c r="AY114" s="150"/>
      <c r="AZ114" s="150"/>
      <c r="BA114" s="150"/>
      <c r="BB114" s="150"/>
      <c r="BC114" s="150"/>
      <c r="BD114" s="150"/>
      <c r="BE114" s="150"/>
      <c r="BF114" s="150"/>
      <c r="BG114" s="150"/>
      <c r="BH114" s="150"/>
      <c r="BI114" s="150"/>
      <c r="BJ114" s="150"/>
      <c r="BK114" s="150"/>
      <c r="BL114" s="150"/>
      <c r="BM114" s="150"/>
      <c r="BN114" s="150"/>
      <c r="BO114" s="150"/>
      <c r="BP114" s="150"/>
      <c r="BQ114" s="150"/>
      <c r="BR114" s="150"/>
      <c r="BS114" s="150"/>
      <c r="BT114" s="150"/>
      <c r="BU114" s="150"/>
      <c r="BV114" s="150"/>
      <c r="BW114" s="150"/>
      <c r="BX114" s="150"/>
      <c r="BY114" s="150"/>
      <c r="BZ114" s="150"/>
      <c r="CA114" s="150"/>
      <c r="CB114" s="150"/>
      <c r="CC114" s="150"/>
      <c r="CD114" s="150"/>
      <c r="CE114" s="150"/>
      <c r="CF114" s="150"/>
      <c r="CG114" s="150"/>
      <c r="CH114" s="150"/>
      <c r="CI114" s="150"/>
      <c r="CJ114" s="150"/>
      <c r="CK114" s="150"/>
      <c r="CL114" s="150"/>
      <c r="CM114" s="150"/>
      <c r="CN114" s="150"/>
      <c r="CO114" s="150"/>
      <c r="CP114" s="150"/>
      <c r="CQ114" s="150"/>
      <c r="CR114" s="150"/>
      <c r="CS114" s="150"/>
      <c r="CT114" s="150"/>
      <c r="CU114" s="150"/>
      <c r="CV114" s="151"/>
      <c r="DW114" s="5"/>
      <c r="EA114" s="12"/>
      <c r="EB114" s="13"/>
      <c r="GI114" s="12"/>
      <c r="GJ114" s="13"/>
    </row>
    <row r="115" spans="8:217" ht="18" customHeight="1">
      <c r="H115" s="4"/>
      <c r="AS115" s="152"/>
      <c r="AT115" s="153"/>
      <c r="AU115" s="153"/>
      <c r="AV115" s="153"/>
      <c r="AW115" s="153"/>
      <c r="AX115" s="153"/>
      <c r="AY115" s="153"/>
      <c r="AZ115" s="153"/>
      <c r="BA115" s="153"/>
      <c r="BB115" s="153"/>
      <c r="BC115" s="153"/>
      <c r="BD115" s="153"/>
      <c r="BE115" s="153"/>
      <c r="BF115" s="153"/>
      <c r="BG115" s="153"/>
      <c r="BH115" s="153"/>
      <c r="BI115" s="153"/>
      <c r="BJ115" s="153"/>
      <c r="BK115" s="153"/>
      <c r="BL115" s="153"/>
      <c r="BM115" s="153"/>
      <c r="BN115" s="153"/>
      <c r="BO115" s="153"/>
      <c r="BP115" s="153"/>
      <c r="BQ115" s="153"/>
      <c r="BR115" s="153"/>
      <c r="BS115" s="153"/>
      <c r="BT115" s="153"/>
      <c r="BU115" s="153"/>
      <c r="BV115" s="153"/>
      <c r="BW115" s="153"/>
      <c r="BX115" s="153"/>
      <c r="BY115" s="153"/>
      <c r="BZ115" s="153"/>
      <c r="CA115" s="153"/>
      <c r="CB115" s="153"/>
      <c r="CC115" s="153"/>
      <c r="CD115" s="153"/>
      <c r="CE115" s="153"/>
      <c r="CF115" s="153"/>
      <c r="CG115" s="153"/>
      <c r="CH115" s="153"/>
      <c r="CI115" s="153"/>
      <c r="CJ115" s="153"/>
      <c r="CK115" s="153"/>
      <c r="CL115" s="153"/>
      <c r="CM115" s="153"/>
      <c r="CN115" s="153"/>
      <c r="CO115" s="153"/>
      <c r="CP115" s="153"/>
      <c r="CQ115" s="153"/>
      <c r="CR115" s="153"/>
      <c r="CS115" s="153"/>
      <c r="CT115" s="153"/>
      <c r="CU115" s="153"/>
      <c r="CV115" s="154"/>
      <c r="DW115" s="5"/>
      <c r="EA115" s="12"/>
      <c r="EB115" s="13"/>
      <c r="GI115" s="12"/>
      <c r="GJ115" s="13"/>
    </row>
    <row r="116" spans="8:217" ht="18" customHeight="1">
      <c r="H116" s="4"/>
      <c r="DW116" s="5"/>
      <c r="EA116" s="12"/>
      <c r="EB116" s="13"/>
      <c r="GI116" s="12"/>
      <c r="GJ116" s="13"/>
    </row>
    <row r="117" spans="8:217" ht="18" customHeight="1">
      <c r="H117" s="4"/>
      <c r="DW117" s="5"/>
      <c r="EA117" s="14"/>
      <c r="EB117" s="16"/>
      <c r="GI117" s="14"/>
      <c r="GJ117" s="16"/>
    </row>
    <row r="118" spans="8:217" ht="18" customHeight="1">
      <c r="H118" s="4"/>
      <c r="DW118" s="5"/>
    </row>
    <row r="119" spans="8:217" ht="18" customHeight="1">
      <c r="H119" s="4"/>
      <c r="DW119" s="5"/>
    </row>
    <row r="120" spans="8:217" ht="18" customHeight="1">
      <c r="H120" s="4"/>
      <c r="DW120" s="5"/>
    </row>
    <row r="121" spans="8:217" ht="18" customHeight="1">
      <c r="H121" s="4"/>
      <c r="DW121" s="5"/>
    </row>
    <row r="122" spans="8:217" ht="18" customHeight="1">
      <c r="H122" s="4"/>
      <c r="DW122" s="5"/>
    </row>
    <row r="123" spans="8:217" ht="18" customHeight="1">
      <c r="H123" s="4"/>
      <c r="DW123" s="5"/>
    </row>
    <row r="124" spans="8:217" ht="18" customHeight="1">
      <c r="H124" s="4"/>
      <c r="DW124" s="5"/>
    </row>
    <row r="125" spans="8:217" ht="18" customHeight="1" thickBot="1">
      <c r="H125" s="6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8"/>
    </row>
    <row r="142" spans="158:434" ht="18" customHeight="1">
      <c r="LH142" s="15"/>
      <c r="LI142" s="15"/>
      <c r="LJ142" s="15"/>
      <c r="LK142" s="15"/>
      <c r="LL142" s="15"/>
      <c r="LM142" s="15"/>
    </row>
    <row r="143" spans="158:434" ht="18" customHeight="1">
      <c r="IB143" s="9"/>
      <c r="IC143" s="10"/>
      <c r="ID143" s="10"/>
      <c r="IE143" s="10"/>
      <c r="IF143" s="10"/>
      <c r="IG143" s="10"/>
      <c r="IH143" s="10"/>
      <c r="II143" s="10"/>
      <c r="IJ143" s="10"/>
      <c r="IK143" s="10"/>
      <c r="IL143" s="10"/>
      <c r="IM143" s="10"/>
      <c r="IN143" s="10"/>
      <c r="IO143" s="10"/>
      <c r="IP143" s="10"/>
      <c r="IQ143" s="10"/>
      <c r="IR143" s="10"/>
      <c r="IS143" s="10"/>
      <c r="IT143" s="10"/>
      <c r="IU143" s="10"/>
      <c r="IV143" s="10"/>
      <c r="IW143" s="10"/>
      <c r="IX143" s="10"/>
      <c r="IY143" s="10"/>
      <c r="IZ143" s="10"/>
      <c r="JA143" s="10"/>
      <c r="JB143" s="10"/>
      <c r="JC143" s="10"/>
      <c r="JD143" s="10"/>
      <c r="JE143" s="10"/>
      <c r="JF143" s="10"/>
      <c r="JG143" s="10"/>
      <c r="JH143" s="10"/>
      <c r="JI143" s="10"/>
      <c r="JJ143" s="10"/>
      <c r="JK143" s="10"/>
      <c r="JL143" s="10"/>
      <c r="JM143" s="10"/>
      <c r="JN143" s="10"/>
      <c r="JO143" s="10"/>
      <c r="JP143" s="10"/>
      <c r="JQ143" s="10"/>
      <c r="JR143" s="10"/>
      <c r="JS143" s="10"/>
      <c r="JT143" s="10"/>
      <c r="JU143" s="10"/>
      <c r="JV143" s="10"/>
      <c r="JW143" s="10"/>
      <c r="JX143" s="10"/>
      <c r="JY143" s="10"/>
      <c r="JZ143" s="10"/>
      <c r="KA143" s="10"/>
      <c r="KB143" s="10"/>
      <c r="KC143" s="12"/>
      <c r="KM143" s="9"/>
      <c r="KN143" s="10"/>
      <c r="KO143" s="10"/>
      <c r="KP143" s="10"/>
      <c r="KQ143" s="10"/>
      <c r="KR143" s="10"/>
      <c r="KS143" s="10"/>
      <c r="KT143" s="10"/>
      <c r="KU143" s="10"/>
      <c r="KV143" s="10"/>
      <c r="KW143" s="10"/>
      <c r="KX143" s="10"/>
      <c r="KY143" s="10"/>
      <c r="KZ143" s="10"/>
      <c r="LA143" s="10"/>
      <c r="LB143" s="10"/>
      <c r="LC143" s="10"/>
      <c r="LD143" s="10"/>
      <c r="LE143" s="10"/>
      <c r="LF143" s="10"/>
      <c r="LG143" s="10"/>
      <c r="LH143" s="10"/>
      <c r="LI143" s="10"/>
      <c r="LJ143" s="10"/>
      <c r="LK143" s="10"/>
      <c r="LL143" s="10"/>
      <c r="LM143" s="10"/>
      <c r="LN143" s="10"/>
      <c r="LO143" s="10"/>
      <c r="LP143" s="10"/>
      <c r="LQ143" s="10"/>
      <c r="LR143" s="10"/>
      <c r="LS143" s="10"/>
      <c r="LT143" s="10"/>
      <c r="LU143" s="10"/>
      <c r="LV143" s="10"/>
      <c r="LW143" s="10"/>
      <c r="LX143" s="10"/>
      <c r="LY143" s="10"/>
      <c r="LZ143" s="10"/>
      <c r="MA143" s="11"/>
    </row>
    <row r="144" spans="158:434" ht="18" customHeight="1">
      <c r="FB144" s="15"/>
      <c r="FC144" s="15"/>
      <c r="FD144" s="15"/>
      <c r="FE144" s="15"/>
      <c r="FF144" s="15"/>
      <c r="FG144" s="15"/>
      <c r="FH144" s="15"/>
      <c r="FI144" s="15"/>
      <c r="IB144" s="12"/>
      <c r="KC144" s="12"/>
      <c r="KM144" s="12"/>
      <c r="MA144" s="13"/>
      <c r="NV144" s="9"/>
      <c r="NW144" s="10"/>
      <c r="NX144" s="10"/>
      <c r="NY144" s="10"/>
      <c r="NZ144" s="10"/>
      <c r="OA144" s="10"/>
      <c r="OB144" s="10"/>
      <c r="OC144" s="10"/>
      <c r="OD144" s="10"/>
      <c r="OE144" s="10"/>
      <c r="OF144" s="10"/>
      <c r="OG144" s="10"/>
      <c r="OH144" s="10"/>
      <c r="OI144" s="10"/>
      <c r="OJ144" s="10"/>
      <c r="OK144" s="10"/>
      <c r="OL144" s="10"/>
      <c r="OM144" s="10"/>
      <c r="ON144" s="10"/>
      <c r="OO144" s="10"/>
      <c r="OP144" s="10"/>
      <c r="OQ144" s="10"/>
      <c r="OR144" s="10"/>
      <c r="OS144" s="10"/>
      <c r="OT144" s="10"/>
      <c r="OU144" s="10"/>
      <c r="OV144" s="10"/>
      <c r="OW144" s="10"/>
      <c r="OX144" s="10"/>
      <c r="OY144" s="10"/>
      <c r="OZ144" s="10"/>
      <c r="PA144" s="10"/>
      <c r="PB144" s="10"/>
      <c r="PC144" s="10"/>
      <c r="PD144" s="10"/>
      <c r="PE144" s="10"/>
      <c r="PF144" s="10"/>
      <c r="PG144" s="10"/>
      <c r="PH144" s="10"/>
      <c r="PI144" s="10"/>
      <c r="PJ144" s="10"/>
      <c r="PK144" s="10"/>
      <c r="PL144" s="10"/>
      <c r="PM144" s="10"/>
      <c r="PN144" s="10"/>
      <c r="PO144" s="10"/>
      <c r="PP144" s="10"/>
      <c r="PQ144" s="10"/>
      <c r="PR144" s="11"/>
    </row>
    <row r="145" spans="32:434" ht="18" customHeight="1">
      <c r="EH145" s="40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3"/>
      <c r="FC145" s="123"/>
      <c r="FD145" s="109"/>
      <c r="FE145" s="109"/>
      <c r="FF145" s="109"/>
      <c r="FG145" s="109"/>
      <c r="FH145" s="124"/>
      <c r="FI145" s="43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4"/>
      <c r="IB145" s="12"/>
      <c r="ID145" s="9"/>
      <c r="IE145" s="10"/>
      <c r="IF145" s="10"/>
      <c r="IG145" s="10"/>
      <c r="IH145" s="11"/>
      <c r="II145" s="9"/>
      <c r="IJ145" s="10"/>
      <c r="IK145" s="10"/>
      <c r="IL145" s="10"/>
      <c r="IM145" s="11"/>
      <c r="IN145" s="9"/>
      <c r="IO145" s="10"/>
      <c r="IP145" s="10"/>
      <c r="IQ145" s="10"/>
      <c r="IR145" s="10"/>
      <c r="IS145" s="10"/>
      <c r="IT145" s="10"/>
      <c r="IU145" s="11"/>
      <c r="IV145" s="17"/>
      <c r="IW145" s="9"/>
      <c r="IX145" s="10"/>
      <c r="IY145" s="10"/>
      <c r="IZ145" s="10"/>
      <c r="JA145" s="11"/>
      <c r="JB145" s="10"/>
      <c r="JC145" s="10"/>
      <c r="JD145" s="10"/>
      <c r="JE145" s="10"/>
      <c r="JF145" s="11"/>
      <c r="JG145" s="11"/>
      <c r="JH145" s="10"/>
      <c r="JI145" s="10"/>
      <c r="JJ145" s="10"/>
      <c r="JK145" s="10"/>
      <c r="JL145" s="10"/>
      <c r="JM145" s="10"/>
      <c r="JN145" s="10"/>
      <c r="JO145" s="10"/>
      <c r="JP145" s="10"/>
      <c r="JQ145" s="10"/>
      <c r="JR145" s="10"/>
      <c r="JS145" s="10"/>
      <c r="JT145" s="10"/>
      <c r="JU145" s="10"/>
      <c r="JV145" s="10"/>
      <c r="JW145" s="10"/>
      <c r="JX145" s="10"/>
      <c r="JY145" s="10"/>
      <c r="JZ145" s="11"/>
      <c r="KC145" s="12"/>
      <c r="KM145" s="12"/>
      <c r="KO145" s="9"/>
      <c r="KP145" s="10"/>
      <c r="KQ145" s="10"/>
      <c r="KR145" s="10"/>
      <c r="KS145" s="10"/>
      <c r="KT145" s="10"/>
      <c r="KU145" s="10"/>
      <c r="KV145" s="10"/>
      <c r="KW145" s="10"/>
      <c r="KX145" s="10"/>
      <c r="KY145" s="10"/>
      <c r="KZ145" s="10"/>
      <c r="LA145" s="10"/>
      <c r="LB145" s="10"/>
      <c r="LC145" s="10"/>
      <c r="LD145" s="10"/>
      <c r="LE145" s="10"/>
      <c r="LF145" s="10"/>
      <c r="LG145" s="10"/>
      <c r="LH145" s="10"/>
      <c r="LI145" s="10"/>
      <c r="LJ145" s="10"/>
      <c r="LK145" s="10"/>
      <c r="LL145" s="10"/>
      <c r="LM145" s="10"/>
      <c r="LN145" s="11"/>
      <c r="LO145" s="11"/>
      <c r="LP145" s="10"/>
      <c r="LQ145" s="10"/>
      <c r="LR145" s="10"/>
      <c r="LS145" s="10"/>
      <c r="LT145" s="11"/>
      <c r="LU145" s="10"/>
      <c r="LV145" s="10"/>
      <c r="LW145" s="10"/>
      <c r="LX145" s="10"/>
      <c r="LY145" s="11"/>
      <c r="MA145" s="13"/>
      <c r="NV145" s="12"/>
      <c r="PR145" s="13"/>
    </row>
    <row r="146" spans="32:434" ht="18" customHeight="1">
      <c r="EH146" s="42"/>
      <c r="EI146" s="43"/>
      <c r="EJ146" s="43"/>
      <c r="EK146" s="43"/>
      <c r="EL146" s="43"/>
      <c r="EM146" s="43"/>
      <c r="EN146" s="43"/>
      <c r="EO146" s="43"/>
      <c r="EP146" s="43"/>
      <c r="EQ146" s="43"/>
      <c r="ER146" s="43"/>
      <c r="ES146" s="43"/>
      <c r="ET146" s="43"/>
      <c r="EU146" s="43"/>
      <c r="EV146" s="43"/>
      <c r="EW146" s="43"/>
      <c r="EX146" s="43"/>
      <c r="EY146" s="43"/>
      <c r="EZ146" s="43"/>
      <c r="FA146" s="43"/>
      <c r="FB146" s="43"/>
      <c r="FC146" s="40"/>
      <c r="FD146" s="41"/>
      <c r="FE146" s="41"/>
      <c r="FF146" s="41"/>
      <c r="FG146" s="41"/>
      <c r="FH146" s="44"/>
      <c r="FI146" s="43"/>
      <c r="FJ146" s="43"/>
      <c r="FK146" s="43"/>
      <c r="FL146" s="43"/>
      <c r="FM146" s="43"/>
      <c r="FN146" s="43"/>
      <c r="FO146" s="43"/>
      <c r="FP146" s="43"/>
      <c r="FQ146" s="43"/>
      <c r="FR146" s="43"/>
      <c r="FS146" s="43"/>
      <c r="FT146" s="43"/>
      <c r="FU146" s="43"/>
      <c r="FV146" s="45"/>
      <c r="IB146" s="12"/>
      <c r="ID146" s="12"/>
      <c r="IH146" s="13"/>
      <c r="II146" s="12"/>
      <c r="IM146" s="13"/>
      <c r="IN146" s="12"/>
      <c r="IU146" s="13"/>
      <c r="IV146" s="18"/>
      <c r="IW146" s="12"/>
      <c r="JA146" s="13"/>
      <c r="JF146" s="13"/>
      <c r="JG146" s="13"/>
      <c r="JZ146" s="13"/>
      <c r="KC146" s="12"/>
      <c r="KM146" s="12"/>
      <c r="KO146" s="12"/>
      <c r="LN146" s="13"/>
      <c r="LO146" s="13"/>
      <c r="LT146" s="13"/>
      <c r="LY146" s="13"/>
      <c r="MA146" s="13"/>
      <c r="NV146" s="12"/>
      <c r="NX146" s="9"/>
      <c r="NY146" s="10"/>
      <c r="NZ146" s="10"/>
      <c r="OA146" s="10"/>
      <c r="OB146" s="10"/>
      <c r="OC146" s="10"/>
      <c r="OD146" s="10"/>
      <c r="OE146" s="10"/>
      <c r="OF146" s="10"/>
      <c r="OG146" s="10"/>
      <c r="OH146" s="10"/>
      <c r="OI146" s="10"/>
      <c r="OJ146" s="10"/>
      <c r="OK146" s="10"/>
      <c r="OL146" s="10"/>
      <c r="OM146" s="10"/>
      <c r="ON146" s="10"/>
      <c r="OO146" s="10"/>
      <c r="OP146" s="10"/>
      <c r="OQ146" s="11"/>
      <c r="OR146" s="10"/>
      <c r="OS146" s="9"/>
      <c r="OT146" s="10"/>
      <c r="OU146" s="10"/>
      <c r="OV146" s="10"/>
      <c r="OW146" s="10"/>
      <c r="OX146" s="10"/>
      <c r="OY146" s="10"/>
      <c r="OZ146" s="10"/>
      <c r="PA146" s="10"/>
      <c r="PB146" s="11"/>
      <c r="PC146" s="11"/>
      <c r="PD146" s="10"/>
      <c r="PE146" s="10"/>
      <c r="PF146" s="10"/>
      <c r="PG146" s="10"/>
      <c r="PH146" s="10"/>
      <c r="PI146" s="10"/>
      <c r="PJ146" s="10"/>
      <c r="PK146" s="10"/>
      <c r="PL146" s="10"/>
      <c r="PM146" s="10"/>
      <c r="PN146" s="10"/>
      <c r="PO146" s="10"/>
      <c r="PP146" s="11"/>
      <c r="PR146" s="13"/>
    </row>
    <row r="147" spans="32:434" ht="18" customHeight="1">
      <c r="EH147" s="42"/>
      <c r="EI147" s="43"/>
      <c r="EJ147" s="9"/>
      <c r="EK147" s="10"/>
      <c r="EL147" s="10"/>
      <c r="EM147" s="10"/>
      <c r="EN147" s="10"/>
      <c r="EO147" s="10"/>
      <c r="EP147" s="10"/>
      <c r="EQ147" s="10"/>
      <c r="ER147" s="10"/>
      <c r="ES147" s="10"/>
      <c r="ET147" s="10"/>
      <c r="EU147" s="10"/>
      <c r="EV147" s="10"/>
      <c r="EW147" s="10"/>
      <c r="EX147" s="10"/>
      <c r="EY147" s="10"/>
      <c r="EZ147" s="10"/>
      <c r="FA147" s="10"/>
      <c r="FB147" s="10"/>
      <c r="FC147" s="10"/>
      <c r="FD147" s="10"/>
      <c r="FE147" s="10"/>
      <c r="FF147" s="10"/>
      <c r="FG147" s="10"/>
      <c r="FH147" s="10"/>
      <c r="FI147" s="11"/>
      <c r="FJ147" s="11"/>
      <c r="FK147" s="10"/>
      <c r="FL147" s="10"/>
      <c r="FM147" s="10"/>
      <c r="FN147" s="10"/>
      <c r="FO147" s="11"/>
      <c r="FP147" s="10"/>
      <c r="FQ147" s="10"/>
      <c r="FR147" s="10"/>
      <c r="FS147" s="10"/>
      <c r="FT147" s="11"/>
      <c r="FU147" s="43"/>
      <c r="FV147" s="45"/>
      <c r="IB147" s="12"/>
      <c r="ID147" s="12"/>
      <c r="IH147" s="13"/>
      <c r="II147" s="12"/>
      <c r="IM147" s="13"/>
      <c r="IN147" s="12"/>
      <c r="IU147" s="13"/>
      <c r="IV147" s="18"/>
      <c r="IW147" s="12"/>
      <c r="JA147" s="13"/>
      <c r="JF147" s="13"/>
      <c r="JG147" s="13"/>
      <c r="JZ147" s="13"/>
      <c r="KC147" s="12"/>
      <c r="KM147" s="12"/>
      <c r="KO147" s="12"/>
      <c r="LN147" s="13"/>
      <c r="LO147" s="13"/>
      <c r="LT147" s="13"/>
      <c r="LY147" s="13"/>
      <c r="MA147" s="13"/>
      <c r="NV147" s="12"/>
      <c r="NX147" s="12"/>
      <c r="OQ147" s="13"/>
      <c r="OS147" s="12"/>
      <c r="PB147" s="13"/>
      <c r="PC147" s="90"/>
      <c r="PP147" s="13"/>
      <c r="PR147" s="13"/>
    </row>
    <row r="148" spans="32:434" ht="18" customHeight="1">
      <c r="EH148" s="42"/>
      <c r="EI148" s="43"/>
      <c r="EJ148" s="12"/>
      <c r="FI148" s="13"/>
      <c r="FJ148" s="13"/>
      <c r="FO148" s="13"/>
      <c r="FT148" s="13"/>
      <c r="FU148" s="43"/>
      <c r="FV148" s="45"/>
      <c r="IB148" s="12"/>
      <c r="ID148" s="12"/>
      <c r="IH148" s="13"/>
      <c r="II148" s="12"/>
      <c r="IM148" s="13"/>
      <c r="IN148" s="12"/>
      <c r="IU148" s="13"/>
      <c r="IV148" s="18"/>
      <c r="IW148" s="12"/>
      <c r="JA148" s="13"/>
      <c r="JF148" s="13"/>
      <c r="JG148" s="13"/>
      <c r="JZ148" s="13"/>
      <c r="KC148" s="12"/>
      <c r="KM148" s="12"/>
      <c r="KO148" s="12"/>
      <c r="LN148" s="13"/>
      <c r="LO148" s="13"/>
      <c r="LT148" s="13"/>
      <c r="LY148" s="13"/>
      <c r="MA148" s="13"/>
      <c r="NV148" s="12"/>
      <c r="NX148" s="12"/>
      <c r="OQ148" s="13"/>
      <c r="OS148" s="12"/>
      <c r="PB148" s="13"/>
      <c r="PC148" s="90"/>
      <c r="PP148" s="13"/>
      <c r="PR148" s="13"/>
    </row>
    <row r="149" spans="32:434" ht="18" customHeight="1">
      <c r="EH149" s="42"/>
      <c r="EI149" s="43"/>
      <c r="EJ149" s="12"/>
      <c r="FI149" s="13"/>
      <c r="FJ149" s="13"/>
      <c r="FO149" s="13"/>
      <c r="FT149" s="13"/>
      <c r="FU149" s="43"/>
      <c r="FV149" s="45"/>
      <c r="IB149" s="12"/>
      <c r="ID149" s="14"/>
      <c r="IE149" s="15"/>
      <c r="IF149" s="15"/>
      <c r="IG149" s="15"/>
      <c r="IH149" s="16"/>
      <c r="II149" s="14"/>
      <c r="IJ149" s="15"/>
      <c r="IK149" s="15"/>
      <c r="IL149" s="15"/>
      <c r="IM149" s="16"/>
      <c r="IN149" s="12"/>
      <c r="IU149" s="13"/>
      <c r="IV149" s="18"/>
      <c r="IW149" s="14"/>
      <c r="IX149" s="15"/>
      <c r="IY149" s="15"/>
      <c r="IZ149" s="15"/>
      <c r="JA149" s="16"/>
      <c r="JB149" s="15"/>
      <c r="JC149" s="15"/>
      <c r="JD149" s="15"/>
      <c r="JE149" s="15"/>
      <c r="JF149" s="16"/>
      <c r="JG149" s="13"/>
      <c r="JZ149" s="13"/>
      <c r="KC149" s="12"/>
      <c r="KM149" s="12"/>
      <c r="KO149" s="12"/>
      <c r="LN149" s="13"/>
      <c r="LO149" s="13"/>
      <c r="LP149" s="15"/>
      <c r="LQ149" s="15"/>
      <c r="LR149" s="15"/>
      <c r="LS149" s="15"/>
      <c r="LT149" s="16"/>
      <c r="LU149" s="15"/>
      <c r="LV149" s="15"/>
      <c r="LW149" s="15"/>
      <c r="LX149" s="15"/>
      <c r="LY149" s="16"/>
      <c r="MA149" s="13"/>
      <c r="NV149" s="12"/>
      <c r="NX149" s="12"/>
      <c r="OQ149" s="13"/>
      <c r="OS149" s="12"/>
      <c r="PB149" s="13"/>
      <c r="PC149" s="90"/>
      <c r="PP149" s="13"/>
      <c r="PR149" s="13"/>
    </row>
    <row r="150" spans="32:434" ht="18" customHeight="1">
      <c r="EH150" s="42"/>
      <c r="EI150" s="43"/>
      <c r="EJ150" s="12"/>
      <c r="FI150" s="13"/>
      <c r="FJ150" s="13"/>
      <c r="FO150" s="13"/>
      <c r="FT150" s="13"/>
      <c r="FU150" s="43"/>
      <c r="FV150" s="45"/>
      <c r="IB150" s="12"/>
      <c r="ID150" s="12"/>
      <c r="IN150" s="12"/>
      <c r="IU150" s="13"/>
      <c r="IV150" s="18"/>
      <c r="JF150" s="13"/>
      <c r="JG150" s="13"/>
      <c r="JZ150" s="13"/>
      <c r="KC150" s="12"/>
      <c r="KM150" s="12"/>
      <c r="KO150" s="12"/>
      <c r="LN150" s="13"/>
      <c r="LO150" s="13"/>
      <c r="LY150" s="11"/>
      <c r="MA150" s="13"/>
      <c r="NV150" s="12"/>
      <c r="NX150" s="12"/>
      <c r="OQ150" s="13"/>
      <c r="OS150" s="12"/>
      <c r="PB150" s="13"/>
      <c r="PC150" s="90"/>
      <c r="PP150" s="13"/>
      <c r="PR150" s="13"/>
    </row>
    <row r="151" spans="32:434" ht="18" customHeight="1">
      <c r="EH151" s="42"/>
      <c r="EI151" s="43"/>
      <c r="EJ151" s="12"/>
      <c r="FI151" s="13"/>
      <c r="FJ151" s="13"/>
      <c r="FK151" s="15"/>
      <c r="FL151" s="15"/>
      <c r="FM151" s="15"/>
      <c r="FN151" s="15"/>
      <c r="FO151" s="16"/>
      <c r="FP151" s="15"/>
      <c r="FQ151" s="15"/>
      <c r="FR151" s="15"/>
      <c r="FS151" s="15"/>
      <c r="FT151" s="16"/>
      <c r="FU151" s="43"/>
      <c r="FV151" s="45"/>
      <c r="IB151" s="12"/>
      <c r="ID151" s="12"/>
      <c r="IN151" s="12"/>
      <c r="IU151" s="13"/>
      <c r="IV151" s="18"/>
      <c r="JF151" s="13"/>
      <c r="JG151" s="13"/>
      <c r="JZ151" s="13"/>
      <c r="KC151" s="12"/>
      <c r="KM151" s="12"/>
      <c r="KO151" s="12"/>
      <c r="LN151" s="13"/>
      <c r="LO151" s="13"/>
      <c r="LY151" s="13"/>
      <c r="MA151" s="13"/>
      <c r="NV151" s="12"/>
      <c r="NX151" s="12"/>
      <c r="OQ151" s="13"/>
      <c r="OS151" s="12"/>
      <c r="PB151" s="13"/>
      <c r="PC151" s="90"/>
      <c r="PP151" s="13"/>
      <c r="PR151" s="13"/>
    </row>
    <row r="152" spans="32:434" ht="18" customHeight="1">
      <c r="AF152" s="40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4"/>
      <c r="EH152" s="42"/>
      <c r="EI152" s="43"/>
      <c r="EJ152" s="12"/>
      <c r="FI152" s="13"/>
      <c r="FJ152" s="13"/>
      <c r="FT152" s="11"/>
      <c r="FU152" s="43"/>
      <c r="FV152" s="45"/>
      <c r="IB152" s="12"/>
      <c r="ID152" s="12"/>
      <c r="IN152" s="12"/>
      <c r="IU152" s="13"/>
      <c r="IV152" s="18"/>
      <c r="JF152" s="13"/>
      <c r="JG152" s="13"/>
      <c r="JZ152" s="13"/>
      <c r="KC152" s="12"/>
      <c r="KM152" s="12"/>
      <c r="KO152" s="12"/>
      <c r="LN152" s="13"/>
      <c r="LO152" s="13"/>
      <c r="LY152" s="13"/>
      <c r="MA152" s="13"/>
      <c r="NV152" s="12"/>
      <c r="NX152" s="12"/>
      <c r="OQ152" s="13"/>
      <c r="OS152" s="12"/>
      <c r="PB152" s="13"/>
      <c r="PC152" s="13"/>
      <c r="PP152" s="13"/>
      <c r="PR152" s="13"/>
    </row>
    <row r="153" spans="32:434" ht="18" customHeight="1">
      <c r="AF153" s="42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43"/>
      <c r="CB153" s="43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5"/>
      <c r="EH153" s="42"/>
      <c r="EI153" s="43"/>
      <c r="EJ153" s="12"/>
      <c r="FI153" s="13"/>
      <c r="FJ153" s="13"/>
      <c r="FT153" s="13"/>
      <c r="FU153" s="43"/>
      <c r="FV153" s="45"/>
      <c r="IB153" s="12"/>
      <c r="ID153" s="12"/>
      <c r="IN153" s="12"/>
      <c r="IU153" s="13"/>
      <c r="IV153" s="18"/>
      <c r="JF153" s="13"/>
      <c r="JG153" s="13"/>
      <c r="JZ153" s="13"/>
      <c r="KC153" s="12"/>
      <c r="KM153" s="12"/>
      <c r="KO153" s="12"/>
      <c r="LN153" s="13"/>
      <c r="LO153" s="13"/>
      <c r="LY153" s="13"/>
      <c r="MA153" s="13"/>
      <c r="MC153" s="15"/>
      <c r="ME153" s="15"/>
      <c r="MG153" s="15"/>
      <c r="MI153" s="15"/>
      <c r="MK153" s="15"/>
      <c r="ML153" s="15"/>
      <c r="MM153" s="15"/>
      <c r="MN153" s="15"/>
      <c r="MO153" s="15"/>
      <c r="MP153" s="15"/>
      <c r="MQ153" s="15"/>
      <c r="MR153" s="15"/>
      <c r="MS153" s="15"/>
      <c r="MT153" s="15"/>
      <c r="MU153" s="15"/>
      <c r="MV153" s="15"/>
      <c r="MW153" s="15"/>
      <c r="MX153" s="15"/>
      <c r="NV153" s="12"/>
      <c r="NX153" s="12"/>
      <c r="OQ153" s="13"/>
      <c r="OS153" s="12"/>
      <c r="PB153" s="13"/>
      <c r="PC153" s="13"/>
      <c r="PP153" s="13"/>
      <c r="PR153" s="13"/>
    </row>
    <row r="154" spans="32:434" ht="18" customHeight="1">
      <c r="AF154" s="42"/>
      <c r="AG154" s="43"/>
      <c r="AH154" s="9"/>
      <c r="AI154" s="10"/>
      <c r="AJ154" s="10"/>
      <c r="AK154" s="10"/>
      <c r="AL154" s="10"/>
      <c r="AM154" s="9"/>
      <c r="AN154" s="10"/>
      <c r="AO154" s="10"/>
      <c r="AP154" s="10"/>
      <c r="AQ154" s="10"/>
      <c r="AR154" s="9"/>
      <c r="AS154" s="10"/>
      <c r="AT154" s="10"/>
      <c r="AU154" s="10"/>
      <c r="AV154" s="10"/>
      <c r="AW154" s="10"/>
      <c r="AX154" s="10"/>
      <c r="AY154" s="11"/>
      <c r="AZ154" s="10"/>
      <c r="BA154" s="9"/>
      <c r="BB154" s="10"/>
      <c r="BC154" s="10"/>
      <c r="BD154" s="10"/>
      <c r="BE154" s="11"/>
      <c r="BF154" s="10"/>
      <c r="BG154" s="10"/>
      <c r="BH154" s="10"/>
      <c r="BI154" s="10"/>
      <c r="BJ154" s="11"/>
      <c r="BK154" s="11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1"/>
      <c r="CL154" s="43"/>
      <c r="CM154" s="45"/>
      <c r="EH154" s="42"/>
      <c r="EI154" s="43"/>
      <c r="EJ154" s="12"/>
      <c r="FI154" s="13"/>
      <c r="FJ154" s="13"/>
      <c r="FT154" s="13"/>
      <c r="FU154" s="43"/>
      <c r="FV154" s="45"/>
      <c r="IB154" s="12"/>
      <c r="ID154" s="14"/>
      <c r="IE154" s="15"/>
      <c r="IF154" s="15"/>
      <c r="IG154" s="15"/>
      <c r="IH154" s="15"/>
      <c r="II154" s="15"/>
      <c r="IJ154" s="15"/>
      <c r="IK154" s="15"/>
      <c r="IL154" s="15"/>
      <c r="IM154" s="15"/>
      <c r="IN154" s="14"/>
      <c r="IO154" s="15"/>
      <c r="IP154" s="15"/>
      <c r="IQ154" s="15"/>
      <c r="IR154" s="15"/>
      <c r="IS154" s="15"/>
      <c r="IT154" s="15"/>
      <c r="IU154" s="16"/>
      <c r="IV154" s="19"/>
      <c r="IW154" s="15"/>
      <c r="IX154" s="15"/>
      <c r="IY154" s="15"/>
      <c r="IZ154" s="15"/>
      <c r="JA154" s="15"/>
      <c r="JB154" s="15"/>
      <c r="JC154" s="15"/>
      <c r="JD154" s="15"/>
      <c r="JE154" s="15"/>
      <c r="JF154" s="16"/>
      <c r="JG154" s="16"/>
      <c r="JZ154" s="13"/>
      <c r="KC154" s="12"/>
      <c r="KM154" s="12"/>
      <c r="KO154" s="12"/>
      <c r="LN154" s="13"/>
      <c r="LO154" s="13"/>
      <c r="LY154" s="16"/>
      <c r="LZ154" s="12"/>
      <c r="MB154" s="10"/>
      <c r="MD154" s="10"/>
      <c r="MF154" s="10"/>
      <c r="MH154" s="10"/>
      <c r="MJ154" s="10"/>
      <c r="MO154" s="20"/>
      <c r="MP154" s="21"/>
      <c r="MQ154" s="21"/>
      <c r="MR154" s="21"/>
      <c r="MS154" s="21"/>
      <c r="MT154" s="22"/>
      <c r="MX154" s="11"/>
      <c r="NV154" s="12"/>
      <c r="NX154" s="12"/>
      <c r="OQ154" s="13"/>
      <c r="OS154" s="12"/>
      <c r="PB154" s="13"/>
      <c r="PC154" s="13"/>
      <c r="PP154" s="13"/>
      <c r="PR154" s="13"/>
    </row>
    <row r="155" spans="32:434" ht="18" customHeight="1">
      <c r="AF155" s="42"/>
      <c r="AG155" s="43"/>
      <c r="AH155" s="12"/>
      <c r="AM155" s="12"/>
      <c r="AR155" s="12"/>
      <c r="AY155" s="13"/>
      <c r="BA155" s="12"/>
      <c r="BE155" s="13"/>
      <c r="BJ155" s="13"/>
      <c r="BK155" s="13"/>
      <c r="CK155" s="13"/>
      <c r="CL155" s="43"/>
      <c r="CM155" s="45"/>
      <c r="EH155" s="42"/>
      <c r="EI155" s="43"/>
      <c r="EJ155" s="12"/>
      <c r="FI155" s="13"/>
      <c r="FJ155" s="13"/>
      <c r="FT155" s="13"/>
      <c r="FU155" s="43"/>
      <c r="FV155" s="45"/>
      <c r="FX155" s="15"/>
      <c r="FZ155" s="15"/>
      <c r="GB155" s="15"/>
      <c r="GD155" s="15"/>
      <c r="GF155" s="15"/>
      <c r="GG155" s="15"/>
      <c r="GH155" s="15"/>
      <c r="GI155" s="15"/>
      <c r="GJ155" s="15"/>
      <c r="GK155" s="15"/>
      <c r="GL155" s="15"/>
      <c r="GM155" s="15"/>
      <c r="GN155" s="15"/>
      <c r="GO155" s="15"/>
      <c r="GP155" s="15"/>
      <c r="GQ155" s="15"/>
      <c r="IB155" s="12"/>
      <c r="ID155" s="14"/>
      <c r="IE155" s="15"/>
      <c r="IF155" s="15"/>
      <c r="IG155" s="15"/>
      <c r="IH155" s="15"/>
      <c r="II155" s="15"/>
      <c r="IJ155" s="15"/>
      <c r="IK155" s="15"/>
      <c r="IL155" s="15"/>
      <c r="IM155" s="15"/>
      <c r="IN155" s="15"/>
      <c r="IO155" s="15"/>
      <c r="IP155" s="15"/>
      <c r="IQ155" s="15"/>
      <c r="IR155" s="15"/>
      <c r="IS155" s="15"/>
      <c r="IT155" s="15"/>
      <c r="IU155" s="15"/>
      <c r="IV155" s="15"/>
      <c r="IW155" s="15"/>
      <c r="IX155" s="15"/>
      <c r="IY155" s="15"/>
      <c r="IZ155" s="15"/>
      <c r="JA155" s="15"/>
      <c r="JB155" s="15"/>
      <c r="JC155" s="15"/>
      <c r="JD155" s="15"/>
      <c r="JE155" s="15"/>
      <c r="JF155" s="15"/>
      <c r="JG155" s="16"/>
      <c r="JZ155" s="13"/>
      <c r="KC155" s="12"/>
      <c r="KM155" s="12"/>
      <c r="KO155" s="12"/>
      <c r="LN155" s="13"/>
      <c r="LO155" s="13"/>
      <c r="LP155" s="10"/>
      <c r="LQ155" s="92"/>
      <c r="LR155" s="92"/>
      <c r="LS155" s="92"/>
      <c r="LT155" s="92"/>
      <c r="LU155" s="92"/>
      <c r="LV155" s="10"/>
      <c r="LW155" s="10"/>
      <c r="LX155" s="10"/>
      <c r="LY155" s="15"/>
      <c r="LZ155" s="14"/>
      <c r="MA155" s="15"/>
      <c r="MC155" s="15"/>
      <c r="ME155" s="15"/>
      <c r="MG155" s="15"/>
      <c r="MI155" s="15"/>
      <c r="MK155" s="15"/>
      <c r="ML155" s="15"/>
      <c r="MM155" s="15"/>
      <c r="MN155" s="15"/>
      <c r="MO155" s="20"/>
      <c r="MP155" s="21"/>
      <c r="MQ155" s="21"/>
      <c r="MR155" s="21"/>
      <c r="MS155" s="21"/>
      <c r="MT155" s="22"/>
      <c r="MX155" s="13"/>
      <c r="NV155" s="12"/>
      <c r="NX155" s="12"/>
      <c r="OQ155" s="13"/>
      <c r="OS155" s="14"/>
      <c r="OT155" s="15"/>
      <c r="OU155" s="15"/>
      <c r="OV155" s="15"/>
      <c r="OW155" s="15"/>
      <c r="OX155" s="15"/>
      <c r="OY155" s="15"/>
      <c r="OZ155" s="15"/>
      <c r="PA155" s="15"/>
      <c r="PB155" s="16"/>
      <c r="PC155" s="13"/>
      <c r="PP155" s="13"/>
      <c r="PR155" s="13"/>
    </row>
    <row r="156" spans="32:434" ht="18" customHeight="1">
      <c r="AF156" s="42"/>
      <c r="AG156" s="43"/>
      <c r="AH156" s="12"/>
      <c r="AM156" s="12"/>
      <c r="AR156" s="12"/>
      <c r="AY156" s="13"/>
      <c r="BA156" s="12"/>
      <c r="BE156" s="13"/>
      <c r="BJ156" s="13"/>
      <c r="BK156" s="13"/>
      <c r="CK156" s="13"/>
      <c r="CL156" s="43"/>
      <c r="CM156" s="45"/>
      <c r="EH156" s="42"/>
      <c r="EI156" s="43"/>
      <c r="EJ156" s="12"/>
      <c r="FI156" s="13"/>
      <c r="FJ156" s="13"/>
      <c r="FT156" s="16"/>
      <c r="FU156" s="42"/>
      <c r="FV156" s="43"/>
      <c r="FW156" s="41"/>
      <c r="FX156" s="43"/>
      <c r="FY156" s="41"/>
      <c r="FZ156" s="43"/>
      <c r="GA156" s="41"/>
      <c r="GB156" s="43"/>
      <c r="GC156" s="41"/>
      <c r="GD156" s="43"/>
      <c r="GE156" s="41"/>
      <c r="GF156" s="43"/>
      <c r="GG156" s="43"/>
      <c r="GH156" s="123"/>
      <c r="GI156" s="109"/>
      <c r="GJ156" s="109"/>
      <c r="GK156" s="109"/>
      <c r="GL156" s="109"/>
      <c r="GM156" s="124"/>
      <c r="GN156" s="43"/>
      <c r="GO156" s="43"/>
      <c r="GP156" s="43"/>
      <c r="GQ156" s="44"/>
      <c r="IB156" s="12"/>
      <c r="ID156" s="12"/>
      <c r="JA156" s="13"/>
      <c r="JC156" s="12" t="s">
        <v>45</v>
      </c>
      <c r="JZ156" s="13"/>
      <c r="KC156" s="12"/>
      <c r="KM156" s="12"/>
      <c r="KO156" s="12"/>
      <c r="LN156" s="13"/>
      <c r="LO156" s="13"/>
      <c r="LP156" s="10"/>
      <c r="LQ156" s="10"/>
      <c r="LR156" s="10"/>
      <c r="LS156" s="10"/>
      <c r="LT156" s="10"/>
      <c r="LU156" s="10"/>
      <c r="LV156" s="10"/>
      <c r="LW156" s="10"/>
      <c r="LX156" s="17"/>
      <c r="LY156" t="s">
        <v>45</v>
      </c>
      <c r="LZ156" s="10"/>
      <c r="MA156" s="10"/>
      <c r="MB156" s="10"/>
      <c r="MC156" s="10"/>
      <c r="MD156" s="10"/>
      <c r="ME156" s="10"/>
      <c r="MF156" s="10"/>
      <c r="MG156" s="10"/>
      <c r="MH156" s="10"/>
      <c r="MI156" s="10"/>
      <c r="MJ156" s="10"/>
      <c r="MK156" s="10"/>
      <c r="ML156" s="10"/>
      <c r="MM156" s="10"/>
      <c r="MN156" s="10"/>
      <c r="MO156" s="10"/>
      <c r="MP156" s="10"/>
      <c r="MQ156" s="10"/>
      <c r="MR156" s="10"/>
      <c r="MS156" s="10"/>
      <c r="MT156" s="10"/>
      <c r="MU156" s="10"/>
      <c r="MV156" s="11"/>
      <c r="MX156" s="13"/>
      <c r="NV156" s="12"/>
      <c r="NX156" s="12"/>
      <c r="OQ156" s="13"/>
      <c r="OS156" s="14"/>
      <c r="OT156" s="15"/>
      <c r="OU156" s="15"/>
      <c r="OV156" s="15"/>
      <c r="OW156" s="15"/>
      <c r="OX156" s="15"/>
      <c r="OY156" s="15"/>
      <c r="OZ156" s="15"/>
      <c r="PA156" s="15"/>
      <c r="PB156" s="15"/>
      <c r="PC156" s="16"/>
      <c r="PP156" s="13"/>
      <c r="PR156" s="13"/>
    </row>
    <row r="157" spans="32:434" ht="18" customHeight="1">
      <c r="AF157" s="42"/>
      <c r="AG157" s="43"/>
      <c r="AH157" s="12"/>
      <c r="AM157" s="12"/>
      <c r="AR157" s="12"/>
      <c r="AY157" s="13"/>
      <c r="BA157" s="12"/>
      <c r="BE157" s="13"/>
      <c r="BJ157" s="13"/>
      <c r="BK157" s="13"/>
      <c r="CK157" s="13"/>
      <c r="CL157" s="43"/>
      <c r="CM157" s="45"/>
      <c r="EH157" s="42"/>
      <c r="EI157" s="43"/>
      <c r="EJ157" s="12"/>
      <c r="FI157" s="13"/>
      <c r="FJ157" s="13"/>
      <c r="FK157" s="10"/>
      <c r="FL157" s="10"/>
      <c r="FM157" s="92"/>
      <c r="FN157" s="92"/>
      <c r="FO157" s="92"/>
      <c r="FP157" s="92"/>
      <c r="FQ157" s="92"/>
      <c r="FR157" s="10"/>
      <c r="FS157" s="10"/>
      <c r="FT157" s="15"/>
      <c r="FU157" s="46"/>
      <c r="FV157" s="47"/>
      <c r="FW157" s="43"/>
      <c r="FX157" s="47"/>
      <c r="FY157" s="43"/>
      <c r="FZ157" s="47"/>
      <c r="GA157" s="43"/>
      <c r="GB157" s="47"/>
      <c r="GC157" s="43"/>
      <c r="GD157" s="47"/>
      <c r="GE157" s="43"/>
      <c r="GF157" s="47"/>
      <c r="GG157" s="47"/>
      <c r="GH157" s="123"/>
      <c r="GI157" s="109"/>
      <c r="GJ157" s="109"/>
      <c r="GK157" s="109"/>
      <c r="GL157" s="109"/>
      <c r="GM157" s="124"/>
      <c r="GN157" s="43"/>
      <c r="GO157" s="43"/>
      <c r="GP157" s="43"/>
      <c r="GQ157" s="45"/>
      <c r="IB157" s="12"/>
      <c r="ID157" s="12"/>
      <c r="JA157" s="13"/>
      <c r="JC157" s="12"/>
      <c r="JZ157" s="13"/>
      <c r="KC157" s="12"/>
      <c r="KM157" s="12"/>
      <c r="KO157" s="12"/>
      <c r="LN157" s="13"/>
      <c r="LO157" s="13"/>
      <c r="LX157" s="18"/>
      <c r="MV157" s="13"/>
      <c r="MX157" s="13"/>
      <c r="NV157" s="12"/>
      <c r="NX157" s="12"/>
      <c r="OQ157" s="13"/>
      <c r="OS157" s="12"/>
      <c r="PP157" s="13"/>
      <c r="PR157" s="13"/>
    </row>
    <row r="158" spans="32:434" ht="18" customHeight="1">
      <c r="AF158" s="42"/>
      <c r="AG158" s="43"/>
      <c r="AH158" s="14"/>
      <c r="AI158" s="15"/>
      <c r="AJ158" s="15"/>
      <c r="AK158" s="15"/>
      <c r="AL158" s="15"/>
      <c r="AM158" s="14"/>
      <c r="AN158" s="15"/>
      <c r="AO158" s="15"/>
      <c r="AP158" s="15"/>
      <c r="AQ158" s="15"/>
      <c r="AR158" s="12"/>
      <c r="AY158" s="13"/>
      <c r="BA158" s="14"/>
      <c r="BB158" s="15"/>
      <c r="BC158" s="15"/>
      <c r="BD158" s="15"/>
      <c r="BE158" s="16"/>
      <c r="BF158" s="15"/>
      <c r="BG158" s="15"/>
      <c r="BH158" s="15"/>
      <c r="BI158" s="15"/>
      <c r="BJ158" s="16"/>
      <c r="BK158" s="90"/>
      <c r="CK158" s="13"/>
      <c r="CL158" s="43"/>
      <c r="CM158" s="45"/>
      <c r="EG158" s="13"/>
      <c r="EH158" s="43"/>
      <c r="EI158" s="45"/>
      <c r="FI158" s="13"/>
      <c r="FJ158" s="13"/>
      <c r="FK158" s="10"/>
      <c r="FL158" s="10"/>
      <c r="FM158" s="10"/>
      <c r="FN158" s="10"/>
      <c r="FO158" s="10"/>
      <c r="FP158" s="10"/>
      <c r="FQ158" s="10"/>
      <c r="FR158" s="10"/>
      <c r="FS158" s="10"/>
      <c r="FT158" t="s">
        <v>45</v>
      </c>
      <c r="FU158" s="10"/>
      <c r="FV158" s="10"/>
      <c r="FW158" s="10"/>
      <c r="FX158" s="10"/>
      <c r="FY158" s="10"/>
      <c r="FZ158" s="10"/>
      <c r="GA158" s="10"/>
      <c r="GB158" s="10"/>
      <c r="GC158" s="10"/>
      <c r="GD158" s="10"/>
      <c r="GE158" s="10"/>
      <c r="GF158" s="10"/>
      <c r="GG158" s="10"/>
      <c r="GH158" s="10"/>
      <c r="GI158" s="10"/>
      <c r="GJ158" s="10"/>
      <c r="GK158" s="10"/>
      <c r="GL158" s="10"/>
      <c r="GM158" s="10"/>
      <c r="GN158" s="10"/>
      <c r="GO158" s="11"/>
      <c r="GP158" s="43"/>
      <c r="GQ158" s="45"/>
      <c r="IB158" s="12"/>
      <c r="ID158" s="12"/>
      <c r="JA158" s="13"/>
      <c r="JC158" s="12"/>
      <c r="JZ158" s="13"/>
      <c r="KC158" s="12"/>
      <c r="KM158" s="12"/>
      <c r="KO158" s="12"/>
      <c r="LN158" s="13"/>
      <c r="LO158" s="13"/>
      <c r="LX158" s="18"/>
      <c r="MV158" s="13"/>
      <c r="MX158" s="13"/>
      <c r="NV158" s="12"/>
      <c r="NX158" s="12"/>
      <c r="OQ158" s="13"/>
      <c r="OS158" s="12"/>
      <c r="PP158" s="13"/>
      <c r="PR158" s="13"/>
    </row>
    <row r="159" spans="32:434" ht="18" customHeight="1">
      <c r="AF159" s="42"/>
      <c r="AG159" s="43"/>
      <c r="AH159" s="12"/>
      <c r="AR159" s="12"/>
      <c r="AY159" s="13"/>
      <c r="BA159" s="12"/>
      <c r="BJ159" s="13"/>
      <c r="BK159" s="90"/>
      <c r="CK159" s="13"/>
      <c r="CL159" s="43"/>
      <c r="CM159" s="45"/>
      <c r="EG159" s="13"/>
      <c r="EH159" s="43"/>
      <c r="EI159" s="45"/>
      <c r="FI159" s="13"/>
      <c r="FJ159" s="13"/>
      <c r="GO159" s="13"/>
      <c r="GP159" s="43"/>
      <c r="GQ159" s="45"/>
      <c r="IB159" s="12"/>
      <c r="ID159" s="12"/>
      <c r="JA159" s="13"/>
      <c r="JC159" s="12"/>
      <c r="JZ159" s="13"/>
      <c r="KC159" s="12"/>
      <c r="KM159" s="12"/>
      <c r="KO159" s="12"/>
      <c r="LN159" s="13"/>
      <c r="LO159" s="13"/>
      <c r="LX159" s="18"/>
      <c r="MV159" s="13"/>
      <c r="MX159" s="13"/>
      <c r="NV159" s="12"/>
      <c r="NX159" s="12"/>
      <c r="OQ159" s="13"/>
      <c r="OS159" s="12"/>
      <c r="PP159" s="13"/>
      <c r="PR159" s="13"/>
    </row>
    <row r="160" spans="32:434" ht="18" customHeight="1">
      <c r="AF160" s="42"/>
      <c r="AG160" s="43"/>
      <c r="AH160" s="12"/>
      <c r="AR160" s="12"/>
      <c r="AY160" s="13"/>
      <c r="BA160" s="12"/>
      <c r="BJ160" s="13"/>
      <c r="BK160" s="90"/>
      <c r="CK160" s="13"/>
      <c r="CL160" s="43"/>
      <c r="CM160" s="45"/>
      <c r="EG160" s="13"/>
      <c r="EH160" s="125"/>
      <c r="EI160" s="125"/>
      <c r="FI160" s="13"/>
      <c r="FJ160" s="90"/>
      <c r="GO160" s="13"/>
      <c r="GP160" s="43"/>
      <c r="GQ160" s="45"/>
      <c r="IB160" s="12"/>
      <c r="ID160" s="12"/>
      <c r="JA160" s="13"/>
      <c r="JC160" s="12"/>
      <c r="JZ160" s="13"/>
      <c r="KC160" s="12"/>
      <c r="KM160" s="12"/>
      <c r="KO160" s="12"/>
      <c r="LN160" s="13"/>
      <c r="LO160" s="13"/>
      <c r="LX160" s="18"/>
      <c r="MV160" s="13"/>
      <c r="MX160" s="13"/>
      <c r="NV160" s="12"/>
      <c r="NX160" s="12"/>
      <c r="OQ160" s="13"/>
      <c r="OS160" s="12"/>
      <c r="PP160" s="13"/>
      <c r="PR160" s="13"/>
    </row>
    <row r="161" spans="32:434" ht="18" customHeight="1">
      <c r="AF161" s="42"/>
      <c r="AG161" s="43"/>
      <c r="AH161" s="12"/>
      <c r="AR161" s="12"/>
      <c r="AY161" s="13"/>
      <c r="BA161" s="12"/>
      <c r="BJ161" s="13"/>
      <c r="BK161" s="90"/>
      <c r="CK161" s="13"/>
      <c r="CL161" s="43"/>
      <c r="CM161" s="45"/>
      <c r="EG161" s="13"/>
      <c r="EH161" s="108"/>
      <c r="EI161" s="108"/>
      <c r="FI161" s="13"/>
      <c r="FJ161" s="90"/>
      <c r="GO161" s="13"/>
      <c r="GP161" s="43"/>
      <c r="GQ161" s="45"/>
      <c r="IB161" s="12"/>
      <c r="ID161" s="12"/>
      <c r="JA161" s="210"/>
      <c r="JB161" s="211"/>
      <c r="JC161" s="12"/>
      <c r="JZ161" s="13"/>
      <c r="KC161" s="12"/>
      <c r="KM161" s="12"/>
      <c r="KO161" s="12"/>
      <c r="LN161" s="13"/>
      <c r="LO161" s="13"/>
      <c r="LX161" s="18"/>
      <c r="MV161" s="13"/>
      <c r="MX161" s="13"/>
      <c r="NV161" s="12"/>
      <c r="NX161" s="12"/>
      <c r="OQ161" s="13"/>
      <c r="OR161" s="127"/>
      <c r="OS161" s="12"/>
      <c r="PP161" s="13"/>
      <c r="PR161" s="13"/>
    </row>
    <row r="162" spans="32:434" ht="18" customHeight="1">
      <c r="AF162" s="42"/>
      <c r="AG162" s="43"/>
      <c r="AH162" s="12"/>
      <c r="AR162" s="12"/>
      <c r="AY162" s="13"/>
      <c r="BA162" s="12"/>
      <c r="BJ162" s="13"/>
      <c r="BK162" s="90"/>
      <c r="CK162" s="13"/>
      <c r="CL162" s="43"/>
      <c r="CM162" s="45"/>
      <c r="EG162" s="13"/>
      <c r="EH162" s="108"/>
      <c r="EI162" s="108"/>
      <c r="FI162" s="13"/>
      <c r="FJ162" s="90"/>
      <c r="GO162" s="13"/>
      <c r="GP162" s="43"/>
      <c r="GQ162" s="45"/>
      <c r="IB162" s="12"/>
      <c r="ID162" s="12"/>
      <c r="JA162" s="13"/>
      <c r="JC162" s="12"/>
      <c r="JZ162" s="13"/>
      <c r="KC162" s="12"/>
      <c r="KM162" s="12"/>
      <c r="KO162" s="12"/>
      <c r="LN162" s="13"/>
      <c r="LO162" s="13"/>
      <c r="LX162" s="18"/>
      <c r="MV162" s="13"/>
      <c r="MX162" s="13"/>
      <c r="NV162" s="12"/>
      <c r="NX162" s="12"/>
      <c r="OQ162" s="13"/>
      <c r="OR162" s="127"/>
      <c r="OS162" s="12"/>
      <c r="PP162" s="13"/>
      <c r="PR162" s="13"/>
    </row>
    <row r="163" spans="32:434" ht="18" customHeight="1">
      <c r="AF163" s="42"/>
      <c r="AG163" s="43"/>
      <c r="AH163" s="14"/>
      <c r="AI163" s="15"/>
      <c r="AJ163" s="15"/>
      <c r="AK163" s="15"/>
      <c r="AL163" s="15"/>
      <c r="AM163" s="15"/>
      <c r="AN163" s="15"/>
      <c r="AO163" s="15"/>
      <c r="AP163" s="15"/>
      <c r="AQ163" s="15"/>
      <c r="AR163" s="14"/>
      <c r="AS163" s="15"/>
      <c r="AT163" s="15"/>
      <c r="AU163" s="15"/>
      <c r="AV163" s="15"/>
      <c r="AW163" s="15"/>
      <c r="AX163" s="15"/>
      <c r="AY163" s="16"/>
      <c r="AZ163" s="15"/>
      <c r="BA163" s="14"/>
      <c r="BB163" s="15"/>
      <c r="BC163" s="15"/>
      <c r="BD163" s="15"/>
      <c r="BE163" s="15"/>
      <c r="BF163" s="15"/>
      <c r="BG163" s="15"/>
      <c r="BH163" s="15"/>
      <c r="BI163" s="15"/>
      <c r="BJ163" s="16"/>
      <c r="BK163" s="13"/>
      <c r="CK163" s="13"/>
      <c r="CL163" s="43"/>
      <c r="CM163" s="45"/>
      <c r="EG163" s="13"/>
      <c r="EH163" s="108"/>
      <c r="EI163" s="108"/>
      <c r="FI163" s="13"/>
      <c r="FJ163" s="90"/>
      <c r="GO163" s="13"/>
      <c r="GP163" s="43"/>
      <c r="GQ163" s="45"/>
      <c r="IB163" s="12"/>
      <c r="ID163" s="12"/>
      <c r="JA163" s="13"/>
      <c r="JC163" s="12"/>
      <c r="JZ163" s="13"/>
      <c r="KC163" s="12"/>
      <c r="KM163" s="12"/>
      <c r="KO163" s="12"/>
      <c r="LN163" s="13"/>
      <c r="LO163" s="13"/>
      <c r="LX163" s="18"/>
      <c r="MV163" s="13"/>
      <c r="MX163" s="13"/>
      <c r="NV163" s="12"/>
      <c r="NX163" s="12"/>
      <c r="OQ163" s="13"/>
      <c r="OR163" s="127"/>
      <c r="OS163" s="12"/>
      <c r="PP163" s="13"/>
      <c r="PR163" s="13"/>
    </row>
    <row r="164" spans="32:434" ht="18" customHeight="1">
      <c r="AF164" s="42"/>
      <c r="AG164" s="43"/>
      <c r="AH164" s="14"/>
      <c r="AI164" s="100"/>
      <c r="AJ164" s="100"/>
      <c r="AK164" s="100"/>
      <c r="AL164" s="100"/>
      <c r="AM164" s="100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6"/>
      <c r="CK164" s="13"/>
      <c r="CL164" s="43"/>
      <c r="CM164" s="45"/>
      <c r="EG164" s="13"/>
      <c r="EH164" s="108"/>
      <c r="EI164" s="108"/>
      <c r="EQ164" s="9"/>
      <c r="ER164" s="10"/>
      <c r="ES164" s="10"/>
      <c r="ET164" s="10"/>
      <c r="EU164" s="10"/>
      <c r="EV164" s="10"/>
      <c r="EW164" s="10"/>
      <c r="EX164" s="10"/>
      <c r="EY164" s="10"/>
      <c r="EZ164" s="11"/>
      <c r="FI164" s="13"/>
      <c r="FJ164" s="90"/>
      <c r="GO164" s="13"/>
      <c r="GP164" s="43"/>
      <c r="GQ164" s="45"/>
      <c r="IB164" s="12"/>
      <c r="ID164" s="12"/>
      <c r="JA164" s="13"/>
      <c r="JC164" s="12"/>
      <c r="JZ164" s="13"/>
      <c r="KC164" s="12"/>
      <c r="KM164" s="12"/>
      <c r="KO164" s="12"/>
      <c r="LN164" s="13"/>
      <c r="LO164" s="13"/>
      <c r="LX164" s="18"/>
      <c r="MV164" s="13"/>
      <c r="MX164" s="13"/>
      <c r="NV164" s="12"/>
      <c r="NX164" s="12"/>
      <c r="OQ164" s="13"/>
      <c r="OR164" s="127"/>
      <c r="OS164" s="12"/>
      <c r="PP164" s="13"/>
      <c r="PR164" s="13"/>
    </row>
    <row r="165" spans="32:434" ht="18" customHeight="1">
      <c r="AF165" s="42"/>
      <c r="AG165" s="43"/>
      <c r="AH165" s="9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9"/>
      <c r="BA165" s="9"/>
      <c r="BB165" s="10"/>
      <c r="BC165" s="10"/>
      <c r="BD165" s="10"/>
      <c r="BE165" s="10"/>
      <c r="BF165" s="10"/>
      <c r="BG165" s="10"/>
      <c r="BH165" s="10"/>
      <c r="BI165" s="10"/>
      <c r="BJ165" s="11"/>
      <c r="BK165" s="11"/>
      <c r="CK165" s="13"/>
      <c r="CL165" s="43"/>
      <c r="CM165" s="45"/>
      <c r="EG165" s="13"/>
      <c r="EH165" s="126"/>
      <c r="EI165" s="126"/>
      <c r="EQ165" s="12"/>
      <c r="EZ165" s="13"/>
      <c r="FI165" s="13"/>
      <c r="FJ165" s="90"/>
      <c r="GO165" s="13"/>
      <c r="GP165" s="43"/>
      <c r="GQ165" s="45"/>
      <c r="IB165" s="12"/>
      <c r="ID165" s="12"/>
      <c r="JA165" s="13"/>
      <c r="JC165" s="12"/>
      <c r="JZ165" s="13"/>
      <c r="KC165" s="12"/>
      <c r="KM165" s="12"/>
      <c r="KO165" s="12"/>
      <c r="LN165" s="13"/>
      <c r="LO165" s="13"/>
      <c r="LX165" s="18"/>
      <c r="MV165" s="13"/>
      <c r="MX165" s="13"/>
      <c r="NV165" s="12"/>
      <c r="NX165" s="12"/>
      <c r="OQ165" s="13"/>
      <c r="OR165" s="127"/>
      <c r="OS165" s="12"/>
      <c r="PP165" s="13"/>
      <c r="PR165" s="13"/>
    </row>
    <row r="166" spans="32:434" ht="18" customHeight="1">
      <c r="AF166" s="42"/>
      <c r="AG166" s="43"/>
      <c r="AH166" s="12"/>
      <c r="AZ166" s="12"/>
      <c r="BA166" s="12"/>
      <c r="BJ166" s="13"/>
      <c r="BK166" s="90"/>
      <c r="CK166" s="13"/>
      <c r="CL166" s="43"/>
      <c r="CM166" s="45"/>
      <c r="EH166" s="42"/>
      <c r="EI166" s="43"/>
      <c r="EJ166" s="14"/>
      <c r="EK166" s="15"/>
      <c r="EL166" s="15"/>
      <c r="EM166" s="15"/>
      <c r="EN166" s="15"/>
      <c r="EO166" s="15"/>
      <c r="EP166" s="15"/>
      <c r="EQ166" s="14"/>
      <c r="ER166" s="15"/>
      <c r="ES166" s="15"/>
      <c r="ET166" s="15"/>
      <c r="EU166" s="15"/>
      <c r="EV166" s="15"/>
      <c r="EW166" s="15"/>
      <c r="EX166" s="15"/>
      <c r="EY166" s="15"/>
      <c r="EZ166" s="16"/>
      <c r="FA166" s="15"/>
      <c r="FB166" s="15"/>
      <c r="FC166" s="15"/>
      <c r="FD166" s="15"/>
      <c r="FE166" s="15"/>
      <c r="FF166" s="15"/>
      <c r="FG166" s="15"/>
      <c r="FH166" s="15"/>
      <c r="FI166" s="16"/>
      <c r="FJ166" s="13"/>
      <c r="FS166" s="15"/>
      <c r="GO166" s="13"/>
      <c r="GP166" s="43"/>
      <c r="GQ166" s="45"/>
      <c r="IB166" s="12"/>
      <c r="ID166" s="12"/>
      <c r="JA166" s="13"/>
      <c r="JC166" s="12"/>
      <c r="JZ166" s="13"/>
      <c r="KC166" s="12"/>
      <c r="KM166" s="12"/>
      <c r="KO166" s="12"/>
      <c r="LN166" s="13"/>
      <c r="LO166" s="13"/>
      <c r="LX166" s="18"/>
      <c r="MV166" s="13"/>
      <c r="MX166" s="13"/>
      <c r="NV166" s="12"/>
      <c r="NX166" s="12"/>
      <c r="OQ166" s="13"/>
      <c r="OR166" s="127"/>
      <c r="OS166" s="12"/>
      <c r="PP166" s="13"/>
      <c r="PR166" s="13"/>
    </row>
    <row r="167" spans="32:434" ht="18" customHeight="1">
      <c r="AF167" s="42"/>
      <c r="AG167" s="43"/>
      <c r="AH167" s="12"/>
      <c r="AZ167" s="12"/>
      <c r="BA167" s="12"/>
      <c r="BJ167" s="13"/>
      <c r="BK167" s="90"/>
      <c r="CK167" s="13"/>
      <c r="CL167" s="43"/>
      <c r="CM167" s="45"/>
      <c r="EH167" s="42"/>
      <c r="EI167" s="43"/>
      <c r="EJ167" s="14"/>
      <c r="EK167" s="100"/>
      <c r="EL167" s="100"/>
      <c r="EM167" s="100"/>
      <c r="EN167" s="100"/>
      <c r="EO167" s="100"/>
      <c r="EP167" s="15"/>
      <c r="EQ167" s="15"/>
      <c r="ER167" s="15"/>
      <c r="ES167" s="15"/>
      <c r="ET167" s="15"/>
      <c r="EU167" s="15"/>
      <c r="EV167" s="15"/>
      <c r="EW167" s="15"/>
      <c r="EX167" s="15"/>
      <c r="EY167" s="15"/>
      <c r="EZ167" s="15"/>
      <c r="FA167" s="15"/>
      <c r="FB167" s="15"/>
      <c r="FC167" s="15"/>
      <c r="FD167" s="15"/>
      <c r="FE167" s="15"/>
      <c r="FF167" s="15"/>
      <c r="FG167" s="15"/>
      <c r="FH167" s="15"/>
      <c r="FI167" s="15"/>
      <c r="FJ167" s="16"/>
      <c r="FK167" s="207"/>
      <c r="FL167" s="207"/>
      <c r="FM167" s="207"/>
      <c r="FN167" s="207"/>
      <c r="FO167" s="207"/>
      <c r="FP167" s="207"/>
      <c r="FQ167" s="207"/>
      <c r="FR167" s="207"/>
      <c r="FS167" s="209"/>
      <c r="GO167" s="13"/>
      <c r="GP167" s="43"/>
      <c r="GQ167" s="45"/>
      <c r="IB167" s="12"/>
      <c r="ID167" s="12"/>
      <c r="JA167" s="13"/>
      <c r="JC167" s="12"/>
      <c r="JZ167" s="13"/>
      <c r="KC167" s="12"/>
      <c r="KM167" s="12"/>
      <c r="KO167" s="12"/>
      <c r="LN167" s="13"/>
      <c r="LO167" s="13"/>
      <c r="LX167" s="18"/>
      <c r="MV167" s="13"/>
      <c r="MX167" s="13"/>
      <c r="NV167" s="12"/>
      <c r="NX167" s="14"/>
      <c r="NY167" s="15"/>
      <c r="NZ167" s="15"/>
      <c r="OA167" s="15"/>
      <c r="OB167" s="15"/>
      <c r="OC167" s="15"/>
      <c r="OD167" s="15"/>
      <c r="OE167" s="15"/>
      <c r="OF167" s="15"/>
      <c r="OG167" s="15"/>
      <c r="OH167" s="15"/>
      <c r="OI167" s="15"/>
      <c r="OJ167" s="15"/>
      <c r="OK167" s="15"/>
      <c r="OL167" s="15"/>
      <c r="OM167" s="15"/>
      <c r="ON167" s="15"/>
      <c r="OO167" s="15"/>
      <c r="OP167" s="15"/>
      <c r="OQ167" s="16"/>
      <c r="OS167" s="12"/>
      <c r="PP167" s="13"/>
      <c r="PR167" s="13"/>
    </row>
    <row r="168" spans="32:434" ht="18" customHeight="1">
      <c r="AF168" s="42"/>
      <c r="AG168" s="43"/>
      <c r="AH168" s="12"/>
      <c r="AZ168" s="12"/>
      <c r="BA168" s="12"/>
      <c r="BJ168" s="13"/>
      <c r="BK168" s="90"/>
      <c r="CK168" s="13"/>
      <c r="CL168" s="43"/>
      <c r="CM168" s="45"/>
      <c r="EH168" s="42"/>
      <c r="EI168" s="43"/>
      <c r="EJ168" s="12"/>
      <c r="ET168" s="9"/>
      <c r="EU168" s="10"/>
      <c r="EV168" s="10"/>
      <c r="EW168" s="10"/>
      <c r="EX168" s="10"/>
      <c r="EY168" s="10"/>
      <c r="EZ168" s="10"/>
      <c r="FA168" s="11"/>
      <c r="FC168" s="12"/>
      <c r="FR168" s="13"/>
      <c r="FS168" s="49"/>
      <c r="FT168" s="12"/>
      <c r="GO168" s="13"/>
      <c r="GP168" s="43"/>
      <c r="GQ168" s="45"/>
      <c r="IB168" s="12"/>
      <c r="ID168" s="12"/>
      <c r="JA168" s="13"/>
      <c r="JC168" s="12"/>
      <c r="JZ168" s="13"/>
      <c r="KC168" s="12"/>
      <c r="KM168" s="12"/>
      <c r="KO168" s="12"/>
      <c r="LN168" s="13"/>
      <c r="LO168" s="13"/>
      <c r="LX168" s="19"/>
      <c r="MV168" s="13"/>
      <c r="MX168" s="13"/>
      <c r="NV168" s="12"/>
      <c r="NX168" s="12"/>
      <c r="NY168" s="127"/>
      <c r="NZ168" s="127"/>
      <c r="OA168" s="127"/>
      <c r="OB168" s="127"/>
      <c r="OC168" s="127"/>
      <c r="OS168" s="12"/>
      <c r="PP168" s="13"/>
      <c r="PR168" s="13"/>
    </row>
    <row r="169" spans="32:434" ht="18" customHeight="1">
      <c r="AF169" s="42"/>
      <c r="AG169" s="43"/>
      <c r="AH169" s="12"/>
      <c r="AZ169" s="12"/>
      <c r="BA169" s="12"/>
      <c r="BJ169" s="13"/>
      <c r="BK169" s="90"/>
      <c r="CK169" s="13"/>
      <c r="CL169" s="43"/>
      <c r="CM169" s="45"/>
      <c r="EH169" s="42"/>
      <c r="EI169" s="43"/>
      <c r="EJ169" s="12"/>
      <c r="ET169" s="12"/>
      <c r="FA169" s="13"/>
      <c r="FC169" s="12"/>
      <c r="FR169" s="13"/>
      <c r="FS169" s="208"/>
      <c r="GO169" s="13"/>
      <c r="GP169" s="43"/>
      <c r="GQ169" s="45"/>
      <c r="IB169" s="12"/>
      <c r="ID169" s="12"/>
      <c r="JA169" s="13"/>
      <c r="JC169" s="12"/>
      <c r="JZ169" s="13"/>
      <c r="KC169" s="12"/>
      <c r="KM169" s="12"/>
      <c r="KO169" s="20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1"/>
      <c r="LK169" s="21"/>
      <c r="LL169" s="21"/>
      <c r="LM169" s="21"/>
      <c r="LN169" s="21"/>
      <c r="LO169" s="21"/>
      <c r="LP169" s="21"/>
      <c r="LQ169" s="21"/>
      <c r="LR169" s="21"/>
      <c r="LS169" s="21"/>
      <c r="LT169" s="21"/>
      <c r="LU169" s="21"/>
      <c r="LV169" s="21"/>
      <c r="LW169" s="21"/>
      <c r="LX169" s="22"/>
      <c r="MV169" s="13"/>
      <c r="MX169" s="13"/>
      <c r="NV169" s="12"/>
      <c r="NX169" s="9"/>
      <c r="NY169" s="10"/>
      <c r="NZ169" s="10"/>
      <c r="OA169" s="10"/>
      <c r="OB169" s="10"/>
      <c r="OC169" s="10"/>
      <c r="OD169" s="10"/>
      <c r="OE169" s="10"/>
      <c r="OF169" s="10"/>
      <c r="OG169" s="10"/>
      <c r="OH169" s="10"/>
      <c r="OI169" s="10"/>
      <c r="OJ169" s="10"/>
      <c r="OK169" s="10"/>
      <c r="OL169" s="10"/>
      <c r="OM169" s="10"/>
      <c r="ON169" s="10"/>
      <c r="OO169" s="10"/>
      <c r="OP169" s="10"/>
      <c r="OQ169" s="11"/>
      <c r="OS169" s="12"/>
      <c r="PP169" s="13"/>
      <c r="PR169" s="13"/>
    </row>
    <row r="170" spans="32:434" ht="18" customHeight="1">
      <c r="AF170" s="42"/>
      <c r="AG170" s="43"/>
      <c r="AH170" s="12"/>
      <c r="AZ170" s="12"/>
      <c r="BA170" s="12"/>
      <c r="BJ170" s="13"/>
      <c r="BK170" s="90"/>
      <c r="CK170" s="13"/>
      <c r="CL170" s="43"/>
      <c r="CM170" s="43"/>
      <c r="CN170" s="9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1"/>
      <c r="EH170" s="42"/>
      <c r="EI170" s="43"/>
      <c r="EJ170" s="12"/>
      <c r="ET170" s="12"/>
      <c r="FA170" s="13"/>
      <c r="FC170" s="12"/>
      <c r="FR170" s="13"/>
      <c r="FS170" s="208"/>
      <c r="FT170" s="9"/>
      <c r="FU170" s="10"/>
      <c r="FV170" s="10"/>
      <c r="FW170" s="10"/>
      <c r="FX170" s="10"/>
      <c r="FY170" s="11"/>
      <c r="GO170" s="13"/>
      <c r="GP170" s="43"/>
      <c r="GQ170" s="45"/>
      <c r="IB170" s="12"/>
      <c r="ID170" s="12"/>
      <c r="JA170" s="13"/>
      <c r="JC170" s="12"/>
      <c r="JZ170" s="13"/>
      <c r="KC170" s="12"/>
      <c r="KM170" s="12"/>
      <c r="KO170" s="12"/>
      <c r="KY170" s="12"/>
      <c r="LF170" s="13"/>
      <c r="LH170" s="12"/>
      <c r="LW170" s="13"/>
      <c r="LY170" s="12"/>
      <c r="MV170" s="13"/>
      <c r="MX170" s="13"/>
      <c r="NV170" s="12"/>
      <c r="NX170" s="12"/>
      <c r="OQ170" s="13"/>
      <c r="OS170" s="12"/>
      <c r="PP170" s="13"/>
      <c r="PR170" s="13"/>
    </row>
    <row r="171" spans="32:434" ht="18" customHeight="1">
      <c r="AF171" s="42"/>
      <c r="AG171" s="43"/>
      <c r="AH171" s="12"/>
      <c r="AZ171" s="12"/>
      <c r="BA171" s="12"/>
      <c r="BJ171" s="13"/>
      <c r="BK171" s="90"/>
      <c r="CK171" s="13"/>
      <c r="CL171" s="43"/>
      <c r="CM171" s="43"/>
      <c r="CN171" s="12"/>
      <c r="DG171" s="13"/>
      <c r="EH171" s="42"/>
      <c r="EI171" s="43"/>
      <c r="EJ171" s="12"/>
      <c r="ET171" s="12"/>
      <c r="FA171" s="13"/>
      <c r="FC171" s="12"/>
      <c r="FR171" s="13"/>
      <c r="FS171" s="208"/>
      <c r="FT171" s="12"/>
      <c r="FY171" s="13"/>
      <c r="GO171" s="13"/>
      <c r="GP171" s="43"/>
      <c r="GQ171" s="45"/>
      <c r="IB171" s="12"/>
      <c r="ID171" s="12"/>
      <c r="JA171" s="13"/>
      <c r="JC171" s="12"/>
      <c r="JZ171" s="13"/>
      <c r="KC171" s="12"/>
      <c r="KM171" s="12"/>
      <c r="KO171" s="12"/>
      <c r="KY171" s="12"/>
      <c r="LF171" s="13"/>
      <c r="LH171" s="9"/>
      <c r="LI171" s="11"/>
      <c r="LW171" s="13"/>
      <c r="LX171" s="13"/>
      <c r="MV171" s="13"/>
      <c r="MX171" s="13"/>
      <c r="NV171" s="12"/>
      <c r="NX171" s="12"/>
      <c r="OQ171" s="13"/>
      <c r="OS171" s="12"/>
      <c r="PP171" s="13"/>
      <c r="PR171" s="13"/>
    </row>
    <row r="172" spans="32:434" ht="18" customHeight="1">
      <c r="AF172" s="42"/>
      <c r="AG172" s="43"/>
      <c r="AH172" s="12"/>
      <c r="AZ172" s="12"/>
      <c r="BA172" s="14"/>
      <c r="BB172" s="15"/>
      <c r="BC172" s="15"/>
      <c r="BD172" s="15"/>
      <c r="BE172" s="15"/>
      <c r="BF172" s="15"/>
      <c r="BG172" s="15"/>
      <c r="BH172" s="15"/>
      <c r="BI172" s="15"/>
      <c r="BJ172" s="16"/>
      <c r="BK172" s="13"/>
      <c r="CK172" s="13"/>
      <c r="CL172" s="43"/>
      <c r="CM172" s="43"/>
      <c r="CN172" s="12"/>
      <c r="DG172" s="13"/>
      <c r="EH172" s="42"/>
      <c r="EI172" s="43"/>
      <c r="EJ172" s="12"/>
      <c r="ET172" s="12"/>
      <c r="FA172" s="13"/>
      <c r="FC172" s="9"/>
      <c r="FD172" s="11"/>
      <c r="FG172" s="9"/>
      <c r="FH172" s="10"/>
      <c r="FI172" s="10"/>
      <c r="FJ172" s="10"/>
      <c r="FK172" s="10"/>
      <c r="FL172" s="10"/>
      <c r="FM172" s="10"/>
      <c r="FN172" s="11"/>
      <c r="FR172" s="13"/>
      <c r="FS172" s="208"/>
      <c r="FT172" s="12"/>
      <c r="FY172" s="13"/>
      <c r="GM172" s="9"/>
      <c r="GN172" s="10"/>
      <c r="GO172" s="11"/>
      <c r="GP172" s="43"/>
      <c r="GQ172" s="45"/>
      <c r="IB172" s="12"/>
      <c r="ID172" s="12"/>
      <c r="JA172" s="13"/>
      <c r="JC172" s="12"/>
      <c r="JZ172" s="13"/>
      <c r="KC172" s="12"/>
      <c r="KM172" s="12"/>
      <c r="KO172" s="12"/>
      <c r="KY172" s="12"/>
      <c r="LF172" s="13"/>
      <c r="LH172" s="12"/>
      <c r="LI172" s="13"/>
      <c r="LW172" s="13"/>
      <c r="LX172" s="13"/>
      <c r="LY172" s="9"/>
      <c r="LZ172" s="10"/>
      <c r="MA172" s="10"/>
      <c r="MB172" s="10"/>
      <c r="MC172" s="10"/>
      <c r="MD172" s="11"/>
      <c r="MV172" s="13"/>
      <c r="MX172" s="13"/>
      <c r="NV172" s="12"/>
      <c r="NX172" s="12"/>
      <c r="OQ172" s="13"/>
      <c r="OS172" s="12"/>
      <c r="PP172" s="13"/>
      <c r="PR172" s="13"/>
    </row>
    <row r="173" spans="32:434" ht="18" customHeight="1">
      <c r="AF173" s="42"/>
      <c r="AG173" s="43"/>
      <c r="AH173" s="12"/>
      <c r="AZ173" s="14"/>
      <c r="BA173" s="15"/>
      <c r="BB173" s="15"/>
      <c r="BC173" s="15"/>
      <c r="BD173" s="15"/>
      <c r="BE173" s="15"/>
      <c r="BF173" s="15"/>
      <c r="BG173" s="15"/>
      <c r="BH173" s="15"/>
      <c r="BI173" s="15"/>
      <c r="BJ173" s="16"/>
      <c r="BK173" s="13"/>
      <c r="CK173" s="13"/>
      <c r="CL173" s="43"/>
      <c r="CM173" s="43"/>
      <c r="CN173" s="12"/>
      <c r="DG173" s="13"/>
      <c r="EH173" s="42"/>
      <c r="EI173" s="43"/>
      <c r="EJ173" s="9"/>
      <c r="EK173" s="10"/>
      <c r="EL173" s="10"/>
      <c r="EM173" s="10"/>
      <c r="EN173" s="10"/>
      <c r="EO173" s="9"/>
      <c r="EP173" s="10"/>
      <c r="EQ173" s="10"/>
      <c r="ER173" s="10"/>
      <c r="ES173" s="11"/>
      <c r="ET173" s="12"/>
      <c r="FA173" s="13"/>
      <c r="FC173" s="12"/>
      <c r="FD173" s="33"/>
      <c r="FE173" s="32"/>
      <c r="FG173" s="12"/>
      <c r="FN173" s="13"/>
      <c r="FR173" s="13"/>
      <c r="FS173" s="208"/>
      <c r="FT173" s="12"/>
      <c r="FY173" s="13"/>
      <c r="GM173" s="12"/>
      <c r="GO173" s="176"/>
      <c r="GP173" s="43"/>
      <c r="GQ173" s="45"/>
      <c r="IB173" s="12"/>
      <c r="ID173" s="12"/>
      <c r="JA173" s="13"/>
      <c r="JC173" s="12"/>
      <c r="JZ173" s="13"/>
      <c r="KC173" s="12"/>
      <c r="KM173" s="12"/>
      <c r="KO173" s="12"/>
      <c r="KY173" s="12"/>
      <c r="LF173" s="13"/>
      <c r="LH173" s="12"/>
      <c r="LI173" s="13"/>
      <c r="LW173" s="13"/>
      <c r="LX173" s="13"/>
      <c r="LY173" s="12"/>
      <c r="MD173" s="13"/>
      <c r="MV173" s="13"/>
      <c r="MX173" s="13"/>
      <c r="NV173" s="12"/>
      <c r="NX173" s="12"/>
      <c r="OQ173" s="13"/>
      <c r="OS173" s="12"/>
      <c r="PP173" s="13"/>
      <c r="PR173" s="13"/>
    </row>
    <row r="174" spans="32:434" ht="18" customHeight="1">
      <c r="AF174" s="42"/>
      <c r="AG174" s="43"/>
      <c r="AH174" s="12"/>
      <c r="BJ174" s="13"/>
      <c r="BK174" s="13"/>
      <c r="CK174" s="13"/>
      <c r="CL174" s="43"/>
      <c r="CM174" s="43"/>
      <c r="CN174" s="9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1"/>
      <c r="DG174" s="13"/>
      <c r="EH174" s="42"/>
      <c r="EI174" s="43"/>
      <c r="EJ174" s="12"/>
      <c r="EO174" s="12"/>
      <c r="ES174" s="13"/>
      <c r="ET174" s="12"/>
      <c r="FA174" s="13"/>
      <c r="FC174" s="12"/>
      <c r="FD174" s="33"/>
      <c r="FE174" s="32"/>
      <c r="FG174" s="12"/>
      <c r="FN174" s="13"/>
      <c r="FR174" s="13"/>
      <c r="FS174" s="208"/>
      <c r="FT174" s="12"/>
      <c r="FY174" s="13"/>
      <c r="GM174" s="12"/>
      <c r="GO174" s="177"/>
      <c r="GP174" s="43"/>
      <c r="GQ174" s="45"/>
      <c r="IB174" s="12"/>
      <c r="ID174" s="12"/>
      <c r="JA174" s="13"/>
      <c r="JC174" s="12"/>
      <c r="JZ174" s="13"/>
      <c r="KC174" s="12"/>
      <c r="KM174" s="12"/>
      <c r="KO174" s="12"/>
      <c r="KY174" s="12"/>
      <c r="LF174" s="13"/>
      <c r="LH174" s="12"/>
      <c r="LI174" s="13"/>
      <c r="LL174" s="9"/>
      <c r="LM174" s="10"/>
      <c r="LN174" s="10"/>
      <c r="LO174" s="10"/>
      <c r="LP174" s="10"/>
      <c r="LQ174" s="10"/>
      <c r="LR174" s="10"/>
      <c r="LS174" s="11"/>
      <c r="LW174" s="13"/>
      <c r="LX174" s="13"/>
      <c r="LY174" s="12"/>
      <c r="MD174" s="13"/>
      <c r="MV174" s="13"/>
      <c r="MX174" s="13"/>
      <c r="NV174" s="12"/>
      <c r="NX174" s="12"/>
      <c r="OQ174" s="13"/>
      <c r="OS174" s="12"/>
      <c r="PP174" s="13"/>
      <c r="PR174" s="13"/>
    </row>
    <row r="175" spans="32:434" ht="18" customHeight="1">
      <c r="AF175" s="42"/>
      <c r="AG175" s="43"/>
      <c r="AH175" s="12"/>
      <c r="BJ175" s="13"/>
      <c r="BK175" s="13"/>
      <c r="BL175" s="9"/>
      <c r="BM175" s="11"/>
      <c r="BN175" s="20"/>
      <c r="BO175" s="21"/>
      <c r="BP175" s="21"/>
      <c r="BQ175" s="22"/>
      <c r="CK175" s="13"/>
      <c r="CL175" s="43"/>
      <c r="CM175" s="43"/>
      <c r="CN175" s="12"/>
      <c r="DC175" s="13"/>
      <c r="DG175" s="13"/>
      <c r="EH175" s="42"/>
      <c r="EI175" s="43"/>
      <c r="EJ175" s="12"/>
      <c r="EO175" s="12"/>
      <c r="ES175" s="13"/>
      <c r="ET175" s="12"/>
      <c r="FA175" s="13"/>
      <c r="FC175" s="12"/>
      <c r="FD175" s="13"/>
      <c r="FG175" s="12"/>
      <c r="FN175" s="13"/>
      <c r="FR175" s="13"/>
      <c r="FS175" s="208"/>
      <c r="FT175" s="12"/>
      <c r="FY175" s="13"/>
      <c r="GM175" s="12"/>
      <c r="GO175" s="177"/>
      <c r="GP175" s="43"/>
      <c r="GQ175" s="45"/>
      <c r="IB175" s="12"/>
      <c r="ID175" s="14"/>
      <c r="IE175" s="15"/>
      <c r="IF175" s="15"/>
      <c r="IG175" s="15"/>
      <c r="IH175" s="15"/>
      <c r="II175" s="15"/>
      <c r="IJ175" s="15"/>
      <c r="IK175" s="15"/>
      <c r="IL175" s="15"/>
      <c r="IM175" s="15"/>
      <c r="IN175" s="15"/>
      <c r="IO175" s="15"/>
      <c r="IP175" s="15"/>
      <c r="IQ175" s="15"/>
      <c r="IR175" s="15"/>
      <c r="IS175" s="15"/>
      <c r="IT175" s="15"/>
      <c r="IU175" s="15"/>
      <c r="IV175" s="15"/>
      <c r="IW175" s="15"/>
      <c r="IX175" s="15"/>
      <c r="IY175" s="15"/>
      <c r="IZ175" s="15"/>
      <c r="JA175" s="16"/>
      <c r="JC175" s="12"/>
      <c r="JZ175" s="13"/>
      <c r="KC175" s="12"/>
      <c r="KM175" s="12"/>
      <c r="KO175" s="9"/>
      <c r="KP175" s="10"/>
      <c r="KQ175" s="10"/>
      <c r="KR175" s="10"/>
      <c r="KS175" s="10"/>
      <c r="KT175" s="9"/>
      <c r="KU175" s="10"/>
      <c r="KV175" s="10"/>
      <c r="KW175" s="10"/>
      <c r="KX175" s="11"/>
      <c r="KY175" s="12"/>
      <c r="LF175" s="13"/>
      <c r="LH175" s="12"/>
      <c r="LI175" s="13"/>
      <c r="LL175" s="12"/>
      <c r="LS175" s="13"/>
      <c r="LW175" s="13"/>
      <c r="LX175" s="13"/>
      <c r="LY175" s="12"/>
      <c r="MD175" s="13"/>
      <c r="MV175" s="13"/>
      <c r="MX175" s="13"/>
      <c r="NV175" s="12"/>
      <c r="NX175" s="12"/>
      <c r="OQ175" s="13"/>
      <c r="OS175" s="12"/>
      <c r="PP175" s="13"/>
      <c r="PR175" s="13"/>
    </row>
    <row r="176" spans="32:434" ht="18" customHeight="1">
      <c r="AF176" s="42"/>
      <c r="AG176" s="43"/>
      <c r="AH176" s="12"/>
      <c r="BJ176" s="13"/>
      <c r="BK176" s="13"/>
      <c r="BL176" s="12"/>
      <c r="BM176" s="13"/>
      <c r="BQ176" s="13"/>
      <c r="CK176" s="13"/>
      <c r="CL176" s="43"/>
      <c r="CM176" s="43"/>
      <c r="CN176" s="12"/>
      <c r="DC176" s="13"/>
      <c r="DG176" s="13"/>
      <c r="EH176" s="42"/>
      <c r="EI176" s="43"/>
      <c r="EJ176" s="12"/>
      <c r="EO176" s="12"/>
      <c r="ES176" s="13"/>
      <c r="ET176" s="12"/>
      <c r="FA176" s="13"/>
      <c r="FC176" s="12"/>
      <c r="FD176" s="13"/>
      <c r="FG176" s="12"/>
      <c r="FN176" s="13"/>
      <c r="FR176" s="13"/>
      <c r="FS176" s="208"/>
      <c r="FT176" s="12"/>
      <c r="FY176" s="13"/>
      <c r="GM176" s="12"/>
      <c r="GO176" s="177"/>
      <c r="GP176" s="43"/>
      <c r="GQ176" s="45"/>
      <c r="IB176" s="12"/>
      <c r="ID176" s="12"/>
      <c r="JB176" s="12"/>
      <c r="JC176" s="12"/>
      <c r="JZ176" s="13"/>
      <c r="KC176" s="12"/>
      <c r="KM176" s="12"/>
      <c r="KO176" s="12"/>
      <c r="KT176" s="12"/>
      <c r="KX176" s="13"/>
      <c r="KY176" s="12"/>
      <c r="LF176" s="13"/>
      <c r="LH176" s="14"/>
      <c r="LI176" s="16"/>
      <c r="LL176" s="12"/>
      <c r="LS176" s="13"/>
      <c r="LW176" s="13"/>
      <c r="LX176" s="13"/>
      <c r="LY176" s="12"/>
      <c r="MD176" s="13"/>
      <c r="MV176" s="13"/>
      <c r="MX176" s="13"/>
      <c r="NV176" s="12"/>
      <c r="NX176" s="12"/>
      <c r="OQ176" s="13"/>
      <c r="OS176" s="12"/>
      <c r="PP176" s="13"/>
      <c r="PR176" s="13"/>
    </row>
    <row r="177" spans="32:434" ht="18" customHeight="1">
      <c r="AF177" s="42"/>
      <c r="AG177" s="43"/>
      <c r="AH177" s="12"/>
      <c r="BJ177" s="13"/>
      <c r="BK177" s="13"/>
      <c r="BL177" s="12"/>
      <c r="BM177" s="13"/>
      <c r="BQ177" s="13"/>
      <c r="CK177" s="13"/>
      <c r="CL177" s="43"/>
      <c r="CM177" s="43"/>
      <c r="CN177" s="12"/>
      <c r="DC177" s="13"/>
      <c r="DG177" s="13"/>
      <c r="EH177" s="42"/>
      <c r="EI177" s="43"/>
      <c r="EJ177" s="14"/>
      <c r="EK177" s="15"/>
      <c r="EL177" s="15"/>
      <c r="EM177" s="15"/>
      <c r="EN177" s="15"/>
      <c r="EO177" s="14"/>
      <c r="EP177" s="15"/>
      <c r="EQ177" s="15"/>
      <c r="ER177" s="15"/>
      <c r="ES177" s="16"/>
      <c r="ET177" s="14"/>
      <c r="EU177" s="15"/>
      <c r="EV177" s="15"/>
      <c r="EW177" s="15"/>
      <c r="EX177" s="15"/>
      <c r="EY177" s="15"/>
      <c r="EZ177" s="15"/>
      <c r="FA177" s="16"/>
      <c r="FB177" s="15"/>
      <c r="FC177" s="14"/>
      <c r="FD177" s="16"/>
      <c r="FG177" s="12"/>
      <c r="FN177" s="13"/>
      <c r="FR177" s="13"/>
      <c r="FS177" s="208"/>
      <c r="FT177" s="12"/>
      <c r="FY177" s="13"/>
      <c r="GM177" s="12"/>
      <c r="GO177" s="177"/>
      <c r="GP177" s="43"/>
      <c r="GQ177" s="45"/>
      <c r="IB177" s="12"/>
      <c r="ID177" s="9"/>
      <c r="IE177" s="10"/>
      <c r="IF177" s="10"/>
      <c r="IG177" s="10"/>
      <c r="IH177" s="10"/>
      <c r="II177" s="10"/>
      <c r="IJ177" s="10"/>
      <c r="IK177" s="10"/>
      <c r="IL177" s="10"/>
      <c r="IM177" s="10"/>
      <c r="IN177" s="10"/>
      <c r="IO177" s="10"/>
      <c r="IP177" s="10"/>
      <c r="IQ177" s="10"/>
      <c r="IR177" s="10"/>
      <c r="IS177" s="10"/>
      <c r="IT177" s="10"/>
      <c r="IU177" s="10"/>
      <c r="IV177" s="10"/>
      <c r="IW177" s="10"/>
      <c r="IX177" s="10"/>
      <c r="IY177" s="10"/>
      <c r="IZ177" s="10"/>
      <c r="JA177" s="10"/>
      <c r="JB177" s="12"/>
      <c r="JC177" s="12"/>
      <c r="JZ177" s="13"/>
      <c r="KC177" s="12"/>
      <c r="KM177" s="12"/>
      <c r="KO177" s="12"/>
      <c r="KT177" s="12"/>
      <c r="KX177" s="13"/>
      <c r="KY177" s="12"/>
      <c r="LF177" s="13"/>
      <c r="LH177" s="12"/>
      <c r="LL177" s="12"/>
      <c r="LS177" s="13"/>
      <c r="LW177" s="13"/>
      <c r="LX177" s="13"/>
      <c r="LY177" s="12"/>
      <c r="MD177" s="13"/>
      <c r="MV177" s="13"/>
      <c r="MX177" s="13"/>
      <c r="NV177" s="12"/>
      <c r="NX177" s="12"/>
      <c r="OQ177" s="13"/>
      <c r="OS177" s="12"/>
      <c r="PP177" s="13"/>
      <c r="PR177" s="13"/>
    </row>
    <row r="178" spans="32:434" ht="18" customHeight="1">
      <c r="AF178" s="42"/>
      <c r="AG178" s="43"/>
      <c r="AH178" s="12"/>
      <c r="BJ178" s="13"/>
      <c r="BK178" s="13"/>
      <c r="BL178" s="12"/>
      <c r="BM178" s="13"/>
      <c r="BQ178" s="13"/>
      <c r="CK178" s="13"/>
      <c r="CL178" s="43"/>
      <c r="CM178" s="43"/>
      <c r="CN178" s="12"/>
      <c r="DC178" s="13"/>
      <c r="DG178" s="13"/>
      <c r="EH178" s="42"/>
      <c r="EI178" s="43"/>
      <c r="EJ178" s="43"/>
      <c r="EK178" s="43"/>
      <c r="EL178" s="43"/>
      <c r="EM178" s="43"/>
      <c r="EN178" s="43"/>
      <c r="EO178" s="43"/>
      <c r="EP178" s="43"/>
      <c r="EQ178" s="43"/>
      <c r="ER178" s="43"/>
      <c r="ES178" s="43"/>
      <c r="ET178" s="43"/>
      <c r="EU178" s="43"/>
      <c r="EV178" s="41"/>
      <c r="EW178" s="41"/>
      <c r="EX178" s="41"/>
      <c r="EY178" s="41"/>
      <c r="EZ178" s="41"/>
      <c r="FA178" s="41"/>
      <c r="FB178" s="41"/>
      <c r="FC178" s="12"/>
      <c r="FG178" s="12"/>
      <c r="FN178" s="13"/>
      <c r="FR178" s="13"/>
      <c r="FS178" s="208"/>
      <c r="FT178" s="12"/>
      <c r="FY178" s="13"/>
      <c r="GM178" s="12"/>
      <c r="GO178" s="178"/>
      <c r="GP178" s="43"/>
      <c r="GQ178" s="45"/>
      <c r="IB178" s="12"/>
      <c r="ID178" s="12"/>
      <c r="JB178" s="12"/>
      <c r="JC178" s="12"/>
      <c r="JZ178" s="13"/>
      <c r="KC178" s="12"/>
      <c r="KM178" s="12"/>
      <c r="KO178" s="12"/>
      <c r="KT178" s="12"/>
      <c r="KX178" s="13"/>
      <c r="KY178" s="12"/>
      <c r="LF178" s="13"/>
      <c r="LH178" s="9"/>
      <c r="LI178" s="11"/>
      <c r="LL178" s="12"/>
      <c r="LS178" s="13"/>
      <c r="LW178" s="13"/>
      <c r="LX178" s="13"/>
      <c r="LY178" s="12"/>
      <c r="MD178" s="13"/>
      <c r="MV178" s="13"/>
      <c r="MX178" s="13"/>
      <c r="MY178" s="12"/>
      <c r="NV178" s="12"/>
      <c r="NX178" s="14"/>
      <c r="NY178" s="15"/>
      <c r="NZ178" s="15"/>
      <c r="OA178" s="15"/>
      <c r="OB178" s="15"/>
      <c r="OC178" s="15"/>
      <c r="OD178" s="15"/>
      <c r="OE178" s="15"/>
      <c r="OF178" s="15"/>
      <c r="OG178" s="15"/>
      <c r="OH178" s="15"/>
      <c r="OI178" s="15"/>
      <c r="OJ178" s="15"/>
      <c r="OK178" s="15"/>
      <c r="OL178" s="15"/>
      <c r="OM178" s="15"/>
      <c r="ON178" s="15"/>
      <c r="OO178" s="15"/>
      <c r="OP178" s="15"/>
      <c r="OQ178" s="16"/>
      <c r="OS178" s="12"/>
      <c r="PP178" s="13"/>
      <c r="PR178" s="13"/>
    </row>
    <row r="179" spans="32:434" ht="18" customHeight="1">
      <c r="AF179" s="42"/>
      <c r="AG179" s="43"/>
      <c r="AH179" s="12"/>
      <c r="BJ179" s="13"/>
      <c r="BK179" s="13"/>
      <c r="BL179" s="12"/>
      <c r="BM179" s="13"/>
      <c r="BQ179" s="13"/>
      <c r="CK179" s="13"/>
      <c r="CL179" s="43"/>
      <c r="CM179" s="43"/>
      <c r="CN179" s="12"/>
      <c r="DC179" s="13"/>
      <c r="DG179" s="13"/>
      <c r="EH179" s="46"/>
      <c r="EI179" s="47"/>
      <c r="EJ179" s="47"/>
      <c r="EK179" s="47"/>
      <c r="EL179" s="47"/>
      <c r="EM179" s="47"/>
      <c r="EN179" s="47"/>
      <c r="EO179" s="47"/>
      <c r="EP179" s="47"/>
      <c r="EQ179" s="47"/>
      <c r="ER179" s="47"/>
      <c r="ES179" s="43"/>
      <c r="ET179" s="47"/>
      <c r="EU179" s="43"/>
      <c r="EV179" s="43"/>
      <c r="EW179" s="43"/>
      <c r="EX179" s="43"/>
      <c r="EY179" s="43"/>
      <c r="EZ179" s="43"/>
      <c r="FA179" s="43"/>
      <c r="FB179" s="43"/>
      <c r="FC179" s="9"/>
      <c r="FD179" s="11"/>
      <c r="FG179" s="12"/>
      <c r="FN179" s="13"/>
      <c r="FR179" s="13"/>
      <c r="FS179" s="208"/>
      <c r="FT179" s="12"/>
      <c r="FY179" s="13"/>
      <c r="GM179" s="14"/>
      <c r="GN179" s="15"/>
      <c r="GO179" s="16"/>
      <c r="GP179" s="43"/>
      <c r="GQ179" s="45"/>
      <c r="IB179" s="12"/>
      <c r="ID179" s="12"/>
      <c r="JB179" s="12"/>
      <c r="JC179" s="12"/>
      <c r="JZ179" s="13"/>
      <c r="KC179" s="12"/>
      <c r="KM179" s="12"/>
      <c r="KO179" s="14"/>
      <c r="KP179" s="15"/>
      <c r="KQ179" s="15"/>
      <c r="KR179" s="15"/>
      <c r="KS179" s="15"/>
      <c r="KT179" s="14"/>
      <c r="KU179" s="15"/>
      <c r="KV179" s="15"/>
      <c r="KW179" s="15"/>
      <c r="KX179" s="16"/>
      <c r="KY179" s="14"/>
      <c r="KZ179" s="15"/>
      <c r="LA179" s="15"/>
      <c r="LB179" s="15"/>
      <c r="LC179" s="15"/>
      <c r="LD179" s="15"/>
      <c r="LE179" s="15"/>
      <c r="LF179" s="16"/>
      <c r="LG179" s="15"/>
      <c r="LH179" s="12"/>
      <c r="LI179" s="13"/>
      <c r="LL179" s="12"/>
      <c r="LS179" s="13"/>
      <c r="LW179" s="13"/>
      <c r="LX179" s="13"/>
      <c r="LY179" s="12"/>
      <c r="MD179" s="13"/>
      <c r="MV179" s="13"/>
      <c r="MX179" s="13"/>
      <c r="MY179" s="12"/>
      <c r="NV179" s="12"/>
      <c r="NX179" s="12"/>
      <c r="OS179" s="12"/>
      <c r="PP179" s="13"/>
      <c r="PR179" s="13"/>
    </row>
    <row r="180" spans="32:434" ht="18" customHeight="1">
      <c r="AF180" s="42"/>
      <c r="AG180" s="43"/>
      <c r="AH180" s="12"/>
      <c r="BJ180" s="13"/>
      <c r="BK180" s="13"/>
      <c r="BL180" s="12"/>
      <c r="BM180" s="13"/>
      <c r="BQ180" s="13"/>
      <c r="CK180" s="13"/>
      <c r="CL180" s="43"/>
      <c r="CM180" s="43"/>
      <c r="CN180" s="12"/>
      <c r="DC180" s="13"/>
      <c r="DG180" s="13"/>
      <c r="EQ180" s="10"/>
      <c r="ER180" s="10"/>
      <c r="ES180" s="10"/>
      <c r="ET180" s="10"/>
      <c r="EU180" s="10"/>
      <c r="EV180" s="10"/>
      <c r="EW180" s="10"/>
      <c r="EX180" s="10"/>
      <c r="EY180" s="10"/>
      <c r="EZ180" s="11"/>
      <c r="FA180" s="42"/>
      <c r="FB180" s="43"/>
      <c r="FC180" s="12"/>
      <c r="FD180" s="13"/>
      <c r="FG180" s="12"/>
      <c r="FN180" s="13"/>
      <c r="FR180" s="13"/>
      <c r="FS180" s="208"/>
      <c r="FT180" s="12"/>
      <c r="FY180" s="13"/>
      <c r="GO180" s="13"/>
      <c r="GP180" s="43"/>
      <c r="GQ180" s="45"/>
      <c r="IB180" s="12"/>
      <c r="ID180" s="12"/>
      <c r="JB180" s="14"/>
      <c r="JC180" s="12"/>
      <c r="JZ180" s="13"/>
      <c r="KC180" s="12"/>
      <c r="KM180" s="12"/>
      <c r="LA180" s="10"/>
      <c r="LB180" s="10"/>
      <c r="LC180" s="10"/>
      <c r="LD180" s="10"/>
      <c r="LE180" s="10"/>
      <c r="LF180" s="10"/>
      <c r="LG180" s="10"/>
      <c r="LH180" s="12"/>
      <c r="LI180" s="13"/>
      <c r="LL180" s="12"/>
      <c r="LS180" s="13"/>
      <c r="LW180" s="13"/>
      <c r="LX180" s="13"/>
      <c r="LY180" s="12"/>
      <c r="MD180" s="13"/>
      <c r="MV180" s="13"/>
      <c r="MX180" s="13"/>
      <c r="MY180" s="12"/>
      <c r="NV180" s="12"/>
      <c r="NX180" s="9"/>
      <c r="NY180" s="10"/>
      <c r="NZ180" s="10"/>
      <c r="OA180" s="10"/>
      <c r="OB180" s="10"/>
      <c r="OC180" s="10"/>
      <c r="OD180" s="10"/>
      <c r="OE180" s="10"/>
      <c r="OF180" s="10"/>
      <c r="OG180" s="10"/>
      <c r="OH180" s="10"/>
      <c r="OI180" s="10"/>
      <c r="OJ180" s="10"/>
      <c r="OK180" s="10"/>
      <c r="OL180" s="10"/>
      <c r="OM180" s="10"/>
      <c r="ON180" s="10"/>
      <c r="OO180" s="10"/>
      <c r="OP180" s="10"/>
      <c r="OQ180" s="10"/>
      <c r="OR180" s="17"/>
      <c r="OS180" s="12"/>
      <c r="PP180" s="13"/>
      <c r="PR180" s="13"/>
    </row>
    <row r="181" spans="32:434" ht="18" customHeight="1">
      <c r="AF181" s="42"/>
      <c r="AG181" s="43"/>
      <c r="AH181" s="12"/>
      <c r="BJ181" s="13"/>
      <c r="BK181" s="13"/>
      <c r="BL181" s="12"/>
      <c r="BM181" s="13"/>
      <c r="BN181" s="9"/>
      <c r="BO181" s="10"/>
      <c r="BP181" s="10"/>
      <c r="BQ181" s="11"/>
      <c r="CK181" s="13"/>
      <c r="CL181" s="43"/>
      <c r="CM181" s="43"/>
      <c r="CN181" s="12"/>
      <c r="DC181" s="13"/>
      <c r="DG181" s="13"/>
      <c r="FA181" s="42"/>
      <c r="FB181" s="43"/>
      <c r="FC181" s="12"/>
      <c r="FD181" s="13"/>
      <c r="FG181" s="12"/>
      <c r="FN181" s="13"/>
      <c r="FR181" s="13"/>
      <c r="FS181" s="208"/>
      <c r="FT181" s="14"/>
      <c r="FU181" s="15"/>
      <c r="FV181" s="15"/>
      <c r="FW181" s="15"/>
      <c r="FX181" s="15"/>
      <c r="FY181" s="16"/>
      <c r="GO181" s="13"/>
      <c r="GP181" s="43"/>
      <c r="GQ181" s="45"/>
      <c r="IB181" s="12"/>
      <c r="ID181" s="12"/>
      <c r="IH181" s="9"/>
      <c r="II181" s="10"/>
      <c r="IJ181" s="10"/>
      <c r="IK181" s="10"/>
      <c r="IL181" s="10"/>
      <c r="IM181" s="10"/>
      <c r="IN181" s="10"/>
      <c r="IO181" s="10"/>
      <c r="IP181" s="10"/>
      <c r="IQ181" s="10"/>
      <c r="IR181" s="10"/>
      <c r="IS181" s="10"/>
      <c r="IT181" s="10"/>
      <c r="IU181" s="10"/>
      <c r="IV181" s="10"/>
      <c r="IW181" s="10"/>
      <c r="IX181" s="10"/>
      <c r="IY181" s="10"/>
      <c r="IZ181" s="10"/>
      <c r="JA181" s="10"/>
      <c r="JZ181" s="13"/>
      <c r="KC181" s="12"/>
      <c r="KM181" s="14"/>
      <c r="KN181" s="15"/>
      <c r="KO181" s="15"/>
      <c r="KP181" s="15"/>
      <c r="KQ181" s="15"/>
      <c r="KR181" s="15"/>
      <c r="KS181" s="15"/>
      <c r="KT181" s="15"/>
      <c r="KU181" s="15"/>
      <c r="KV181" s="15"/>
      <c r="KW181" s="15"/>
      <c r="KY181" s="15"/>
      <c r="LH181" s="12"/>
      <c r="LI181" s="13"/>
      <c r="LL181" s="12"/>
      <c r="LS181" s="13"/>
      <c r="LW181" s="13"/>
      <c r="LX181" s="13"/>
      <c r="LY181" s="12"/>
      <c r="MD181" s="13"/>
      <c r="MV181" s="13"/>
      <c r="MX181" s="13"/>
      <c r="MY181" s="12"/>
      <c r="NV181" s="12"/>
      <c r="NX181" s="12"/>
      <c r="OR181" s="18"/>
      <c r="OS181" s="12"/>
      <c r="PP181" s="13"/>
      <c r="PR181" s="13"/>
    </row>
    <row r="182" spans="32:434" ht="18" customHeight="1">
      <c r="AF182" s="42"/>
      <c r="AG182" s="43"/>
      <c r="AH182" s="12"/>
      <c r="BJ182" s="13"/>
      <c r="BK182" s="13"/>
      <c r="BL182" s="12"/>
      <c r="BM182" s="13"/>
      <c r="BN182" s="12"/>
      <c r="BQ182" s="13"/>
      <c r="CK182" s="13"/>
      <c r="CL182" s="43"/>
      <c r="CM182" s="43"/>
      <c r="CN182" s="12"/>
      <c r="DC182" s="13"/>
      <c r="DG182" s="13"/>
      <c r="FA182" s="42"/>
      <c r="FB182" s="43"/>
      <c r="FC182" s="12"/>
      <c r="FD182" s="13"/>
      <c r="FG182" s="12"/>
      <c r="FN182" s="13"/>
      <c r="FR182" s="13"/>
      <c r="FS182" s="208"/>
      <c r="GO182" s="13"/>
      <c r="GP182" s="43"/>
      <c r="GQ182" s="45"/>
      <c r="IB182" s="17"/>
      <c r="IC182" s="9"/>
      <c r="ID182" s="12"/>
      <c r="IH182" s="12"/>
      <c r="JZ182" s="13"/>
      <c r="KA182" s="11"/>
      <c r="KB182" s="9"/>
      <c r="KC182" s="12"/>
      <c r="KV182" s="10"/>
      <c r="KW182" s="10"/>
      <c r="KX182" s="10"/>
      <c r="KY182" s="10"/>
      <c r="KZ182" s="10"/>
      <c r="LA182" s="10"/>
      <c r="LB182" s="10"/>
      <c r="LC182" s="10"/>
      <c r="LD182" s="10"/>
      <c r="LE182" s="11"/>
      <c r="LF182" s="12"/>
      <c r="LH182" s="12"/>
      <c r="LI182" s="13"/>
      <c r="LL182" s="12"/>
      <c r="LS182" s="13"/>
      <c r="LW182" s="13"/>
      <c r="LX182" s="13"/>
      <c r="LY182" s="12"/>
      <c r="MD182" s="13"/>
      <c r="MV182" s="13"/>
      <c r="MX182" s="13"/>
      <c r="MY182" s="12"/>
      <c r="NV182" s="12"/>
      <c r="NX182" s="12"/>
      <c r="OR182" s="18"/>
      <c r="OS182" s="12"/>
      <c r="PP182" s="13"/>
      <c r="PR182" s="13"/>
    </row>
    <row r="183" spans="32:434" ht="18" customHeight="1">
      <c r="AF183" s="42"/>
      <c r="AG183" s="43"/>
      <c r="AH183" s="12"/>
      <c r="BJ183" s="13"/>
      <c r="BK183" s="13"/>
      <c r="BL183" s="12"/>
      <c r="BM183" s="13"/>
      <c r="BN183" s="12"/>
      <c r="BQ183" s="13"/>
      <c r="CK183" s="13"/>
      <c r="CL183" s="43"/>
      <c r="CM183" s="43"/>
      <c r="CN183" s="12"/>
      <c r="DC183" s="13"/>
      <c r="DG183" s="13"/>
      <c r="FA183" s="42"/>
      <c r="FB183" s="43"/>
      <c r="FC183" s="12"/>
      <c r="FD183" s="13"/>
      <c r="FG183" s="12"/>
      <c r="FN183" s="13"/>
      <c r="FR183" s="13"/>
      <c r="FS183" s="208"/>
      <c r="GO183" s="13"/>
      <c r="GP183" s="43"/>
      <c r="GQ183" s="45"/>
      <c r="IB183" s="18"/>
      <c r="IC183" s="12"/>
      <c r="ID183" s="12"/>
      <c r="IE183" s="9"/>
      <c r="IF183" s="11"/>
      <c r="IH183" s="12"/>
      <c r="JZ183" s="13"/>
      <c r="KA183" s="13"/>
      <c r="KB183" s="12"/>
      <c r="KC183" s="12"/>
      <c r="LF183" s="12"/>
      <c r="LH183" s="14"/>
      <c r="LI183" s="16"/>
      <c r="LL183" s="12"/>
      <c r="LS183" s="13"/>
      <c r="LW183" s="13"/>
      <c r="LX183" s="13"/>
      <c r="LY183" s="14"/>
      <c r="LZ183" s="15"/>
      <c r="MA183" s="15"/>
      <c r="MB183" s="15"/>
      <c r="MC183" s="15"/>
      <c r="MD183" s="16"/>
      <c r="MV183" s="13"/>
      <c r="MX183" s="13"/>
      <c r="MY183" s="12"/>
      <c r="NV183" s="12"/>
      <c r="NX183" s="12"/>
      <c r="OR183" s="19"/>
      <c r="OS183" s="12"/>
      <c r="PP183" s="13"/>
      <c r="PR183" s="13"/>
    </row>
    <row r="184" spans="32:434" ht="18" customHeight="1">
      <c r="AF184" s="42"/>
      <c r="AG184" s="43"/>
      <c r="AH184" s="12"/>
      <c r="BJ184" s="13"/>
      <c r="BK184" s="13"/>
      <c r="BL184" s="12"/>
      <c r="BM184" s="13"/>
      <c r="BN184" s="12"/>
      <c r="BQ184" s="13"/>
      <c r="CK184" s="13"/>
      <c r="CL184" s="43"/>
      <c r="CM184" s="43"/>
      <c r="CN184" s="12"/>
      <c r="DC184" s="13"/>
      <c r="DG184" s="13"/>
      <c r="FA184" s="42"/>
      <c r="FB184" s="43"/>
      <c r="FC184" s="14"/>
      <c r="FD184" s="16"/>
      <c r="FG184" s="12"/>
      <c r="FN184" s="13"/>
      <c r="FR184" s="13"/>
      <c r="FS184" s="208"/>
      <c r="GO184" s="13"/>
      <c r="GP184" s="43"/>
      <c r="GQ184" s="45"/>
      <c r="IB184" s="18"/>
      <c r="IC184" s="12"/>
      <c r="ID184" s="12"/>
      <c r="IE184" s="12"/>
      <c r="IF184" s="13"/>
      <c r="IH184" s="12"/>
      <c r="JZ184" s="13"/>
      <c r="KA184" s="13"/>
      <c r="KB184" s="12"/>
      <c r="KC184" s="12"/>
      <c r="LF184" s="12"/>
      <c r="LH184" s="12"/>
      <c r="LL184" s="12"/>
      <c r="LS184" s="13"/>
      <c r="LW184" s="13"/>
      <c r="LX184" s="13"/>
      <c r="MV184" s="13"/>
      <c r="MX184" s="13"/>
      <c r="MY184" s="12"/>
      <c r="NV184" s="12"/>
      <c r="NX184" s="12"/>
      <c r="OB184" s="9"/>
      <c r="OC184" s="10"/>
      <c r="OD184" s="10"/>
      <c r="OE184" s="10"/>
      <c r="OF184" s="10"/>
      <c r="OG184" s="10"/>
      <c r="OH184" s="10"/>
      <c r="OI184" s="10"/>
      <c r="OJ184" s="10"/>
      <c r="OK184" s="10"/>
      <c r="OL184" s="10"/>
      <c r="OM184" s="10"/>
      <c r="ON184" s="10"/>
      <c r="OO184" s="10"/>
      <c r="OP184" s="10"/>
      <c r="OQ184" s="10"/>
      <c r="OR184" s="11"/>
      <c r="OS184" s="12"/>
      <c r="PP184" s="13"/>
      <c r="PR184" s="13"/>
    </row>
    <row r="185" spans="32:434" ht="18" customHeight="1">
      <c r="AF185" s="42"/>
      <c r="AG185" s="43"/>
      <c r="AH185" s="12"/>
      <c r="BJ185" s="13"/>
      <c r="BK185" s="13"/>
      <c r="BL185" s="12"/>
      <c r="BM185" s="13"/>
      <c r="BN185" s="14"/>
      <c r="BO185" s="15"/>
      <c r="BP185" s="15"/>
      <c r="BQ185" s="16"/>
      <c r="CK185" s="13"/>
      <c r="CL185" s="43"/>
      <c r="CM185" s="43"/>
      <c r="CN185" s="12"/>
      <c r="DC185" s="13"/>
      <c r="DG185" s="13"/>
      <c r="FA185" s="42"/>
      <c r="FB185" s="43"/>
      <c r="FC185" s="12"/>
      <c r="FG185" s="12"/>
      <c r="FN185" s="13"/>
      <c r="FR185" s="13"/>
      <c r="FS185" s="208"/>
      <c r="GO185" s="13"/>
      <c r="GP185" s="125"/>
      <c r="GQ185" s="125"/>
      <c r="IB185" s="18"/>
      <c r="IC185" s="12"/>
      <c r="ID185" s="12"/>
      <c r="IE185" s="12"/>
      <c r="IF185" s="13"/>
      <c r="IH185" s="12"/>
      <c r="JZ185" s="13"/>
      <c r="KA185" s="13"/>
      <c r="KB185" s="12"/>
      <c r="KC185" s="12"/>
      <c r="LF185" s="12"/>
      <c r="LH185" s="12"/>
      <c r="LL185" s="12"/>
      <c r="LS185" s="13"/>
      <c r="LW185" s="13"/>
      <c r="LX185" s="13"/>
      <c r="MV185" s="13"/>
      <c r="MX185" s="13"/>
      <c r="MY185" s="12"/>
      <c r="NV185" s="12"/>
      <c r="NX185" s="12"/>
      <c r="OB185" s="12"/>
      <c r="OR185" s="13"/>
      <c r="OS185" s="12"/>
      <c r="PP185" s="13"/>
      <c r="PR185" s="13"/>
    </row>
    <row r="186" spans="32:434" ht="18" customHeight="1">
      <c r="AF186" s="42"/>
      <c r="AG186" s="43"/>
      <c r="AH186" s="14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6"/>
      <c r="BK186" s="13"/>
      <c r="BL186" s="14"/>
      <c r="BM186" s="16"/>
      <c r="BN186" s="15"/>
      <c r="BO186" s="15"/>
      <c r="BP186" s="15"/>
      <c r="BQ186" s="16"/>
      <c r="CK186" s="13"/>
      <c r="CL186" s="43"/>
      <c r="CM186" s="43"/>
      <c r="CN186" s="12"/>
      <c r="DC186" s="13"/>
      <c r="DG186" s="13"/>
      <c r="FA186" s="42"/>
      <c r="FB186" s="43"/>
      <c r="FC186" s="12"/>
      <c r="FG186" s="12"/>
      <c r="FN186" s="13"/>
      <c r="FR186" s="13"/>
      <c r="FS186" s="208"/>
      <c r="GO186" s="13"/>
      <c r="GP186" s="108"/>
      <c r="GQ186" s="108"/>
      <c r="IB186" s="18"/>
      <c r="IC186" s="12"/>
      <c r="ID186" s="12"/>
      <c r="IE186" s="14"/>
      <c r="IF186" s="16"/>
      <c r="IH186" s="12"/>
      <c r="JZ186" s="13"/>
      <c r="KA186" s="13"/>
      <c r="KB186" s="12"/>
      <c r="KC186" s="12"/>
      <c r="LF186" s="12"/>
      <c r="LH186" s="12"/>
      <c r="LL186" s="12"/>
      <c r="LS186" s="13"/>
      <c r="LW186" s="13"/>
      <c r="LX186" s="13"/>
      <c r="MV186" s="13"/>
      <c r="MX186" s="13"/>
      <c r="MY186" s="12"/>
      <c r="NV186" s="12"/>
      <c r="NX186" s="12"/>
      <c r="OB186" s="12"/>
      <c r="OR186" s="13"/>
      <c r="OS186" s="12"/>
      <c r="PP186" s="13"/>
      <c r="PR186" s="13"/>
    </row>
    <row r="187" spans="32:434" ht="18" customHeight="1">
      <c r="AF187" s="42"/>
      <c r="AG187" s="43"/>
      <c r="AH187" s="12"/>
      <c r="BK187" s="13"/>
      <c r="CK187" s="13"/>
      <c r="CL187" s="43"/>
      <c r="CM187" s="43"/>
      <c r="CN187" s="12"/>
      <c r="DC187" s="13"/>
      <c r="DG187" s="13"/>
      <c r="FA187" s="42"/>
      <c r="FB187" s="43"/>
      <c r="FC187" s="12"/>
      <c r="FG187" s="12"/>
      <c r="FN187" s="13"/>
      <c r="FR187" s="13"/>
      <c r="FS187" s="208"/>
      <c r="GO187" s="13"/>
      <c r="GP187" s="108"/>
      <c r="GQ187" s="108"/>
      <c r="IB187" s="19"/>
      <c r="IC187" s="14"/>
      <c r="ID187" s="12"/>
      <c r="IH187" s="12"/>
      <c r="JZ187" s="13"/>
      <c r="KA187" s="16"/>
      <c r="KB187" s="14"/>
      <c r="KC187" s="12"/>
      <c r="LF187" s="12"/>
      <c r="LH187" s="12"/>
      <c r="LL187" s="12"/>
      <c r="LS187" s="13"/>
      <c r="LW187" s="13"/>
      <c r="LX187" s="13"/>
      <c r="MV187" s="13"/>
      <c r="MX187" s="13"/>
      <c r="MY187" s="12"/>
      <c r="NV187" s="12"/>
      <c r="NX187" s="12"/>
      <c r="OB187" s="12"/>
      <c r="OR187" s="13"/>
      <c r="OS187" s="12"/>
      <c r="PP187" s="13"/>
      <c r="PR187" s="13"/>
    </row>
    <row r="188" spans="32:434" ht="18" customHeight="1">
      <c r="AF188" s="42"/>
      <c r="AG188" s="43"/>
      <c r="AH188" s="9"/>
      <c r="AI188" s="10"/>
      <c r="AJ188" s="10"/>
      <c r="AK188" s="10"/>
      <c r="AL188" s="10"/>
      <c r="AM188" s="10"/>
      <c r="AN188" s="10"/>
      <c r="AO188" s="10"/>
      <c r="AP188" s="10"/>
      <c r="AQ188" s="17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7"/>
      <c r="CK188" s="13"/>
      <c r="CL188" s="43"/>
      <c r="CM188" s="43"/>
      <c r="CN188" s="12"/>
      <c r="DC188" s="13"/>
      <c r="DG188" s="13"/>
      <c r="FA188" s="42"/>
      <c r="FB188" s="43"/>
      <c r="FC188" s="12"/>
      <c r="FG188" s="12"/>
      <c r="FO188" s="10"/>
      <c r="FP188" s="10"/>
      <c r="FQ188" s="10"/>
      <c r="FR188" s="10"/>
      <c r="FS188" s="10"/>
      <c r="GO188" s="13"/>
      <c r="GP188" s="108"/>
      <c r="GQ188" s="108"/>
      <c r="IB188" s="12"/>
      <c r="ID188" s="12"/>
      <c r="IH188" s="14"/>
      <c r="II188" s="15"/>
      <c r="IJ188" s="15"/>
      <c r="IK188" s="15"/>
      <c r="IL188" s="15"/>
      <c r="IM188" s="15"/>
      <c r="IN188" s="15"/>
      <c r="IO188" s="15"/>
      <c r="IP188" s="15"/>
      <c r="IQ188" s="15"/>
      <c r="IR188" s="15"/>
      <c r="IS188" s="15"/>
      <c r="IT188" s="15"/>
      <c r="IU188" s="15"/>
      <c r="IV188" s="15"/>
      <c r="IW188" s="15"/>
      <c r="IX188" s="15"/>
      <c r="IY188" s="15"/>
      <c r="IZ188" s="15"/>
      <c r="JA188" s="15"/>
      <c r="JB188" s="15"/>
      <c r="JZ188" s="13"/>
      <c r="KC188" s="12"/>
      <c r="LF188" s="12"/>
      <c r="LH188" s="12"/>
      <c r="LL188" s="12"/>
      <c r="LT188" s="10"/>
      <c r="LU188" s="10"/>
      <c r="LV188" s="10"/>
      <c r="LW188" s="10"/>
      <c r="LX188" s="10"/>
      <c r="MV188" s="13"/>
      <c r="MX188" s="13"/>
      <c r="MY188" s="12"/>
      <c r="NV188" s="12"/>
      <c r="NX188" s="12"/>
      <c r="OB188" s="12"/>
      <c r="OR188" s="13"/>
      <c r="OS188" s="12"/>
      <c r="PP188" s="13"/>
      <c r="PR188" s="13"/>
    </row>
    <row r="189" spans="32:434" ht="18" customHeight="1">
      <c r="AF189" s="42"/>
      <c r="AG189" s="43"/>
      <c r="AH189" s="12"/>
      <c r="AQ189" s="18"/>
      <c r="BK189" s="18"/>
      <c r="CK189" s="13"/>
      <c r="CL189" s="43"/>
      <c r="CM189" s="43"/>
      <c r="CN189" s="12"/>
      <c r="DC189" s="13"/>
      <c r="DG189" s="13"/>
      <c r="FA189" s="42"/>
      <c r="FB189" s="43"/>
      <c r="FC189" s="12"/>
      <c r="FE189" s="97"/>
      <c r="FG189" s="12"/>
      <c r="GO189" s="13"/>
      <c r="GP189" s="108"/>
      <c r="GQ189" s="108"/>
      <c r="IB189" s="12"/>
      <c r="ID189" s="12"/>
      <c r="JA189" s="13"/>
      <c r="JC189" s="12"/>
      <c r="JZ189" s="13"/>
      <c r="KC189" s="12"/>
      <c r="LF189" s="12"/>
      <c r="LH189" s="12"/>
      <c r="LL189" s="12"/>
      <c r="MV189" s="13"/>
      <c r="MX189" s="13"/>
      <c r="MY189" s="12"/>
      <c r="NV189" s="12"/>
      <c r="NX189" s="12"/>
      <c r="OB189" s="12"/>
      <c r="OR189" s="13"/>
      <c r="OS189" s="12"/>
      <c r="PP189" s="13"/>
      <c r="PR189" s="13"/>
    </row>
    <row r="190" spans="32:434" ht="18" customHeight="1">
      <c r="AF190" s="42"/>
      <c r="AG190" s="43"/>
      <c r="AH190" s="12"/>
      <c r="AQ190" s="18"/>
      <c r="BK190" s="18"/>
      <c r="CK190" s="13"/>
      <c r="CL190" s="43"/>
      <c r="CM190" s="43"/>
      <c r="CN190" s="12"/>
      <c r="DC190" s="13"/>
      <c r="DG190" s="13"/>
      <c r="FA190" s="42"/>
      <c r="FB190" s="43"/>
      <c r="FC190" s="12"/>
      <c r="FE190" s="97"/>
      <c r="FG190" s="12"/>
      <c r="GO190" s="13"/>
      <c r="GP190" s="126"/>
      <c r="GQ190" s="126"/>
      <c r="IB190" s="12"/>
      <c r="ID190" s="12"/>
      <c r="JA190" s="13"/>
      <c r="JC190" s="12"/>
      <c r="JZ190" s="13"/>
      <c r="KC190" s="12"/>
      <c r="LF190" s="12"/>
      <c r="LH190" s="12"/>
      <c r="LL190" s="12"/>
      <c r="MV190" s="13"/>
      <c r="MX190" s="13"/>
      <c r="MY190" s="12"/>
      <c r="NV190" s="12"/>
      <c r="NX190" s="12"/>
      <c r="OB190" s="12"/>
      <c r="OR190" s="13"/>
      <c r="OS190" s="12"/>
      <c r="PP190" s="13"/>
      <c r="PR190" s="13"/>
    </row>
    <row r="191" spans="32:434" ht="18" customHeight="1">
      <c r="AF191" s="42"/>
      <c r="AG191" s="43"/>
      <c r="AH191" s="12"/>
      <c r="AQ191" s="18"/>
      <c r="BK191" s="19"/>
      <c r="CK191" s="13"/>
      <c r="CL191" s="43"/>
      <c r="CM191" s="43"/>
      <c r="CN191" s="12"/>
      <c r="DC191" s="13"/>
      <c r="DG191" s="13"/>
      <c r="FA191" s="42"/>
      <c r="FB191" s="43"/>
      <c r="FC191" s="12"/>
      <c r="FE191" s="97"/>
      <c r="FG191" s="12"/>
      <c r="GO191" s="13"/>
      <c r="GP191" s="43"/>
      <c r="GQ191" s="45"/>
      <c r="IB191" s="12"/>
      <c r="ID191" s="12"/>
      <c r="JA191" s="13"/>
      <c r="JC191" s="12"/>
      <c r="JZ191" s="13"/>
      <c r="KC191" s="12"/>
      <c r="LF191" s="12"/>
      <c r="LH191" s="12"/>
      <c r="LL191" s="12"/>
      <c r="MV191" s="13"/>
      <c r="MX191" s="13"/>
      <c r="MY191" s="12"/>
      <c r="NV191" s="12"/>
      <c r="NX191" s="14"/>
      <c r="NY191" s="15"/>
      <c r="NZ191" s="15"/>
      <c r="OA191" s="15"/>
      <c r="OB191" s="14"/>
      <c r="OC191" s="15"/>
      <c r="OD191" s="15"/>
      <c r="OE191" s="15"/>
      <c r="OF191" s="15"/>
      <c r="OG191" s="15"/>
      <c r="OH191" s="15"/>
      <c r="OI191" s="15"/>
      <c r="OJ191" s="15"/>
      <c r="OK191" s="15"/>
      <c r="OL191" s="15"/>
      <c r="OM191" s="15"/>
      <c r="ON191" s="15"/>
      <c r="OO191" s="15"/>
      <c r="OP191" s="15"/>
      <c r="OQ191" s="15"/>
      <c r="OR191" s="16"/>
      <c r="OS191" s="14"/>
      <c r="OT191" s="15"/>
      <c r="OU191" s="15"/>
      <c r="OV191" s="15"/>
      <c r="OW191" s="15"/>
      <c r="OX191" s="15"/>
      <c r="OY191" s="15"/>
      <c r="OZ191" s="15"/>
      <c r="PA191" s="15"/>
      <c r="PB191" s="15"/>
      <c r="PC191" s="15"/>
      <c r="PD191" s="15"/>
      <c r="PE191" s="15"/>
      <c r="PF191" s="15"/>
      <c r="PG191" s="15"/>
      <c r="PH191" s="15"/>
      <c r="PI191" s="15"/>
      <c r="PJ191" s="15"/>
      <c r="PK191" s="15"/>
      <c r="PL191" s="15"/>
      <c r="PM191" s="15"/>
      <c r="PN191" s="15"/>
      <c r="PO191" s="15"/>
      <c r="PP191" s="16"/>
      <c r="PR191" s="13"/>
    </row>
    <row r="192" spans="32:434" ht="18" customHeight="1">
      <c r="AF192" s="42"/>
      <c r="AG192" s="43"/>
      <c r="AH192" s="12"/>
      <c r="AQ192" s="18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1"/>
      <c r="CK192" s="13"/>
      <c r="CL192" s="43"/>
      <c r="CM192" s="43"/>
      <c r="CN192" s="12"/>
      <c r="DC192" s="13"/>
      <c r="DG192" s="13"/>
      <c r="FA192" s="42"/>
      <c r="FB192" s="43"/>
      <c r="FC192" s="12"/>
      <c r="FE192" s="97"/>
      <c r="FG192" s="12"/>
      <c r="GO192" s="13"/>
      <c r="GP192" s="43"/>
      <c r="GQ192" s="45"/>
      <c r="IB192" s="12"/>
      <c r="ID192" s="14"/>
      <c r="IE192" s="15"/>
      <c r="IF192" s="15"/>
      <c r="IG192" s="15"/>
      <c r="IH192" s="15"/>
      <c r="II192" s="15"/>
      <c r="IJ192" s="15"/>
      <c r="IK192" s="15"/>
      <c r="IL192" s="15"/>
      <c r="IM192" s="15"/>
      <c r="IN192" s="15"/>
      <c r="IO192" s="15"/>
      <c r="IP192" s="15"/>
      <c r="IQ192" s="15"/>
      <c r="IR192" s="15"/>
      <c r="IS192" s="15"/>
      <c r="IT192" s="15"/>
      <c r="IU192" s="15"/>
      <c r="IV192" s="15"/>
      <c r="IW192" s="15"/>
      <c r="IX192" s="15"/>
      <c r="IY192" s="15"/>
      <c r="IZ192" s="15"/>
      <c r="JA192" s="16"/>
      <c r="JB192" s="15"/>
      <c r="JC192" s="14"/>
      <c r="JD192" s="15"/>
      <c r="JE192" s="15"/>
      <c r="JF192" s="15"/>
      <c r="JG192" s="15"/>
      <c r="JH192" s="15"/>
      <c r="JI192" s="15"/>
      <c r="JJ192" s="15"/>
      <c r="JK192" s="15"/>
      <c r="JL192" s="15"/>
      <c r="JM192" s="15"/>
      <c r="JN192" s="15"/>
      <c r="JO192" s="15"/>
      <c r="JP192" s="15"/>
      <c r="JQ192" s="15"/>
      <c r="JR192" s="15"/>
      <c r="JS192" s="15"/>
      <c r="JT192" s="15"/>
      <c r="JU192" s="15"/>
      <c r="JV192" s="15"/>
      <c r="JW192" s="15"/>
      <c r="JX192" s="15"/>
      <c r="JY192" s="15"/>
      <c r="JZ192" s="16"/>
      <c r="KC192" s="12"/>
      <c r="LF192" s="12"/>
      <c r="LH192" s="12"/>
      <c r="LL192" s="12"/>
      <c r="MV192" s="13"/>
      <c r="MX192" s="13"/>
      <c r="MY192" s="12"/>
      <c r="NV192" s="12"/>
      <c r="PR192" s="13"/>
    </row>
    <row r="193" spans="32:434" ht="18" customHeight="1">
      <c r="AF193" s="42"/>
      <c r="AG193" s="43"/>
      <c r="AH193" s="12"/>
      <c r="AQ193" s="24"/>
      <c r="BK193" s="13"/>
      <c r="CK193" s="13"/>
      <c r="CL193" s="43"/>
      <c r="CM193" s="43"/>
      <c r="CN193" s="12"/>
      <c r="DC193" s="13"/>
      <c r="DG193" s="13"/>
      <c r="FA193" s="42"/>
      <c r="FB193" s="43"/>
      <c r="FC193" s="12"/>
      <c r="FG193" s="12"/>
      <c r="GO193" s="13"/>
      <c r="GP193" s="43"/>
      <c r="GQ193" s="45"/>
      <c r="IB193" s="12"/>
      <c r="JF193" s="14"/>
      <c r="JG193" s="15"/>
      <c r="JH193" s="15"/>
      <c r="JI193" s="15"/>
      <c r="JJ193" s="15"/>
      <c r="JK193" s="16"/>
      <c r="KC193" s="12"/>
      <c r="LF193" s="12"/>
      <c r="LH193" s="12"/>
      <c r="LL193" s="12"/>
      <c r="MV193" s="13"/>
      <c r="MX193" s="13"/>
      <c r="MY193" s="12"/>
      <c r="NV193" s="14"/>
      <c r="NW193" s="15"/>
      <c r="NX193" s="15"/>
      <c r="NY193" s="15"/>
      <c r="NZ193" s="15"/>
      <c r="OA193" s="15"/>
      <c r="OB193" s="15"/>
      <c r="OC193" s="15"/>
      <c r="OD193" s="15"/>
      <c r="OE193" s="15"/>
      <c r="OF193" s="15"/>
      <c r="OG193" s="15"/>
      <c r="OH193" s="15"/>
      <c r="OI193" s="15"/>
      <c r="OJ193" s="15"/>
      <c r="OK193" s="15"/>
      <c r="OL193" s="15"/>
      <c r="OM193" s="15"/>
      <c r="ON193" s="15"/>
      <c r="OO193" s="15"/>
      <c r="OP193" s="15"/>
      <c r="OQ193" s="15"/>
      <c r="OR193" s="15"/>
      <c r="OS193" s="15"/>
      <c r="OT193" s="15"/>
      <c r="OU193" s="15"/>
      <c r="OV193" s="15"/>
      <c r="OW193" s="15"/>
      <c r="OX193" s="15"/>
      <c r="OY193" s="15"/>
      <c r="OZ193" s="15"/>
      <c r="PA193" s="15"/>
      <c r="PB193" s="15"/>
      <c r="PC193" s="15"/>
      <c r="PD193" s="15"/>
      <c r="PE193" s="15"/>
      <c r="PF193" s="15"/>
      <c r="PG193" s="15"/>
      <c r="PH193" s="15"/>
      <c r="PI193" s="15"/>
      <c r="PJ193" s="15"/>
      <c r="PK193" s="15"/>
      <c r="PL193" s="15"/>
      <c r="PM193" s="15"/>
      <c r="PN193" s="15"/>
      <c r="PO193" s="15"/>
      <c r="PP193" s="15"/>
      <c r="PQ193" s="15"/>
      <c r="PR193" s="16"/>
    </row>
    <row r="194" spans="32:434" ht="18" customHeight="1">
      <c r="AF194" s="42"/>
      <c r="AG194" s="43"/>
      <c r="AH194" s="12"/>
      <c r="AQ194" s="24"/>
      <c r="BK194" s="13"/>
      <c r="CK194" s="13"/>
      <c r="CL194" s="43"/>
      <c r="CM194" s="43"/>
      <c r="CN194" s="12"/>
      <c r="DC194" s="13"/>
      <c r="DG194" s="13"/>
      <c r="FA194" s="42"/>
      <c r="FB194" s="43"/>
      <c r="FC194" s="12"/>
      <c r="FF194" s="13"/>
      <c r="FG194" s="12"/>
      <c r="GO194" s="13"/>
      <c r="GP194" s="43"/>
      <c r="GQ194" s="45"/>
      <c r="IB194" s="12"/>
      <c r="JF194" s="9"/>
      <c r="JG194" s="10"/>
      <c r="JH194" s="10"/>
      <c r="JI194" s="10"/>
      <c r="JJ194" s="10"/>
      <c r="JK194" s="11"/>
      <c r="KC194" s="12"/>
      <c r="LF194" s="12"/>
      <c r="LH194" s="12"/>
      <c r="LK194" s="13"/>
      <c r="LL194" s="12"/>
      <c r="MV194" s="13"/>
      <c r="MX194" s="13"/>
      <c r="MY194" s="12"/>
    </row>
    <row r="195" spans="32:434" ht="18" customHeight="1">
      <c r="AF195" s="42"/>
      <c r="AG195" s="43"/>
      <c r="AH195" s="12"/>
      <c r="AQ195" s="24"/>
      <c r="BK195" s="13"/>
      <c r="CK195" s="13"/>
      <c r="CL195" s="43"/>
      <c r="CM195" s="43"/>
      <c r="CN195" s="12"/>
      <c r="DC195" s="13"/>
      <c r="DG195" s="13"/>
      <c r="FA195" s="42"/>
      <c r="FB195" s="43"/>
      <c r="FC195" s="14"/>
      <c r="FD195" s="15"/>
      <c r="FE195" s="15"/>
      <c r="FF195" s="16"/>
      <c r="FG195" s="15"/>
      <c r="FH195" s="15"/>
      <c r="FI195" s="15"/>
      <c r="FJ195" s="15"/>
      <c r="FK195" s="15"/>
      <c r="FL195" s="15"/>
      <c r="FM195" s="15"/>
      <c r="FN195" s="15"/>
      <c r="FO195" s="15"/>
      <c r="FP195" s="15"/>
      <c r="FQ195" s="15"/>
      <c r="FR195" s="15"/>
      <c r="FS195" s="15"/>
      <c r="FT195" s="15"/>
      <c r="FU195" s="15"/>
      <c r="FV195" s="15"/>
      <c r="FW195" s="15"/>
      <c r="FX195" s="15"/>
      <c r="FY195" s="15"/>
      <c r="FZ195" s="15"/>
      <c r="GA195" s="15"/>
      <c r="GB195" s="15"/>
      <c r="GC195" s="15"/>
      <c r="GD195" s="15"/>
      <c r="GE195" s="15"/>
      <c r="GF195" s="15"/>
      <c r="GG195" s="15"/>
      <c r="GH195" s="15"/>
      <c r="GI195" s="15"/>
      <c r="GJ195" s="15"/>
      <c r="GK195" s="15"/>
      <c r="GL195" s="15"/>
      <c r="GM195" s="15"/>
      <c r="GN195" s="15"/>
      <c r="GO195" s="16"/>
      <c r="GP195" s="43"/>
      <c r="GQ195" s="45"/>
      <c r="IB195" s="10"/>
      <c r="IC195" s="10"/>
      <c r="ID195" s="10"/>
      <c r="IE195" s="10"/>
      <c r="IF195" s="10"/>
      <c r="IG195" s="10"/>
      <c r="IH195" s="10"/>
      <c r="II195" s="10"/>
      <c r="IJ195" s="10"/>
      <c r="IK195" s="10"/>
      <c r="IL195" s="10"/>
      <c r="IM195" s="10"/>
      <c r="IN195" s="10"/>
      <c r="IO195" s="10"/>
      <c r="IP195" s="10"/>
      <c r="IQ195" s="10"/>
      <c r="IR195" s="10"/>
      <c r="IS195" s="10"/>
      <c r="IT195" s="10"/>
      <c r="IU195" s="10"/>
      <c r="IV195" s="10"/>
      <c r="IW195" s="10"/>
      <c r="IX195" s="10"/>
      <c r="IY195" s="10"/>
      <c r="IZ195" s="10"/>
      <c r="JA195" s="10"/>
      <c r="JB195" s="10"/>
      <c r="JC195" s="10"/>
      <c r="JD195" s="10"/>
      <c r="JE195" s="10"/>
      <c r="JF195" s="10"/>
      <c r="JG195" s="10"/>
      <c r="JH195" s="10"/>
      <c r="JI195" s="10"/>
      <c r="JJ195" s="10"/>
      <c r="JK195" s="10"/>
      <c r="JL195" s="10"/>
      <c r="JM195" s="10"/>
      <c r="JN195" s="10"/>
      <c r="JO195" s="10"/>
      <c r="JP195" s="10"/>
      <c r="JQ195" s="10"/>
      <c r="JR195" s="10"/>
      <c r="JS195" s="10"/>
      <c r="JT195" s="10"/>
      <c r="JU195" s="10"/>
      <c r="JV195" s="10"/>
      <c r="JW195" s="10"/>
      <c r="JX195" s="10"/>
      <c r="JY195" s="10"/>
      <c r="JZ195" s="10"/>
      <c r="KA195" s="10"/>
      <c r="KB195" s="10"/>
      <c r="LF195" s="12"/>
      <c r="LH195" s="14"/>
      <c r="LI195" s="15"/>
      <c r="LJ195" s="15"/>
      <c r="LK195" s="16"/>
      <c r="LL195" s="15"/>
      <c r="LM195" s="15"/>
      <c r="LN195" s="15"/>
      <c r="LO195" s="15"/>
      <c r="LP195" s="15"/>
      <c r="LQ195" s="15"/>
      <c r="LR195" s="15"/>
      <c r="LS195" s="15"/>
      <c r="LT195" s="15"/>
      <c r="LU195" s="15"/>
      <c r="LV195" s="15"/>
      <c r="LW195" s="15"/>
      <c r="LX195" s="15"/>
      <c r="LY195" s="15"/>
      <c r="LZ195" s="15"/>
      <c r="MA195" s="15"/>
      <c r="MB195" s="15"/>
      <c r="MC195" s="15"/>
      <c r="MD195" s="15"/>
      <c r="ME195" s="15"/>
      <c r="MF195" s="15"/>
      <c r="MG195" s="15"/>
      <c r="MH195" s="15"/>
      <c r="MI195" s="15"/>
      <c r="MJ195" s="15"/>
      <c r="MK195" s="15"/>
      <c r="ML195" s="15"/>
      <c r="MM195" s="15"/>
      <c r="MN195" s="15"/>
      <c r="MO195" s="15"/>
      <c r="MP195" s="15"/>
      <c r="MQ195" s="15"/>
      <c r="MR195" s="15"/>
      <c r="MS195" s="15"/>
      <c r="MT195" s="15"/>
      <c r="MU195" s="15"/>
      <c r="MV195" s="16"/>
      <c r="MX195" s="13"/>
      <c r="MY195" s="12"/>
    </row>
    <row r="196" spans="32:434" ht="18" customHeight="1">
      <c r="AF196" s="42"/>
      <c r="AG196" s="43"/>
      <c r="AH196" s="12"/>
      <c r="AQ196" s="24"/>
      <c r="BK196" s="13"/>
      <c r="CK196" s="13"/>
      <c r="CL196" s="43"/>
      <c r="CM196" s="43"/>
      <c r="CN196" s="12"/>
      <c r="DC196" s="13"/>
      <c r="DG196" s="13"/>
      <c r="FA196" s="42"/>
      <c r="FB196" s="43"/>
      <c r="FC196" s="43"/>
      <c r="FD196" s="43"/>
      <c r="FE196" s="43"/>
      <c r="FF196" s="43"/>
      <c r="FG196" s="43"/>
      <c r="FH196" s="43"/>
      <c r="FI196" s="43"/>
      <c r="FJ196" s="43"/>
      <c r="FK196" s="43"/>
      <c r="FL196" s="43"/>
      <c r="FM196" s="43"/>
      <c r="FN196" s="123"/>
      <c r="FO196" s="109"/>
      <c r="FP196" s="109"/>
      <c r="FQ196" s="109"/>
      <c r="FR196" s="109"/>
      <c r="FS196" s="124"/>
      <c r="FT196" s="43"/>
      <c r="FU196" s="43"/>
      <c r="FV196" s="43"/>
      <c r="FW196" s="43"/>
      <c r="FX196" s="43"/>
      <c r="FY196" s="43"/>
      <c r="FZ196" s="43"/>
      <c r="GA196" s="43"/>
      <c r="GB196" s="43"/>
      <c r="GC196" s="43"/>
      <c r="GD196" s="43"/>
      <c r="GE196" s="43"/>
      <c r="GF196" s="43"/>
      <c r="GG196" s="43"/>
      <c r="GH196" s="43"/>
      <c r="GI196" s="127"/>
      <c r="GJ196" s="127"/>
      <c r="GK196" s="127"/>
      <c r="GL196" s="127"/>
      <c r="GM196" s="127"/>
      <c r="GN196" s="127"/>
      <c r="GO196" s="43"/>
      <c r="GP196" s="43"/>
      <c r="GQ196" s="45"/>
      <c r="LF196" s="12"/>
      <c r="MD196" s="20"/>
      <c r="ME196" s="21"/>
      <c r="MF196" s="21"/>
      <c r="MG196" s="21"/>
      <c r="MH196" s="21"/>
      <c r="MI196" s="22"/>
      <c r="MX196" s="13"/>
      <c r="MY196" s="12"/>
    </row>
    <row r="197" spans="32:434" ht="18" customHeight="1">
      <c r="AF197" s="42"/>
      <c r="AG197" s="43"/>
      <c r="AH197" s="12"/>
      <c r="AQ197" s="24"/>
      <c r="BK197" s="13"/>
      <c r="CK197" s="13"/>
      <c r="CL197" s="43"/>
      <c r="CM197" s="43"/>
      <c r="CN197" s="12"/>
      <c r="DC197" s="13"/>
      <c r="DG197" s="13"/>
      <c r="FA197" s="42"/>
      <c r="FB197" s="43"/>
      <c r="FC197" s="43"/>
      <c r="FD197" s="43"/>
      <c r="FE197" s="43"/>
      <c r="FF197" s="43"/>
      <c r="FG197" s="43"/>
      <c r="FH197" s="43"/>
      <c r="FI197" s="43"/>
      <c r="FJ197" s="43"/>
      <c r="FK197" s="43"/>
      <c r="FL197" s="43"/>
      <c r="FM197" s="43"/>
      <c r="FN197" s="40"/>
      <c r="FO197" s="41"/>
      <c r="FP197" s="41"/>
      <c r="FQ197" s="41"/>
      <c r="FR197" s="41"/>
      <c r="FS197" s="44"/>
      <c r="FT197" s="43"/>
      <c r="FU197" s="43"/>
      <c r="FV197" s="43"/>
      <c r="FW197" s="43"/>
      <c r="FX197" s="43"/>
      <c r="FY197" s="43"/>
      <c r="FZ197" s="43"/>
      <c r="GA197" s="43"/>
      <c r="GB197" s="43"/>
      <c r="GC197" s="43"/>
      <c r="GD197" s="43"/>
      <c r="GE197" s="43"/>
      <c r="GF197" s="43"/>
      <c r="GG197" s="43"/>
      <c r="GH197" s="43"/>
      <c r="GI197" s="127"/>
      <c r="GJ197" s="127"/>
      <c r="GK197" s="127"/>
      <c r="GL197" s="127"/>
      <c r="GM197" s="127"/>
      <c r="GN197" s="127"/>
      <c r="GO197" s="43"/>
      <c r="GP197" s="43"/>
      <c r="GQ197" s="45"/>
      <c r="LF197" s="14"/>
      <c r="LG197" s="15"/>
      <c r="LH197" s="15"/>
      <c r="LI197" s="15"/>
      <c r="LJ197" s="15"/>
      <c r="LL197" s="15"/>
      <c r="LN197" s="15"/>
      <c r="MD197" s="9"/>
      <c r="ME197" s="10"/>
      <c r="MF197" s="10"/>
      <c r="MG197" s="10"/>
      <c r="MH197" s="10"/>
      <c r="MI197" s="11"/>
      <c r="MX197" s="13"/>
      <c r="MY197" s="12"/>
    </row>
    <row r="198" spans="32:434" ht="18" customHeight="1">
      <c r="AF198" s="42"/>
      <c r="AG198" s="43"/>
      <c r="AH198" s="12"/>
      <c r="AQ198" s="24"/>
      <c r="BK198" s="13"/>
      <c r="CK198" s="13"/>
      <c r="CL198" s="43"/>
      <c r="CM198" s="43"/>
      <c r="CN198" s="12"/>
      <c r="DC198" s="13"/>
      <c r="DG198" s="13"/>
      <c r="FA198" s="10"/>
      <c r="FB198" s="10"/>
      <c r="FC198" s="10"/>
      <c r="FD198" s="10"/>
      <c r="FE198" s="10"/>
      <c r="FF198" s="10"/>
      <c r="FG198" s="10"/>
      <c r="FH198" s="10"/>
      <c r="FI198" s="10"/>
      <c r="FJ198" s="10"/>
      <c r="FK198" s="10"/>
      <c r="FL198" s="10"/>
      <c r="FM198" s="10"/>
      <c r="FN198" s="10"/>
      <c r="FO198" s="10"/>
      <c r="FP198" s="10"/>
      <c r="FQ198" s="10"/>
      <c r="FR198" s="10"/>
      <c r="FS198" s="10"/>
      <c r="FT198" s="10"/>
      <c r="FU198" s="10"/>
      <c r="FV198" s="10"/>
      <c r="FW198" s="10"/>
      <c r="FX198" s="10"/>
      <c r="FY198" s="10"/>
      <c r="FZ198" s="10"/>
      <c r="GA198" s="10"/>
      <c r="GB198" s="10"/>
      <c r="GC198" s="10"/>
      <c r="GD198" s="10"/>
      <c r="GE198" s="10"/>
      <c r="GF198" s="10"/>
      <c r="GG198" s="10"/>
      <c r="GH198" s="10"/>
      <c r="GI198" s="10"/>
      <c r="GJ198" s="10"/>
      <c r="GK198" s="10"/>
      <c r="GL198" s="10"/>
      <c r="GM198" s="10"/>
      <c r="GN198" s="10"/>
      <c r="GO198" s="10"/>
      <c r="GP198" s="10"/>
      <c r="GQ198" s="10"/>
      <c r="LF198" s="10"/>
      <c r="LG198" s="10"/>
      <c r="LH198" s="10"/>
      <c r="LI198" s="10"/>
      <c r="LJ198" s="10"/>
      <c r="LK198" s="10"/>
      <c r="LL198" s="10"/>
      <c r="LM198" s="10"/>
      <c r="LN198" s="10"/>
      <c r="LO198" s="10"/>
      <c r="LP198" s="10"/>
      <c r="LQ198" s="10"/>
      <c r="LR198" s="10"/>
      <c r="LS198" s="10"/>
      <c r="LT198" s="10"/>
      <c r="LU198" s="10"/>
      <c r="LV198" s="10"/>
      <c r="LW198" s="10"/>
      <c r="LX198" s="10"/>
      <c r="LY198" s="10"/>
      <c r="LZ198" s="10"/>
      <c r="MA198" s="10"/>
      <c r="MB198" s="10"/>
      <c r="MC198" s="10"/>
      <c r="MD198" s="10"/>
      <c r="ME198" s="10"/>
      <c r="MF198" s="10"/>
      <c r="MG198" s="10"/>
      <c r="MH198" s="10"/>
      <c r="MI198" s="10"/>
      <c r="MJ198" s="10"/>
      <c r="MK198" s="10"/>
      <c r="ML198" s="10"/>
      <c r="MM198" s="10"/>
      <c r="MN198" s="10"/>
      <c r="MO198" s="10"/>
      <c r="MP198" s="10"/>
      <c r="MQ198" s="10"/>
      <c r="MR198" s="10"/>
      <c r="MS198" s="10"/>
      <c r="MT198" s="10"/>
      <c r="MU198" s="10"/>
      <c r="MV198" s="10"/>
      <c r="MW198" s="10"/>
      <c r="MX198" s="10"/>
    </row>
    <row r="199" spans="32:434" ht="18" customHeight="1">
      <c r="AF199" s="42"/>
      <c r="AG199" s="43"/>
      <c r="AH199" s="12"/>
      <c r="AQ199" s="18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6"/>
      <c r="CK199" s="13"/>
      <c r="CL199" s="43"/>
      <c r="CM199" s="43"/>
      <c r="CN199" s="12"/>
      <c r="DC199" s="13"/>
      <c r="DG199" s="13"/>
    </row>
    <row r="200" spans="32:434" ht="18" customHeight="1">
      <c r="AF200" s="42"/>
      <c r="AG200" s="43"/>
      <c r="AH200" s="12"/>
      <c r="AQ200" s="18"/>
      <c r="BK200" s="13"/>
      <c r="CK200" s="13"/>
      <c r="CL200" s="43"/>
      <c r="CM200" s="43"/>
      <c r="CN200" s="12"/>
      <c r="DC200" s="13"/>
      <c r="DG200" s="13"/>
    </row>
    <row r="201" spans="32:434" ht="18" customHeight="1">
      <c r="AF201" s="42"/>
      <c r="AG201" s="43"/>
      <c r="AH201" s="12"/>
      <c r="AQ201" s="18"/>
      <c r="BK201" s="13"/>
      <c r="CK201" s="13"/>
      <c r="CL201" s="43"/>
      <c r="CM201" s="43"/>
      <c r="CN201" s="12"/>
      <c r="DC201" s="13"/>
      <c r="DG201" s="13"/>
    </row>
    <row r="202" spans="32:434" ht="18" customHeight="1">
      <c r="AF202" s="42"/>
      <c r="AG202" s="43"/>
      <c r="AH202" s="12"/>
      <c r="AQ202" s="18"/>
      <c r="BK202" s="13"/>
      <c r="CK202" s="13"/>
      <c r="CL202" s="43"/>
      <c r="CM202" s="43"/>
      <c r="CN202" s="12"/>
      <c r="DC202" s="13"/>
      <c r="DG202" s="13"/>
    </row>
    <row r="203" spans="32:434" ht="18" customHeight="1">
      <c r="AF203" s="42"/>
      <c r="AG203" s="43"/>
      <c r="AH203" s="14"/>
      <c r="AI203" s="15"/>
      <c r="AJ203" s="15"/>
      <c r="AK203" s="15"/>
      <c r="AL203" s="15"/>
      <c r="AM203" s="15"/>
      <c r="AN203" s="15"/>
      <c r="AO203" s="15"/>
      <c r="AP203" s="15"/>
      <c r="AQ203" s="19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6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  <c r="CA203" s="15"/>
      <c r="CB203" s="15"/>
      <c r="CC203" s="15"/>
      <c r="CD203" s="15"/>
      <c r="CE203" s="15"/>
      <c r="CF203" s="15"/>
      <c r="CG203" s="15"/>
      <c r="CH203" s="15"/>
      <c r="CI203" s="15"/>
      <c r="CJ203" s="15"/>
      <c r="CK203" s="16"/>
      <c r="CL203" s="43"/>
      <c r="CM203" s="43"/>
      <c r="CN203" s="12"/>
      <c r="DC203" s="13"/>
      <c r="DG203" s="13"/>
    </row>
    <row r="204" spans="32:434" ht="18" customHeight="1">
      <c r="AF204" s="42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43"/>
      <c r="CB204" s="43"/>
      <c r="CC204" s="43"/>
      <c r="CD204" s="43"/>
      <c r="CE204" s="107"/>
      <c r="CF204" s="127"/>
      <c r="CG204" s="127"/>
      <c r="CH204" s="127"/>
      <c r="CI204" s="127"/>
      <c r="CJ204" s="90"/>
      <c r="CK204" s="43"/>
      <c r="CL204" s="43"/>
      <c r="CM204" s="43"/>
      <c r="CN204" s="12"/>
      <c r="DC204" s="13"/>
      <c r="DG204" s="13"/>
    </row>
    <row r="205" spans="32:434" ht="18" customHeight="1">
      <c r="AF205" s="46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7"/>
      <c r="BA205" s="47"/>
      <c r="BB205" s="47"/>
      <c r="BC205" s="47"/>
      <c r="BD205" s="47"/>
      <c r="BE205" s="47"/>
      <c r="BF205" s="47"/>
      <c r="BG205" s="47"/>
      <c r="BH205" s="47"/>
      <c r="BI205" s="47"/>
      <c r="BJ205" s="47"/>
      <c r="BK205" s="47"/>
      <c r="BL205" s="47"/>
      <c r="BM205" s="47"/>
      <c r="BN205" s="47"/>
      <c r="BO205" s="47"/>
      <c r="BP205" s="47"/>
      <c r="BQ205" s="47"/>
      <c r="BR205" s="47"/>
      <c r="BS205" s="47"/>
      <c r="BT205" s="47"/>
      <c r="BU205" s="47"/>
      <c r="BV205" s="47"/>
      <c r="BW205" s="47"/>
      <c r="BX205" s="47"/>
      <c r="BY205" s="47"/>
      <c r="BZ205" s="47"/>
      <c r="CA205" s="47"/>
      <c r="CB205" s="47"/>
      <c r="CC205" s="47"/>
      <c r="CD205" s="47"/>
      <c r="CE205" s="72"/>
      <c r="CF205" s="100"/>
      <c r="CG205" s="100"/>
      <c r="CH205" s="100"/>
      <c r="CI205" s="100"/>
      <c r="CJ205" s="73"/>
      <c r="CK205" s="47"/>
      <c r="CL205" s="47"/>
      <c r="CM205" s="47"/>
      <c r="CN205" s="12"/>
      <c r="DC205" s="13"/>
      <c r="DG205" s="13"/>
    </row>
    <row r="206" spans="32:434" ht="18" customHeight="1">
      <c r="AV206" s="9"/>
      <c r="AW206" s="10"/>
      <c r="AX206" s="10"/>
      <c r="AY206" s="10"/>
      <c r="AZ206" s="9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1"/>
      <c r="CN206" s="9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  <c r="DB206" s="10"/>
      <c r="DC206" s="11"/>
      <c r="DD206" s="10"/>
      <c r="DE206" s="10"/>
      <c r="DF206" s="10"/>
      <c r="DG206" s="11"/>
    </row>
    <row r="207" spans="32:434" ht="18" customHeight="1">
      <c r="AV207" s="12"/>
      <c r="AZ207" s="12"/>
      <c r="CM207" s="13"/>
      <c r="CN207" s="12"/>
      <c r="DC207" s="13"/>
      <c r="DG207" s="13"/>
    </row>
    <row r="208" spans="32:434" ht="18" customHeight="1">
      <c r="AV208" s="12"/>
      <c r="AZ208" s="12"/>
      <c r="CM208" s="13"/>
      <c r="CN208" s="12"/>
      <c r="DC208" s="13"/>
      <c r="DG208" s="13"/>
    </row>
    <row r="209" spans="48:111" ht="18" customHeight="1">
      <c r="AV209" s="12"/>
      <c r="AZ209" s="12"/>
      <c r="CM209" s="13"/>
      <c r="CN209" s="12"/>
      <c r="DC209" s="13"/>
      <c r="DG209" s="13"/>
    </row>
    <row r="210" spans="48:111" ht="18" customHeight="1">
      <c r="AV210" s="12"/>
      <c r="AZ210" s="12"/>
      <c r="CM210" s="13"/>
      <c r="CN210" s="12"/>
      <c r="DC210" s="13"/>
      <c r="DG210" s="13"/>
    </row>
    <row r="211" spans="48:111" ht="18" customHeight="1">
      <c r="AV211" s="12"/>
      <c r="AZ211" s="12"/>
      <c r="CM211" s="13"/>
      <c r="CN211" s="12"/>
      <c r="DC211" s="13"/>
      <c r="DG211" s="13"/>
    </row>
    <row r="212" spans="48:111" ht="18" customHeight="1">
      <c r="AV212" s="12"/>
      <c r="AZ212" s="12"/>
      <c r="CM212" s="13"/>
      <c r="CN212" s="12"/>
      <c r="DC212" s="13"/>
      <c r="DG212" s="13"/>
    </row>
    <row r="213" spans="48:111" ht="18" customHeight="1">
      <c r="AV213" s="12"/>
      <c r="AZ213" s="12"/>
      <c r="CM213" s="13"/>
      <c r="CN213" s="12"/>
      <c r="DC213" s="13"/>
      <c r="DG213" s="13"/>
    </row>
    <row r="214" spans="48:111" ht="18" customHeight="1">
      <c r="AV214" s="12"/>
      <c r="AZ214" s="12"/>
      <c r="CM214" s="13"/>
      <c r="CN214" s="12"/>
      <c r="DC214" s="13"/>
      <c r="DG214" s="13"/>
    </row>
    <row r="215" spans="48:111" ht="18" customHeight="1">
      <c r="AV215" s="12"/>
      <c r="AZ215" s="12"/>
      <c r="CM215" s="13"/>
      <c r="CN215" s="12"/>
      <c r="DC215" s="13"/>
      <c r="DG215" s="13"/>
    </row>
    <row r="216" spans="48:111" ht="18" customHeight="1">
      <c r="AV216" s="12"/>
      <c r="AZ216" s="12"/>
      <c r="CM216" s="13"/>
      <c r="CN216" s="12"/>
      <c r="DC216" s="13"/>
      <c r="DG216" s="13"/>
    </row>
    <row r="217" spans="48:111" ht="18" customHeight="1">
      <c r="AV217" s="12"/>
      <c r="AZ217" s="12"/>
      <c r="CM217" s="13"/>
      <c r="CN217" s="12"/>
      <c r="DC217" s="13"/>
      <c r="DG217" s="13"/>
    </row>
    <row r="218" spans="48:111" ht="18" customHeight="1">
      <c r="AV218" s="12"/>
      <c r="AZ218" s="12"/>
      <c r="CM218" s="13"/>
      <c r="CN218" s="12"/>
      <c r="DC218" s="13"/>
      <c r="DG218" s="13"/>
    </row>
    <row r="219" spans="48:111" ht="18" customHeight="1">
      <c r="AV219" s="12"/>
      <c r="AZ219" s="12"/>
      <c r="CM219" s="13"/>
      <c r="CN219" s="12"/>
      <c r="DC219" s="13"/>
      <c r="DG219" s="13"/>
    </row>
    <row r="220" spans="48:111" ht="18" customHeight="1">
      <c r="AV220" s="12"/>
      <c r="AZ220" s="12"/>
      <c r="CM220" s="13"/>
      <c r="CN220" s="12"/>
      <c r="DC220" s="13"/>
      <c r="DG220" s="13"/>
    </row>
    <row r="221" spans="48:111" ht="18" customHeight="1">
      <c r="AV221" s="12"/>
      <c r="AZ221" s="14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  <c r="CA221" s="15"/>
      <c r="CB221" s="15"/>
      <c r="CC221" s="15"/>
      <c r="CD221" s="15"/>
      <c r="CE221" s="15"/>
      <c r="CF221" s="15"/>
      <c r="CG221" s="15"/>
      <c r="CH221" s="15"/>
      <c r="CI221" s="15"/>
      <c r="CJ221" s="15"/>
      <c r="CK221" s="15"/>
      <c r="CL221" s="15"/>
      <c r="CM221" s="16"/>
      <c r="CN221" s="14"/>
      <c r="CO221" s="15"/>
      <c r="CP221" s="15"/>
      <c r="CQ221" s="15"/>
      <c r="CR221" s="15"/>
      <c r="CS221" s="15"/>
      <c r="CT221" s="15"/>
      <c r="CU221" s="15"/>
      <c r="CV221" s="15"/>
      <c r="CW221" s="15"/>
      <c r="CX221" s="15"/>
      <c r="CY221" s="15"/>
      <c r="CZ221" s="15"/>
      <c r="DA221" s="15"/>
      <c r="DB221" s="15"/>
      <c r="DC221" s="16"/>
      <c r="DG221" s="13"/>
    </row>
    <row r="222" spans="48:111" ht="18" customHeight="1">
      <c r="AV222" s="12"/>
      <c r="CM222" s="13"/>
      <c r="CN222" s="12"/>
      <c r="DG222" s="13"/>
    </row>
    <row r="223" spans="48:111" ht="18" customHeight="1">
      <c r="AV223" s="12"/>
      <c r="CM223" s="13"/>
      <c r="CN223" s="12"/>
      <c r="DG223" s="13"/>
    </row>
    <row r="224" spans="48:111" ht="18" customHeight="1">
      <c r="AV224" s="12"/>
      <c r="CM224" s="13"/>
      <c r="CN224" s="12"/>
      <c r="DG224" s="13"/>
    </row>
    <row r="225" spans="48:244" ht="18" customHeight="1">
      <c r="AV225" s="14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  <c r="CA225" s="15"/>
      <c r="CB225" s="15"/>
      <c r="CC225" s="15"/>
      <c r="CD225" s="15"/>
      <c r="CE225" s="15"/>
      <c r="CF225" s="15"/>
      <c r="CG225" s="15"/>
      <c r="CH225" s="15"/>
      <c r="CI225" s="15"/>
      <c r="CJ225" s="15"/>
      <c r="CK225" s="15"/>
      <c r="CL225" s="15"/>
      <c r="CM225" s="16"/>
      <c r="CN225" s="14"/>
      <c r="CO225" s="15"/>
      <c r="CP225" s="15"/>
      <c r="CQ225" s="15"/>
      <c r="CR225" s="15"/>
      <c r="CS225" s="15"/>
      <c r="CT225" s="15"/>
      <c r="CU225" s="15"/>
      <c r="CV225" s="15"/>
      <c r="CW225" s="15"/>
      <c r="CX225" s="15"/>
      <c r="CY225" s="15"/>
      <c r="CZ225" s="15"/>
      <c r="DA225" s="15"/>
      <c r="DB225" s="15"/>
      <c r="DC225" s="15"/>
      <c r="DD225" s="15"/>
      <c r="DE225" s="15"/>
      <c r="DF225" s="15"/>
      <c r="DG225" s="16"/>
    </row>
    <row r="240" spans="48:244" ht="18" customHeight="1">
      <c r="ET240" s="15"/>
      <c r="EU240" s="15"/>
      <c r="EV240" s="15"/>
      <c r="EW240" s="15"/>
      <c r="HN240" s="49"/>
      <c r="HO240" s="49"/>
      <c r="HP240" s="49"/>
      <c r="HQ240" s="49"/>
      <c r="HV240" s="15"/>
      <c r="HW240" s="15"/>
      <c r="HX240" s="15"/>
      <c r="HY240" s="15"/>
      <c r="IG240" s="49"/>
      <c r="IH240" s="49"/>
      <c r="II240" s="49"/>
      <c r="IJ240" s="49"/>
    </row>
    <row r="241" spans="21:351" ht="18" customHeight="1">
      <c r="DY241" s="56"/>
      <c r="DZ241" s="57"/>
      <c r="EA241" s="57"/>
      <c r="EB241" s="57"/>
      <c r="EC241" s="10"/>
      <c r="ED241" s="10"/>
      <c r="EE241" s="10"/>
      <c r="EF241" s="10"/>
      <c r="EG241" s="10"/>
      <c r="EH241" s="10"/>
      <c r="EI241" s="10"/>
      <c r="EJ241" s="10"/>
      <c r="EK241" s="10"/>
      <c r="EL241" s="10"/>
      <c r="EM241" s="10"/>
      <c r="EN241" s="10"/>
      <c r="EO241" s="10"/>
      <c r="EP241" s="10"/>
      <c r="EQ241" s="57"/>
      <c r="ER241" s="57"/>
      <c r="ES241" s="57"/>
      <c r="ET241" s="57"/>
      <c r="EU241" s="10"/>
      <c r="EV241" s="10"/>
      <c r="EW241" s="10"/>
      <c r="EX241" s="10"/>
      <c r="EY241" s="10"/>
      <c r="EZ241" s="10"/>
      <c r="FA241" s="10"/>
      <c r="FB241" s="10"/>
      <c r="FC241" s="10"/>
      <c r="FD241" s="10"/>
      <c r="FE241" s="10"/>
      <c r="FF241" s="10"/>
      <c r="FG241" s="10"/>
      <c r="FH241" s="10"/>
      <c r="FI241" s="10"/>
      <c r="FJ241" s="57"/>
      <c r="FK241" s="58"/>
      <c r="HA241" s="56"/>
      <c r="HB241" s="57"/>
      <c r="HC241" s="57"/>
      <c r="HD241" s="57"/>
      <c r="HE241" s="10"/>
      <c r="HF241" s="10"/>
      <c r="HG241" s="10"/>
      <c r="HH241" s="10"/>
      <c r="HI241" s="10"/>
      <c r="HJ241" s="10"/>
      <c r="HK241" s="10"/>
      <c r="HL241" s="10"/>
      <c r="HM241" s="10"/>
      <c r="HN241" s="10"/>
      <c r="HO241" s="10"/>
      <c r="HP241" s="10"/>
      <c r="HQ241" s="10"/>
      <c r="HR241" s="10"/>
      <c r="HS241" s="57"/>
      <c r="HT241" s="57"/>
      <c r="HU241" s="57"/>
      <c r="HV241" s="57"/>
      <c r="HW241" s="10"/>
      <c r="HX241" s="10"/>
      <c r="HY241" s="10"/>
      <c r="HZ241" s="10"/>
      <c r="IA241" s="10"/>
      <c r="IB241" s="10"/>
      <c r="IC241" s="10"/>
      <c r="ID241" s="10"/>
      <c r="IE241" s="10"/>
      <c r="IF241" s="10"/>
      <c r="IG241" s="10"/>
      <c r="IH241" s="10"/>
      <c r="II241" s="10"/>
      <c r="IJ241" s="10"/>
      <c r="IK241" s="10"/>
      <c r="IL241" s="57"/>
      <c r="IM241" s="58"/>
    </row>
    <row r="242" spans="21:351" ht="18" customHeight="1">
      <c r="DY242" s="96"/>
      <c r="DZ242" s="97"/>
      <c r="EA242" s="97"/>
      <c r="EB242" s="97"/>
      <c r="EQ242" s="97"/>
      <c r="ER242" s="97"/>
      <c r="ES242" s="97"/>
      <c r="ET242" s="97"/>
      <c r="FJ242" s="97"/>
      <c r="FK242" s="98"/>
      <c r="HA242" s="96"/>
      <c r="HB242" s="97"/>
      <c r="HC242" s="97"/>
      <c r="HD242" s="97"/>
      <c r="HS242" s="97"/>
      <c r="HT242" s="97"/>
      <c r="HU242" s="97"/>
      <c r="HV242" s="97"/>
      <c r="IL242" s="97"/>
      <c r="IM242" s="98"/>
    </row>
    <row r="243" spans="21:351" ht="18" customHeight="1">
      <c r="AP243" s="15"/>
      <c r="AQ243" s="15"/>
      <c r="AR243" s="15"/>
      <c r="AS243" s="15"/>
      <c r="AT243" s="15"/>
      <c r="AU243" s="15"/>
      <c r="DY243" s="12"/>
      <c r="EA243" s="9"/>
      <c r="EB243" s="10"/>
      <c r="EC243" s="10"/>
      <c r="ED243" s="10"/>
      <c r="EE243" s="10"/>
      <c r="EF243" s="10"/>
      <c r="EG243" s="10"/>
      <c r="EH243" s="10"/>
      <c r="EI243" s="10"/>
      <c r="EJ243" s="10"/>
      <c r="EK243" s="10"/>
      <c r="EL243" s="10"/>
      <c r="EM243" s="10"/>
      <c r="EN243" s="10"/>
      <c r="EO243" s="10"/>
      <c r="EP243" s="10"/>
      <c r="EQ243" s="10"/>
      <c r="ER243" s="10"/>
      <c r="ES243" s="10"/>
      <c r="ET243" s="10"/>
      <c r="EU243" s="10"/>
      <c r="EV243" s="10"/>
      <c r="EW243" s="10"/>
      <c r="EX243" s="11"/>
      <c r="EY243" s="10"/>
      <c r="EZ243" s="9"/>
      <c r="FA243" s="10"/>
      <c r="FB243" s="10"/>
      <c r="FC243" s="10"/>
      <c r="FD243" s="10"/>
      <c r="FE243" s="10"/>
      <c r="FF243" s="10"/>
      <c r="FG243" s="10"/>
      <c r="FH243" s="10"/>
      <c r="FI243" s="11"/>
      <c r="FJ243" s="97"/>
      <c r="FK243" s="98"/>
      <c r="HA243" s="12"/>
      <c r="HC243" s="9"/>
      <c r="HD243" s="10"/>
      <c r="HE243" s="10"/>
      <c r="HF243" s="10"/>
      <c r="HG243" s="10"/>
      <c r="HH243" s="10"/>
      <c r="HI243" s="10"/>
      <c r="HJ243" s="10"/>
      <c r="HK243" s="10"/>
      <c r="HL243" s="10"/>
      <c r="HM243" s="10"/>
      <c r="HN243" s="10"/>
      <c r="HO243" s="10"/>
      <c r="HP243" s="10"/>
      <c r="HQ243" s="10"/>
      <c r="HR243" s="10"/>
      <c r="HS243" s="10"/>
      <c r="HT243" s="10"/>
      <c r="HU243" s="10"/>
      <c r="HV243" s="10"/>
      <c r="HW243" s="10"/>
      <c r="HX243" s="10"/>
      <c r="HY243" s="10"/>
      <c r="HZ243" s="11"/>
      <c r="IA243" s="10"/>
      <c r="IB243" s="9"/>
      <c r="IC243" s="10"/>
      <c r="ID243" s="10"/>
      <c r="IE243" s="10"/>
      <c r="IF243" s="10"/>
      <c r="IG243" s="10"/>
      <c r="IH243" s="10"/>
      <c r="II243" s="10"/>
      <c r="IJ243" s="10"/>
      <c r="IK243" s="11"/>
      <c r="IL243" s="97"/>
      <c r="IM243" s="98"/>
    </row>
    <row r="244" spans="21:351" ht="18" customHeight="1">
      <c r="U244" s="9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1"/>
      <c r="DY244" s="12"/>
      <c r="EA244" s="12"/>
      <c r="EX244" s="13"/>
      <c r="EZ244" s="12"/>
      <c r="FI244" s="13"/>
      <c r="FJ244" s="97"/>
      <c r="FK244" s="98"/>
      <c r="HA244" s="12"/>
      <c r="HC244" s="12"/>
      <c r="HZ244" s="13"/>
      <c r="IB244" s="12"/>
      <c r="IK244" s="13"/>
      <c r="IL244" s="97"/>
      <c r="IM244" s="98"/>
    </row>
    <row r="245" spans="21:351" ht="18" customHeight="1">
      <c r="U245" s="12"/>
      <c r="BI245" s="13"/>
      <c r="DY245" s="12"/>
      <c r="EA245" s="12"/>
      <c r="EX245" s="13"/>
      <c r="EZ245" s="12"/>
      <c r="FI245" s="13"/>
      <c r="FK245" s="13"/>
      <c r="HA245" s="12"/>
      <c r="HC245" s="12"/>
      <c r="HZ245" s="13"/>
      <c r="IB245" s="12"/>
      <c r="IK245" s="13"/>
      <c r="IM245" s="13"/>
    </row>
    <row r="246" spans="21:351" ht="18" customHeight="1">
      <c r="U246" s="12"/>
      <c r="W246" s="9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1"/>
      <c r="AW246" s="11"/>
      <c r="AX246" s="10"/>
      <c r="AY246" s="10"/>
      <c r="AZ246" s="10"/>
      <c r="BA246" s="10"/>
      <c r="BB246" s="11"/>
      <c r="BC246" s="10"/>
      <c r="BD246" s="10"/>
      <c r="BE246" s="10"/>
      <c r="BF246" s="10"/>
      <c r="BG246" s="11"/>
      <c r="BI246" s="13"/>
      <c r="DY246" s="12"/>
      <c r="EA246" s="12"/>
      <c r="EX246" s="13"/>
      <c r="EZ246" s="12"/>
      <c r="FI246" s="13"/>
      <c r="FK246" s="13"/>
      <c r="HA246" s="12"/>
      <c r="HC246" s="12"/>
      <c r="HZ246" s="13"/>
      <c r="IB246" s="12"/>
      <c r="IK246" s="13"/>
      <c r="IM246" s="13"/>
    </row>
    <row r="247" spans="21:351" ht="18" customHeight="1">
      <c r="U247" s="12"/>
      <c r="W247" s="12"/>
      <c r="AV247" s="13"/>
      <c r="AW247" s="13"/>
      <c r="BB247" s="13"/>
      <c r="BG247" s="13"/>
      <c r="BI247" s="13"/>
      <c r="DY247" s="12"/>
      <c r="EA247" s="12"/>
      <c r="EX247" s="13"/>
      <c r="EZ247" s="12"/>
      <c r="FI247" s="13"/>
      <c r="FK247" s="13"/>
      <c r="HA247" s="12"/>
      <c r="HC247" s="12"/>
      <c r="HZ247" s="13"/>
      <c r="IB247" s="12"/>
      <c r="IK247" s="13"/>
      <c r="IM247" s="13"/>
    </row>
    <row r="248" spans="21:351" ht="18" customHeight="1">
      <c r="U248" s="12"/>
      <c r="W248" s="12"/>
      <c r="AV248" s="13"/>
      <c r="AW248" s="13"/>
      <c r="BB248" s="13"/>
      <c r="BG248" s="13"/>
      <c r="BI248" s="13"/>
      <c r="DY248" s="12"/>
      <c r="EA248" s="12"/>
      <c r="EX248" s="13"/>
      <c r="EZ248" s="12"/>
      <c r="FI248" s="13"/>
      <c r="FK248" s="13"/>
      <c r="HA248" s="12"/>
      <c r="HC248" s="12"/>
      <c r="HZ248" s="13"/>
      <c r="IB248" s="12"/>
      <c r="IK248" s="13"/>
      <c r="IM248" s="13"/>
    </row>
    <row r="249" spans="21:351" ht="18" customHeight="1">
      <c r="U249" s="12"/>
      <c r="W249" s="12"/>
      <c r="AV249" s="13"/>
      <c r="AW249" s="13"/>
      <c r="BB249" s="13"/>
      <c r="BG249" s="13"/>
      <c r="BI249" s="13"/>
      <c r="DY249" s="12"/>
      <c r="EA249" s="12"/>
      <c r="EX249" s="13"/>
      <c r="EZ249" s="12"/>
      <c r="FI249" s="13"/>
      <c r="FK249" s="13"/>
      <c r="HA249" s="12"/>
      <c r="HC249" s="12"/>
      <c r="HZ249" s="13"/>
      <c r="IB249" s="12"/>
      <c r="IK249" s="13"/>
      <c r="IM249" s="13"/>
    </row>
    <row r="250" spans="21:351" ht="18" customHeight="1">
      <c r="U250" s="12"/>
      <c r="W250" s="12"/>
      <c r="AV250" s="13"/>
      <c r="AW250" s="13"/>
      <c r="AX250" s="15"/>
      <c r="AY250" s="15"/>
      <c r="AZ250" s="15"/>
      <c r="BA250" s="15"/>
      <c r="BB250" s="16"/>
      <c r="BC250" s="15"/>
      <c r="BD250" s="15"/>
      <c r="BE250" s="15"/>
      <c r="BF250" s="15"/>
      <c r="BG250" s="16"/>
      <c r="BI250" s="13"/>
      <c r="DY250" s="12"/>
      <c r="EA250" s="12"/>
      <c r="EX250" s="13"/>
      <c r="EZ250" s="12"/>
      <c r="FI250" s="13"/>
      <c r="FK250" s="13"/>
      <c r="HA250" s="12"/>
      <c r="HC250" s="12"/>
      <c r="HZ250" s="13"/>
      <c r="IB250" s="12"/>
      <c r="IK250" s="13"/>
      <c r="IM250" s="13"/>
      <c r="LD250" s="9"/>
      <c r="LE250" s="10"/>
      <c r="LF250" s="10"/>
      <c r="LG250" s="10"/>
      <c r="LH250" s="10"/>
      <c r="LI250" s="10"/>
      <c r="LJ250" s="10"/>
      <c r="LK250" s="10"/>
      <c r="LL250" s="10"/>
      <c r="LM250" s="10"/>
      <c r="LN250" s="10"/>
      <c r="LO250" s="10"/>
      <c r="LP250" s="10"/>
      <c r="LQ250" s="10"/>
      <c r="LR250" s="10"/>
      <c r="LS250" s="10"/>
      <c r="LT250" s="10"/>
      <c r="LU250" s="10"/>
      <c r="LV250" s="11"/>
      <c r="LW250" s="9"/>
      <c r="LX250" s="10"/>
      <c r="LY250" s="10"/>
      <c r="LZ250" s="10"/>
      <c r="MA250" s="10"/>
      <c r="MB250" s="10"/>
      <c r="MC250" s="10"/>
      <c r="MD250" s="10"/>
      <c r="ME250" s="10"/>
      <c r="MF250" s="10"/>
      <c r="MG250" s="10"/>
      <c r="MH250" s="10"/>
      <c r="MI250" s="10"/>
      <c r="MJ250" s="10"/>
      <c r="MK250" s="10"/>
      <c r="ML250" s="10"/>
      <c r="MM250" s="11"/>
    </row>
    <row r="251" spans="21:351" ht="18" customHeight="1">
      <c r="U251" s="12"/>
      <c r="W251" s="12"/>
      <c r="AV251" s="13"/>
      <c r="AW251" s="13"/>
      <c r="BG251" s="11"/>
      <c r="BI251" s="13"/>
      <c r="DY251" s="12"/>
      <c r="EA251" s="12"/>
      <c r="EX251" s="13"/>
      <c r="EZ251" s="12"/>
      <c r="FI251" s="13"/>
      <c r="FK251" s="13"/>
      <c r="FM251" s="15"/>
      <c r="FO251" s="15"/>
      <c r="FQ251" s="15"/>
      <c r="FS251" s="15"/>
      <c r="FZ251" s="15"/>
      <c r="GB251" s="15"/>
      <c r="GC251" s="15"/>
      <c r="GD251" s="15"/>
      <c r="GH251" s="15"/>
      <c r="GI251" s="15"/>
      <c r="GJ251" s="15"/>
      <c r="GK251" s="15"/>
      <c r="HA251" s="12"/>
      <c r="HC251" s="12"/>
      <c r="HZ251" s="13"/>
      <c r="IB251" s="12"/>
      <c r="IK251" s="13"/>
      <c r="IM251" s="13"/>
      <c r="IO251" s="15"/>
      <c r="IQ251" s="15"/>
      <c r="IS251" s="15"/>
      <c r="IU251" s="15"/>
      <c r="IV251" s="49"/>
      <c r="IW251" s="49"/>
      <c r="IX251" s="49"/>
      <c r="IY251" s="49"/>
      <c r="IZ251" s="49"/>
      <c r="JA251" s="49"/>
      <c r="JB251" s="15"/>
      <c r="JD251" s="15"/>
      <c r="JE251" s="15"/>
      <c r="JF251" s="15"/>
      <c r="JJ251" s="15"/>
      <c r="JK251" s="15"/>
      <c r="JL251" s="15"/>
      <c r="JM251" s="15"/>
      <c r="LD251" s="12"/>
      <c r="LV251" s="13"/>
      <c r="LW251" s="12"/>
      <c r="MM251" s="13"/>
    </row>
    <row r="252" spans="21:351" ht="18" customHeight="1">
      <c r="U252" s="12"/>
      <c r="W252" s="12"/>
      <c r="AV252" s="13"/>
      <c r="AW252" s="13"/>
      <c r="BG252" s="13"/>
      <c r="BI252" s="13"/>
      <c r="DY252" s="12"/>
      <c r="EA252" s="12"/>
      <c r="EX252" s="13"/>
      <c r="EZ252" s="14"/>
      <c r="FA252" s="15"/>
      <c r="FB252" s="15"/>
      <c r="FC252" s="15"/>
      <c r="FD252" s="15"/>
      <c r="FE252" s="15"/>
      <c r="FF252" s="15"/>
      <c r="FG252" s="15"/>
      <c r="FH252" s="15"/>
      <c r="FI252" s="16"/>
      <c r="FL252" s="10"/>
      <c r="FN252" s="10"/>
      <c r="FP252" s="10"/>
      <c r="FR252" s="10"/>
      <c r="FT252" s="10"/>
      <c r="FU252" s="10"/>
      <c r="FV252" s="10"/>
      <c r="FW252" s="10"/>
      <c r="FX252" s="10"/>
      <c r="FY252" s="10"/>
      <c r="GA252" s="57"/>
      <c r="GB252" s="97"/>
      <c r="GC252" s="97"/>
      <c r="GD252" s="97"/>
      <c r="GE252" s="10"/>
      <c r="GF252" s="10"/>
      <c r="GG252" s="10"/>
      <c r="GK252" s="11"/>
      <c r="HA252" s="12"/>
      <c r="HC252" s="12"/>
      <c r="HZ252" s="13"/>
      <c r="IB252" s="14"/>
      <c r="IC252" s="15"/>
      <c r="ID252" s="15"/>
      <c r="IE252" s="15"/>
      <c r="IF252" s="15"/>
      <c r="IG252" s="15"/>
      <c r="IH252" s="15"/>
      <c r="II252" s="15"/>
      <c r="IJ252" s="15"/>
      <c r="IK252" s="16"/>
      <c r="IN252" s="10"/>
      <c r="IP252" s="10"/>
      <c r="IR252" s="10"/>
      <c r="IT252" s="10"/>
      <c r="IV252" s="10"/>
      <c r="IW252" s="10"/>
      <c r="IX252" s="10"/>
      <c r="IY252" s="10"/>
      <c r="IZ252" s="10"/>
      <c r="JA252" s="10"/>
      <c r="JC252" s="57"/>
      <c r="JD252" s="97"/>
      <c r="JE252" s="97"/>
      <c r="JF252" s="97"/>
      <c r="JG252" s="10"/>
      <c r="JH252" s="10"/>
      <c r="JI252" s="10"/>
      <c r="JM252" s="11"/>
      <c r="LD252" s="12"/>
      <c r="LV252" s="13"/>
      <c r="LW252" s="12"/>
      <c r="MM252" s="13"/>
    </row>
    <row r="253" spans="21:351" ht="18" customHeight="1">
      <c r="U253" s="12"/>
      <c r="W253" s="12"/>
      <c r="AV253" s="13"/>
      <c r="AW253" s="13"/>
      <c r="BG253" s="13"/>
      <c r="BI253" s="13"/>
      <c r="DY253" s="12"/>
      <c r="EA253" s="12"/>
      <c r="EX253" s="13"/>
      <c r="EY253" s="13"/>
      <c r="FI253" s="15"/>
      <c r="FJ253" s="14"/>
      <c r="FK253" s="15"/>
      <c r="FM253" s="15"/>
      <c r="FO253" s="15"/>
      <c r="FQ253" s="15"/>
      <c r="FS253" s="15"/>
      <c r="FZ253" s="15"/>
      <c r="GA253" s="97"/>
      <c r="GB253" s="60"/>
      <c r="GC253" s="60"/>
      <c r="GD253" s="60"/>
      <c r="GK253" s="13"/>
      <c r="HA253" s="12"/>
      <c r="HC253" s="12"/>
      <c r="HZ253" s="13"/>
      <c r="IA253" s="13"/>
      <c r="IC253" s="127"/>
      <c r="ID253" s="127"/>
      <c r="IE253" s="127"/>
      <c r="IF253" s="127"/>
      <c r="IG253" s="127"/>
      <c r="IK253" s="15"/>
      <c r="IL253" s="14"/>
      <c r="IM253" s="15"/>
      <c r="IO253" s="15"/>
      <c r="IQ253" s="15"/>
      <c r="IS253" s="15"/>
      <c r="IU253" s="15"/>
      <c r="JB253" s="15"/>
      <c r="JC253" s="97"/>
      <c r="JD253" s="60"/>
      <c r="JE253" s="60"/>
      <c r="JF253" s="60"/>
      <c r="JM253" s="13"/>
      <c r="LD253" s="12"/>
      <c r="LV253" s="13"/>
      <c r="LW253" s="12"/>
      <c r="MM253" s="13"/>
    </row>
    <row r="254" spans="21:351" ht="18" customHeight="1">
      <c r="U254" s="12"/>
      <c r="W254" s="12"/>
      <c r="AV254" s="13"/>
      <c r="AW254" s="13"/>
      <c r="BG254" s="13"/>
      <c r="BI254" s="13"/>
      <c r="BK254" s="15"/>
      <c r="BM254" s="15"/>
      <c r="BO254" s="15"/>
      <c r="BQ254" s="15"/>
      <c r="BS254" s="15"/>
      <c r="BT254" s="15"/>
      <c r="BU254" s="15"/>
      <c r="BV254" s="15"/>
      <c r="BW254" s="15"/>
      <c r="BX254" s="15"/>
      <c r="BY254" s="15"/>
      <c r="BZ254" s="15"/>
      <c r="CA254" s="15"/>
      <c r="CB254" s="15"/>
      <c r="CC254" s="15"/>
      <c r="CD254" s="15"/>
      <c r="CE254" s="15"/>
      <c r="CF254" s="15"/>
      <c r="DY254" s="12"/>
      <c r="EA254" s="12"/>
      <c r="EX254" s="13"/>
      <c r="EY254" s="13"/>
      <c r="EZ254" s="10"/>
      <c r="FA254" s="10"/>
      <c r="FB254" s="10"/>
      <c r="FC254" s="10"/>
      <c r="FD254" s="10"/>
      <c r="FE254" s="10"/>
      <c r="FF254" s="10"/>
      <c r="FG254" s="10"/>
      <c r="FH254" s="10"/>
      <c r="FI254" s="10"/>
      <c r="FJ254" s="10"/>
      <c r="FK254" s="10"/>
      <c r="FL254" s="10"/>
      <c r="FM254" s="10"/>
      <c r="FN254" s="10"/>
      <c r="FO254" s="10"/>
      <c r="FP254" s="10"/>
      <c r="FQ254" s="10"/>
      <c r="FR254" s="10"/>
      <c r="FS254" s="10"/>
      <c r="FT254" s="10"/>
      <c r="FU254" s="10"/>
      <c r="FV254" s="10"/>
      <c r="FW254" s="10"/>
      <c r="FX254" s="10"/>
      <c r="FY254" s="10"/>
      <c r="FZ254" s="10"/>
      <c r="GA254" s="10"/>
      <c r="GB254" s="10"/>
      <c r="GC254" s="10"/>
      <c r="GD254" s="10"/>
      <c r="GE254" s="10"/>
      <c r="GF254" s="10"/>
      <c r="GG254" s="10"/>
      <c r="GH254" s="10"/>
      <c r="GI254" s="11"/>
      <c r="GK254" s="13"/>
      <c r="HA254" s="12"/>
      <c r="HC254" s="12"/>
      <c r="HZ254" s="13"/>
      <c r="IA254" s="13"/>
      <c r="IB254" s="10"/>
      <c r="IC254" s="10"/>
      <c r="ID254" s="10"/>
      <c r="IE254" s="10"/>
      <c r="IF254" s="10"/>
      <c r="IG254" s="10"/>
      <c r="IH254" s="10"/>
      <c r="II254" s="10"/>
      <c r="IJ254" s="10"/>
      <c r="IK254" s="10"/>
      <c r="IL254" s="10"/>
      <c r="IM254" s="10"/>
      <c r="IN254" s="10"/>
      <c r="IO254" s="10"/>
      <c r="IP254" s="10"/>
      <c r="IQ254" s="10"/>
      <c r="IR254" s="10"/>
      <c r="IS254" s="10"/>
      <c r="IT254" s="10"/>
      <c r="IU254" s="10"/>
      <c r="IV254" s="10"/>
      <c r="IW254" s="10"/>
      <c r="IX254" s="10"/>
      <c r="IY254" s="10"/>
      <c r="IZ254" s="10"/>
      <c r="JA254" s="10"/>
      <c r="JB254" s="10"/>
      <c r="JC254" s="10"/>
      <c r="JD254" s="10"/>
      <c r="JE254" s="10"/>
      <c r="JF254" s="10"/>
      <c r="JG254" s="10"/>
      <c r="JH254" s="10"/>
      <c r="JI254" s="10"/>
      <c r="JJ254" s="10"/>
      <c r="JK254" s="11"/>
      <c r="JM254" s="13"/>
      <c r="LD254" s="12"/>
      <c r="LV254" s="13"/>
      <c r="LW254" s="12"/>
      <c r="MM254" s="13"/>
    </row>
    <row r="255" spans="21:351" ht="18" customHeight="1">
      <c r="U255" s="12"/>
      <c r="W255" s="12"/>
      <c r="AV255" s="13"/>
      <c r="AW255" s="13"/>
      <c r="BG255" s="16"/>
      <c r="BH255" s="12"/>
      <c r="BJ255" s="10"/>
      <c r="BL255" s="10"/>
      <c r="BN255" s="10"/>
      <c r="BP255" s="10"/>
      <c r="BR255" s="10"/>
      <c r="BW255" s="20"/>
      <c r="BX255" s="21"/>
      <c r="BY255" s="21"/>
      <c r="BZ255" s="21"/>
      <c r="CA255" s="21"/>
      <c r="CB255" s="22"/>
      <c r="CF255" s="11"/>
      <c r="DY255" s="12"/>
      <c r="EA255" s="12"/>
      <c r="EX255" s="13"/>
      <c r="EY255" s="13"/>
      <c r="GI255" s="13"/>
      <c r="GK255" s="13"/>
      <c r="HA255" s="12"/>
      <c r="HC255" s="12"/>
      <c r="HZ255" s="13"/>
      <c r="IA255" s="13"/>
      <c r="JK255" s="13"/>
      <c r="JM255" s="13"/>
      <c r="LD255" s="12"/>
      <c r="LV255" s="13"/>
      <c r="LW255" s="14"/>
      <c r="LX255" s="15"/>
      <c r="LY255" s="15"/>
      <c r="LZ255" s="15"/>
      <c r="MA255" s="15"/>
      <c r="MB255" s="15"/>
      <c r="MC255" s="15"/>
      <c r="MD255" s="15"/>
      <c r="ME255" s="15"/>
      <c r="MF255" s="15"/>
      <c r="MG255" s="15"/>
      <c r="MH255" s="15"/>
      <c r="MI255" s="15"/>
      <c r="MJ255" s="15"/>
      <c r="MK255" s="15"/>
      <c r="ML255" s="15"/>
      <c r="MM255" s="16"/>
    </row>
    <row r="256" spans="21:351" ht="18" customHeight="1">
      <c r="U256" s="12"/>
      <c r="W256" s="12"/>
      <c r="AV256" s="13"/>
      <c r="AW256" s="13"/>
      <c r="AX256" s="10"/>
      <c r="AY256" s="10"/>
      <c r="AZ256" s="10"/>
      <c r="BA256" s="10"/>
      <c r="BB256" s="10"/>
      <c r="BC256" s="10"/>
      <c r="BD256" s="10"/>
      <c r="BE256" s="10"/>
      <c r="BF256" s="10"/>
      <c r="BG256" s="15"/>
      <c r="BH256" s="14"/>
      <c r="BI256" s="15"/>
      <c r="BK256" s="15"/>
      <c r="BM256" s="15"/>
      <c r="BO256" s="15"/>
      <c r="BQ256" s="15"/>
      <c r="BS256" s="15"/>
      <c r="BT256" s="15"/>
      <c r="BU256" s="15"/>
      <c r="BV256" s="15"/>
      <c r="BW256" s="20"/>
      <c r="BX256" s="21"/>
      <c r="BY256" s="21"/>
      <c r="BZ256" s="21"/>
      <c r="CA256" s="21"/>
      <c r="CB256" s="22"/>
      <c r="CF256" s="13"/>
      <c r="DY256" s="12"/>
      <c r="EA256" s="12"/>
      <c r="EX256" s="13"/>
      <c r="EY256" s="13"/>
      <c r="GI256" s="13"/>
      <c r="GK256" s="13"/>
      <c r="HA256" s="12"/>
      <c r="HC256" s="12"/>
      <c r="HZ256" s="13"/>
      <c r="IA256" s="13"/>
      <c r="JK256" s="13"/>
      <c r="JM256" s="13"/>
      <c r="LD256" s="12"/>
      <c r="LV256" s="13"/>
      <c r="LW256" s="9"/>
      <c r="LX256" s="10"/>
      <c r="LY256" s="10"/>
      <c r="LZ256" s="10"/>
      <c r="MA256" s="10"/>
      <c r="MB256" s="10"/>
      <c r="MC256" s="10"/>
      <c r="MD256" s="10"/>
      <c r="ME256" s="10"/>
      <c r="MF256" s="10"/>
      <c r="MG256" s="10"/>
      <c r="MH256" s="10"/>
      <c r="MI256" s="9"/>
      <c r="MJ256" s="10"/>
      <c r="MK256" s="10"/>
      <c r="ML256" s="10"/>
      <c r="MM256" s="11"/>
    </row>
    <row r="257" spans="21:351" ht="18" customHeight="1">
      <c r="U257" s="12"/>
      <c r="W257" s="12"/>
      <c r="AV257" s="13"/>
      <c r="AW257" s="13"/>
      <c r="AX257" s="10"/>
      <c r="AY257" s="10"/>
      <c r="AZ257" s="10"/>
      <c r="BA257" s="10"/>
      <c r="BB257" s="10"/>
      <c r="BC257" s="10"/>
      <c r="BD257" s="10"/>
      <c r="BE257" s="10"/>
      <c r="BF257" s="10"/>
      <c r="BG257" t="s">
        <v>45</v>
      </c>
      <c r="BH257" s="10"/>
      <c r="BI257" s="10"/>
      <c r="BJ257" s="10"/>
      <c r="BK257" s="10"/>
      <c r="BL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1"/>
      <c r="CF257" s="13"/>
      <c r="DY257" s="12"/>
      <c r="EA257" s="12"/>
      <c r="EX257" s="13"/>
      <c r="EY257" s="13"/>
      <c r="GI257" s="13"/>
      <c r="GK257" s="13"/>
      <c r="HA257" s="12"/>
      <c r="HC257" s="12"/>
      <c r="HZ257" s="13"/>
      <c r="IA257" s="13"/>
      <c r="JK257" s="13"/>
      <c r="JM257" s="13"/>
      <c r="LD257" s="12"/>
      <c r="LV257" s="13"/>
      <c r="LW257" s="12"/>
      <c r="MI257" s="12"/>
      <c r="MM257" s="13"/>
    </row>
    <row r="258" spans="21:351" ht="18" customHeight="1">
      <c r="U258" s="12"/>
      <c r="W258" s="12"/>
      <c r="AV258" s="13"/>
      <c r="AW258" s="13"/>
      <c r="CD258" s="13"/>
      <c r="CF258" s="13"/>
      <c r="DY258" s="12"/>
      <c r="EA258" s="12"/>
      <c r="EX258" s="13"/>
      <c r="EY258" s="13"/>
      <c r="GI258" s="13"/>
      <c r="GK258" s="13"/>
      <c r="HA258" s="12"/>
      <c r="HC258" s="12"/>
      <c r="HZ258" s="13"/>
      <c r="IA258" s="13"/>
      <c r="JK258" s="13"/>
      <c r="JM258" s="13"/>
      <c r="LD258" s="12"/>
      <c r="LV258" s="13"/>
      <c r="LW258" s="12"/>
      <c r="MI258" s="12"/>
      <c r="MM258" s="13"/>
    </row>
    <row r="259" spans="21:351" ht="18" customHeight="1">
      <c r="U259" s="12"/>
      <c r="W259" s="12"/>
      <c r="AV259" s="13"/>
      <c r="AW259" s="13"/>
      <c r="CD259" s="13"/>
      <c r="CF259" s="13"/>
      <c r="DY259" s="12"/>
      <c r="EA259" s="12"/>
      <c r="EX259" s="13"/>
      <c r="EY259" s="13"/>
      <c r="GI259" s="13"/>
      <c r="GK259" s="13"/>
      <c r="GZ259" s="49"/>
      <c r="HA259" s="12"/>
      <c r="HC259" s="12"/>
      <c r="HZ259" s="13"/>
      <c r="IA259" s="13"/>
      <c r="JK259" s="13"/>
      <c r="JM259" s="13"/>
      <c r="LD259" s="12"/>
      <c r="LV259" s="13"/>
      <c r="LW259" s="12"/>
      <c r="MI259" s="12"/>
      <c r="MM259" s="13"/>
    </row>
    <row r="260" spans="21:351" ht="18" customHeight="1">
      <c r="U260" s="12"/>
      <c r="W260" s="12"/>
      <c r="AV260" s="13"/>
      <c r="AW260" s="13"/>
      <c r="CD260" s="13"/>
      <c r="CF260" s="13"/>
      <c r="DY260" s="12"/>
      <c r="EA260" s="12"/>
      <c r="EX260" s="13"/>
      <c r="EY260" s="13"/>
      <c r="GI260" s="13"/>
      <c r="GK260" s="13"/>
      <c r="GZ260" s="49"/>
      <c r="HA260" s="12"/>
      <c r="HC260" s="12"/>
      <c r="HZ260" s="13"/>
      <c r="IA260" s="90"/>
      <c r="JK260" s="13"/>
      <c r="JM260" s="13"/>
      <c r="LD260" s="12"/>
      <c r="LV260" s="13"/>
      <c r="LW260" s="12"/>
      <c r="MI260" s="12"/>
      <c r="MM260" s="13"/>
    </row>
    <row r="261" spans="21:351" ht="18" customHeight="1">
      <c r="U261" s="12"/>
      <c r="W261" s="12"/>
      <c r="AV261" s="13"/>
      <c r="AW261" s="13"/>
      <c r="CD261" s="13"/>
      <c r="CF261" s="13"/>
      <c r="DY261" s="12"/>
      <c r="EA261" s="12"/>
      <c r="EX261" s="13"/>
      <c r="EY261" s="13"/>
      <c r="GI261" s="13"/>
      <c r="GK261" s="13"/>
      <c r="GZ261" s="49"/>
      <c r="HA261" s="12"/>
      <c r="HC261" s="12"/>
      <c r="HZ261" s="13"/>
      <c r="IA261" s="90"/>
      <c r="JK261" s="13"/>
      <c r="JM261" s="13"/>
      <c r="LD261" s="12"/>
      <c r="LV261" s="13"/>
      <c r="LW261" s="12"/>
      <c r="MI261" s="12"/>
      <c r="MM261" s="13"/>
    </row>
    <row r="262" spans="21:351" ht="18" customHeight="1">
      <c r="U262" s="12"/>
      <c r="W262" s="12"/>
      <c r="AV262" s="13"/>
      <c r="AW262" s="13"/>
      <c r="CD262" s="13"/>
      <c r="CF262" s="13"/>
      <c r="DY262" s="12"/>
      <c r="EA262" s="12"/>
      <c r="EX262" s="13"/>
      <c r="EY262" s="13"/>
      <c r="GI262" s="13"/>
      <c r="GK262" s="13"/>
      <c r="GZ262" s="49"/>
      <c r="HA262" s="12"/>
      <c r="HC262" s="12"/>
      <c r="HZ262" s="13"/>
      <c r="IA262" s="90"/>
      <c r="JK262" s="13"/>
      <c r="JM262" s="13"/>
      <c r="LD262" s="14"/>
      <c r="LE262" s="15"/>
      <c r="LF262" s="15"/>
      <c r="LG262" s="15"/>
      <c r="LH262" s="15"/>
      <c r="LI262" s="15"/>
      <c r="LJ262" s="15"/>
      <c r="LK262" s="15"/>
      <c r="LL262" s="15"/>
      <c r="LM262" s="15"/>
      <c r="LN262" s="15"/>
      <c r="LO262" s="15"/>
      <c r="LP262" s="15"/>
      <c r="LQ262" s="15"/>
      <c r="LR262" s="15"/>
      <c r="LS262" s="15"/>
      <c r="LT262" s="15"/>
      <c r="LU262" s="15"/>
      <c r="LV262" s="16"/>
      <c r="LW262" s="14"/>
      <c r="LX262" s="15"/>
      <c r="LY262" s="15"/>
      <c r="LZ262" s="15"/>
      <c r="MA262" s="15"/>
      <c r="MB262" s="15"/>
      <c r="MC262" s="15"/>
      <c r="MD262" s="15"/>
      <c r="ME262" s="15"/>
      <c r="MF262" s="15"/>
      <c r="MG262" s="15"/>
      <c r="MH262" s="15"/>
      <c r="MI262" s="14"/>
      <c r="MJ262" s="15"/>
      <c r="MK262" s="15"/>
      <c r="ML262" s="15"/>
      <c r="MM262" s="16"/>
    </row>
    <row r="263" spans="21:351" ht="18" customHeight="1">
      <c r="U263" s="12"/>
      <c r="W263" s="12"/>
      <c r="AV263" s="13"/>
      <c r="AW263" s="13"/>
      <c r="CD263" s="13"/>
      <c r="CF263" s="13"/>
      <c r="DY263" s="12"/>
      <c r="EA263" s="12"/>
      <c r="EX263" s="13"/>
      <c r="EY263" s="13"/>
      <c r="GI263" s="13"/>
      <c r="GK263" s="13"/>
      <c r="GZ263" s="49"/>
      <c r="HA263" s="12"/>
      <c r="HC263" s="12"/>
      <c r="HZ263" s="13"/>
      <c r="IA263" s="90"/>
      <c r="JK263" s="13"/>
      <c r="JM263" s="13"/>
      <c r="LD263" s="9"/>
      <c r="LE263" s="10"/>
      <c r="LF263" s="10"/>
      <c r="LG263" s="10"/>
      <c r="LH263" s="10"/>
      <c r="LI263" s="10"/>
      <c r="LJ263" s="10"/>
      <c r="LK263" s="10"/>
      <c r="LL263" s="10"/>
      <c r="LM263" s="10"/>
      <c r="LN263" s="11"/>
      <c r="LO263" s="9"/>
      <c r="LP263" s="10"/>
      <c r="LQ263" s="10"/>
      <c r="LR263" s="10"/>
      <c r="LS263" s="10"/>
      <c r="LT263" s="10"/>
      <c r="LU263" s="10"/>
      <c r="LV263" s="10"/>
      <c r="LW263" s="10"/>
      <c r="LX263" s="10"/>
      <c r="LY263" s="10"/>
      <c r="LZ263" s="10"/>
      <c r="MA263" s="10"/>
      <c r="MB263" s="10"/>
      <c r="MC263" s="10"/>
      <c r="MD263" s="10"/>
      <c r="ME263" s="10"/>
      <c r="MF263" s="10"/>
      <c r="MG263" s="10"/>
      <c r="MH263" s="10"/>
      <c r="MI263" s="10"/>
      <c r="MJ263" s="10"/>
      <c r="MK263" s="10"/>
      <c r="ML263" s="10"/>
      <c r="MM263" s="11"/>
    </row>
    <row r="264" spans="21:351" ht="18" customHeight="1">
      <c r="U264" s="12"/>
      <c r="W264" s="12"/>
      <c r="AV264" s="13"/>
      <c r="AW264" s="13"/>
      <c r="CD264" s="13"/>
      <c r="CF264" s="13"/>
      <c r="DY264" s="12"/>
      <c r="EA264" s="12"/>
      <c r="EX264" s="13"/>
      <c r="EY264" s="13"/>
      <c r="GI264" s="13"/>
      <c r="GK264" s="13"/>
      <c r="HA264" s="12"/>
      <c r="HC264" s="12"/>
      <c r="HZ264" s="13"/>
      <c r="IA264" s="90"/>
      <c r="JK264" s="13"/>
      <c r="JM264" s="13"/>
      <c r="LD264" s="12"/>
      <c r="LN264" s="13"/>
      <c r="LO264" s="12"/>
      <c r="MM264" s="13"/>
    </row>
    <row r="265" spans="21:351" ht="18" customHeight="1">
      <c r="U265" s="12"/>
      <c r="W265" s="12"/>
      <c r="AV265" s="13"/>
      <c r="AW265" s="13"/>
      <c r="CD265" s="13"/>
      <c r="CF265" s="13"/>
      <c r="DY265" s="12"/>
      <c r="EA265" s="12"/>
      <c r="EX265" s="13"/>
      <c r="EY265" s="13"/>
      <c r="GI265" s="13"/>
      <c r="GK265" s="13"/>
      <c r="HA265" s="12"/>
      <c r="HC265" s="12"/>
      <c r="HZ265" s="13"/>
      <c r="IA265" s="90"/>
      <c r="JK265" s="13"/>
      <c r="JM265" s="13"/>
      <c r="LD265" s="12"/>
      <c r="LN265" s="13"/>
      <c r="LO265" s="12"/>
      <c r="MM265" s="13"/>
    </row>
    <row r="266" spans="21:351" ht="18" customHeight="1">
      <c r="U266" s="12"/>
      <c r="W266" s="12"/>
      <c r="AV266" s="13"/>
      <c r="AW266" s="13"/>
      <c r="CD266" s="13"/>
      <c r="CF266" s="13"/>
      <c r="DY266" s="12"/>
      <c r="EA266" s="14"/>
      <c r="EB266" s="15"/>
      <c r="EC266" s="15"/>
      <c r="EX266" s="13"/>
      <c r="EY266" s="13"/>
      <c r="GI266" s="13"/>
      <c r="GK266" s="13"/>
      <c r="HA266" s="12"/>
      <c r="HC266" s="14"/>
      <c r="HD266" s="15"/>
      <c r="HE266" s="15"/>
      <c r="HZ266" s="13"/>
      <c r="IA266" s="13"/>
      <c r="JK266" s="13"/>
      <c r="JM266" s="13"/>
      <c r="LD266" s="12"/>
      <c r="LN266" s="13"/>
      <c r="LO266" s="12"/>
      <c r="MM266" s="13"/>
    </row>
    <row r="267" spans="21:351" ht="18" customHeight="1">
      <c r="U267" s="12"/>
      <c r="W267" s="12"/>
      <c r="AV267" s="13"/>
      <c r="AW267" s="13"/>
      <c r="CD267" s="13"/>
      <c r="CF267" s="13"/>
      <c r="DY267" s="96"/>
      <c r="DZ267" s="97"/>
      <c r="EA267" s="9"/>
      <c r="EB267" s="92"/>
      <c r="EC267" s="92"/>
      <c r="ED267" s="92"/>
      <c r="EE267" s="92"/>
      <c r="EF267" s="92"/>
      <c r="EG267" s="10"/>
      <c r="EH267" s="10"/>
      <c r="EI267" s="10"/>
      <c r="EJ267" s="10"/>
      <c r="EK267" s="10"/>
      <c r="EL267" s="10"/>
      <c r="EM267" s="10"/>
      <c r="EN267" s="10"/>
      <c r="EO267" s="10"/>
      <c r="EP267" s="10"/>
      <c r="EQ267" s="10"/>
      <c r="ER267" s="10"/>
      <c r="ES267" s="57"/>
      <c r="ET267" s="212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2"/>
      <c r="FK267" s="213"/>
      <c r="GI267" s="13"/>
      <c r="GJ267" s="97"/>
      <c r="GK267" s="98"/>
      <c r="HA267" s="96"/>
      <c r="HB267" s="97"/>
      <c r="HC267" s="9"/>
      <c r="HD267" s="92"/>
      <c r="HE267" s="92"/>
      <c r="HF267" s="92"/>
      <c r="HG267" s="92"/>
      <c r="HH267" s="92"/>
      <c r="HI267" s="10"/>
      <c r="HJ267" s="10"/>
      <c r="HK267" s="10"/>
      <c r="HL267" s="10"/>
      <c r="HM267" s="10"/>
      <c r="HN267" s="10"/>
      <c r="HO267" s="10"/>
      <c r="HP267" s="10"/>
      <c r="HQ267" s="10"/>
      <c r="HR267" s="10"/>
      <c r="HS267" s="10"/>
      <c r="HT267" s="10"/>
      <c r="HU267" s="57"/>
      <c r="HV267" s="212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2"/>
      <c r="IM267" s="213"/>
      <c r="JK267" s="13"/>
      <c r="JL267" s="97"/>
      <c r="JM267" s="98"/>
      <c r="LD267" s="12"/>
      <c r="LN267" s="13"/>
      <c r="LO267" s="12"/>
      <c r="MM267" s="13"/>
    </row>
    <row r="268" spans="21:351" ht="18" customHeight="1">
      <c r="U268" s="12"/>
      <c r="W268" s="12"/>
      <c r="AV268" s="13"/>
      <c r="AW268" s="13"/>
      <c r="CD268" s="13"/>
      <c r="CF268" s="13"/>
      <c r="DY268" s="96"/>
      <c r="DZ268" s="97"/>
      <c r="EA268" s="9"/>
      <c r="EB268" s="10"/>
      <c r="EC268" s="10"/>
      <c r="ED268" s="10"/>
      <c r="EE268" s="10"/>
      <c r="EF268" s="10"/>
      <c r="EG268" s="10"/>
      <c r="EH268" s="10"/>
      <c r="EI268" s="10"/>
      <c r="EJ268" s="10"/>
      <c r="EK268" s="10"/>
      <c r="EL268" s="10"/>
      <c r="EM268" s="10"/>
      <c r="EN268" s="10"/>
      <c r="EO268" s="10"/>
      <c r="EP268" s="10"/>
      <c r="EQ268" s="10"/>
      <c r="ER268" s="10"/>
      <c r="ES268" s="58"/>
      <c r="ET268" s="97"/>
      <c r="EU268" s="12"/>
      <c r="FJ268" s="98"/>
      <c r="FK268" s="97"/>
      <c r="FL268" s="12"/>
      <c r="GI268" s="13"/>
      <c r="GJ268" s="97"/>
      <c r="GK268" s="98"/>
      <c r="HA268" s="96"/>
      <c r="HB268" s="97"/>
      <c r="HC268" s="9"/>
      <c r="HD268" s="10"/>
      <c r="HE268" s="10"/>
      <c r="HF268" s="10"/>
      <c r="HG268" s="10"/>
      <c r="HH268" s="10"/>
      <c r="HI268" s="10"/>
      <c r="HJ268" s="10"/>
      <c r="HK268" s="10"/>
      <c r="HL268" s="10"/>
      <c r="HM268" s="10"/>
      <c r="HN268" s="10"/>
      <c r="HO268" s="10"/>
      <c r="HP268" s="10"/>
      <c r="HQ268" s="10"/>
      <c r="HR268" s="10"/>
      <c r="HS268" s="10"/>
      <c r="HT268" s="10"/>
      <c r="HU268" s="58"/>
      <c r="HV268" s="97"/>
      <c r="HW268" s="12"/>
      <c r="IL268" s="98"/>
      <c r="IM268" s="97"/>
      <c r="IN268" s="12"/>
      <c r="JK268" s="13"/>
      <c r="JL268" s="97"/>
      <c r="JM268" s="98"/>
      <c r="LD268" s="12"/>
      <c r="LN268" s="13"/>
      <c r="LO268" s="12"/>
      <c r="MM268" s="13"/>
    </row>
    <row r="269" spans="21:351" ht="18" customHeight="1">
      <c r="U269" s="12"/>
      <c r="W269" s="12"/>
      <c r="AV269" s="13"/>
      <c r="AW269" s="13"/>
      <c r="CD269" s="13"/>
      <c r="CF269" s="13"/>
      <c r="DY269" s="96"/>
      <c r="DZ269" s="97"/>
      <c r="EA269" s="12"/>
      <c r="ES269" s="98"/>
      <c r="ET269" s="97"/>
      <c r="EU269" s="12"/>
      <c r="FJ269" s="98"/>
      <c r="FK269" s="98"/>
      <c r="GI269" s="13"/>
      <c r="GJ269" s="97"/>
      <c r="GK269" s="98"/>
      <c r="HA269" s="96"/>
      <c r="HB269" s="97"/>
      <c r="HC269" s="12"/>
      <c r="HU269" s="98"/>
      <c r="HV269" s="97"/>
      <c r="HW269" s="12"/>
      <c r="IL269" s="98"/>
      <c r="IM269" s="98"/>
      <c r="JK269" s="13"/>
      <c r="JL269" s="97"/>
      <c r="JM269" s="98"/>
      <c r="LD269" s="12"/>
      <c r="LN269" s="13"/>
      <c r="LO269" s="12"/>
      <c r="MM269" s="13"/>
    </row>
    <row r="270" spans="21:351" ht="18" customHeight="1">
      <c r="U270" s="12"/>
      <c r="W270" s="20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2"/>
      <c r="CD270" s="13"/>
      <c r="CF270" s="13"/>
      <c r="DY270" s="96"/>
      <c r="DZ270" s="97"/>
      <c r="EA270" s="12"/>
      <c r="ES270" s="98"/>
      <c r="ET270" s="97"/>
      <c r="EU270" s="12"/>
      <c r="FJ270" s="98"/>
      <c r="FK270" s="98"/>
      <c r="GI270" s="13"/>
      <c r="GJ270" s="97"/>
      <c r="GK270" s="98"/>
      <c r="GZ270" s="49"/>
      <c r="HA270" s="96"/>
      <c r="HB270" s="97"/>
      <c r="HC270" s="12"/>
      <c r="HU270" s="98"/>
      <c r="HV270" s="97"/>
      <c r="HW270" s="12"/>
      <c r="IL270" s="98"/>
      <c r="IM270" s="98"/>
      <c r="JK270" s="13"/>
      <c r="JL270" s="97"/>
      <c r="JM270" s="98"/>
      <c r="LD270" s="12"/>
      <c r="LN270" s="13"/>
      <c r="LO270" s="12"/>
      <c r="MM270" s="13"/>
    </row>
    <row r="271" spans="21:351" ht="18" customHeight="1">
      <c r="U271" s="12"/>
      <c r="W271" s="12"/>
      <c r="AG271" s="12"/>
      <c r="AN271" s="13"/>
      <c r="AP271" s="12"/>
      <c r="BE271" s="13"/>
      <c r="BG271" s="12"/>
      <c r="CD271" s="13"/>
      <c r="CF271" s="13"/>
      <c r="DY271" s="12"/>
      <c r="EA271" s="12"/>
      <c r="ES271" s="13"/>
      <c r="EU271" s="12"/>
      <c r="FJ271" s="13"/>
      <c r="FK271" s="13"/>
      <c r="GI271" s="13"/>
      <c r="GK271" s="13"/>
      <c r="GZ271" s="49"/>
      <c r="HA271" s="12"/>
      <c r="HC271" s="12"/>
      <c r="HU271" s="13"/>
      <c r="HW271" s="12"/>
      <c r="IL271" s="13"/>
      <c r="IM271" s="13"/>
      <c r="JK271" s="13"/>
      <c r="JM271" s="13"/>
      <c r="LD271" s="12"/>
      <c r="LN271" s="13"/>
      <c r="LO271" s="12"/>
      <c r="MM271" s="13"/>
    </row>
    <row r="272" spans="21:351" ht="18" customHeight="1">
      <c r="U272" s="12"/>
      <c r="W272" s="12"/>
      <c r="AG272" s="12"/>
      <c r="AN272" s="13"/>
      <c r="AP272" s="9"/>
      <c r="AQ272" s="11"/>
      <c r="BE272" s="13"/>
      <c r="BF272" s="13"/>
      <c r="CD272" s="13"/>
      <c r="CF272" s="13"/>
      <c r="DY272" s="12"/>
      <c r="EA272" s="12"/>
      <c r="ES272" s="13"/>
      <c r="EU272" s="12"/>
      <c r="EY272" s="9"/>
      <c r="EZ272" s="10"/>
      <c r="FA272" s="10"/>
      <c r="FB272" s="10"/>
      <c r="FC272" s="10"/>
      <c r="FD272" s="10"/>
      <c r="FE272" s="10"/>
      <c r="FF272" s="11"/>
      <c r="FJ272" s="13"/>
      <c r="FK272" s="13"/>
      <c r="GI272" s="13"/>
      <c r="GK272" s="13"/>
      <c r="GZ272" s="49"/>
      <c r="HA272" s="12"/>
      <c r="HC272" s="12"/>
      <c r="HU272" s="13"/>
      <c r="HW272" s="12"/>
      <c r="IA272" s="9"/>
      <c r="IB272" s="10"/>
      <c r="IC272" s="10"/>
      <c r="ID272" s="10"/>
      <c r="IE272" s="10"/>
      <c r="IF272" s="10"/>
      <c r="IG272" s="10"/>
      <c r="IH272" s="11"/>
      <c r="IL272" s="13"/>
      <c r="IM272" s="13"/>
      <c r="JK272" s="13"/>
      <c r="JM272" s="13"/>
      <c r="LD272" s="12"/>
      <c r="LN272" s="13"/>
      <c r="LO272" s="12"/>
      <c r="MM272" s="13"/>
    </row>
    <row r="273" spans="21:384" ht="18" customHeight="1">
      <c r="U273" s="12"/>
      <c r="W273" s="12"/>
      <c r="AG273" s="12"/>
      <c r="AN273" s="13"/>
      <c r="AP273" s="12"/>
      <c r="AQ273" s="13"/>
      <c r="BE273" s="13"/>
      <c r="BF273" s="13"/>
      <c r="BG273" s="9"/>
      <c r="BH273" s="10"/>
      <c r="BI273" s="10"/>
      <c r="BJ273" s="10"/>
      <c r="BK273" s="10"/>
      <c r="BL273" s="11"/>
      <c r="CD273" s="13"/>
      <c r="CF273" s="13"/>
      <c r="DY273" s="12"/>
      <c r="EA273" s="12"/>
      <c r="ES273" s="13"/>
      <c r="EU273" s="12"/>
      <c r="EY273" s="12"/>
      <c r="FF273" s="13"/>
      <c r="FJ273" s="13"/>
      <c r="FK273" s="13"/>
      <c r="GI273" s="13"/>
      <c r="GK273" s="13"/>
      <c r="GZ273" s="49"/>
      <c r="HA273" s="12"/>
      <c r="HC273" s="12"/>
      <c r="HU273" s="13"/>
      <c r="HW273" s="12"/>
      <c r="IA273" s="12"/>
      <c r="IH273" s="13"/>
      <c r="IL273" s="13"/>
      <c r="IM273" s="13"/>
      <c r="JK273" s="13"/>
      <c r="JM273" s="13"/>
      <c r="LD273" s="12"/>
      <c r="LN273" s="13"/>
      <c r="LO273" s="12"/>
      <c r="MM273" s="13"/>
    </row>
    <row r="274" spans="21:384" ht="18" customHeight="1">
      <c r="U274" s="12"/>
      <c r="W274" s="12"/>
      <c r="AG274" s="12"/>
      <c r="AN274" s="13"/>
      <c r="AP274" s="12"/>
      <c r="AQ274" s="13"/>
      <c r="BE274" s="13"/>
      <c r="BF274" s="13"/>
      <c r="BG274" s="12"/>
      <c r="BL274" s="13"/>
      <c r="CD274" s="13"/>
      <c r="CF274" s="13"/>
      <c r="DY274" s="12"/>
      <c r="EA274" s="12"/>
      <c r="ES274" s="13"/>
      <c r="EU274" s="12"/>
      <c r="EY274" s="12"/>
      <c r="FF274" s="13"/>
      <c r="FJ274" s="13"/>
      <c r="FK274" s="13"/>
      <c r="GI274" s="13"/>
      <c r="GK274" s="13"/>
      <c r="HA274" s="12"/>
      <c r="HC274" s="12"/>
      <c r="HU274" s="13"/>
      <c r="HW274" s="12"/>
      <c r="IA274" s="12"/>
      <c r="IH274" s="13"/>
      <c r="IL274" s="13"/>
      <c r="IM274" s="13"/>
      <c r="JK274" s="13"/>
      <c r="JM274" s="13"/>
      <c r="LD274" s="12"/>
      <c r="LN274" s="13"/>
      <c r="LO274" s="12"/>
      <c r="MM274" s="13"/>
    </row>
    <row r="275" spans="21:384" ht="18" customHeight="1">
      <c r="U275" s="12"/>
      <c r="W275" s="12"/>
      <c r="AG275" s="12"/>
      <c r="AN275" s="13"/>
      <c r="AP275" s="12"/>
      <c r="AQ275" s="13"/>
      <c r="AT275" s="9"/>
      <c r="AU275" s="10"/>
      <c r="AV275" s="10"/>
      <c r="AW275" s="10"/>
      <c r="AX275" s="10"/>
      <c r="AY275" s="10"/>
      <c r="AZ275" s="10"/>
      <c r="BA275" s="11"/>
      <c r="BE275" s="13"/>
      <c r="BF275" s="13"/>
      <c r="BG275" s="12"/>
      <c r="BL275" s="13"/>
      <c r="CD275" s="13"/>
      <c r="CF275" s="13"/>
      <c r="DY275" s="12"/>
      <c r="EA275" s="12"/>
      <c r="ES275" s="13"/>
      <c r="EU275" s="12"/>
      <c r="EY275" s="12"/>
      <c r="FF275" s="13"/>
      <c r="FJ275" s="13"/>
      <c r="FK275" s="13"/>
      <c r="GI275" s="13"/>
      <c r="GK275" s="13"/>
      <c r="HA275" s="12"/>
      <c r="HC275" s="12"/>
      <c r="HU275" s="13"/>
      <c r="HW275" s="12"/>
      <c r="IA275" s="12"/>
      <c r="IH275" s="13"/>
      <c r="IL275" s="13"/>
      <c r="IM275" s="13"/>
      <c r="JK275" s="13"/>
      <c r="JM275" s="13"/>
      <c r="LD275" s="12"/>
      <c r="LN275" s="13"/>
      <c r="LO275" s="12"/>
      <c r="MM275" s="13"/>
    </row>
    <row r="276" spans="21:384" ht="18" customHeight="1">
      <c r="U276" s="12"/>
      <c r="W276" s="9"/>
      <c r="X276" s="10"/>
      <c r="Y276" s="10"/>
      <c r="Z276" s="10"/>
      <c r="AA276" s="10"/>
      <c r="AB276" s="9"/>
      <c r="AC276" s="10"/>
      <c r="AD276" s="10"/>
      <c r="AE276" s="10"/>
      <c r="AF276" s="11"/>
      <c r="AG276" s="12"/>
      <c r="AN276" s="13"/>
      <c r="AP276" s="12"/>
      <c r="AQ276" s="13"/>
      <c r="AT276" s="12"/>
      <c r="BA276" s="13"/>
      <c r="BE276" s="13"/>
      <c r="BF276" s="13"/>
      <c r="BG276" s="12"/>
      <c r="BL276" s="13"/>
      <c r="CD276" s="13"/>
      <c r="CF276" s="13"/>
      <c r="DY276" s="12"/>
      <c r="EA276" s="12"/>
      <c r="ES276" s="13"/>
      <c r="EU276" s="12"/>
      <c r="EY276" s="12"/>
      <c r="FF276" s="13"/>
      <c r="FJ276" s="13"/>
      <c r="FK276" s="13"/>
      <c r="GI276" s="13"/>
      <c r="GK276" s="13"/>
      <c r="GL276" s="12"/>
      <c r="HA276" s="12"/>
      <c r="HC276" s="12"/>
      <c r="HU276" s="13"/>
      <c r="HW276" s="12"/>
      <c r="IA276" s="12"/>
      <c r="IH276" s="13"/>
      <c r="IL276" s="13"/>
      <c r="IM276" s="13"/>
      <c r="JK276" s="13"/>
      <c r="JM276" s="13"/>
      <c r="JN276" s="12"/>
      <c r="LD276" s="12"/>
      <c r="LN276" s="13"/>
      <c r="LO276" s="12"/>
      <c r="MM276" s="13"/>
    </row>
    <row r="277" spans="21:384" ht="18" customHeight="1">
      <c r="U277" s="12"/>
      <c r="W277" s="12"/>
      <c r="AB277" s="12"/>
      <c r="AF277" s="13"/>
      <c r="AG277" s="12"/>
      <c r="AN277" s="13"/>
      <c r="AP277" s="14"/>
      <c r="AQ277" s="16"/>
      <c r="AT277" s="12"/>
      <c r="BA277" s="13"/>
      <c r="BE277" s="13"/>
      <c r="BF277" s="13"/>
      <c r="BG277" s="12"/>
      <c r="BL277" s="13"/>
      <c r="CD277" s="13"/>
      <c r="CF277" s="13"/>
      <c r="DY277" s="12"/>
      <c r="EA277" s="14"/>
      <c r="EB277" s="15"/>
      <c r="EC277" s="15"/>
      <c r="ED277" s="15"/>
      <c r="EE277" s="15"/>
      <c r="EF277" s="15"/>
      <c r="EG277" s="15"/>
      <c r="EH277" s="15"/>
      <c r="EI277" s="15"/>
      <c r="EJ277" s="15"/>
      <c r="EK277" s="15"/>
      <c r="EL277" s="15"/>
      <c r="EM277" s="15"/>
      <c r="EN277" s="15"/>
      <c r="EO277" s="15"/>
      <c r="EP277" s="15"/>
      <c r="EQ277" s="15"/>
      <c r="ER277" s="15"/>
      <c r="ES277" s="16"/>
      <c r="ET277" s="15"/>
      <c r="EU277" s="12"/>
      <c r="EY277" s="12"/>
      <c r="FF277" s="13"/>
      <c r="FJ277" s="13"/>
      <c r="FK277" s="13"/>
      <c r="GI277" s="13"/>
      <c r="GK277" s="13"/>
      <c r="GL277" s="12"/>
      <c r="HA277" s="12"/>
      <c r="HC277" s="14"/>
      <c r="HD277" s="15"/>
      <c r="HE277" s="15"/>
      <c r="HF277" s="15"/>
      <c r="HG277" s="15"/>
      <c r="HH277" s="15"/>
      <c r="HI277" s="15"/>
      <c r="HJ277" s="15"/>
      <c r="HK277" s="15"/>
      <c r="HL277" s="15"/>
      <c r="HM277" s="15"/>
      <c r="HN277" s="15"/>
      <c r="HO277" s="15"/>
      <c r="HP277" s="15"/>
      <c r="HQ277" s="15"/>
      <c r="HR277" s="15"/>
      <c r="HS277" s="15"/>
      <c r="HT277" s="15"/>
      <c r="HU277" s="16"/>
      <c r="HV277" s="15"/>
      <c r="HW277" s="12"/>
      <c r="IA277" s="12"/>
      <c r="IH277" s="13"/>
      <c r="IL277" s="13"/>
      <c r="IM277" s="13"/>
      <c r="JK277" s="13"/>
      <c r="JM277" s="13"/>
      <c r="JN277" s="12"/>
      <c r="LD277" s="12"/>
      <c r="LN277" s="13"/>
      <c r="LO277" s="12"/>
      <c r="MM277" s="13"/>
    </row>
    <row r="278" spans="21:384" ht="18" customHeight="1">
      <c r="U278" s="12"/>
      <c r="W278" s="12"/>
      <c r="AB278" s="12"/>
      <c r="AF278" s="13"/>
      <c r="AG278" s="12"/>
      <c r="AN278" s="13"/>
      <c r="AP278" s="12"/>
      <c r="AT278" s="12"/>
      <c r="BA278" s="13"/>
      <c r="BE278" s="13"/>
      <c r="BF278" s="13"/>
      <c r="BG278" s="12"/>
      <c r="BL278" s="13"/>
      <c r="CD278" s="13"/>
      <c r="CF278" s="13"/>
      <c r="DY278" s="12"/>
      <c r="EE278" s="97"/>
      <c r="EF278" s="97"/>
      <c r="EG278" s="97"/>
      <c r="EH278" s="97"/>
      <c r="ET278" s="10"/>
      <c r="EU278" s="12"/>
      <c r="EY278" s="12"/>
      <c r="FF278" s="13"/>
      <c r="FJ278" s="13"/>
      <c r="FK278" s="13"/>
      <c r="GI278" s="13"/>
      <c r="GK278" s="13"/>
      <c r="GL278" s="12"/>
      <c r="HA278" s="12"/>
      <c r="HG278" s="97"/>
      <c r="HH278" s="97"/>
      <c r="HI278" s="97"/>
      <c r="HJ278" s="97"/>
      <c r="HV278" s="10"/>
      <c r="HW278" s="12"/>
      <c r="IA278" s="12"/>
      <c r="IH278" s="13"/>
      <c r="IL278" s="13"/>
      <c r="IM278" s="13"/>
      <c r="JK278" s="13"/>
      <c r="JM278" s="13"/>
      <c r="JN278" s="12"/>
      <c r="LD278" s="12"/>
      <c r="LN278" s="13"/>
      <c r="LO278" s="12"/>
      <c r="MM278" s="13"/>
    </row>
    <row r="279" spans="21:384" ht="18" customHeight="1">
      <c r="U279" s="12"/>
      <c r="W279" s="12"/>
      <c r="AB279" s="12"/>
      <c r="AF279" s="13"/>
      <c r="AG279" s="12"/>
      <c r="AN279" s="13"/>
      <c r="AP279" s="9"/>
      <c r="AQ279" s="11"/>
      <c r="AT279" s="12"/>
      <c r="BA279" s="13"/>
      <c r="BE279" s="13"/>
      <c r="BF279" s="13"/>
      <c r="BG279" s="12"/>
      <c r="BL279" s="13"/>
      <c r="CD279" s="13"/>
      <c r="CF279" s="13"/>
      <c r="CG279" s="12"/>
      <c r="DY279" s="14"/>
      <c r="DZ279" s="15"/>
      <c r="EA279" s="15"/>
      <c r="EB279" s="15"/>
      <c r="EC279" s="15"/>
      <c r="ED279" s="15"/>
      <c r="EE279" s="60"/>
      <c r="EF279" s="60"/>
      <c r="EG279" s="97"/>
      <c r="EH279" s="60"/>
      <c r="EU279" s="12"/>
      <c r="EY279" s="12"/>
      <c r="FF279" s="13"/>
      <c r="FJ279" s="13"/>
      <c r="FK279" s="13"/>
      <c r="GI279" s="13"/>
      <c r="GK279" s="13"/>
      <c r="GL279" s="12"/>
      <c r="HA279" s="14"/>
      <c r="HB279" s="15"/>
      <c r="HC279" s="15"/>
      <c r="HD279" s="15"/>
      <c r="HE279" s="15"/>
      <c r="HF279" s="15"/>
      <c r="HG279" s="60"/>
      <c r="HH279" s="60"/>
      <c r="HI279" s="97"/>
      <c r="HJ279" s="60"/>
      <c r="HW279" s="12"/>
      <c r="IA279" s="12"/>
      <c r="IH279" s="13"/>
      <c r="IL279" s="13"/>
      <c r="IM279" s="13"/>
      <c r="JK279" s="13"/>
      <c r="JM279" s="13"/>
      <c r="JN279" s="12"/>
      <c r="LD279" s="14"/>
      <c r="LE279" s="15"/>
      <c r="LF279" s="15"/>
      <c r="LG279" s="15"/>
      <c r="LH279" s="15"/>
      <c r="LI279" s="15"/>
      <c r="LJ279" s="15"/>
      <c r="LK279" s="15"/>
      <c r="LL279" s="15"/>
      <c r="LM279" s="15"/>
      <c r="LN279" s="16"/>
      <c r="LO279" s="14"/>
      <c r="LP279" s="15"/>
      <c r="LQ279" s="15"/>
      <c r="LR279" s="15"/>
      <c r="LS279" s="15"/>
      <c r="LT279" s="15"/>
      <c r="LU279" s="15"/>
      <c r="LV279" s="15"/>
      <c r="LW279" s="15"/>
      <c r="LX279" s="15"/>
      <c r="LY279" s="15"/>
      <c r="LZ279" s="15"/>
      <c r="MA279" s="15"/>
      <c r="MB279" s="15"/>
      <c r="MC279" s="15"/>
      <c r="MD279" s="15"/>
      <c r="ME279" s="15"/>
      <c r="MF279" s="15"/>
      <c r="MG279" s="15"/>
      <c r="MH279" s="15"/>
      <c r="MI279" s="15"/>
      <c r="MJ279" s="15"/>
      <c r="MK279" s="15"/>
      <c r="ML279" s="15"/>
      <c r="MM279" s="16"/>
    </row>
    <row r="280" spans="21:384" ht="18" customHeight="1">
      <c r="U280" s="12"/>
      <c r="W280" s="14"/>
      <c r="X280" s="15"/>
      <c r="Y280" s="15"/>
      <c r="Z280" s="15"/>
      <c r="AA280" s="15"/>
      <c r="AB280" s="14"/>
      <c r="AC280" s="15"/>
      <c r="AD280" s="15"/>
      <c r="AE280" s="15"/>
      <c r="AF280" s="16"/>
      <c r="AG280" s="14"/>
      <c r="AH280" s="15"/>
      <c r="AI280" s="15"/>
      <c r="AJ280" s="15"/>
      <c r="AK280" s="15"/>
      <c r="AL280" s="15"/>
      <c r="AM280" s="15"/>
      <c r="AN280" s="16"/>
      <c r="AO280" s="15"/>
      <c r="AP280" s="12"/>
      <c r="AQ280" s="13"/>
      <c r="AT280" s="12"/>
      <c r="BA280" s="13"/>
      <c r="BE280" s="13"/>
      <c r="BF280" s="13"/>
      <c r="BG280" s="12"/>
      <c r="BL280" s="13"/>
      <c r="CD280" s="13"/>
      <c r="CF280" s="13"/>
      <c r="CG280" s="12"/>
      <c r="EE280" s="10"/>
      <c r="EF280" s="10"/>
      <c r="EG280" s="10"/>
      <c r="EH280" s="10"/>
      <c r="EI280" s="10"/>
      <c r="EJ280" s="10"/>
      <c r="EK280" s="10"/>
      <c r="EL280" s="10"/>
      <c r="EM280" s="10"/>
      <c r="EN280" s="10"/>
      <c r="EO280" s="10"/>
      <c r="EP280" s="10"/>
      <c r="EQ280" s="10"/>
      <c r="ER280" s="11"/>
      <c r="ES280" s="12"/>
      <c r="EU280" s="12"/>
      <c r="EY280" s="12"/>
      <c r="FF280" s="13"/>
      <c r="FJ280" s="13"/>
      <c r="FK280" s="13"/>
      <c r="GI280" s="13"/>
      <c r="GK280" s="13"/>
      <c r="GL280" s="12"/>
      <c r="HG280" s="10"/>
      <c r="HH280" s="10"/>
      <c r="HI280" s="10"/>
      <c r="HJ280" s="10"/>
      <c r="HK280" s="10"/>
      <c r="HL280" s="10"/>
      <c r="HM280" s="10"/>
      <c r="HN280" s="10"/>
      <c r="HO280" s="10"/>
      <c r="HP280" s="10"/>
      <c r="HQ280" s="10"/>
      <c r="HR280" s="10"/>
      <c r="HS280" s="10"/>
      <c r="HT280" s="11"/>
      <c r="HU280" s="12"/>
      <c r="HW280" s="12"/>
      <c r="IA280" s="12"/>
      <c r="IH280" s="13"/>
      <c r="IL280" s="13"/>
      <c r="IM280" s="13"/>
      <c r="JK280" s="13"/>
      <c r="JM280" s="13"/>
      <c r="JN280" s="12"/>
    </row>
    <row r="281" spans="21:384" ht="18" customHeight="1">
      <c r="U281" s="12"/>
      <c r="AI281" s="10"/>
      <c r="AJ281" s="10"/>
      <c r="AK281" s="10"/>
      <c r="AL281" s="10"/>
      <c r="AM281" s="10"/>
      <c r="AN281" s="10"/>
      <c r="AO281" s="10"/>
      <c r="AP281" s="12"/>
      <c r="AQ281" s="13"/>
      <c r="AT281" s="12"/>
      <c r="BA281" s="13"/>
      <c r="BE281" s="13"/>
      <c r="BF281" s="13"/>
      <c r="BG281" s="12"/>
      <c r="BL281" s="13"/>
      <c r="CD281" s="13"/>
      <c r="CF281" s="13"/>
      <c r="CG281" s="12"/>
      <c r="ES281" s="12"/>
      <c r="EU281" s="12"/>
      <c r="EY281" s="12"/>
      <c r="FF281" s="13"/>
      <c r="FJ281" s="13"/>
      <c r="FK281" s="13"/>
      <c r="GI281" s="13"/>
      <c r="GK281" s="13"/>
      <c r="GL281" s="12"/>
      <c r="HU281" s="12"/>
      <c r="HW281" s="12"/>
      <c r="IA281" s="12"/>
      <c r="IH281" s="13"/>
      <c r="IL281" s="13"/>
      <c r="IM281" s="13"/>
      <c r="JK281" s="13"/>
      <c r="JM281" s="13"/>
      <c r="JN281" s="12"/>
    </row>
    <row r="282" spans="21:384" ht="18" customHeight="1">
      <c r="U282" s="14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G282" s="15"/>
      <c r="AP282" s="12"/>
      <c r="AQ282" s="13"/>
      <c r="AT282" s="12"/>
      <c r="BA282" s="13"/>
      <c r="BE282" s="13"/>
      <c r="BF282" s="13"/>
      <c r="BG282" s="12"/>
      <c r="BL282" s="13"/>
      <c r="CD282" s="13"/>
      <c r="CF282" s="13"/>
      <c r="CG282" s="12"/>
      <c r="ES282" s="12"/>
      <c r="EU282" s="12"/>
      <c r="EY282" s="12"/>
      <c r="FF282" s="13"/>
      <c r="FJ282" s="13"/>
      <c r="FK282" s="13"/>
      <c r="GI282" s="13"/>
      <c r="GK282" s="13"/>
      <c r="GL282" s="12"/>
      <c r="HU282" s="12"/>
      <c r="HW282" s="12"/>
      <c r="IA282" s="12"/>
      <c r="IH282" s="13"/>
      <c r="IL282" s="13"/>
      <c r="IM282" s="13"/>
      <c r="JK282" s="13"/>
      <c r="JM282" s="13"/>
      <c r="JN282" s="12"/>
    </row>
    <row r="283" spans="21:384" ht="18" customHeight="1">
      <c r="AD283" s="10"/>
      <c r="AE283" s="10"/>
      <c r="AF283" s="10"/>
      <c r="AG283" s="10"/>
      <c r="AH283" s="10"/>
      <c r="AI283" s="10"/>
      <c r="AJ283" s="10"/>
      <c r="AK283" s="10"/>
      <c r="AL283" s="10"/>
      <c r="AM283" s="11"/>
      <c r="AN283" s="12"/>
      <c r="AP283" s="12"/>
      <c r="AQ283" s="13"/>
      <c r="AT283" s="12"/>
      <c r="BA283" s="13"/>
      <c r="BE283" s="13"/>
      <c r="BF283" s="13"/>
      <c r="BG283" s="12"/>
      <c r="BL283" s="13"/>
      <c r="CD283" s="13"/>
      <c r="CF283" s="13"/>
      <c r="CG283" s="12"/>
      <c r="ES283" s="12"/>
      <c r="EU283" s="12"/>
      <c r="EY283" s="12"/>
      <c r="FF283" s="13"/>
      <c r="FJ283" s="13"/>
      <c r="FK283" s="13"/>
      <c r="GI283" s="13"/>
      <c r="GK283" s="13"/>
      <c r="GL283" s="12"/>
      <c r="HU283" s="12"/>
      <c r="HW283" s="12"/>
      <c r="IA283" s="12"/>
      <c r="IH283" s="13"/>
      <c r="IL283" s="13"/>
      <c r="IM283" s="13"/>
      <c r="JK283" s="13"/>
      <c r="JM283" s="13"/>
      <c r="JN283" s="12"/>
    </row>
    <row r="284" spans="21:384" ht="18" customHeight="1">
      <c r="AN284" s="12"/>
      <c r="AP284" s="14"/>
      <c r="AQ284" s="16"/>
      <c r="AT284" s="12"/>
      <c r="BA284" s="13"/>
      <c r="BE284" s="13"/>
      <c r="BF284" s="13"/>
      <c r="BG284" s="14"/>
      <c r="BH284" s="15"/>
      <c r="BI284" s="15"/>
      <c r="BJ284" s="15"/>
      <c r="BK284" s="15"/>
      <c r="BL284" s="16"/>
      <c r="CD284" s="13"/>
      <c r="CF284" s="13"/>
      <c r="CG284" s="12"/>
      <c r="ES284" s="12"/>
      <c r="EU284" s="12"/>
      <c r="EY284" s="12"/>
      <c r="FF284" s="13"/>
      <c r="FJ284" s="13"/>
      <c r="FK284" s="13"/>
      <c r="GI284" s="13"/>
      <c r="GK284" s="13"/>
      <c r="GL284" s="12"/>
      <c r="HU284" s="12"/>
      <c r="HW284" s="12"/>
      <c r="IA284" s="12"/>
      <c r="IH284" s="13"/>
      <c r="IL284" s="13"/>
      <c r="IM284" s="13"/>
      <c r="JK284" s="13"/>
      <c r="JM284" s="13"/>
      <c r="JN284" s="12"/>
      <c r="LS284" s="9"/>
      <c r="LT284" s="10"/>
      <c r="LU284" s="10"/>
      <c r="LV284" s="10"/>
      <c r="LW284" s="10"/>
      <c r="LX284" s="10"/>
      <c r="LY284" s="10"/>
      <c r="LZ284" s="10"/>
      <c r="MA284" s="10"/>
      <c r="MB284" s="10"/>
      <c r="MC284" s="10"/>
      <c r="MD284" s="10"/>
      <c r="ME284" s="10"/>
      <c r="MF284" s="10"/>
      <c r="MG284" s="10"/>
      <c r="MH284" s="10"/>
      <c r="MI284" s="10"/>
      <c r="MJ284" s="10"/>
      <c r="MK284" s="10"/>
      <c r="ML284" s="10"/>
      <c r="MM284" s="10"/>
      <c r="MN284" s="10"/>
      <c r="MO284" s="10"/>
      <c r="MP284" s="10"/>
      <c r="MQ284" s="10"/>
      <c r="MR284" s="10"/>
      <c r="MS284" s="10"/>
      <c r="MT284" s="10"/>
      <c r="MU284" s="10"/>
      <c r="MV284" s="10"/>
      <c r="MW284" s="10"/>
      <c r="MX284" s="10"/>
      <c r="MY284" s="10"/>
      <c r="MZ284" s="10"/>
      <c r="NA284" s="10"/>
      <c r="NB284" s="10"/>
      <c r="NC284" s="10"/>
      <c r="ND284" s="10"/>
      <c r="NE284" s="10"/>
      <c r="NF284" s="10"/>
      <c r="NG284" s="10"/>
      <c r="NH284" s="10"/>
      <c r="NI284" s="10"/>
      <c r="NJ284" s="10"/>
      <c r="NK284" s="10"/>
      <c r="NL284" s="10"/>
      <c r="NM284" s="10"/>
      <c r="NN284" s="10"/>
      <c r="NO284" s="10"/>
      <c r="NP284" s="10"/>
      <c r="NQ284" s="10"/>
      <c r="NR284" s="10"/>
      <c r="NS284" s="10"/>
      <c r="NT284" s="11"/>
    </row>
    <row r="285" spans="21:384" ht="18" customHeight="1">
      <c r="AN285" s="12"/>
      <c r="AP285" s="12"/>
      <c r="AT285" s="12"/>
      <c r="BA285" s="13"/>
      <c r="BE285" s="13"/>
      <c r="BF285" s="13"/>
      <c r="CD285" s="13"/>
      <c r="CF285" s="13"/>
      <c r="CG285" s="12"/>
      <c r="ES285" s="12"/>
      <c r="EU285" s="12"/>
      <c r="EY285" s="12"/>
      <c r="FF285" s="13"/>
      <c r="FJ285" s="13"/>
      <c r="FK285" s="13"/>
      <c r="GI285" s="13"/>
      <c r="GK285" s="13"/>
      <c r="GL285" s="12"/>
      <c r="HT285" s="49"/>
      <c r="HU285" s="12"/>
      <c r="HW285" s="12"/>
      <c r="IA285" s="12"/>
      <c r="IH285" s="13"/>
      <c r="IL285" s="13"/>
      <c r="IM285" s="13"/>
      <c r="JK285" s="13"/>
      <c r="JM285" s="13"/>
      <c r="JN285" s="214"/>
      <c r="LS285" s="12"/>
      <c r="LT285" s="9"/>
      <c r="LU285" s="10"/>
      <c r="LV285" s="10"/>
      <c r="LW285" s="10"/>
      <c r="LX285" s="10"/>
      <c r="LY285" s="10"/>
      <c r="LZ285" s="10"/>
      <c r="MA285" s="10"/>
      <c r="MB285" s="10"/>
      <c r="MC285" s="10"/>
      <c r="MD285" s="10"/>
      <c r="ME285" s="10"/>
      <c r="MF285" s="10"/>
      <c r="MG285" s="10"/>
      <c r="MH285" s="10"/>
      <c r="MI285" s="10"/>
      <c r="MJ285" s="10"/>
      <c r="MK285" s="10"/>
      <c r="ML285" s="10"/>
      <c r="MM285" s="10"/>
      <c r="MN285" s="10"/>
      <c r="MO285" s="10"/>
      <c r="MP285" s="10"/>
      <c r="MQ285" s="11"/>
      <c r="MS285" s="9"/>
      <c r="MT285" s="10"/>
      <c r="MU285" s="10"/>
      <c r="MV285" s="10"/>
      <c r="MW285" s="10"/>
      <c r="MX285" s="10"/>
      <c r="MY285" s="10"/>
      <c r="MZ285" s="10"/>
      <c r="NA285" s="10"/>
      <c r="NB285" s="10"/>
      <c r="NC285" s="10"/>
      <c r="ND285" s="10"/>
      <c r="NE285" s="10"/>
      <c r="NF285" s="10"/>
      <c r="NG285" s="10"/>
      <c r="NH285" s="10"/>
      <c r="NI285" s="9"/>
      <c r="NJ285" s="9"/>
      <c r="NK285" s="10"/>
      <c r="NL285" s="10"/>
      <c r="NM285" s="10"/>
      <c r="NN285" s="10"/>
      <c r="NO285" s="10"/>
      <c r="NP285" s="10"/>
      <c r="NQ285" s="10"/>
      <c r="NR285" s="10"/>
      <c r="NS285" s="11"/>
      <c r="NT285" s="13"/>
    </row>
    <row r="286" spans="21:384" ht="18" customHeight="1">
      <c r="AN286" s="12"/>
      <c r="AP286" s="12"/>
      <c r="AT286" s="12"/>
      <c r="BA286" s="13"/>
      <c r="BE286" s="13"/>
      <c r="BF286" s="13"/>
      <c r="CD286" s="13"/>
      <c r="CF286" s="13"/>
      <c r="CG286" s="12"/>
      <c r="ES286" s="12"/>
      <c r="EU286" s="12"/>
      <c r="EY286" s="12"/>
      <c r="FG286" s="10"/>
      <c r="FH286" s="10"/>
      <c r="FI286" s="10"/>
      <c r="FJ286" s="10"/>
      <c r="FK286" s="10"/>
      <c r="GI286" s="13"/>
      <c r="GK286" s="13"/>
      <c r="GL286" s="12"/>
      <c r="HT286" s="49"/>
      <c r="HU286" s="12"/>
      <c r="HW286" s="12"/>
      <c r="IA286" s="12"/>
      <c r="II286" s="10"/>
      <c r="IJ286" s="10"/>
      <c r="IK286" s="10"/>
      <c r="IL286" s="10"/>
      <c r="IM286" s="10"/>
      <c r="JK286" s="13"/>
      <c r="JM286" s="13"/>
      <c r="JN286" s="214"/>
      <c r="LS286" s="12"/>
      <c r="LT286" s="12"/>
      <c r="MQ286" s="13"/>
      <c r="MS286" s="12"/>
      <c r="NI286" s="12"/>
      <c r="NJ286" s="12"/>
      <c r="NS286" s="13"/>
      <c r="NT286" s="13"/>
    </row>
    <row r="287" spans="21:384" ht="18" customHeight="1">
      <c r="AN287" s="12"/>
      <c r="AP287" s="12"/>
      <c r="AT287" s="12"/>
      <c r="BA287" s="13"/>
      <c r="BE287" s="13"/>
      <c r="BF287" s="13"/>
      <c r="CD287" s="13"/>
      <c r="CF287" s="13"/>
      <c r="CG287" s="12"/>
      <c r="ES287" s="12"/>
      <c r="EU287" s="12"/>
      <c r="EY287" s="12"/>
      <c r="GI287" s="13"/>
      <c r="GK287" s="13"/>
      <c r="GL287" s="12"/>
      <c r="HT287" s="49"/>
      <c r="HU287" s="12"/>
      <c r="HW287" s="12"/>
      <c r="IA287" s="12"/>
      <c r="JK287" s="13"/>
      <c r="JM287" s="13"/>
      <c r="JN287" s="214"/>
      <c r="LS287" s="12"/>
      <c r="LT287" s="12"/>
      <c r="MQ287" s="13"/>
      <c r="MS287" s="12"/>
      <c r="NI287" s="12"/>
      <c r="NJ287" s="12"/>
      <c r="NS287" s="13"/>
      <c r="NT287" s="13"/>
    </row>
    <row r="288" spans="21:384" ht="18" customHeight="1">
      <c r="AN288" s="12"/>
      <c r="AP288" s="12"/>
      <c r="AT288" s="12"/>
      <c r="BA288" s="13"/>
      <c r="BE288" s="13"/>
      <c r="BF288" s="13"/>
      <c r="CD288" s="13"/>
      <c r="CF288" s="13"/>
      <c r="CG288" s="12"/>
      <c r="ES288" s="12"/>
      <c r="EU288" s="12"/>
      <c r="EY288" s="12"/>
      <c r="GI288" s="13"/>
      <c r="GK288" s="13"/>
      <c r="GL288" s="12"/>
      <c r="HT288" s="49"/>
      <c r="HU288" s="12"/>
      <c r="HW288" s="12"/>
      <c r="IA288" s="12"/>
      <c r="JK288" s="13"/>
      <c r="JM288" s="13"/>
      <c r="JN288" s="214"/>
      <c r="LS288" s="12"/>
      <c r="LT288" s="12"/>
      <c r="MQ288" s="13"/>
      <c r="MS288" s="12"/>
      <c r="NI288" s="12"/>
      <c r="NJ288" s="12"/>
      <c r="NS288" s="13"/>
      <c r="NT288" s="13"/>
    </row>
    <row r="289" spans="40:384" ht="18" customHeight="1">
      <c r="AN289" s="12"/>
      <c r="AP289" s="12"/>
      <c r="AT289" s="12"/>
      <c r="BB289" s="10"/>
      <c r="BC289" s="10"/>
      <c r="BD289" s="10"/>
      <c r="BE289" s="10"/>
      <c r="BF289" s="10"/>
      <c r="CD289" s="13"/>
      <c r="CF289" s="13"/>
      <c r="CG289" s="12"/>
      <c r="ES289" s="12"/>
      <c r="EU289" s="12"/>
      <c r="EY289" s="12"/>
      <c r="GI289" s="13"/>
      <c r="GK289" s="13"/>
      <c r="GL289" s="12"/>
      <c r="HT289" s="49"/>
      <c r="HU289" s="12"/>
      <c r="HW289" s="12"/>
      <c r="IA289" s="12"/>
      <c r="JK289" s="13"/>
      <c r="JM289" s="13"/>
      <c r="JN289" s="214"/>
      <c r="LS289" s="12"/>
      <c r="LT289" s="12"/>
      <c r="MQ289" s="13"/>
      <c r="MS289" s="12"/>
      <c r="NI289" s="12"/>
      <c r="NJ289" s="12"/>
      <c r="NS289" s="13"/>
      <c r="NT289" s="13"/>
    </row>
    <row r="290" spans="40:384" ht="18" customHeight="1">
      <c r="AN290" s="12"/>
      <c r="AP290" s="12"/>
      <c r="AT290" s="12"/>
      <c r="CD290" s="13"/>
      <c r="CF290" s="13"/>
      <c r="CG290" s="12"/>
      <c r="ES290" s="12"/>
      <c r="EU290" s="12"/>
      <c r="EY290" s="12"/>
      <c r="GI290" s="13"/>
      <c r="GK290" s="13"/>
      <c r="GL290" s="12"/>
      <c r="HT290" s="49"/>
      <c r="HU290" s="12"/>
      <c r="HW290" s="12"/>
      <c r="IA290" s="12"/>
      <c r="JK290" s="13"/>
      <c r="JM290" s="13"/>
      <c r="JN290" s="214"/>
      <c r="LS290" s="12"/>
      <c r="LT290" s="12"/>
      <c r="MQ290" s="13"/>
      <c r="MS290" s="12"/>
      <c r="NI290" s="12"/>
      <c r="NJ290" s="12"/>
      <c r="NS290" s="13"/>
      <c r="NT290" s="13"/>
    </row>
    <row r="291" spans="40:384" ht="18" customHeight="1">
      <c r="AN291" s="12"/>
      <c r="AP291" s="12"/>
      <c r="AT291" s="12"/>
      <c r="CD291" s="13"/>
      <c r="CF291" s="13"/>
      <c r="CG291" s="12"/>
      <c r="ES291" s="12"/>
      <c r="EU291" s="12"/>
      <c r="EY291" s="12"/>
      <c r="GI291" s="13"/>
      <c r="GK291" s="13"/>
      <c r="GL291" s="12"/>
      <c r="HU291" s="12"/>
      <c r="HW291" s="12"/>
      <c r="IA291" s="12"/>
      <c r="JK291" s="13"/>
      <c r="JM291" s="13"/>
      <c r="JN291" s="12"/>
      <c r="LS291" s="12"/>
      <c r="LT291" s="12"/>
      <c r="MQ291" s="13"/>
      <c r="MS291" s="12"/>
      <c r="NI291" s="12"/>
      <c r="NJ291" s="12"/>
      <c r="NS291" s="13"/>
      <c r="NT291" s="13"/>
    </row>
    <row r="292" spans="40:384" ht="18" customHeight="1">
      <c r="AN292" s="12"/>
      <c r="AP292" s="12"/>
      <c r="AT292" s="12"/>
      <c r="CD292" s="13"/>
      <c r="CF292" s="13"/>
      <c r="CG292" s="12"/>
      <c r="ES292" s="96"/>
      <c r="ET292" s="97"/>
      <c r="EU292" s="12"/>
      <c r="EX292" s="13"/>
      <c r="EY292" s="12"/>
      <c r="GI292" s="13"/>
      <c r="GJ292" s="97"/>
      <c r="GK292" s="98"/>
      <c r="GL292" s="12"/>
      <c r="HU292" s="96"/>
      <c r="HV292" s="97"/>
      <c r="HW292" s="12"/>
      <c r="HZ292" s="13"/>
      <c r="IA292" s="12"/>
      <c r="JK292" s="13"/>
      <c r="JL292" s="97"/>
      <c r="JM292" s="98"/>
      <c r="JN292" s="12"/>
      <c r="LS292" s="12"/>
      <c r="LT292" s="12"/>
      <c r="MQ292" s="13"/>
      <c r="MS292" s="12"/>
      <c r="NI292" s="12"/>
      <c r="NJ292" s="12"/>
      <c r="NS292" s="13"/>
      <c r="NT292" s="13"/>
    </row>
    <row r="293" spans="40:384" ht="18" customHeight="1">
      <c r="AN293" s="12"/>
      <c r="AP293" s="12"/>
      <c r="AT293" s="12"/>
      <c r="CD293" s="13"/>
      <c r="CF293" s="13"/>
      <c r="CG293" s="12"/>
      <c r="ES293" s="96"/>
      <c r="ET293" s="97"/>
      <c r="EU293" s="14"/>
      <c r="EV293" s="15"/>
      <c r="EW293" s="15"/>
      <c r="EX293" s="16"/>
      <c r="EY293" s="15"/>
      <c r="EZ293" s="15"/>
      <c r="FA293" s="15"/>
      <c r="FB293" s="15"/>
      <c r="FC293" s="15"/>
      <c r="FD293" s="15"/>
      <c r="FE293" s="15"/>
      <c r="FF293" s="15"/>
      <c r="FG293" s="15"/>
      <c r="FH293" s="15"/>
      <c r="FI293" s="15"/>
      <c r="FJ293" s="15"/>
      <c r="FK293" s="15"/>
      <c r="FL293" s="15"/>
      <c r="FM293" s="15"/>
      <c r="FN293" s="15"/>
      <c r="FO293" s="15"/>
      <c r="FP293" s="15"/>
      <c r="FQ293" s="15"/>
      <c r="FR293" s="15"/>
      <c r="FS293" s="15"/>
      <c r="FT293" s="15"/>
      <c r="FU293" s="15"/>
      <c r="FV293" s="15"/>
      <c r="FW293" s="15"/>
      <c r="FX293" s="15"/>
      <c r="FY293" s="15"/>
      <c r="FZ293" s="15"/>
      <c r="GA293" s="15"/>
      <c r="GB293" s="15"/>
      <c r="GC293" s="15"/>
      <c r="GD293" s="15"/>
      <c r="GE293" s="15"/>
      <c r="GF293" s="15"/>
      <c r="GG293" s="15"/>
      <c r="GH293" s="15"/>
      <c r="GI293" s="16"/>
      <c r="GJ293" s="97"/>
      <c r="GK293" s="98"/>
      <c r="GL293" s="12"/>
      <c r="HU293" s="96"/>
      <c r="HV293" s="97"/>
      <c r="HW293" s="14"/>
      <c r="HX293" s="15"/>
      <c r="HY293" s="15"/>
      <c r="HZ293" s="16"/>
      <c r="IA293" s="15"/>
      <c r="IB293" s="15"/>
      <c r="IC293" s="15"/>
      <c r="ID293" s="15"/>
      <c r="IE293" s="15"/>
      <c r="IF293" s="15"/>
      <c r="IG293" s="15"/>
      <c r="IH293" s="15"/>
      <c r="II293" s="15"/>
      <c r="IJ293" s="15"/>
      <c r="IK293" s="15"/>
      <c r="IL293" s="15"/>
      <c r="IM293" s="15"/>
      <c r="IN293" s="15"/>
      <c r="IO293" s="15"/>
      <c r="IP293" s="15"/>
      <c r="IQ293" s="15"/>
      <c r="IR293" s="15"/>
      <c r="IS293" s="15"/>
      <c r="IT293" s="15"/>
      <c r="IU293" s="15"/>
      <c r="IV293" s="15"/>
      <c r="IW293" s="15"/>
      <c r="IX293" s="15"/>
      <c r="IY293" s="15"/>
      <c r="IZ293" s="15"/>
      <c r="JA293" s="15"/>
      <c r="JB293" s="15"/>
      <c r="JC293" s="15"/>
      <c r="JD293" s="15"/>
      <c r="JE293" s="15"/>
      <c r="JF293" s="15"/>
      <c r="JG293" s="15"/>
      <c r="JH293" s="15"/>
      <c r="JI293" s="15"/>
      <c r="JJ293" s="15"/>
      <c r="JK293" s="16"/>
      <c r="JL293" s="97"/>
      <c r="JM293" s="98"/>
      <c r="JN293" s="12"/>
      <c r="LS293" s="12"/>
      <c r="LT293" s="12"/>
      <c r="MQ293" s="13"/>
      <c r="MS293" s="12"/>
      <c r="NI293" s="12"/>
      <c r="NJ293" s="12"/>
      <c r="NS293" s="13"/>
      <c r="NT293" s="13"/>
    </row>
    <row r="294" spans="40:384" ht="18" customHeight="1">
      <c r="AN294" s="12"/>
      <c r="AP294" s="12"/>
      <c r="AT294" s="12"/>
      <c r="CD294" s="13"/>
      <c r="CF294" s="13"/>
      <c r="CG294" s="12"/>
      <c r="ES294" s="96"/>
      <c r="ET294" s="97"/>
      <c r="FI294" s="97"/>
      <c r="FJ294" s="97"/>
      <c r="FK294" s="97"/>
      <c r="FL294" s="97"/>
      <c r="GJ294" s="97"/>
      <c r="GK294" s="98"/>
      <c r="GL294" s="12"/>
      <c r="HU294" s="96"/>
      <c r="HV294" s="97"/>
      <c r="IK294" s="97"/>
      <c r="IL294" s="97"/>
      <c r="IM294" s="97"/>
      <c r="IN294" s="97"/>
      <c r="JE294" s="127"/>
      <c r="JF294" s="127"/>
      <c r="JG294" s="127"/>
      <c r="JH294" s="127"/>
      <c r="JI294" s="127"/>
      <c r="JJ294" s="127"/>
      <c r="JL294" s="97"/>
      <c r="JM294" s="98"/>
      <c r="JN294" s="12"/>
      <c r="LS294" s="12"/>
      <c r="LT294" s="12"/>
      <c r="MQ294" s="13"/>
      <c r="MS294" s="14"/>
      <c r="MT294" s="15"/>
      <c r="MU294" s="15"/>
      <c r="MV294" s="15"/>
      <c r="MW294" s="15"/>
      <c r="MX294" s="15"/>
      <c r="MY294" s="15"/>
      <c r="MZ294" s="15"/>
      <c r="NA294" s="15"/>
      <c r="NB294" s="15"/>
      <c r="NC294" s="15"/>
      <c r="ND294" s="15"/>
      <c r="NE294" s="15"/>
      <c r="NF294" s="15"/>
      <c r="NG294" s="15"/>
      <c r="NH294" s="15"/>
      <c r="NI294" s="14"/>
      <c r="NJ294" s="14"/>
      <c r="NK294" s="15"/>
      <c r="NL294" s="15"/>
      <c r="NM294" s="15"/>
      <c r="NN294" s="15"/>
      <c r="NO294" s="15"/>
      <c r="NP294" s="15"/>
      <c r="NQ294" s="15"/>
      <c r="NR294" s="15"/>
      <c r="NS294" s="16"/>
      <c r="NT294" s="13"/>
    </row>
    <row r="295" spans="40:384" ht="18" customHeight="1">
      <c r="AN295" s="12"/>
      <c r="AP295" s="12"/>
      <c r="AS295" s="13"/>
      <c r="AT295" s="12"/>
      <c r="CD295" s="13"/>
      <c r="CF295" s="13"/>
      <c r="CG295" s="12"/>
      <c r="ES295" s="59"/>
      <c r="ET295" s="60"/>
      <c r="EU295" s="15"/>
      <c r="EV295" s="15"/>
      <c r="EW295" s="15"/>
      <c r="EY295" s="15"/>
      <c r="FA295" s="15"/>
      <c r="FI295" s="97"/>
      <c r="FJ295" s="97"/>
      <c r="FK295" s="97"/>
      <c r="FL295" s="97"/>
      <c r="GJ295" s="97"/>
      <c r="GK295" s="98"/>
      <c r="GL295" s="12"/>
      <c r="HU295" s="59"/>
      <c r="HV295" s="60"/>
      <c r="HW295" s="15"/>
      <c r="HX295" s="15"/>
      <c r="HY295" s="15"/>
      <c r="IA295" s="15"/>
      <c r="IC295" s="15"/>
      <c r="IK295" s="97"/>
      <c r="IL295" s="97"/>
      <c r="IM295" s="97"/>
      <c r="IN295" s="97"/>
      <c r="JL295" s="97"/>
      <c r="JM295" s="98"/>
      <c r="JN295" s="12"/>
      <c r="LS295" s="12"/>
      <c r="LT295" s="12"/>
      <c r="MQ295" s="13"/>
      <c r="MS295" s="14"/>
      <c r="MT295" s="15"/>
      <c r="MU295" s="15"/>
      <c r="MV295" s="15"/>
      <c r="MW295" s="15"/>
      <c r="MX295" s="15"/>
      <c r="MY295" s="15"/>
      <c r="MZ295" s="15"/>
      <c r="NA295" s="15"/>
      <c r="NB295" s="15"/>
      <c r="NC295" s="15"/>
      <c r="ND295" s="15"/>
      <c r="NE295" s="15"/>
      <c r="NF295" s="15"/>
      <c r="NG295" s="15"/>
      <c r="NH295" s="15"/>
      <c r="NI295" s="15"/>
      <c r="NJ295" s="15"/>
      <c r="NK295" s="15"/>
      <c r="NL295" s="15"/>
      <c r="NM295" s="15"/>
      <c r="NN295" s="15"/>
      <c r="NO295" s="15"/>
      <c r="NP295" s="15"/>
      <c r="NQ295" s="15"/>
      <c r="NR295" s="15"/>
      <c r="NS295" s="16"/>
      <c r="NT295" s="13"/>
    </row>
    <row r="296" spans="40:384" ht="18" customHeight="1">
      <c r="AN296" s="12"/>
      <c r="AP296" s="14"/>
      <c r="AQ296" s="15"/>
      <c r="AR296" s="15"/>
      <c r="AS296" s="16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5"/>
      <c r="BQ296" s="15"/>
      <c r="BR296" s="15"/>
      <c r="BS296" s="15"/>
      <c r="BT296" s="15"/>
      <c r="BU296" s="15"/>
      <c r="BV296" s="15"/>
      <c r="BW296" s="15"/>
      <c r="BX296" s="15"/>
      <c r="BY296" s="15"/>
      <c r="BZ296" s="15"/>
      <c r="CA296" s="15"/>
      <c r="CB296" s="15"/>
      <c r="CC296" s="15"/>
      <c r="CD296" s="16"/>
      <c r="CF296" s="13"/>
      <c r="CG296" s="12"/>
      <c r="ES296" s="10"/>
      <c r="ET296" s="10"/>
      <c r="EU296" s="10"/>
      <c r="EV296" s="10"/>
      <c r="EW296" s="10"/>
      <c r="EX296" s="10"/>
      <c r="EY296" s="10"/>
      <c r="EZ296" s="10"/>
      <c r="FA296" s="10"/>
      <c r="FB296" s="10"/>
      <c r="FC296" s="10"/>
      <c r="FD296" s="10"/>
      <c r="FE296" s="10"/>
      <c r="FF296" s="10"/>
      <c r="FG296" s="10"/>
      <c r="FH296" s="10"/>
      <c r="FI296" s="10"/>
      <c r="FJ296" s="10"/>
      <c r="FK296" s="10"/>
      <c r="FL296" s="10"/>
      <c r="FM296" s="10"/>
      <c r="FN296" s="10"/>
      <c r="FO296" s="10"/>
      <c r="FP296" s="10"/>
      <c r="FQ296" s="10"/>
      <c r="FR296" s="10"/>
      <c r="FS296" s="10"/>
      <c r="FT296" s="10"/>
      <c r="FU296" s="10"/>
      <c r="FV296" s="10"/>
      <c r="FW296" s="10"/>
      <c r="FX296" s="10"/>
      <c r="FY296" s="10"/>
      <c r="FZ296" s="10"/>
      <c r="GA296" s="10"/>
      <c r="GB296" s="10"/>
      <c r="GC296" s="10"/>
      <c r="GD296" s="10"/>
      <c r="GE296" s="10"/>
      <c r="GF296" s="10"/>
      <c r="GG296" s="10"/>
      <c r="GH296" s="10"/>
      <c r="GI296" s="10"/>
      <c r="GJ296" s="10"/>
      <c r="GK296" s="10"/>
      <c r="HU296" s="10"/>
      <c r="HV296" s="10"/>
      <c r="HW296" s="10"/>
      <c r="HX296" s="10"/>
      <c r="HY296" s="10"/>
      <c r="HZ296" s="10"/>
      <c r="IA296" s="10"/>
      <c r="IB296" s="10"/>
      <c r="IC296" s="141"/>
      <c r="ID296" s="141"/>
      <c r="IE296" s="141"/>
      <c r="IF296" s="141"/>
      <c r="IG296" s="10"/>
      <c r="IH296" s="10"/>
      <c r="II296" s="10"/>
      <c r="IJ296" s="10"/>
      <c r="IK296" s="10"/>
      <c r="IL296" s="10"/>
      <c r="IM296" s="10"/>
      <c r="IN296" s="10"/>
      <c r="IO296" s="10"/>
      <c r="IP296" s="10"/>
      <c r="IQ296" s="10"/>
      <c r="IR296" s="10"/>
      <c r="IS296" s="141"/>
      <c r="IT296" s="141"/>
      <c r="IU296" s="141"/>
      <c r="IV296" s="141"/>
      <c r="IW296" s="141"/>
      <c r="IX296" s="10"/>
      <c r="IY296" s="10"/>
      <c r="IZ296" s="10"/>
      <c r="JA296" s="10"/>
      <c r="JB296" s="10"/>
      <c r="JC296" s="10"/>
      <c r="JD296" s="10"/>
      <c r="JE296" s="10"/>
      <c r="JF296" s="10"/>
      <c r="JG296" s="10"/>
      <c r="JH296" s="10"/>
      <c r="JI296" s="10"/>
      <c r="JJ296" s="10"/>
      <c r="JK296" s="10"/>
      <c r="JL296" s="10"/>
      <c r="JM296" s="10"/>
      <c r="LS296" s="12"/>
      <c r="LT296" s="12"/>
      <c r="MQ296" s="13"/>
      <c r="MS296" s="12"/>
      <c r="NH296" s="13"/>
      <c r="NI296" s="13"/>
      <c r="NT296" s="13"/>
    </row>
    <row r="297" spans="40:384" ht="18" customHeight="1">
      <c r="AN297" s="12"/>
      <c r="BL297" s="20"/>
      <c r="BM297" s="21"/>
      <c r="BN297" s="21"/>
      <c r="BO297" s="21"/>
      <c r="BP297" s="21"/>
      <c r="BQ297" s="22"/>
      <c r="CF297" s="13"/>
      <c r="CG297" s="12"/>
      <c r="LS297" s="12"/>
      <c r="LT297" s="12"/>
      <c r="MQ297" s="13"/>
      <c r="MS297" s="12"/>
      <c r="NH297" s="13"/>
      <c r="NI297" s="13"/>
      <c r="NT297" s="13"/>
    </row>
    <row r="298" spans="40:384" ht="18" customHeight="1">
      <c r="AN298" s="14"/>
      <c r="AO298" s="15"/>
      <c r="AP298" s="15"/>
      <c r="AQ298" s="15"/>
      <c r="AR298" s="15"/>
      <c r="AT298" s="15"/>
      <c r="AV298" s="15"/>
      <c r="BL298" s="9"/>
      <c r="BM298" s="10"/>
      <c r="BN298" s="10"/>
      <c r="BO298" s="10"/>
      <c r="BP298" s="10"/>
      <c r="BQ298" s="11"/>
      <c r="CF298" s="13"/>
      <c r="CG298" s="12"/>
      <c r="LS298" s="12"/>
      <c r="LT298" s="12"/>
      <c r="MQ298" s="13"/>
      <c r="MS298" s="12"/>
      <c r="NH298" s="13"/>
      <c r="NI298" s="13"/>
      <c r="NT298" s="13"/>
    </row>
    <row r="299" spans="40:384" ht="18" customHeight="1"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10"/>
      <c r="BK299" s="10"/>
      <c r="BL299" s="10"/>
      <c r="BM299" s="10"/>
      <c r="BN299" s="10"/>
      <c r="BO299" s="10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  <c r="CB299" s="10"/>
      <c r="CC299" s="10"/>
      <c r="CD299" s="10"/>
      <c r="CE299" s="10"/>
      <c r="CF299" s="10"/>
      <c r="LS299" s="12"/>
      <c r="LT299" s="12"/>
      <c r="MQ299" s="13"/>
      <c r="MS299" s="12"/>
      <c r="NH299" s="13"/>
      <c r="NI299" s="13"/>
      <c r="NT299" s="13"/>
    </row>
    <row r="300" spans="40:384" ht="18" customHeight="1">
      <c r="LS300" s="12"/>
      <c r="LT300" s="12"/>
      <c r="MQ300" s="13"/>
      <c r="MS300" s="12"/>
      <c r="NH300" s="13"/>
      <c r="NI300" s="13"/>
      <c r="NT300" s="13"/>
    </row>
    <row r="301" spans="40:384" ht="18" customHeight="1">
      <c r="LS301" s="12"/>
      <c r="LT301" s="12"/>
      <c r="MQ301" s="13"/>
      <c r="MS301" s="12"/>
      <c r="NH301" s="13"/>
      <c r="NI301" s="13"/>
      <c r="NT301" s="13"/>
    </row>
    <row r="302" spans="40:384" ht="18" customHeight="1">
      <c r="LS302" s="12"/>
      <c r="LT302" s="12"/>
      <c r="MQ302" s="13"/>
      <c r="MS302" s="12"/>
      <c r="NH302" s="13"/>
      <c r="NI302" s="13"/>
      <c r="NT302" s="13"/>
    </row>
    <row r="303" spans="40:384" ht="18" customHeight="1">
      <c r="LS303" s="12"/>
      <c r="LT303" s="12"/>
      <c r="MQ303" s="13"/>
      <c r="MS303" s="12"/>
      <c r="NH303" s="13"/>
      <c r="NI303" s="13"/>
      <c r="NT303" s="13"/>
    </row>
    <row r="304" spans="40:384" ht="18" customHeight="1">
      <c r="LS304" s="12"/>
      <c r="LT304" s="12"/>
      <c r="MQ304" s="13"/>
      <c r="MS304" s="12"/>
      <c r="NH304" s="13"/>
      <c r="NI304" s="13"/>
      <c r="NT304" s="13"/>
    </row>
    <row r="305" spans="14:384" ht="18" customHeight="1">
      <c r="LS305" s="12"/>
      <c r="LT305" s="12"/>
      <c r="MQ305" s="13"/>
      <c r="MS305" s="12"/>
      <c r="NH305" s="13"/>
      <c r="NI305" s="13"/>
      <c r="NT305" s="13"/>
    </row>
    <row r="306" spans="14:384" ht="18" customHeight="1">
      <c r="LS306" s="12"/>
      <c r="LT306" s="14"/>
      <c r="LU306" s="15"/>
      <c r="LV306" s="15"/>
      <c r="LW306" s="15"/>
      <c r="LX306" s="15"/>
      <c r="LY306" s="15"/>
      <c r="LZ306" s="15"/>
      <c r="MA306" s="15"/>
      <c r="MB306" s="15"/>
      <c r="MC306" s="15"/>
      <c r="MD306" s="15"/>
      <c r="ME306" s="15"/>
      <c r="MF306" s="15"/>
      <c r="MG306" s="15"/>
      <c r="MH306" s="15"/>
      <c r="MI306" s="15"/>
      <c r="MJ306" s="15"/>
      <c r="MK306" s="15"/>
      <c r="ML306" s="15"/>
      <c r="MM306" s="15"/>
      <c r="MN306" s="15"/>
      <c r="MO306" s="15"/>
      <c r="MP306" s="15"/>
      <c r="MQ306" s="16"/>
      <c r="MS306" s="14"/>
      <c r="MT306" s="15"/>
      <c r="MU306" s="15"/>
      <c r="MV306" s="15"/>
      <c r="MW306" s="15"/>
      <c r="MX306" s="15"/>
      <c r="MY306" s="15"/>
      <c r="MZ306" s="15"/>
      <c r="NA306" s="15"/>
      <c r="NB306" s="15"/>
      <c r="NC306" s="15"/>
      <c r="ND306" s="15"/>
      <c r="NE306" s="15"/>
      <c r="NF306" s="15"/>
      <c r="NG306" s="15"/>
      <c r="NH306" s="16"/>
      <c r="NI306" s="16"/>
      <c r="NT306" s="13"/>
    </row>
    <row r="307" spans="14:384" ht="18" customHeight="1">
      <c r="LS307" s="12"/>
      <c r="NT307" s="13"/>
    </row>
    <row r="308" spans="14:384" ht="18" customHeight="1">
      <c r="LS308" s="12"/>
      <c r="LT308" s="9"/>
      <c r="LU308" s="10"/>
      <c r="LV308" s="10"/>
      <c r="LW308" s="10"/>
      <c r="LX308" s="10"/>
      <c r="LY308" s="10"/>
      <c r="LZ308" s="10"/>
      <c r="MA308" s="10"/>
      <c r="MB308" s="10"/>
      <c r="MC308" s="10"/>
      <c r="MD308" s="10"/>
      <c r="ME308" s="10"/>
      <c r="MF308" s="10"/>
      <c r="MG308" s="11"/>
      <c r="MI308" s="9"/>
      <c r="MJ308" s="10"/>
      <c r="MK308" s="10"/>
      <c r="ML308" s="10"/>
      <c r="MM308" s="10"/>
      <c r="MN308" s="10"/>
      <c r="MO308" s="10"/>
      <c r="MP308" s="10"/>
      <c r="MQ308" s="10"/>
      <c r="MR308" s="10"/>
      <c r="MS308" s="10"/>
      <c r="MT308" s="10"/>
      <c r="MU308" s="10"/>
      <c r="MV308" s="10"/>
      <c r="MW308" s="10"/>
      <c r="MX308" s="10"/>
      <c r="MY308" s="10"/>
      <c r="MZ308" s="10"/>
      <c r="NA308" s="10"/>
      <c r="NB308" s="10"/>
      <c r="NC308" s="10"/>
      <c r="ND308" s="10"/>
      <c r="NE308" s="10"/>
      <c r="NF308" s="10"/>
      <c r="NG308" s="10"/>
      <c r="NH308" s="10"/>
      <c r="NI308" s="10"/>
      <c r="NJ308" s="10"/>
      <c r="NK308" s="10"/>
      <c r="NL308" s="10"/>
      <c r="NM308" s="10"/>
      <c r="NN308" s="10"/>
      <c r="NO308" s="10"/>
      <c r="NP308" s="10"/>
      <c r="NQ308" s="10"/>
      <c r="NR308" s="10"/>
      <c r="NS308" s="11"/>
      <c r="NT308" s="13"/>
    </row>
    <row r="309" spans="14:384" ht="18" customHeight="1">
      <c r="LS309" s="12"/>
      <c r="LT309" s="12"/>
      <c r="MG309" s="13"/>
      <c r="MI309" s="12"/>
      <c r="NS309" s="13"/>
      <c r="NT309" s="13"/>
    </row>
    <row r="310" spans="14:384" ht="18" customHeight="1">
      <c r="LS310" s="12"/>
      <c r="LT310" s="12"/>
      <c r="MG310" s="13"/>
      <c r="MI310" s="12"/>
      <c r="NS310" s="13"/>
      <c r="NT310" s="13"/>
    </row>
    <row r="311" spans="14:384" ht="18" customHeight="1">
      <c r="LS311" s="12"/>
      <c r="LT311" s="12"/>
      <c r="MG311" s="13"/>
      <c r="MI311" s="12"/>
      <c r="NS311" s="13"/>
      <c r="NT311" s="13"/>
    </row>
    <row r="312" spans="14:384" ht="18" customHeight="1">
      <c r="LS312" s="12"/>
      <c r="LT312" s="12"/>
      <c r="LX312" s="9"/>
      <c r="LY312" s="10"/>
      <c r="LZ312" s="10"/>
      <c r="MA312" s="10"/>
      <c r="MB312" s="10"/>
      <c r="MC312" s="10"/>
      <c r="MD312" s="10"/>
      <c r="ME312" s="10"/>
      <c r="MF312" s="10"/>
      <c r="MG312" s="11"/>
      <c r="MI312" s="12"/>
      <c r="NS312" s="13"/>
      <c r="NT312" s="13"/>
    </row>
    <row r="313" spans="14:384" ht="18" customHeight="1">
      <c r="N313" s="223"/>
      <c r="LS313" s="12"/>
      <c r="LT313" s="12"/>
      <c r="LX313" s="12"/>
      <c r="MG313" s="13"/>
      <c r="MI313" s="12"/>
      <c r="NS313" s="13"/>
      <c r="NT313" s="13"/>
    </row>
    <row r="314" spans="14:384" ht="18" customHeight="1">
      <c r="LS314" s="12"/>
      <c r="LT314" s="12"/>
      <c r="LX314" s="12"/>
      <c r="MG314" s="13"/>
      <c r="MI314" s="12"/>
      <c r="NS314" s="13"/>
      <c r="NT314" s="13"/>
    </row>
    <row r="315" spans="14:384" ht="18" customHeight="1">
      <c r="LS315" s="12"/>
      <c r="LT315" s="12"/>
      <c r="LX315" s="12"/>
      <c r="MG315" s="13"/>
      <c r="MI315" s="12"/>
      <c r="NS315" s="13"/>
      <c r="NT315" s="13"/>
    </row>
    <row r="316" spans="14:384" ht="18" customHeight="1">
      <c r="LS316" s="12"/>
      <c r="LT316" s="12"/>
      <c r="LX316" s="12"/>
      <c r="MG316" s="13"/>
      <c r="MI316" s="12"/>
      <c r="NS316" s="13"/>
      <c r="NT316" s="13"/>
    </row>
    <row r="317" spans="14:384" ht="18" customHeight="1">
      <c r="LS317" s="12"/>
      <c r="LT317" s="12"/>
      <c r="LX317" s="12"/>
      <c r="MG317" s="13"/>
      <c r="MI317" s="12"/>
      <c r="NS317" s="13"/>
      <c r="NT317" s="13"/>
    </row>
    <row r="318" spans="14:384" ht="18" customHeight="1">
      <c r="EM318" s="15"/>
      <c r="EN318" s="15"/>
      <c r="EO318" s="15"/>
      <c r="EP318" s="15"/>
      <c r="EQ318" s="15"/>
      <c r="ER318" s="15"/>
      <c r="ES318" s="15"/>
      <c r="LS318" s="12"/>
      <c r="LT318" s="12"/>
      <c r="LX318" s="12"/>
      <c r="MG318" s="13"/>
      <c r="MI318" s="12"/>
      <c r="NS318" s="13"/>
      <c r="NT318" s="13"/>
    </row>
    <row r="319" spans="14:384" ht="18" customHeight="1">
      <c r="DW319" s="9"/>
      <c r="DX319" s="10"/>
      <c r="DY319" s="10"/>
      <c r="DZ319" s="10"/>
      <c r="EA319" s="10"/>
      <c r="EB319" s="10"/>
      <c r="EC319" s="10"/>
      <c r="ED319" s="10"/>
      <c r="EE319" s="10"/>
      <c r="EF319" s="10"/>
      <c r="EG319" s="10"/>
      <c r="EH319" s="10"/>
      <c r="EI319" s="10"/>
      <c r="EJ319" s="10"/>
      <c r="EK319" s="10"/>
      <c r="EL319" s="10"/>
      <c r="EM319" s="10"/>
      <c r="EN319" s="10"/>
      <c r="EO319" s="10"/>
      <c r="EP319" s="10"/>
      <c r="EQ319" s="10"/>
      <c r="ER319" s="10"/>
      <c r="ES319" s="10"/>
      <c r="ET319" s="10"/>
      <c r="EU319" s="10"/>
      <c r="EV319" s="10"/>
      <c r="EW319" s="10"/>
      <c r="EX319" s="10"/>
      <c r="EY319" s="10"/>
      <c r="EZ319" s="10"/>
      <c r="FA319" s="10"/>
      <c r="FB319" s="10"/>
      <c r="FC319" s="10"/>
      <c r="FD319" s="10"/>
      <c r="FE319" s="10"/>
      <c r="FF319" s="10"/>
      <c r="FG319" s="10"/>
      <c r="FH319" s="10"/>
      <c r="FI319" s="10"/>
      <c r="FJ319" s="10"/>
      <c r="FK319" s="10"/>
      <c r="FL319" s="10"/>
      <c r="FM319" s="10"/>
      <c r="FN319" s="10"/>
      <c r="FO319" s="10"/>
      <c r="FP319" s="10"/>
      <c r="FQ319" s="10"/>
      <c r="FR319" s="10"/>
      <c r="FS319" s="10"/>
      <c r="FT319" s="10"/>
      <c r="FU319" s="10"/>
      <c r="FV319" s="10"/>
      <c r="FW319" s="10"/>
      <c r="FX319" s="10"/>
      <c r="FY319" s="10"/>
      <c r="FZ319" s="10"/>
      <c r="GA319" s="10"/>
      <c r="GB319" s="10"/>
      <c r="GC319" s="10"/>
      <c r="GD319" s="10"/>
      <c r="GE319" s="10"/>
      <c r="GF319" s="10"/>
      <c r="GG319" s="11"/>
      <c r="LS319" s="12"/>
      <c r="LT319" s="12"/>
      <c r="LX319" s="12"/>
      <c r="MG319" s="13"/>
      <c r="MI319" s="12"/>
      <c r="NS319" s="13"/>
      <c r="NT319" s="13"/>
    </row>
    <row r="320" spans="14:384" ht="18" customHeight="1">
      <c r="DW320" s="12"/>
      <c r="FG320" s="15"/>
      <c r="FH320" s="15"/>
      <c r="FI320" s="15"/>
      <c r="FJ320" s="15"/>
      <c r="FK320" s="15"/>
      <c r="FM320" s="15"/>
      <c r="FO320" s="15"/>
      <c r="FV320" s="15"/>
      <c r="FX320" s="15"/>
      <c r="FY320" s="15"/>
      <c r="FZ320" s="15"/>
      <c r="GG320" s="13"/>
      <c r="LS320" s="12"/>
      <c r="LT320" s="12"/>
      <c r="LX320" s="12"/>
      <c r="MG320" s="13"/>
      <c r="MI320" s="12"/>
      <c r="NS320" s="13"/>
      <c r="NT320" s="13"/>
    </row>
    <row r="321" spans="20:384" ht="18" customHeight="1">
      <c r="AL321" s="15"/>
      <c r="AM321" s="15"/>
      <c r="AN321" s="15"/>
      <c r="AO321" s="15"/>
      <c r="AP321" s="15"/>
      <c r="AQ321" s="15"/>
      <c r="AR321" s="15"/>
      <c r="DW321" s="12"/>
      <c r="DY321" s="9"/>
      <c r="DZ321" s="10"/>
      <c r="EA321" s="10"/>
      <c r="EB321" s="10"/>
      <c r="EC321" s="10"/>
      <c r="ED321" s="10"/>
      <c r="EE321" s="10"/>
      <c r="EF321" s="10"/>
      <c r="EG321" s="10"/>
      <c r="EH321" s="10"/>
      <c r="EI321" s="10"/>
      <c r="EJ321" s="10"/>
      <c r="EK321" s="10"/>
      <c r="EL321" s="10"/>
      <c r="EM321" s="10"/>
      <c r="EN321" s="10"/>
      <c r="EO321" s="10"/>
      <c r="EP321" s="10"/>
      <c r="EQ321" s="10"/>
      <c r="ER321" s="10"/>
      <c r="ES321" s="10"/>
      <c r="ET321" s="11"/>
      <c r="EU321" s="17"/>
      <c r="EV321" s="9"/>
      <c r="EW321" s="10"/>
      <c r="EX321" s="10"/>
      <c r="EY321" s="10"/>
      <c r="EZ321" s="10"/>
      <c r="FA321" s="10"/>
      <c r="FB321" s="10"/>
      <c r="FC321" s="10"/>
      <c r="FD321" s="10"/>
      <c r="FE321" s="11"/>
      <c r="FF321" s="11"/>
      <c r="FG321" s="10"/>
      <c r="FH321" s="10"/>
      <c r="FI321" s="10"/>
      <c r="FJ321" s="10"/>
      <c r="FK321" s="10"/>
      <c r="FL321" s="10"/>
      <c r="FM321" s="10"/>
      <c r="FN321" s="10"/>
      <c r="FO321" s="10"/>
      <c r="FP321" s="10"/>
      <c r="FQ321" s="10"/>
      <c r="FR321" s="10"/>
      <c r="FS321" s="10"/>
      <c r="FT321" s="10"/>
      <c r="FU321" s="10"/>
      <c r="FV321" s="10"/>
      <c r="FW321" s="10"/>
      <c r="FX321" s="10"/>
      <c r="FY321" s="11"/>
      <c r="FZ321" s="9"/>
      <c r="GA321" s="10"/>
      <c r="GB321" s="10"/>
      <c r="GC321" s="10"/>
      <c r="GD321" s="10"/>
      <c r="GE321" s="10"/>
      <c r="GF321" s="12"/>
      <c r="GG321" s="13"/>
      <c r="LS321" s="12"/>
      <c r="LT321" s="12"/>
      <c r="LX321" s="12"/>
      <c r="MG321" s="13"/>
      <c r="MI321" s="12"/>
      <c r="NS321" s="13"/>
      <c r="NT321" s="13"/>
    </row>
    <row r="322" spans="20:384" ht="18" customHeight="1">
      <c r="T322" s="56"/>
      <c r="U322" s="57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226"/>
      <c r="AL322" s="227"/>
      <c r="AM322" s="227"/>
      <c r="AN322" s="227"/>
      <c r="AO322" s="227"/>
      <c r="AP322" s="227"/>
      <c r="AQ322" s="227"/>
      <c r="AR322" s="227"/>
      <c r="AS322" s="227"/>
      <c r="AT322" s="227"/>
      <c r="AU322" s="227"/>
      <c r="AV322" s="227"/>
      <c r="AW322" s="227"/>
      <c r="AX322" s="227"/>
      <c r="AY322" s="57"/>
      <c r="AZ322" s="57"/>
      <c r="BA322" s="227"/>
      <c r="BB322" s="227"/>
      <c r="BC322" s="227"/>
      <c r="BD322" s="228"/>
      <c r="BE322" s="10"/>
      <c r="BF322" s="10"/>
      <c r="BG322" s="10"/>
      <c r="BH322" s="10"/>
      <c r="BI322" s="10"/>
      <c r="BJ322" s="10"/>
      <c r="BK322" s="10"/>
      <c r="BL322" s="10"/>
      <c r="BM322" s="10"/>
      <c r="BN322" s="10"/>
      <c r="BO322" s="10"/>
      <c r="BP322" s="10"/>
      <c r="BQ322" s="10"/>
      <c r="BR322" s="10"/>
      <c r="BS322" s="10"/>
      <c r="BT322" s="10"/>
      <c r="BU322" s="10"/>
      <c r="BV322" s="10"/>
      <c r="BW322" s="10"/>
      <c r="BX322" s="10"/>
      <c r="BY322" s="10"/>
      <c r="BZ322" s="10"/>
      <c r="CA322" s="10"/>
      <c r="CB322" s="10"/>
      <c r="CC322" s="10"/>
      <c r="CD322" s="10"/>
      <c r="CE322" s="57"/>
      <c r="CF322" s="58"/>
      <c r="DW322" s="12"/>
      <c r="DY322" s="12"/>
      <c r="ET322" s="13"/>
      <c r="EU322" s="18"/>
      <c r="EV322" s="12"/>
      <c r="FE322" s="13"/>
      <c r="FF322" s="13"/>
      <c r="FY322" s="13"/>
      <c r="FZ322" s="12"/>
      <c r="GF322" s="12"/>
      <c r="GG322" s="13"/>
      <c r="LS322" s="12"/>
      <c r="LT322" s="12"/>
      <c r="LX322" s="12"/>
      <c r="MG322" s="13"/>
      <c r="MI322" s="12"/>
      <c r="NS322" s="13"/>
      <c r="NT322" s="13"/>
    </row>
    <row r="323" spans="20:384" ht="18" customHeight="1">
      <c r="T323" s="96"/>
      <c r="U323" s="97"/>
      <c r="AK323" s="229"/>
      <c r="AL323" s="231"/>
      <c r="AM323" s="231"/>
      <c r="AN323" s="231"/>
      <c r="AO323" s="231"/>
      <c r="AP323" s="231"/>
      <c r="AQ323" s="231"/>
      <c r="AR323" s="231"/>
      <c r="AS323" s="231"/>
      <c r="AT323" s="231"/>
      <c r="AU323" s="231"/>
      <c r="AV323" s="231"/>
      <c r="AW323" s="231"/>
      <c r="AX323" s="231"/>
      <c r="AY323" s="97"/>
      <c r="AZ323" s="97"/>
      <c r="BA323" s="231"/>
      <c r="BB323" s="231"/>
      <c r="BC323" s="231"/>
      <c r="BD323" s="232"/>
      <c r="BF323" s="15"/>
      <c r="BG323" s="15"/>
      <c r="BH323" s="15"/>
      <c r="BI323" s="15"/>
      <c r="BJ323" s="15"/>
      <c r="BL323" s="15"/>
      <c r="BN323" s="15"/>
      <c r="BU323" s="15"/>
      <c r="BW323" s="15"/>
      <c r="BX323" s="15"/>
      <c r="BY323" s="15"/>
      <c r="CE323" s="97"/>
      <c r="CF323" s="98"/>
      <c r="DW323" s="12"/>
      <c r="DY323" s="12"/>
      <c r="ET323" s="13"/>
      <c r="EU323" s="18"/>
      <c r="EV323" s="12"/>
      <c r="FE323" s="13"/>
      <c r="FF323" s="13"/>
      <c r="FY323" s="13"/>
      <c r="FZ323" s="12"/>
      <c r="GF323" s="12"/>
      <c r="GG323" s="13"/>
      <c r="GN323" s="9"/>
      <c r="GO323" s="10"/>
      <c r="GP323" s="10"/>
      <c r="GQ323" s="10"/>
      <c r="GR323" s="10"/>
      <c r="GS323" s="10"/>
      <c r="GT323" s="10"/>
      <c r="GU323" s="10"/>
      <c r="GV323" s="11"/>
      <c r="LS323" s="12"/>
      <c r="LT323" s="12"/>
      <c r="LX323" s="12"/>
      <c r="MG323" s="13"/>
      <c r="MI323" s="12"/>
      <c r="NS323" s="13"/>
      <c r="NT323" s="13"/>
    </row>
    <row r="324" spans="20:384" ht="18" customHeight="1">
      <c r="T324" s="12"/>
      <c r="V324" s="9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1"/>
      <c r="AK324" s="226"/>
      <c r="AL324" s="227"/>
      <c r="AM324" s="227"/>
      <c r="AN324" s="227"/>
      <c r="AO324" s="227"/>
      <c r="AP324" s="227"/>
      <c r="AQ324" s="227"/>
      <c r="AR324" s="227"/>
      <c r="AS324" s="228"/>
      <c r="AT324" s="227"/>
      <c r="AU324" s="226"/>
      <c r="AV324" s="227"/>
      <c r="AW324" s="227"/>
      <c r="AX324" s="227"/>
      <c r="AY324" s="227"/>
      <c r="AZ324" s="227"/>
      <c r="BA324" s="227"/>
      <c r="BB324" s="227"/>
      <c r="BC324" s="227"/>
      <c r="BD324" s="228"/>
      <c r="BE324" s="11"/>
      <c r="BF324" s="10"/>
      <c r="BG324" s="10"/>
      <c r="BH324" s="10"/>
      <c r="BI324" s="10"/>
      <c r="BJ324" s="10"/>
      <c r="BK324" s="10"/>
      <c r="BL324" s="10"/>
      <c r="BM324" s="10"/>
      <c r="BN324" s="10"/>
      <c r="BO324" s="10"/>
      <c r="BP324" s="10"/>
      <c r="BQ324" s="10"/>
      <c r="BR324" s="10"/>
      <c r="BS324" s="10"/>
      <c r="BT324" s="10"/>
      <c r="BU324" s="10"/>
      <c r="BV324" s="10"/>
      <c r="BW324" s="10"/>
      <c r="BX324" s="11"/>
      <c r="BY324" s="9"/>
      <c r="BZ324" s="10"/>
      <c r="CA324" s="10"/>
      <c r="CB324" s="10"/>
      <c r="CC324" s="10"/>
      <c r="CD324" s="11"/>
      <c r="CF324" s="13"/>
      <c r="DW324" s="12"/>
      <c r="DY324" s="12"/>
      <c r="ET324" s="13"/>
      <c r="EU324" s="18"/>
      <c r="EV324" s="12"/>
      <c r="FE324" s="13"/>
      <c r="FF324" s="13"/>
      <c r="FY324" s="13"/>
      <c r="FZ324" s="12"/>
      <c r="GF324" s="12"/>
      <c r="GG324" s="13"/>
      <c r="GN324" s="12"/>
      <c r="GV324" s="13"/>
      <c r="LS324" s="12"/>
      <c r="LT324" s="12"/>
      <c r="LX324" s="12"/>
      <c r="MG324" s="13"/>
      <c r="MI324" s="12"/>
      <c r="NS324" s="13"/>
      <c r="NT324" s="13"/>
    </row>
    <row r="325" spans="20:384" ht="18" customHeight="1">
      <c r="T325" s="12"/>
      <c r="V325" s="12"/>
      <c r="AJ325" s="13"/>
      <c r="AK325" s="229"/>
      <c r="AL325" s="231"/>
      <c r="AM325" s="231"/>
      <c r="AN325" s="231"/>
      <c r="AO325" s="231"/>
      <c r="AP325" s="231"/>
      <c r="AQ325" s="231"/>
      <c r="AR325" s="231"/>
      <c r="AS325" s="232"/>
      <c r="AT325" s="231"/>
      <c r="AU325" s="229"/>
      <c r="AV325" s="231"/>
      <c r="AW325" s="231"/>
      <c r="AX325" s="231"/>
      <c r="AY325" s="231"/>
      <c r="AZ325" s="231"/>
      <c r="BA325" s="231"/>
      <c r="BB325" s="231"/>
      <c r="BC325" s="231"/>
      <c r="BD325" s="232"/>
      <c r="BE325" s="13"/>
      <c r="BX325" s="13"/>
      <c r="BY325" s="12"/>
      <c r="CD325" s="13"/>
      <c r="CF325" s="13"/>
      <c r="DW325" s="12"/>
      <c r="DY325" s="12"/>
      <c r="ET325" s="13"/>
      <c r="EU325" s="18"/>
      <c r="EV325" s="12"/>
      <c r="FE325" s="13"/>
      <c r="FF325" s="13"/>
      <c r="FY325" s="13"/>
      <c r="FZ325" s="12"/>
      <c r="GF325" s="12"/>
      <c r="GG325" s="13"/>
      <c r="GN325" s="12"/>
      <c r="GV325" s="13"/>
      <c r="LS325" s="12"/>
      <c r="LT325" s="12"/>
      <c r="LX325" s="12"/>
      <c r="MG325" s="13"/>
      <c r="MI325" s="12"/>
      <c r="NS325" s="13"/>
      <c r="NT325" s="13"/>
    </row>
    <row r="326" spans="20:384" ht="18" customHeight="1">
      <c r="T326" s="12"/>
      <c r="V326" s="12"/>
      <c r="AJ326" s="13"/>
      <c r="AK326" s="229"/>
      <c r="AL326" s="231"/>
      <c r="AM326" s="231"/>
      <c r="AN326" s="231"/>
      <c r="AO326" s="231"/>
      <c r="AP326" s="231"/>
      <c r="AQ326" s="231"/>
      <c r="AR326" s="231"/>
      <c r="AS326" s="232"/>
      <c r="AT326" s="231"/>
      <c r="AU326" s="229"/>
      <c r="AV326" s="231"/>
      <c r="AW326" s="231"/>
      <c r="AX326" s="231"/>
      <c r="AY326" s="231"/>
      <c r="AZ326" s="231"/>
      <c r="BA326" s="231"/>
      <c r="BB326" s="231"/>
      <c r="BC326" s="231"/>
      <c r="BD326" s="232"/>
      <c r="BE326" s="13"/>
      <c r="BX326" s="13"/>
      <c r="BY326" s="12"/>
      <c r="CD326" s="13"/>
      <c r="CF326" s="13"/>
      <c r="DW326" s="12"/>
      <c r="DY326" s="12"/>
      <c r="ET326" s="13"/>
      <c r="EU326" s="18"/>
      <c r="EV326" s="12"/>
      <c r="FE326" s="13"/>
      <c r="FF326" s="16"/>
      <c r="FG326" s="15"/>
      <c r="FH326" s="15"/>
      <c r="FI326" s="15"/>
      <c r="FJ326" s="15"/>
      <c r="FK326" s="15"/>
      <c r="FL326" s="15"/>
      <c r="FM326" s="15"/>
      <c r="FN326" s="15"/>
      <c r="FO326" s="15"/>
      <c r="FP326" s="15"/>
      <c r="FQ326" s="15"/>
      <c r="FR326" s="15"/>
      <c r="FS326" s="15"/>
      <c r="FT326" s="15"/>
      <c r="FU326" s="15"/>
      <c r="FV326" s="15"/>
      <c r="FW326" s="15"/>
      <c r="FX326" s="15"/>
      <c r="FY326" s="16"/>
      <c r="FZ326" s="12"/>
      <c r="GF326" s="12"/>
      <c r="GG326" s="13"/>
      <c r="GN326" s="12"/>
      <c r="GV326" s="13"/>
      <c r="LS326" s="12"/>
      <c r="LT326" s="12"/>
      <c r="LX326" s="12"/>
      <c r="MG326" s="13"/>
      <c r="MI326" s="12"/>
      <c r="NS326" s="13"/>
      <c r="NT326" s="13"/>
    </row>
    <row r="327" spans="20:384" ht="18" customHeight="1">
      <c r="T327" s="12"/>
      <c r="V327" s="12"/>
      <c r="AJ327" s="13"/>
      <c r="AK327" s="229"/>
      <c r="AL327" s="231"/>
      <c r="AM327" s="231"/>
      <c r="AN327" s="231"/>
      <c r="AO327" s="231"/>
      <c r="AP327" s="231"/>
      <c r="AQ327" s="231"/>
      <c r="AR327" s="231"/>
      <c r="AS327" s="232"/>
      <c r="AT327" s="231"/>
      <c r="AU327" s="229"/>
      <c r="AV327" s="231"/>
      <c r="AW327" s="231"/>
      <c r="AX327" s="231"/>
      <c r="AY327" s="231"/>
      <c r="AZ327" s="231"/>
      <c r="BA327" s="231"/>
      <c r="BB327" s="231"/>
      <c r="BC327" s="231"/>
      <c r="BD327" s="232"/>
      <c r="BE327" s="13"/>
      <c r="BX327" s="13"/>
      <c r="BY327" s="12"/>
      <c r="CD327" s="13"/>
      <c r="CF327" s="13"/>
      <c r="DW327" s="12"/>
      <c r="DY327" s="12"/>
      <c r="ET327" s="13"/>
      <c r="EU327" s="18"/>
      <c r="EV327" s="12"/>
      <c r="FE327" s="13"/>
      <c r="FF327" s="16"/>
      <c r="FG327" s="15"/>
      <c r="FH327" s="15"/>
      <c r="FI327" s="15"/>
      <c r="FJ327" s="15"/>
      <c r="FK327" s="15"/>
      <c r="FL327" s="15"/>
      <c r="FM327" s="15"/>
      <c r="FN327" s="15"/>
      <c r="FO327" s="15"/>
      <c r="FP327" s="15"/>
      <c r="FQ327" s="15"/>
      <c r="FR327" s="15"/>
      <c r="FS327" s="15"/>
      <c r="FT327" s="15"/>
      <c r="FU327" s="15"/>
      <c r="FV327" s="15"/>
      <c r="FW327" s="15"/>
      <c r="FX327" s="15"/>
      <c r="FY327" s="15"/>
      <c r="FZ327" s="12"/>
      <c r="GF327" s="12"/>
      <c r="GG327" s="13"/>
      <c r="GN327" s="12"/>
      <c r="GV327" s="13"/>
      <c r="LS327" s="12"/>
      <c r="LT327" s="12"/>
      <c r="LX327" s="14"/>
      <c r="LY327" s="15"/>
      <c r="LZ327" s="15"/>
      <c r="MA327" s="15"/>
      <c r="MB327" s="15"/>
      <c r="MC327" s="15"/>
      <c r="MD327" s="15"/>
      <c r="ME327" s="15"/>
      <c r="MF327" s="15"/>
      <c r="MG327" s="16"/>
      <c r="MI327" s="12"/>
      <c r="NS327" s="13"/>
      <c r="NT327" s="13"/>
    </row>
    <row r="328" spans="20:384" ht="18" customHeight="1">
      <c r="T328" s="12"/>
      <c r="V328" s="12"/>
      <c r="AJ328" s="13"/>
      <c r="AK328" s="229"/>
      <c r="AL328" s="231"/>
      <c r="AM328" s="231"/>
      <c r="AN328" s="231"/>
      <c r="AO328" s="231"/>
      <c r="AP328" s="231"/>
      <c r="AQ328" s="231"/>
      <c r="AR328" s="231"/>
      <c r="AS328" s="232"/>
      <c r="AT328" s="231"/>
      <c r="AU328" s="229"/>
      <c r="AV328" s="231"/>
      <c r="AW328" s="231"/>
      <c r="AX328" s="231"/>
      <c r="AY328" s="231"/>
      <c r="AZ328" s="231"/>
      <c r="BA328" s="231"/>
      <c r="BB328" s="231"/>
      <c r="BC328" s="231"/>
      <c r="BD328" s="232"/>
      <c r="BE328" s="13"/>
      <c r="BX328" s="13"/>
      <c r="BY328" s="12"/>
      <c r="CD328" s="13"/>
      <c r="CF328" s="13"/>
      <c r="DW328" s="12"/>
      <c r="DY328" s="12"/>
      <c r="ET328" s="13"/>
      <c r="EU328" s="18"/>
      <c r="EV328" s="12"/>
      <c r="FF328" s="17"/>
      <c r="GF328" s="12"/>
      <c r="GG328" s="13"/>
      <c r="GN328" s="12"/>
      <c r="GV328" s="13"/>
      <c r="LS328" s="12"/>
      <c r="LT328" s="12"/>
      <c r="MG328" s="13"/>
      <c r="MI328" s="12"/>
      <c r="NS328" s="13"/>
      <c r="NT328" s="13"/>
    </row>
    <row r="329" spans="20:384" ht="18" customHeight="1">
      <c r="T329" s="12"/>
      <c r="V329" s="14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6"/>
      <c r="AK329" s="230"/>
      <c r="AL329" s="233"/>
      <c r="AM329" s="233"/>
      <c r="AN329" s="233"/>
      <c r="AO329" s="233"/>
      <c r="AP329" s="233"/>
      <c r="AQ329" s="233"/>
      <c r="AR329" s="233"/>
      <c r="AS329" s="234"/>
      <c r="AT329" s="233"/>
      <c r="AU329" s="230"/>
      <c r="AV329" s="233"/>
      <c r="AW329" s="233"/>
      <c r="AX329" s="233"/>
      <c r="AY329" s="233"/>
      <c r="AZ329" s="233"/>
      <c r="BA329" s="233"/>
      <c r="BB329" s="233"/>
      <c r="BC329" s="233"/>
      <c r="BD329" s="234"/>
      <c r="BE329" s="16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5"/>
      <c r="BQ329" s="15"/>
      <c r="BR329" s="15"/>
      <c r="BS329" s="15"/>
      <c r="BT329" s="15"/>
      <c r="BU329" s="15"/>
      <c r="BV329" s="15"/>
      <c r="BW329" s="15"/>
      <c r="BX329" s="16"/>
      <c r="BY329" s="12"/>
      <c r="CD329" s="13"/>
      <c r="CF329" s="13"/>
      <c r="DW329" s="12"/>
      <c r="DY329" s="12"/>
      <c r="ET329" s="13"/>
      <c r="EU329" s="18"/>
      <c r="EV329" s="12"/>
      <c r="FF329" s="18"/>
      <c r="GF329" s="12"/>
      <c r="GG329" s="13"/>
      <c r="GN329" s="12"/>
      <c r="GV329" s="13"/>
      <c r="LS329" s="12"/>
      <c r="LT329" s="12"/>
      <c r="MG329" s="13"/>
      <c r="MI329" s="12"/>
      <c r="NS329" s="13"/>
      <c r="NT329" s="13"/>
    </row>
    <row r="330" spans="20:384" ht="18" customHeight="1">
      <c r="T330" s="12"/>
      <c r="V330" s="14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6"/>
      <c r="AK330" s="14"/>
      <c r="AL330" s="15"/>
      <c r="AM330" s="15"/>
      <c r="AN330" s="15"/>
      <c r="AO330" s="15"/>
      <c r="AP330" s="15"/>
      <c r="AQ330" s="15"/>
      <c r="AR330" s="15"/>
      <c r="AS330" s="16"/>
      <c r="AT330" s="15"/>
      <c r="AU330" s="14"/>
      <c r="AV330" s="15"/>
      <c r="AW330" s="15"/>
      <c r="AX330" s="15"/>
      <c r="AY330" s="15"/>
      <c r="AZ330" s="15"/>
      <c r="BA330" s="15"/>
      <c r="BB330" s="15"/>
      <c r="BC330" s="15"/>
      <c r="BD330" s="16"/>
      <c r="BE330" s="16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5"/>
      <c r="BQ330" s="15"/>
      <c r="BR330" s="15"/>
      <c r="BS330" s="15"/>
      <c r="BT330" s="15"/>
      <c r="BU330" s="15"/>
      <c r="BV330" s="15"/>
      <c r="BW330" s="15"/>
      <c r="BX330" s="15"/>
      <c r="BY330" s="12"/>
      <c r="CD330" s="13"/>
      <c r="CF330" s="13"/>
      <c r="DW330" s="12"/>
      <c r="DY330" s="12"/>
      <c r="ET330" s="13"/>
      <c r="EU330" s="18"/>
      <c r="EV330" s="12"/>
      <c r="FA330" s="9"/>
      <c r="FB330" s="10"/>
      <c r="FC330" s="10"/>
      <c r="FD330" s="10"/>
      <c r="FE330" s="11"/>
      <c r="FF330" s="18"/>
      <c r="GF330" s="12"/>
      <c r="GG330" s="13"/>
      <c r="GN330" s="12"/>
      <c r="GV330" s="13"/>
      <c r="LS330" s="12"/>
      <c r="LT330" s="12"/>
      <c r="MG330" s="13"/>
      <c r="MI330" s="12"/>
      <c r="NS330" s="13"/>
      <c r="NT330" s="13"/>
    </row>
    <row r="331" spans="20:384" ht="18" customHeight="1">
      <c r="T331" s="12"/>
      <c r="V331" s="9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1"/>
      <c r="AU331" s="12"/>
      <c r="BD331" s="13"/>
      <c r="BE331" s="13"/>
      <c r="CD331" s="13"/>
      <c r="CF331" s="13"/>
      <c r="DW331" s="12"/>
      <c r="DY331" s="12"/>
      <c r="ET331" s="13"/>
      <c r="EU331" s="18"/>
      <c r="EV331" s="12"/>
      <c r="FA331" s="12"/>
      <c r="FE331" s="13"/>
      <c r="FF331" s="18"/>
      <c r="GF331" s="12"/>
      <c r="GG331" s="13"/>
      <c r="GN331" s="12"/>
      <c r="GV331" s="13"/>
      <c r="LS331" s="12"/>
      <c r="LT331" s="14"/>
      <c r="LU331" s="15"/>
      <c r="LV331" s="15"/>
      <c r="LW331" s="15"/>
      <c r="LX331" s="15"/>
      <c r="LY331" s="15"/>
      <c r="LZ331" s="15"/>
      <c r="MA331" s="15"/>
      <c r="MB331" s="15"/>
      <c r="MC331" s="15"/>
      <c r="MD331" s="15"/>
      <c r="ME331" s="15"/>
      <c r="MF331" s="15"/>
      <c r="MG331" s="16"/>
      <c r="MI331" s="14"/>
      <c r="MJ331" s="15"/>
      <c r="MK331" s="15"/>
      <c r="ML331" s="15"/>
      <c r="MM331" s="15"/>
      <c r="MN331" s="15"/>
      <c r="MO331" s="15"/>
      <c r="MP331" s="15"/>
      <c r="MQ331" s="15"/>
      <c r="MR331" s="15"/>
      <c r="MS331" s="15"/>
      <c r="MT331" s="15"/>
      <c r="MU331" s="15"/>
      <c r="MV331" s="15"/>
      <c r="MW331" s="15"/>
      <c r="MX331" s="15"/>
      <c r="MY331" s="15"/>
      <c r="MZ331" s="15"/>
      <c r="NA331" s="15"/>
      <c r="NB331" s="15"/>
      <c r="NC331" s="15"/>
      <c r="ND331" s="15"/>
      <c r="NE331" s="15"/>
      <c r="NF331" s="15"/>
      <c r="NG331" s="15"/>
      <c r="NH331" s="15"/>
      <c r="NI331" s="15"/>
      <c r="NJ331" s="15"/>
      <c r="NK331" s="15"/>
      <c r="NL331" s="15"/>
      <c r="NM331" s="15"/>
      <c r="NN331" s="15"/>
      <c r="NO331" s="15"/>
      <c r="NP331" s="15"/>
      <c r="NQ331" s="15"/>
      <c r="NR331" s="15"/>
      <c r="NS331" s="16"/>
      <c r="NT331" s="13"/>
    </row>
    <row r="332" spans="20:384" ht="18" customHeight="1">
      <c r="T332" s="12"/>
      <c r="V332" s="12"/>
      <c r="AS332" s="13"/>
      <c r="AU332" s="12"/>
      <c r="BD332" s="13"/>
      <c r="BE332" s="13"/>
      <c r="CD332" s="13"/>
      <c r="CF332" s="13"/>
      <c r="DW332" s="12"/>
      <c r="DY332" s="12"/>
      <c r="ET332" s="13"/>
      <c r="EU332" s="18"/>
      <c r="EV332" s="12"/>
      <c r="FA332" s="12"/>
      <c r="FE332" s="13"/>
      <c r="FF332" s="17"/>
      <c r="GF332" s="12"/>
      <c r="GG332" s="13"/>
      <c r="GN332" s="12"/>
      <c r="GV332" s="13"/>
      <c r="LS332" s="14"/>
      <c r="LT332" s="14"/>
      <c r="LU332" s="15"/>
      <c r="LV332" s="15"/>
      <c r="LW332" s="15"/>
      <c r="LX332" s="15"/>
      <c r="LY332" s="15"/>
      <c r="LZ332" s="15"/>
      <c r="MA332" s="15"/>
      <c r="MB332" s="15"/>
      <c r="MC332" s="15"/>
      <c r="MD332" s="15"/>
      <c r="ME332" s="15"/>
      <c r="MF332" s="15"/>
      <c r="MG332" s="16"/>
      <c r="MH332" s="15"/>
      <c r="MI332" s="15"/>
      <c r="MJ332" s="15"/>
      <c r="MK332" s="15"/>
      <c r="ML332" s="15"/>
      <c r="MM332" s="15"/>
      <c r="MN332" s="15"/>
      <c r="MO332" s="15"/>
      <c r="MP332" s="15"/>
      <c r="MQ332" s="15"/>
      <c r="MR332" s="15"/>
      <c r="MS332" s="15"/>
      <c r="MT332" s="15"/>
      <c r="MU332" s="15"/>
      <c r="MV332" s="15"/>
      <c r="MW332" s="15"/>
      <c r="MX332" s="15"/>
      <c r="MY332" s="15"/>
      <c r="MZ332" s="15"/>
      <c r="NA332" s="15"/>
      <c r="NB332" s="15"/>
      <c r="NC332" s="15"/>
      <c r="ND332" s="15"/>
      <c r="NE332" s="15"/>
      <c r="NF332" s="15"/>
      <c r="NG332" s="15"/>
      <c r="NH332" s="15"/>
      <c r="NI332" s="15"/>
      <c r="NJ332" s="15"/>
      <c r="NK332" s="15"/>
      <c r="NL332" s="15"/>
      <c r="NM332" s="15"/>
      <c r="NN332" s="15"/>
      <c r="NO332" s="15"/>
      <c r="NP332" s="15"/>
      <c r="NQ332" s="15"/>
      <c r="NR332" s="15"/>
      <c r="NS332" s="15"/>
      <c r="NT332" s="16"/>
    </row>
    <row r="333" spans="20:384" ht="18" customHeight="1">
      <c r="T333" s="12"/>
      <c r="V333" s="12"/>
      <c r="AS333" s="13"/>
      <c r="AU333" s="14"/>
      <c r="AV333" s="15"/>
      <c r="AW333" s="15"/>
      <c r="AX333" s="15"/>
      <c r="AY333" s="15"/>
      <c r="AZ333" s="15"/>
      <c r="BA333" s="15"/>
      <c r="BB333" s="15"/>
      <c r="BC333" s="15"/>
      <c r="BD333" s="16"/>
      <c r="BE333" s="13"/>
      <c r="CD333" s="13"/>
      <c r="CF333" s="13"/>
      <c r="DW333" s="12"/>
      <c r="DY333" s="12"/>
      <c r="ET333" s="13"/>
      <c r="EU333" s="18"/>
      <c r="EV333" s="12"/>
      <c r="FA333" s="12"/>
      <c r="FE333" s="13"/>
      <c r="FF333" s="18"/>
      <c r="GF333" s="12"/>
      <c r="GG333" s="13"/>
      <c r="GN333" s="12"/>
      <c r="GV333" s="13"/>
    </row>
    <row r="334" spans="20:384" ht="18" customHeight="1">
      <c r="T334" s="12"/>
      <c r="V334" s="12"/>
      <c r="AS334" s="13"/>
      <c r="AT334" s="13"/>
      <c r="AU334" s="14"/>
      <c r="AV334" s="15"/>
      <c r="AW334" s="15"/>
      <c r="AX334" s="15"/>
      <c r="AY334" s="15"/>
      <c r="AZ334" s="15"/>
      <c r="BA334" s="15"/>
      <c r="BB334" s="15"/>
      <c r="BC334" s="15"/>
      <c r="BD334" s="15"/>
      <c r="BE334" s="18"/>
      <c r="CD334" s="13"/>
      <c r="CF334" s="13"/>
      <c r="DW334" s="12"/>
      <c r="DY334" s="12"/>
      <c r="ET334" s="13"/>
      <c r="EU334" s="18"/>
      <c r="EV334" s="12"/>
      <c r="FA334" s="12"/>
      <c r="FE334" s="13"/>
      <c r="FF334" s="18"/>
      <c r="GF334" s="12"/>
      <c r="GG334" s="13"/>
      <c r="GN334" s="14"/>
      <c r="GO334" s="15"/>
      <c r="GP334" s="15"/>
      <c r="GQ334" s="15"/>
      <c r="GR334" s="15"/>
      <c r="GS334" s="15"/>
      <c r="GT334" s="15"/>
      <c r="GU334" s="15"/>
      <c r="GV334" s="16"/>
    </row>
    <row r="335" spans="20:384" ht="18" customHeight="1">
      <c r="T335" s="12"/>
      <c r="V335" s="12"/>
      <c r="AS335" s="13"/>
      <c r="AT335" s="13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CD335" s="13"/>
      <c r="CF335" s="13"/>
      <c r="DW335" s="12"/>
      <c r="DY335" s="12"/>
      <c r="ET335" s="13"/>
      <c r="EU335" s="18"/>
      <c r="EV335" s="12"/>
      <c r="FA335" s="12"/>
      <c r="FE335" s="13"/>
      <c r="FF335" s="18"/>
      <c r="GF335" s="12"/>
      <c r="GG335" s="13"/>
    </row>
    <row r="336" spans="20:384" ht="18" customHeight="1">
      <c r="T336" s="12"/>
      <c r="V336" s="12"/>
      <c r="AS336" s="13"/>
      <c r="AT336" s="13"/>
      <c r="CD336" s="13"/>
      <c r="CF336" s="13"/>
      <c r="DW336" s="12"/>
      <c r="DY336" s="12"/>
      <c r="ET336" s="13"/>
      <c r="EU336" s="18"/>
      <c r="EV336" s="12"/>
      <c r="FA336" s="12"/>
      <c r="FE336" s="13"/>
      <c r="FF336" s="18"/>
      <c r="GF336" s="12"/>
      <c r="GG336" s="13"/>
    </row>
    <row r="337" spans="20:206" ht="18" customHeight="1">
      <c r="T337" s="12"/>
      <c r="V337" s="12"/>
      <c r="AS337" s="13"/>
      <c r="AT337" s="13"/>
      <c r="CD337" s="13"/>
      <c r="CF337" s="13"/>
      <c r="DW337" s="12"/>
      <c r="DY337" s="12"/>
      <c r="ET337" s="13"/>
      <c r="EU337" s="18"/>
      <c r="EV337" s="12"/>
      <c r="FA337" s="12"/>
      <c r="FE337" s="13"/>
      <c r="FF337" s="18"/>
      <c r="GF337" s="12"/>
      <c r="GG337" s="13"/>
    </row>
    <row r="338" spans="20:206" ht="18" customHeight="1">
      <c r="T338" s="12"/>
      <c r="V338" s="12"/>
      <c r="AS338" s="13"/>
      <c r="AT338" s="13"/>
      <c r="CD338" s="13"/>
      <c r="CF338" s="13"/>
      <c r="DW338" s="12"/>
      <c r="DY338" s="12"/>
      <c r="ET338" s="13"/>
      <c r="EU338" s="18"/>
      <c r="EV338" s="14"/>
      <c r="EW338" s="15"/>
      <c r="EX338" s="15"/>
      <c r="EY338" s="15"/>
      <c r="EZ338" s="15"/>
      <c r="FA338" s="14"/>
      <c r="FB338" s="15"/>
      <c r="FC338" s="15"/>
      <c r="FD338" s="15"/>
      <c r="FE338" s="16"/>
      <c r="FF338" s="18"/>
      <c r="GF338" s="12"/>
      <c r="GG338" s="13"/>
    </row>
    <row r="339" spans="20:206" ht="18" customHeight="1">
      <c r="T339" s="12"/>
      <c r="V339" s="12"/>
      <c r="AS339" s="13"/>
      <c r="AT339" s="13"/>
      <c r="CD339" s="13"/>
      <c r="CF339" s="13"/>
      <c r="DW339" s="12"/>
      <c r="DY339" s="12"/>
      <c r="ET339" s="13"/>
      <c r="EU339" s="18"/>
      <c r="EV339" s="14"/>
      <c r="EW339" s="15"/>
      <c r="EX339" s="15"/>
      <c r="EY339" s="15"/>
      <c r="EZ339" s="15"/>
      <c r="FA339" s="15"/>
      <c r="FB339" s="15"/>
      <c r="FC339" s="15"/>
      <c r="FD339" s="15"/>
      <c r="FE339" s="15"/>
      <c r="FF339" s="18"/>
      <c r="GF339" s="12"/>
      <c r="GG339" s="13"/>
    </row>
    <row r="340" spans="20:206" ht="18" customHeight="1">
      <c r="T340" s="12"/>
      <c r="V340" s="12"/>
      <c r="AS340" s="13"/>
      <c r="AT340" s="13"/>
      <c r="CD340" s="13"/>
      <c r="CF340" s="13"/>
      <c r="DW340" s="12"/>
      <c r="DY340" s="12"/>
      <c r="ET340" s="13"/>
      <c r="EU340" s="18"/>
      <c r="FF340" s="18"/>
      <c r="GF340" s="12"/>
      <c r="GG340" s="13"/>
    </row>
    <row r="341" spans="20:206" ht="18" customHeight="1">
      <c r="T341" s="12"/>
      <c r="V341" s="12"/>
      <c r="AS341" s="13"/>
      <c r="AT341" s="13"/>
      <c r="CD341" s="13"/>
      <c r="CF341" s="13"/>
      <c r="DW341" s="12"/>
      <c r="DY341" s="12"/>
      <c r="ET341" s="13"/>
      <c r="EU341" s="18"/>
      <c r="FF341" s="18"/>
      <c r="GF341" s="12"/>
      <c r="GG341" s="13"/>
    </row>
    <row r="342" spans="20:206" ht="18" customHeight="1">
      <c r="T342" s="12"/>
      <c r="V342" s="12"/>
      <c r="AS342" s="13"/>
      <c r="AT342" s="13"/>
      <c r="CD342" s="13"/>
      <c r="CF342" s="13"/>
      <c r="DW342" s="12"/>
      <c r="DY342" s="12"/>
      <c r="ET342" s="13"/>
      <c r="EU342" s="18"/>
      <c r="FF342" s="18"/>
      <c r="GF342" s="12"/>
      <c r="GG342" s="13"/>
    </row>
    <row r="343" spans="20:206" ht="18" customHeight="1">
      <c r="T343" s="12"/>
      <c r="V343" s="12"/>
      <c r="AS343" s="13"/>
      <c r="AT343" s="13"/>
      <c r="CD343" s="13"/>
      <c r="CF343" s="13"/>
      <c r="DW343" s="12"/>
      <c r="DY343" s="12"/>
      <c r="ET343" s="13"/>
      <c r="EU343" s="18"/>
      <c r="FF343" s="18"/>
      <c r="GF343" s="12"/>
      <c r="GG343" s="13"/>
    </row>
    <row r="344" spans="20:206" ht="18" customHeight="1">
      <c r="T344" s="12"/>
      <c r="V344" s="12"/>
      <c r="AS344" s="13"/>
      <c r="AT344" s="13"/>
      <c r="CD344" s="13"/>
      <c r="CF344" s="13"/>
      <c r="DW344" s="12"/>
      <c r="DY344" s="12"/>
      <c r="ET344" s="13"/>
      <c r="EU344" s="18"/>
      <c r="FF344" s="18"/>
      <c r="GF344" s="12"/>
      <c r="GG344" s="13"/>
    </row>
    <row r="345" spans="20:206" ht="18" customHeight="1">
      <c r="T345" s="12"/>
      <c r="V345" s="12"/>
      <c r="AS345" s="13"/>
      <c r="AT345" s="13"/>
      <c r="CD345" s="13"/>
      <c r="CF345" s="13"/>
      <c r="DW345" s="12"/>
      <c r="DY345" s="12"/>
      <c r="ET345" s="13"/>
      <c r="EU345" s="18"/>
      <c r="FF345" s="18"/>
      <c r="GF345" s="12"/>
      <c r="GG345" s="13"/>
    </row>
    <row r="346" spans="20:206" ht="18" customHeight="1">
      <c r="T346" s="12"/>
      <c r="V346" s="12"/>
      <c r="AS346" s="13"/>
      <c r="AT346" s="13"/>
      <c r="CD346" s="13"/>
      <c r="CF346" s="13"/>
      <c r="DW346" s="12"/>
      <c r="DY346" s="14"/>
      <c r="DZ346" s="15"/>
      <c r="EA346" s="15"/>
      <c r="EB346" s="15"/>
      <c r="EC346" s="15"/>
      <c r="ED346" s="15"/>
      <c r="EE346" s="15"/>
      <c r="EF346" s="15"/>
      <c r="EG346" s="15"/>
      <c r="EH346" s="15"/>
      <c r="EI346" s="15"/>
      <c r="EJ346" s="15"/>
      <c r="EK346" s="15"/>
      <c r="EL346" s="15"/>
      <c r="EM346" s="15"/>
      <c r="EN346" s="15"/>
      <c r="EO346" s="15"/>
      <c r="EP346" s="15"/>
      <c r="EQ346" s="15"/>
      <c r="ER346" s="15"/>
      <c r="ES346" s="15"/>
      <c r="ET346" s="16"/>
      <c r="EU346" s="18"/>
      <c r="FF346" s="18"/>
      <c r="GF346" s="12"/>
      <c r="GG346" s="13"/>
    </row>
    <row r="347" spans="20:206" ht="18" customHeight="1">
      <c r="T347" s="96"/>
      <c r="U347" s="97"/>
      <c r="V347" s="14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6"/>
      <c r="AT347" s="13"/>
      <c r="AY347" s="97"/>
      <c r="AZ347" s="97"/>
      <c r="BA347" s="97"/>
      <c r="CD347" s="13"/>
      <c r="CE347" s="97"/>
      <c r="CF347" s="98"/>
      <c r="DW347" s="12"/>
      <c r="DY347" s="20"/>
      <c r="DZ347" s="21"/>
      <c r="EA347" s="21"/>
      <c r="EB347" s="21"/>
      <c r="EC347" s="21"/>
      <c r="ED347" s="21"/>
      <c r="EE347" s="21"/>
      <c r="EF347" s="21"/>
      <c r="EG347" s="21"/>
      <c r="EH347" s="21"/>
      <c r="EI347" s="22"/>
      <c r="EJ347" s="21"/>
      <c r="EK347" s="21"/>
      <c r="EL347" s="21"/>
      <c r="EM347" s="21"/>
      <c r="EN347" s="21"/>
      <c r="EO347" s="27"/>
      <c r="EP347" s="27"/>
      <c r="EQ347" s="27"/>
      <c r="ER347" s="27"/>
      <c r="ES347" s="27"/>
      <c r="ET347" s="22"/>
      <c r="EU347" s="19"/>
      <c r="FF347" s="18"/>
      <c r="GF347" s="12"/>
      <c r="GG347" s="13"/>
    </row>
    <row r="348" spans="20:206" ht="18" customHeight="1">
      <c r="T348" s="96"/>
      <c r="U348" s="97"/>
      <c r="V348" s="9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2"/>
      <c r="AZ348" s="212"/>
      <c r="BA348" s="212"/>
      <c r="BB348" s="21"/>
      <c r="BC348" s="21"/>
      <c r="BD348" s="21"/>
      <c r="BE348" s="21"/>
      <c r="BF348" s="22"/>
      <c r="CD348" s="13"/>
      <c r="CE348" s="97"/>
      <c r="CF348" s="98"/>
      <c r="DW348" s="12"/>
      <c r="DY348" s="12"/>
      <c r="EH348" s="13"/>
      <c r="EI348" s="17"/>
      <c r="FF348" s="18"/>
      <c r="GF348" s="12"/>
      <c r="GG348" s="13"/>
    </row>
    <row r="349" spans="20:206" ht="18" customHeight="1">
      <c r="T349" s="12"/>
      <c r="V349" s="9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1"/>
      <c r="AP349" s="12"/>
      <c r="BE349" s="13"/>
      <c r="BG349" s="12"/>
      <c r="CD349" s="13"/>
      <c r="CF349" s="13"/>
      <c r="DW349" s="12"/>
      <c r="DY349" s="12"/>
      <c r="EH349" s="13"/>
      <c r="EI349" s="18"/>
      <c r="FF349" s="18"/>
      <c r="GF349" s="12"/>
      <c r="GG349" s="13"/>
    </row>
    <row r="350" spans="20:206" ht="18" customHeight="1">
      <c r="T350" s="12"/>
      <c r="V350" s="12"/>
      <c r="AN350" s="13"/>
      <c r="AP350" s="12"/>
      <c r="BE350" s="13"/>
      <c r="BF350" s="13"/>
      <c r="CD350" s="13"/>
      <c r="CF350" s="13"/>
      <c r="DW350" s="12"/>
      <c r="DY350" s="12"/>
      <c r="EH350" s="13"/>
      <c r="EI350" s="18"/>
      <c r="FF350" s="18"/>
      <c r="GF350" s="12"/>
      <c r="GG350" s="13"/>
    </row>
    <row r="351" spans="20:206" ht="18" customHeight="1">
      <c r="T351" s="12"/>
      <c r="V351" s="12"/>
      <c r="AN351" s="13"/>
      <c r="AP351" s="12"/>
      <c r="BE351" s="13"/>
      <c r="BF351" s="13"/>
      <c r="CD351" s="13"/>
      <c r="CF351" s="13"/>
      <c r="CG351" s="9"/>
      <c r="CH351" s="10"/>
      <c r="CI351" s="10"/>
      <c r="CJ351" s="10"/>
      <c r="CK351" s="10"/>
      <c r="CL351" s="10"/>
      <c r="CM351" s="10"/>
      <c r="CN351" s="10"/>
      <c r="CO351" s="10"/>
      <c r="CP351" s="10"/>
      <c r="CQ351" s="10"/>
      <c r="CR351" s="10"/>
      <c r="CS351" s="10"/>
      <c r="CT351" s="10"/>
      <c r="CU351" s="10"/>
      <c r="CV351" s="11"/>
      <c r="CW351" s="10"/>
      <c r="CX351" s="10"/>
      <c r="CY351" s="10"/>
      <c r="CZ351" s="11"/>
      <c r="DW351" s="12"/>
      <c r="DY351" s="12"/>
      <c r="EH351" s="13"/>
      <c r="EI351" s="18"/>
      <c r="FF351" s="18"/>
      <c r="GF351" s="12"/>
      <c r="GG351" s="13"/>
      <c r="GX351" t="s">
        <v>45</v>
      </c>
    </row>
    <row r="352" spans="20:206" ht="18" customHeight="1">
      <c r="T352" s="12"/>
      <c r="V352" s="12"/>
      <c r="AN352" s="13"/>
      <c r="AP352" s="12"/>
      <c r="BE352" s="13"/>
      <c r="BF352" s="13"/>
      <c r="CD352" s="13"/>
      <c r="CF352" s="13"/>
      <c r="CG352" s="12"/>
      <c r="CV352" s="13"/>
      <c r="CZ352" s="13"/>
      <c r="DW352" s="12"/>
      <c r="DY352" s="12"/>
      <c r="EH352" s="13"/>
      <c r="EI352" s="18"/>
      <c r="FF352" s="18"/>
      <c r="GF352" s="12"/>
      <c r="GG352" s="13"/>
    </row>
    <row r="353" spans="20:189" ht="18" customHeight="1">
      <c r="T353" s="12"/>
      <c r="V353" s="12"/>
      <c r="AN353" s="13"/>
      <c r="AP353" s="12"/>
      <c r="AT353" s="9"/>
      <c r="AU353" s="10"/>
      <c r="AV353" s="10"/>
      <c r="AW353" s="10"/>
      <c r="AX353" s="10"/>
      <c r="AY353" s="10"/>
      <c r="AZ353" s="10"/>
      <c r="BA353" s="11"/>
      <c r="BE353" s="13"/>
      <c r="BF353" s="13"/>
      <c r="CD353" s="13"/>
      <c r="CF353" s="13"/>
      <c r="CG353" s="12"/>
      <c r="CV353" s="13"/>
      <c r="CZ353" s="13"/>
      <c r="DW353" s="12"/>
      <c r="DY353" s="12"/>
      <c r="EH353" s="13"/>
      <c r="EI353" s="18"/>
      <c r="FF353" s="18"/>
      <c r="GF353" s="12"/>
      <c r="GG353" s="13"/>
    </row>
    <row r="354" spans="20:189" ht="18" customHeight="1">
      <c r="T354" s="12"/>
      <c r="V354" s="12"/>
      <c r="AN354" s="13"/>
      <c r="AP354" s="12"/>
      <c r="AT354" s="12"/>
      <c r="BA354" s="13"/>
      <c r="BE354" s="13"/>
      <c r="BF354" s="13"/>
      <c r="CD354" s="13"/>
      <c r="CF354" s="13"/>
      <c r="CG354" s="12"/>
      <c r="CV354" s="13"/>
      <c r="CZ354" s="13"/>
      <c r="DW354" s="12"/>
      <c r="DY354" s="12"/>
      <c r="EH354" s="13"/>
      <c r="EI354" s="18"/>
      <c r="FF354" s="18"/>
      <c r="GF354" s="12"/>
      <c r="GG354" s="13"/>
    </row>
    <row r="355" spans="20:189" ht="18" customHeight="1">
      <c r="T355" s="12"/>
      <c r="V355" s="12"/>
      <c r="AN355" s="13"/>
      <c r="AP355" s="12"/>
      <c r="AT355" s="12"/>
      <c r="BA355" s="13"/>
      <c r="BE355" s="13"/>
      <c r="BF355" s="13"/>
      <c r="CD355" s="13"/>
      <c r="CF355" s="13"/>
      <c r="CG355" s="12"/>
      <c r="CV355" s="13"/>
      <c r="CZ355" s="13"/>
      <c r="DW355" s="12"/>
      <c r="DY355" s="12"/>
      <c r="EH355" s="13"/>
      <c r="EI355" s="18"/>
      <c r="FF355" s="19"/>
      <c r="GF355" s="12"/>
      <c r="GG355" s="13"/>
    </row>
    <row r="356" spans="20:189" ht="18" customHeight="1">
      <c r="T356" s="12"/>
      <c r="V356" s="12"/>
      <c r="AN356" s="13"/>
      <c r="AP356" s="12"/>
      <c r="AT356" s="12"/>
      <c r="BA356" s="13"/>
      <c r="BE356" s="13"/>
      <c r="BF356" s="13"/>
      <c r="CD356" s="13"/>
      <c r="CF356" s="13"/>
      <c r="CG356" s="12"/>
      <c r="CV356" s="13"/>
      <c r="CZ356" s="13"/>
      <c r="DW356" s="12"/>
      <c r="DY356" s="12"/>
      <c r="EH356" s="13"/>
      <c r="EI356" s="18"/>
      <c r="GF356" s="12"/>
      <c r="GG356" s="13"/>
    </row>
    <row r="357" spans="20:189" ht="18" customHeight="1">
      <c r="T357" s="12"/>
      <c r="V357" s="12"/>
      <c r="AN357" s="13"/>
      <c r="AP357" s="12"/>
      <c r="AT357" s="12"/>
      <c r="BA357" s="13"/>
      <c r="BE357" s="13"/>
      <c r="BF357" s="13"/>
      <c r="CD357" s="13"/>
      <c r="CF357" s="13"/>
      <c r="CG357" s="12"/>
      <c r="CV357" s="13"/>
      <c r="CZ357" s="13"/>
      <c r="DW357" s="12"/>
      <c r="DY357" s="14"/>
      <c r="DZ357" s="15"/>
      <c r="EA357" s="15"/>
      <c r="EB357" s="15"/>
      <c r="EC357" s="15"/>
      <c r="ED357" s="15"/>
      <c r="EE357" s="15"/>
      <c r="EF357" s="15"/>
      <c r="EG357" s="15"/>
      <c r="EH357" s="16"/>
      <c r="EI357" s="18"/>
      <c r="GF357" s="12"/>
      <c r="GG357" s="13"/>
    </row>
    <row r="358" spans="20:189" ht="18" customHeight="1">
      <c r="T358" s="12"/>
      <c r="V358" s="14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6"/>
      <c r="AO358" s="15"/>
      <c r="AP358" s="12"/>
      <c r="AT358" s="12"/>
      <c r="BA358" s="13"/>
      <c r="BE358" s="13"/>
      <c r="BF358" s="13"/>
      <c r="CD358" s="13"/>
      <c r="CF358" s="13"/>
      <c r="CG358" s="12"/>
      <c r="CV358" s="13"/>
      <c r="CZ358" s="13"/>
      <c r="DW358" s="12"/>
      <c r="DY358" s="14"/>
      <c r="DZ358" s="15"/>
      <c r="EA358" s="15"/>
      <c r="EB358" s="15"/>
      <c r="EC358" s="15"/>
      <c r="ED358" s="15"/>
      <c r="EE358" s="15"/>
      <c r="EF358" s="15"/>
      <c r="EG358" s="15"/>
      <c r="EH358" s="15"/>
      <c r="EI358" s="19"/>
      <c r="GF358" s="12"/>
      <c r="GG358" s="13"/>
    </row>
    <row r="359" spans="20:189" ht="18" customHeight="1">
      <c r="T359" s="12"/>
      <c r="AO359" s="10"/>
      <c r="AP359" s="12"/>
      <c r="AT359" s="12"/>
      <c r="BA359" s="13"/>
      <c r="BE359" s="13"/>
      <c r="BF359" s="13"/>
      <c r="CD359" s="13"/>
      <c r="CF359" s="13"/>
      <c r="CG359" s="12"/>
      <c r="CV359" s="13"/>
      <c r="CZ359" s="13"/>
      <c r="DW359" s="12"/>
      <c r="DY359" s="12"/>
      <c r="GF359" s="12"/>
      <c r="GG359" s="13"/>
    </row>
    <row r="360" spans="20:189" ht="18" customHeight="1">
      <c r="T360" s="14"/>
      <c r="U360" s="15"/>
      <c r="V360" s="15"/>
      <c r="W360" s="15"/>
      <c r="X360" s="15"/>
      <c r="Y360" s="15"/>
      <c r="Z360" s="15"/>
      <c r="AA360" s="15"/>
      <c r="AC360" s="15"/>
      <c r="AP360" s="12"/>
      <c r="AT360" s="12"/>
      <c r="BA360" s="13"/>
      <c r="BE360" s="13"/>
      <c r="BF360" s="13"/>
      <c r="CD360" s="13"/>
      <c r="CF360" s="13"/>
      <c r="CG360" s="12"/>
      <c r="CV360" s="13"/>
      <c r="CZ360" s="13"/>
      <c r="DW360" s="12"/>
      <c r="DY360" s="12"/>
      <c r="GF360" s="12"/>
      <c r="GG360" s="13"/>
    </row>
    <row r="361" spans="20:189" ht="18" customHeight="1">
      <c r="T361" s="12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1"/>
      <c r="AN361" s="12"/>
      <c r="AP361" s="12"/>
      <c r="AT361" s="12"/>
      <c r="BA361" s="13"/>
      <c r="BE361" s="13"/>
      <c r="BF361" s="13"/>
      <c r="CD361" s="13"/>
      <c r="CF361" s="13"/>
      <c r="CG361" s="12"/>
      <c r="CV361" s="13"/>
      <c r="CZ361" s="13"/>
      <c r="DW361" s="12"/>
      <c r="DY361" s="12"/>
      <c r="GF361" s="12"/>
      <c r="GG361" s="13"/>
    </row>
    <row r="362" spans="20:189" ht="18" customHeight="1">
      <c r="T362" s="12"/>
      <c r="AN362" s="12"/>
      <c r="AP362" s="12"/>
      <c r="AT362" s="12"/>
      <c r="BA362" s="13"/>
      <c r="BE362" s="13"/>
      <c r="BF362" s="13"/>
      <c r="CD362" s="13"/>
      <c r="CF362" s="13"/>
      <c r="CG362" s="12"/>
      <c r="CV362" s="13"/>
      <c r="CZ362" s="13"/>
      <c r="DW362" s="12"/>
      <c r="DY362" s="12"/>
      <c r="GF362" s="12"/>
      <c r="GG362" s="13"/>
    </row>
    <row r="363" spans="20:189" ht="18" customHeight="1">
      <c r="T363" s="12"/>
      <c r="AN363" s="12"/>
      <c r="AP363" s="12"/>
      <c r="AT363" s="12"/>
      <c r="BA363" s="13"/>
      <c r="BE363" s="13"/>
      <c r="BF363" s="13"/>
      <c r="CD363" s="13"/>
      <c r="CF363" s="13"/>
      <c r="CG363" s="12"/>
      <c r="CV363" s="13"/>
      <c r="CZ363" s="13"/>
      <c r="DW363" s="12"/>
      <c r="DY363" s="12"/>
      <c r="GF363" s="12"/>
      <c r="GG363" s="13"/>
    </row>
    <row r="364" spans="20:189" ht="18" customHeight="1">
      <c r="T364" s="12"/>
      <c r="AN364" s="12"/>
      <c r="AP364" s="12"/>
      <c r="AT364" s="12"/>
      <c r="BA364" s="13"/>
      <c r="BE364" s="13"/>
      <c r="BF364" s="13"/>
      <c r="CD364" s="13"/>
      <c r="CF364" s="13"/>
      <c r="CG364" s="12"/>
      <c r="CV364" s="13"/>
      <c r="CZ364" s="13"/>
      <c r="DW364" s="12"/>
      <c r="DY364" s="9"/>
      <c r="DZ364" s="10"/>
      <c r="EA364" s="10"/>
      <c r="EB364" s="10"/>
      <c r="EC364" s="10"/>
      <c r="ED364" s="10"/>
      <c r="EE364" s="10"/>
      <c r="EF364" s="10"/>
      <c r="EG364" s="10"/>
      <c r="EH364" s="10"/>
      <c r="EI364" s="10"/>
      <c r="EJ364" s="10"/>
      <c r="EK364" s="10"/>
      <c r="EL364" s="10"/>
      <c r="EM364" s="10"/>
      <c r="EN364" s="10"/>
      <c r="EO364" s="10"/>
      <c r="EP364" s="10"/>
      <c r="EQ364" s="10"/>
      <c r="ER364" s="10"/>
      <c r="ES364" s="10"/>
      <c r="ET364" s="10"/>
      <c r="EU364" s="10"/>
      <c r="EV364" s="10"/>
      <c r="EW364" s="10"/>
      <c r="EX364" s="10"/>
      <c r="EY364" s="10"/>
      <c r="EZ364" s="10"/>
      <c r="FA364" s="10"/>
      <c r="FB364" s="10"/>
      <c r="FC364" s="10"/>
      <c r="FD364" s="10"/>
      <c r="FE364" s="10"/>
      <c r="FF364" s="11"/>
      <c r="GF364" s="12"/>
      <c r="GG364" s="13"/>
    </row>
    <row r="365" spans="20:189" ht="18" customHeight="1">
      <c r="T365" s="12"/>
      <c r="AN365" s="12"/>
      <c r="AP365" s="12"/>
      <c r="AT365" s="12"/>
      <c r="BA365" s="13"/>
      <c r="BE365" s="13"/>
      <c r="BF365" s="13"/>
      <c r="CD365" s="13"/>
      <c r="CF365" s="13"/>
      <c r="CG365" s="12"/>
      <c r="CV365" s="13"/>
      <c r="CZ365" s="13"/>
      <c r="DW365" s="12"/>
      <c r="DY365" s="12"/>
      <c r="FF365" s="13"/>
      <c r="GF365" s="12"/>
      <c r="GG365" s="13"/>
    </row>
    <row r="366" spans="20:189" ht="18" customHeight="1">
      <c r="T366" s="12"/>
      <c r="AN366" s="12"/>
      <c r="AP366" s="12"/>
      <c r="AT366" s="12"/>
      <c r="BA366" s="13"/>
      <c r="BE366" s="13"/>
      <c r="BF366" s="13"/>
      <c r="CD366" s="13"/>
      <c r="CF366" s="13"/>
      <c r="CG366" s="12"/>
      <c r="CV366" s="13"/>
      <c r="CZ366" s="13"/>
      <c r="DW366" s="12"/>
      <c r="DY366" s="12"/>
      <c r="FF366" s="13"/>
      <c r="GF366" s="12"/>
      <c r="GG366" s="13"/>
    </row>
    <row r="367" spans="20:189" ht="18" customHeight="1">
      <c r="T367" s="12"/>
      <c r="AN367" s="12"/>
      <c r="AP367" s="12"/>
      <c r="AT367" s="12"/>
      <c r="BB367" s="10"/>
      <c r="BC367" s="10"/>
      <c r="BD367" s="10"/>
      <c r="BE367" s="10"/>
      <c r="BF367" s="10"/>
      <c r="CD367" s="13"/>
      <c r="CF367" s="13"/>
      <c r="CG367" s="12"/>
      <c r="CV367" s="13"/>
      <c r="CZ367" s="13"/>
      <c r="DW367" s="12"/>
      <c r="DY367" s="14"/>
      <c r="DZ367" s="15"/>
      <c r="EA367" s="15"/>
      <c r="EB367" s="15"/>
      <c r="EC367" s="15"/>
      <c r="ED367" s="15"/>
      <c r="EE367" s="15"/>
      <c r="EF367" s="15"/>
      <c r="EG367" s="15"/>
      <c r="EH367" s="15"/>
      <c r="EI367" s="15"/>
      <c r="EJ367" s="15"/>
      <c r="EK367" s="15"/>
      <c r="EL367" s="15"/>
      <c r="EM367" s="15"/>
      <c r="EN367" s="15"/>
      <c r="EO367" s="15"/>
      <c r="EP367" s="15"/>
      <c r="EQ367" s="15"/>
      <c r="ER367" s="15"/>
      <c r="ES367" s="15"/>
      <c r="ET367" s="15"/>
      <c r="EU367" s="15"/>
      <c r="EV367" s="15"/>
      <c r="EW367" s="15"/>
      <c r="EX367" s="15"/>
      <c r="EY367" s="15"/>
      <c r="EZ367" s="15"/>
      <c r="FA367" s="15"/>
      <c r="FB367" s="15"/>
      <c r="FC367" s="15"/>
      <c r="FD367" s="15"/>
      <c r="FE367" s="15"/>
      <c r="FF367" s="16"/>
      <c r="FG367" s="15"/>
      <c r="FH367" s="15"/>
      <c r="FI367" s="15"/>
      <c r="FJ367" s="15"/>
      <c r="FK367" s="15"/>
      <c r="FL367" s="15"/>
      <c r="FM367" s="15"/>
      <c r="FN367" s="15"/>
      <c r="FO367" s="15"/>
      <c r="FP367" s="15"/>
      <c r="FQ367" s="15"/>
      <c r="FR367" s="15"/>
      <c r="FS367" s="15"/>
      <c r="FT367" s="15"/>
      <c r="FU367" s="15"/>
      <c r="FV367" s="15"/>
      <c r="FW367" s="15"/>
      <c r="FX367" s="15"/>
      <c r="FY367" s="15"/>
      <c r="FZ367" s="15"/>
      <c r="GA367" s="15"/>
      <c r="GB367" s="15"/>
      <c r="GC367" s="15"/>
      <c r="GD367" s="15"/>
      <c r="GE367" s="15"/>
      <c r="GF367" s="12"/>
      <c r="GG367" s="13"/>
    </row>
    <row r="368" spans="20:189" ht="18" customHeight="1">
      <c r="T368" s="12"/>
      <c r="AN368" s="12"/>
      <c r="AP368" s="12"/>
      <c r="AT368" s="12"/>
      <c r="CD368" s="13"/>
      <c r="CF368" s="13"/>
      <c r="CG368" s="12"/>
      <c r="CV368" s="13"/>
      <c r="CZ368" s="13"/>
      <c r="DW368" s="12"/>
      <c r="GG368" s="13"/>
    </row>
    <row r="369" spans="20:189" ht="18" customHeight="1">
      <c r="T369" s="12"/>
      <c r="AN369" s="12"/>
      <c r="AP369" s="12"/>
      <c r="AT369" s="12"/>
      <c r="CD369" s="13"/>
      <c r="CF369" s="13"/>
      <c r="CG369" s="12"/>
      <c r="CV369" s="13"/>
      <c r="CZ369" s="13"/>
      <c r="DW369" s="14"/>
      <c r="DX369" s="15"/>
      <c r="DY369" s="15"/>
      <c r="DZ369" s="15"/>
      <c r="EA369" s="15"/>
      <c r="EB369" s="15"/>
      <c r="EC369" s="15"/>
      <c r="ED369" s="15"/>
      <c r="EE369" s="15"/>
      <c r="EF369" s="15"/>
      <c r="EG369" s="15"/>
      <c r="EH369" s="15"/>
      <c r="EI369" s="15"/>
      <c r="EJ369" s="15"/>
      <c r="EK369" s="15"/>
      <c r="EL369" s="15"/>
      <c r="EM369" s="15"/>
      <c r="EN369" s="15"/>
      <c r="EO369" s="15"/>
      <c r="EP369" s="15"/>
      <c r="EQ369" s="15"/>
      <c r="ER369" s="15"/>
      <c r="ES369" s="15"/>
      <c r="ET369" s="15"/>
      <c r="EU369" s="15"/>
      <c r="EV369" s="15"/>
      <c r="EW369" s="15"/>
      <c r="EX369" s="15"/>
      <c r="EY369" s="15"/>
      <c r="EZ369" s="15"/>
      <c r="FA369" s="15"/>
      <c r="FB369" s="15"/>
      <c r="FC369" s="15"/>
      <c r="FD369" s="15"/>
      <c r="FE369" s="15"/>
      <c r="FF369" s="15"/>
      <c r="FG369" s="15"/>
      <c r="FH369" s="15"/>
      <c r="FI369" s="15"/>
      <c r="FJ369" s="15"/>
      <c r="FK369" s="15"/>
      <c r="FL369" s="15"/>
      <c r="FM369" s="15"/>
      <c r="FN369" s="15"/>
      <c r="FO369" s="15"/>
      <c r="FP369" s="15"/>
      <c r="FQ369" s="15"/>
      <c r="FR369" s="15"/>
      <c r="FS369" s="15"/>
      <c r="FT369" s="15"/>
      <c r="FU369" s="15"/>
      <c r="FV369" s="15"/>
      <c r="FW369" s="15"/>
      <c r="FX369" s="15"/>
      <c r="FY369" s="100"/>
      <c r="FZ369" s="100"/>
      <c r="GA369" s="100"/>
      <c r="GB369" s="100"/>
      <c r="GC369" s="100"/>
      <c r="GD369" s="100"/>
      <c r="GE369" s="15"/>
      <c r="GF369" s="15"/>
      <c r="GG369" s="16"/>
    </row>
    <row r="370" spans="20:189" ht="18" customHeight="1">
      <c r="T370" s="12"/>
      <c r="AN370" s="12"/>
      <c r="AP370" s="12"/>
      <c r="AT370" s="12"/>
      <c r="CD370" s="13"/>
      <c r="CF370" s="13"/>
      <c r="CG370" s="12"/>
      <c r="CV370" s="13"/>
      <c r="CZ370" s="13"/>
    </row>
    <row r="371" spans="20:189" ht="18" customHeight="1">
      <c r="T371" s="12"/>
      <c r="AN371" s="12"/>
      <c r="AP371" s="12"/>
      <c r="AT371" s="12"/>
      <c r="CD371" s="13"/>
      <c r="CF371" s="13"/>
      <c r="CG371" s="12"/>
      <c r="CV371" s="13"/>
      <c r="CZ371" s="13"/>
    </row>
    <row r="372" spans="20:189" ht="18" customHeight="1">
      <c r="T372" s="12"/>
      <c r="AN372" s="12"/>
      <c r="AP372" s="12"/>
      <c r="AT372" s="12"/>
      <c r="CD372" s="13"/>
      <c r="CF372" s="13"/>
      <c r="CG372" s="12"/>
      <c r="CV372" s="13"/>
      <c r="CZ372" s="13"/>
    </row>
    <row r="373" spans="20:189" ht="18" customHeight="1">
      <c r="T373" s="12"/>
      <c r="AN373" s="12"/>
      <c r="AP373" s="12"/>
      <c r="AS373" s="13"/>
      <c r="AT373" s="12"/>
      <c r="CD373" s="13"/>
      <c r="CF373" s="13"/>
      <c r="CG373" s="12"/>
      <c r="CV373" s="13"/>
      <c r="CZ373" s="13"/>
    </row>
    <row r="374" spans="20:189" ht="18" customHeight="1">
      <c r="T374" s="12"/>
      <c r="AN374" s="12"/>
      <c r="AP374" s="14"/>
      <c r="AQ374" s="15"/>
      <c r="AR374" s="15"/>
      <c r="AS374" s="16"/>
      <c r="AT374" s="15"/>
      <c r="AU374" s="15"/>
      <c r="AV374" s="15"/>
      <c r="AW374" s="15"/>
      <c r="AX374" s="15"/>
      <c r="AY374" s="15"/>
      <c r="AZ374" s="15"/>
      <c r="BA374" s="15"/>
      <c r="BB374" s="15"/>
      <c r="BC374" s="15"/>
      <c r="BD374" s="15"/>
      <c r="BE374" s="15"/>
      <c r="BF374" s="15"/>
      <c r="BG374" s="15"/>
      <c r="BH374" s="15"/>
      <c r="BI374" s="15"/>
      <c r="BJ374" s="15"/>
      <c r="BK374" s="15"/>
      <c r="BL374" s="15"/>
      <c r="BM374" s="15"/>
      <c r="BN374" s="15"/>
      <c r="BO374" s="15"/>
      <c r="BP374" s="15"/>
      <c r="BQ374" s="15"/>
      <c r="BR374" s="15"/>
      <c r="BS374" s="15"/>
      <c r="BT374" s="15"/>
      <c r="BU374" s="15"/>
      <c r="BV374" s="15"/>
      <c r="BW374" s="15"/>
      <c r="BX374" s="15"/>
      <c r="BY374" s="15"/>
      <c r="BZ374" s="15"/>
      <c r="CA374" s="15"/>
      <c r="CB374" s="15"/>
      <c r="CC374" s="15"/>
      <c r="CD374" s="16"/>
      <c r="CF374" s="13"/>
      <c r="CG374" s="12"/>
      <c r="CV374" s="13"/>
      <c r="CZ374" s="13"/>
    </row>
    <row r="375" spans="20:189" ht="18" customHeight="1">
      <c r="T375" s="96"/>
      <c r="U375" s="97"/>
      <c r="AN375" s="12"/>
      <c r="AY375" s="97"/>
      <c r="AZ375" s="97"/>
      <c r="CE375" s="97"/>
      <c r="CF375" s="98"/>
      <c r="CG375" s="12"/>
      <c r="CV375" s="13"/>
      <c r="CZ375" s="13"/>
    </row>
    <row r="376" spans="20:189" ht="18" customHeight="1">
      <c r="T376" s="59"/>
      <c r="U376" s="60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2"/>
      <c r="AY376" s="97"/>
      <c r="AZ376" s="97"/>
      <c r="CE376" s="97"/>
      <c r="CF376" s="98"/>
      <c r="CG376" s="14"/>
      <c r="CH376" s="15"/>
      <c r="CI376" s="15"/>
      <c r="CJ376" s="15"/>
      <c r="CK376" s="15"/>
      <c r="CL376" s="15"/>
      <c r="CM376" s="15"/>
      <c r="CN376" s="15"/>
      <c r="CO376" s="15"/>
      <c r="CP376" s="15"/>
      <c r="CQ376" s="15"/>
      <c r="CR376" s="15"/>
      <c r="CS376" s="15"/>
      <c r="CT376" s="15"/>
      <c r="CU376" s="15"/>
      <c r="CV376" s="16"/>
      <c r="CW376" s="15"/>
      <c r="CX376" s="15"/>
      <c r="CY376" s="15"/>
      <c r="CZ376" s="16"/>
    </row>
    <row r="377" spans="20:189" ht="18" customHeight="1">
      <c r="AN377" s="9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  <c r="BL377" s="10"/>
      <c r="BM377" s="10"/>
      <c r="BN377" s="10"/>
      <c r="BO377" s="10"/>
      <c r="BP377" s="10"/>
      <c r="BQ377" s="10"/>
      <c r="BR377" s="10"/>
      <c r="BS377" s="10"/>
      <c r="BT377" s="10"/>
      <c r="BU377" s="10"/>
      <c r="BV377" s="10"/>
      <c r="BW377" s="10"/>
      <c r="BX377" s="10"/>
      <c r="BY377" s="10"/>
      <c r="BZ377" s="10"/>
      <c r="CA377" s="10"/>
      <c r="CB377" s="10"/>
      <c r="CC377" s="10"/>
      <c r="CD377" s="10"/>
      <c r="CE377" s="10"/>
      <c r="CF377" s="11"/>
      <c r="CG377" s="9"/>
      <c r="CH377" s="10"/>
      <c r="CI377" s="10"/>
      <c r="CJ377" s="10"/>
      <c r="CK377" s="10"/>
      <c r="CL377" s="10"/>
      <c r="CM377" s="10"/>
      <c r="CN377" s="10"/>
      <c r="CO377" s="10"/>
      <c r="CP377" s="10"/>
      <c r="CQ377" s="10"/>
      <c r="CR377" s="10"/>
      <c r="CS377" s="10"/>
      <c r="CT377" s="10"/>
      <c r="CU377" s="10"/>
      <c r="CV377" s="11"/>
      <c r="CW377" s="10"/>
      <c r="CX377" s="10"/>
      <c r="CY377" s="10"/>
      <c r="CZ377" s="11"/>
    </row>
    <row r="378" spans="20:189" ht="18" customHeight="1">
      <c r="AN378" s="12"/>
      <c r="CF378" s="13"/>
      <c r="CG378" s="12"/>
      <c r="CV378" s="13"/>
      <c r="CZ378" s="13"/>
    </row>
    <row r="379" spans="20:189" ht="18" customHeight="1">
      <c r="AN379" s="12"/>
      <c r="CF379" s="13"/>
      <c r="CG379" s="12"/>
      <c r="CV379" s="13"/>
      <c r="CZ379" s="13"/>
    </row>
    <row r="380" spans="20:189" ht="18" customHeight="1">
      <c r="AN380" s="12"/>
      <c r="CF380" s="13"/>
      <c r="CG380" s="12"/>
      <c r="CV380" s="13"/>
      <c r="CZ380" s="13"/>
    </row>
    <row r="381" spans="20:189" ht="18" customHeight="1">
      <c r="AN381" s="12"/>
      <c r="CF381" s="13"/>
      <c r="CG381" s="12"/>
      <c r="CV381" s="13"/>
      <c r="CZ381" s="13"/>
    </row>
    <row r="382" spans="20:189" ht="18" customHeight="1">
      <c r="AN382" s="12"/>
      <c r="CF382" s="13"/>
      <c r="CG382" s="12"/>
      <c r="CV382" s="13"/>
      <c r="CZ382" s="13"/>
    </row>
    <row r="383" spans="20:189" ht="18" customHeight="1">
      <c r="AN383" s="12"/>
      <c r="CF383" s="13"/>
      <c r="CG383" s="12"/>
      <c r="CV383" s="13"/>
      <c r="CZ383" s="13"/>
    </row>
    <row r="384" spans="20:189" ht="18" customHeight="1">
      <c r="AN384" s="12"/>
      <c r="CF384" s="13"/>
      <c r="CG384" s="12"/>
      <c r="CV384" s="13"/>
      <c r="CZ384" s="13"/>
    </row>
    <row r="385" spans="40:262" ht="18" customHeight="1">
      <c r="AN385" s="12"/>
      <c r="CF385" s="13"/>
      <c r="CG385" s="12"/>
      <c r="CV385" s="13"/>
      <c r="CZ385" s="13"/>
    </row>
    <row r="386" spans="40:262" ht="18" customHeight="1">
      <c r="AN386" s="12"/>
      <c r="CF386" s="13"/>
      <c r="CG386" s="12"/>
      <c r="CV386" s="13"/>
      <c r="CZ386" s="13"/>
      <c r="DY386" s="9"/>
      <c r="DZ386" s="10"/>
      <c r="EA386" s="10"/>
      <c r="EB386" s="10"/>
      <c r="EC386" s="10"/>
      <c r="ED386" s="10"/>
      <c r="EE386" s="10"/>
      <c r="EF386" s="10"/>
      <c r="EG386" s="10"/>
      <c r="EH386" s="10"/>
      <c r="EI386" s="10"/>
      <c r="EJ386" s="10"/>
      <c r="EK386" s="10"/>
      <c r="EL386" s="10"/>
      <c r="EM386" s="10"/>
      <c r="EN386" s="10"/>
      <c r="EO386" s="10"/>
      <c r="EP386" s="10"/>
      <c r="EQ386" s="10"/>
      <c r="ER386" s="10"/>
      <c r="ES386" s="10"/>
      <c r="ET386" s="10"/>
      <c r="EU386" s="10"/>
      <c r="EV386" s="10"/>
      <c r="EW386" s="10"/>
      <c r="EX386" s="10"/>
      <c r="EY386" s="10"/>
      <c r="EZ386" s="10"/>
      <c r="FA386" s="10"/>
      <c r="FB386" s="10"/>
      <c r="FC386" s="10"/>
      <c r="FD386" s="10"/>
      <c r="FE386" s="10"/>
      <c r="FF386" s="10"/>
      <c r="FG386" s="10"/>
      <c r="FH386" s="10"/>
      <c r="FI386" s="10"/>
      <c r="FJ386" s="10"/>
      <c r="FK386" s="10"/>
      <c r="FL386" s="10"/>
      <c r="FM386" s="10"/>
      <c r="FN386" s="10"/>
      <c r="FO386" s="10"/>
      <c r="FP386" s="10"/>
      <c r="FQ386" s="10"/>
      <c r="FR386" s="10"/>
      <c r="FS386" s="10"/>
      <c r="FT386" s="10"/>
      <c r="FU386" s="10"/>
      <c r="FV386" s="10"/>
      <c r="FW386" s="10"/>
      <c r="FX386" s="10"/>
      <c r="FY386" s="10"/>
      <c r="FZ386" s="10"/>
      <c r="GA386" s="10"/>
      <c r="GB386" s="11"/>
    </row>
    <row r="387" spans="40:262" ht="18" customHeight="1">
      <c r="AN387" s="12"/>
      <c r="CF387" s="13"/>
      <c r="CG387" s="12"/>
      <c r="CV387" s="13"/>
      <c r="CZ387" s="13"/>
      <c r="DY387" s="12"/>
      <c r="GB387" s="13"/>
    </row>
    <row r="388" spans="40:262" ht="18" customHeight="1">
      <c r="AN388" s="12"/>
      <c r="CF388" s="13"/>
      <c r="CG388" s="12"/>
      <c r="CV388" s="13"/>
      <c r="CZ388" s="13"/>
      <c r="DY388" s="12"/>
      <c r="EA388" s="9"/>
      <c r="EB388" s="10"/>
      <c r="EC388" s="10"/>
      <c r="ED388" s="10"/>
      <c r="EE388" s="10"/>
      <c r="EF388" s="10"/>
      <c r="EG388" s="10"/>
      <c r="EH388" s="10"/>
      <c r="EI388" s="10"/>
      <c r="EJ388" s="10"/>
      <c r="EK388" s="10"/>
      <c r="EL388" s="10"/>
      <c r="EM388" s="10"/>
      <c r="EN388" s="10"/>
      <c r="EO388" s="10"/>
      <c r="EP388" s="10"/>
      <c r="EQ388" s="10"/>
      <c r="ER388" s="10"/>
      <c r="ES388" s="10"/>
      <c r="ET388" s="10"/>
      <c r="EU388" s="10"/>
      <c r="EV388" s="10"/>
      <c r="EW388" s="10"/>
      <c r="EX388" s="10"/>
      <c r="EY388" s="10"/>
      <c r="EZ388" s="10"/>
      <c r="FA388" s="11"/>
      <c r="FB388" s="10"/>
      <c r="FC388" s="9"/>
      <c r="FD388" s="10"/>
      <c r="FE388" s="10"/>
      <c r="FF388" s="10"/>
      <c r="FG388" s="10"/>
      <c r="FH388" s="10"/>
      <c r="FI388" s="10"/>
      <c r="FJ388" s="10"/>
      <c r="FK388" s="10"/>
      <c r="FL388" s="10"/>
      <c r="FM388" s="10"/>
      <c r="FN388" s="10"/>
      <c r="FO388" s="10"/>
      <c r="FP388" s="10"/>
      <c r="FQ388" s="10"/>
      <c r="FR388" s="11"/>
      <c r="FS388" s="11"/>
      <c r="FT388" s="10"/>
      <c r="FU388" s="10"/>
      <c r="FV388" s="10"/>
      <c r="FW388" s="10"/>
      <c r="FX388" s="10"/>
      <c r="FY388" s="10"/>
      <c r="FZ388" s="11"/>
      <c r="GB388" s="13"/>
      <c r="HR388" s="15"/>
      <c r="HS388" s="15"/>
      <c r="HT388" s="15"/>
      <c r="HU388" s="15"/>
      <c r="HV388" s="15"/>
      <c r="HW388" s="15"/>
      <c r="HX388" s="15"/>
      <c r="HY388" s="15"/>
    </row>
    <row r="389" spans="40:262" ht="18" customHeight="1">
      <c r="AN389" s="12"/>
      <c r="CF389" s="13"/>
      <c r="CG389" s="12"/>
      <c r="CV389" s="13"/>
      <c r="CZ389" s="13"/>
      <c r="DY389" s="12"/>
      <c r="EA389" s="12"/>
      <c r="FA389" s="13"/>
      <c r="FC389" s="12"/>
      <c r="FR389" s="13"/>
      <c r="FS389" s="13"/>
      <c r="FZ389" s="13"/>
      <c r="GB389" s="13"/>
      <c r="GZ389" s="9"/>
      <c r="HA389" s="10"/>
      <c r="HB389" s="10"/>
      <c r="HC389" s="10"/>
      <c r="HD389" s="10"/>
      <c r="HE389" s="10"/>
      <c r="HF389" s="10"/>
      <c r="HG389" s="10"/>
      <c r="HH389" s="10"/>
      <c r="HI389" s="10"/>
      <c r="HJ389" s="10"/>
      <c r="HK389" s="10"/>
      <c r="HL389" s="10"/>
      <c r="HM389" s="10"/>
      <c r="HN389" s="10"/>
      <c r="HO389" s="10"/>
      <c r="HP389" s="10"/>
      <c r="HQ389" s="10"/>
      <c r="HR389" s="10"/>
      <c r="HS389" s="10"/>
      <c r="HT389" s="10"/>
      <c r="HU389" s="10"/>
      <c r="HV389" s="10"/>
      <c r="HW389" s="10"/>
      <c r="HX389" s="10"/>
      <c r="HY389" s="10"/>
      <c r="HZ389" s="10"/>
      <c r="IA389" s="10"/>
      <c r="IB389" s="10"/>
      <c r="IC389" s="10"/>
      <c r="ID389" s="10"/>
      <c r="IE389" s="10"/>
      <c r="IF389" s="10"/>
      <c r="IG389" s="10"/>
      <c r="IH389" s="10"/>
      <c r="II389" s="10"/>
      <c r="IJ389" s="10"/>
      <c r="IK389" s="10"/>
      <c r="IL389" s="10"/>
      <c r="IM389" s="10"/>
      <c r="IN389" s="10"/>
      <c r="IO389" s="10"/>
      <c r="IP389" s="10"/>
      <c r="IQ389" s="10"/>
      <c r="IR389" s="10"/>
      <c r="IS389" s="10"/>
      <c r="IT389" s="10"/>
      <c r="IU389" s="10"/>
      <c r="IV389" s="10"/>
      <c r="IW389" s="10"/>
      <c r="IX389" s="10"/>
      <c r="IY389" s="10"/>
      <c r="IZ389" s="10"/>
      <c r="JA389" s="10"/>
      <c r="JB389" s="11"/>
    </row>
    <row r="390" spans="40:262" ht="18" customHeight="1">
      <c r="AN390" s="12"/>
      <c r="CF390" s="13"/>
      <c r="CG390" s="12"/>
      <c r="CV390" s="13"/>
      <c r="CZ390" s="13"/>
      <c r="DY390" s="12"/>
      <c r="EA390" s="12"/>
      <c r="FA390" s="13"/>
      <c r="FC390" s="12"/>
      <c r="FR390" s="13"/>
      <c r="FS390" s="13"/>
      <c r="FZ390" s="13"/>
      <c r="GB390" s="13"/>
      <c r="GZ390" s="12"/>
      <c r="IJ390" s="15"/>
      <c r="IK390" s="15"/>
      <c r="IL390" s="15"/>
      <c r="IM390" s="15"/>
      <c r="IN390" s="15"/>
      <c r="IO390" s="15"/>
      <c r="IS390" s="15"/>
      <c r="IT390" s="15"/>
      <c r="IU390" s="15"/>
      <c r="JB390" s="13"/>
    </row>
    <row r="391" spans="40:262" ht="18" customHeight="1">
      <c r="AN391" s="12"/>
      <c r="CF391" s="13"/>
      <c r="CG391" s="12"/>
      <c r="CV391" s="13"/>
      <c r="CZ391" s="13"/>
      <c r="DY391" s="12"/>
      <c r="EA391" s="12"/>
      <c r="FA391" s="13"/>
      <c r="FC391" s="12"/>
      <c r="FR391" s="13"/>
      <c r="FS391" s="13"/>
      <c r="FZ391" s="13"/>
      <c r="GB391" s="13"/>
      <c r="GZ391" s="12"/>
      <c r="HB391" s="9"/>
      <c r="HC391" s="10"/>
      <c r="HD391" s="10"/>
      <c r="HE391" s="10"/>
      <c r="HF391" s="10"/>
      <c r="HG391" s="10"/>
      <c r="HH391" s="10"/>
      <c r="HI391" s="10"/>
      <c r="HJ391" s="10"/>
      <c r="HK391" s="10"/>
      <c r="HL391" s="10"/>
      <c r="HM391" s="10"/>
      <c r="HN391" s="10"/>
      <c r="HO391" s="10"/>
      <c r="HP391" s="10"/>
      <c r="HQ391" s="10"/>
      <c r="HR391" s="10"/>
      <c r="HS391" s="9"/>
      <c r="HT391" s="10"/>
      <c r="HU391" s="10"/>
      <c r="HV391" s="10"/>
      <c r="HW391" s="10"/>
      <c r="HX391" s="10"/>
      <c r="HY391" s="10"/>
      <c r="HZ391" s="10"/>
      <c r="IA391" s="9"/>
      <c r="IB391" s="9"/>
      <c r="IC391" s="10"/>
      <c r="ID391" s="10"/>
      <c r="IE391" s="10"/>
      <c r="IF391" s="10"/>
      <c r="IG391" s="10"/>
      <c r="IH391" s="10"/>
      <c r="II391" s="10"/>
      <c r="IJ391" s="11"/>
      <c r="IK391" s="11"/>
      <c r="IL391" s="10"/>
      <c r="IM391" s="10"/>
      <c r="IN391" s="10"/>
      <c r="IO391" s="10"/>
      <c r="IP391" s="10"/>
      <c r="IQ391" s="10"/>
      <c r="IR391" s="10"/>
      <c r="IS391" s="10"/>
      <c r="IT391" s="11"/>
      <c r="IU391" s="9"/>
      <c r="IV391" s="10"/>
      <c r="IW391" s="10"/>
      <c r="IX391" s="10"/>
      <c r="IY391" s="10"/>
      <c r="IZ391" s="11"/>
      <c r="JB391" s="13"/>
    </row>
    <row r="392" spans="40:262" ht="18" customHeight="1">
      <c r="AN392" s="14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15"/>
      <c r="AZ392" s="15"/>
      <c r="BA392" s="15"/>
      <c r="BB392" s="15"/>
      <c r="BC392" s="15"/>
      <c r="BD392" s="15"/>
      <c r="BE392" s="15"/>
      <c r="BF392" s="15"/>
      <c r="BG392" s="15"/>
      <c r="BH392" s="15"/>
      <c r="BI392" s="15"/>
      <c r="BJ392" s="15"/>
      <c r="BK392" s="15"/>
      <c r="BL392" s="15"/>
      <c r="BM392" s="15"/>
      <c r="BN392" s="15"/>
      <c r="BO392" s="15"/>
      <c r="BP392" s="15"/>
      <c r="BQ392" s="15"/>
      <c r="BR392" s="15"/>
      <c r="BS392" s="15"/>
      <c r="BT392" s="15"/>
      <c r="BU392" s="15"/>
      <c r="BV392" s="15"/>
      <c r="BW392" s="15"/>
      <c r="BX392" s="15"/>
      <c r="BY392" s="15"/>
      <c r="BZ392" s="15"/>
      <c r="CA392" s="15"/>
      <c r="CB392" s="15"/>
      <c r="CC392" s="15"/>
      <c r="CD392" s="15"/>
      <c r="CE392" s="15"/>
      <c r="CF392" s="16"/>
      <c r="CG392" s="14"/>
      <c r="CH392" s="15"/>
      <c r="CI392" s="15"/>
      <c r="CJ392" s="15"/>
      <c r="CK392" s="15"/>
      <c r="CL392" s="15"/>
      <c r="CM392" s="15"/>
      <c r="CN392" s="15"/>
      <c r="CO392" s="15"/>
      <c r="CP392" s="15"/>
      <c r="CQ392" s="15"/>
      <c r="CR392" s="15"/>
      <c r="CS392" s="15"/>
      <c r="CT392" s="15"/>
      <c r="CU392" s="15"/>
      <c r="CV392" s="16"/>
      <c r="CZ392" s="13"/>
      <c r="DY392" s="12"/>
      <c r="EA392" s="12"/>
      <c r="FA392" s="13"/>
      <c r="FC392" s="12"/>
      <c r="FR392" s="13"/>
      <c r="FS392" s="13"/>
      <c r="FZ392" s="13"/>
      <c r="GB392" s="13"/>
      <c r="GZ392" s="12"/>
      <c r="HB392" s="12"/>
      <c r="HS392" s="12"/>
      <c r="IA392" s="12"/>
      <c r="IB392" s="12"/>
      <c r="IJ392" s="13"/>
      <c r="IK392" s="13"/>
      <c r="IT392" s="13"/>
      <c r="IU392" s="12"/>
      <c r="IZ392" s="13"/>
      <c r="JB392" s="13"/>
    </row>
    <row r="393" spans="40:262" ht="18" customHeight="1">
      <c r="AN393" s="12"/>
      <c r="CZ393" s="13"/>
      <c r="DY393" s="12"/>
      <c r="EA393" s="12"/>
      <c r="FA393" s="13"/>
      <c r="FC393" s="12"/>
      <c r="FR393" s="13"/>
      <c r="FS393" s="13"/>
      <c r="FZ393" s="13"/>
      <c r="GB393" s="13"/>
      <c r="GZ393" s="12"/>
      <c r="HB393" s="12"/>
      <c r="HS393" s="12"/>
      <c r="IA393" s="12"/>
      <c r="IB393" s="12"/>
      <c r="IJ393" s="13"/>
      <c r="IK393" s="13"/>
      <c r="IT393" s="13"/>
      <c r="IU393" s="12"/>
      <c r="IZ393" s="13"/>
      <c r="JB393" s="13"/>
    </row>
    <row r="394" spans="40:262" ht="18" customHeight="1">
      <c r="AN394" s="12"/>
      <c r="CZ394" s="13"/>
      <c r="DY394" s="12"/>
      <c r="EA394" s="12"/>
      <c r="FA394" s="13"/>
      <c r="FC394" s="12"/>
      <c r="FR394" s="13"/>
      <c r="FS394" s="13"/>
      <c r="FZ394" s="13"/>
      <c r="GB394" s="13"/>
      <c r="GZ394" s="12"/>
      <c r="HB394" s="12"/>
      <c r="HS394" s="12"/>
      <c r="IA394" s="12"/>
      <c r="IB394" s="12"/>
      <c r="IJ394" s="13"/>
      <c r="IK394" s="13"/>
      <c r="IT394" s="13"/>
      <c r="IU394" s="12"/>
      <c r="IZ394" s="13"/>
      <c r="JB394" s="13"/>
    </row>
    <row r="395" spans="40:262" ht="18" customHeight="1">
      <c r="AN395" s="12"/>
      <c r="CZ395" s="13"/>
      <c r="DY395" s="12"/>
      <c r="EA395" s="12"/>
      <c r="FA395" s="13"/>
      <c r="FC395" s="12"/>
      <c r="FR395" s="13"/>
      <c r="FS395" s="13"/>
      <c r="FZ395" s="13"/>
      <c r="GB395" s="13"/>
      <c r="GZ395" s="12"/>
      <c r="HB395" s="12"/>
      <c r="HS395" s="12"/>
      <c r="IA395" s="12"/>
      <c r="IB395" s="12"/>
      <c r="IJ395" s="13"/>
      <c r="IK395" s="13"/>
      <c r="IT395" s="13"/>
      <c r="IU395" s="12"/>
      <c r="IZ395" s="13"/>
      <c r="JB395" s="13"/>
    </row>
    <row r="396" spans="40:262" ht="18" customHeight="1">
      <c r="AN396" s="14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15"/>
      <c r="AZ396" s="15"/>
      <c r="BA396" s="15"/>
      <c r="BB396" s="15"/>
      <c r="BC396" s="15"/>
      <c r="BD396" s="15"/>
      <c r="BE396" s="15"/>
      <c r="BF396" s="15"/>
      <c r="BG396" s="15"/>
      <c r="BH396" s="15"/>
      <c r="BI396" s="15"/>
      <c r="BJ396" s="15"/>
      <c r="BK396" s="15"/>
      <c r="BL396" s="15"/>
      <c r="BM396" s="15"/>
      <c r="BN396" s="15"/>
      <c r="BO396" s="15"/>
      <c r="BP396" s="15"/>
      <c r="BQ396" s="15"/>
      <c r="BR396" s="15"/>
      <c r="BS396" s="15"/>
      <c r="BT396" s="15"/>
      <c r="BU396" s="15"/>
      <c r="BV396" s="15"/>
      <c r="BW396" s="15"/>
      <c r="BX396" s="15"/>
      <c r="BY396" s="15"/>
      <c r="BZ396" s="15"/>
      <c r="CA396" s="15"/>
      <c r="CB396" s="15"/>
      <c r="CC396" s="15"/>
      <c r="CD396" s="15"/>
      <c r="CE396" s="15"/>
      <c r="CF396" s="15"/>
      <c r="CG396" s="15"/>
      <c r="CH396" s="15"/>
      <c r="CI396" s="15"/>
      <c r="CJ396" s="15"/>
      <c r="CK396" s="15"/>
      <c r="CL396" s="15"/>
      <c r="CM396" s="15"/>
      <c r="CN396" s="15"/>
      <c r="CO396" s="15"/>
      <c r="CP396" s="15"/>
      <c r="CQ396" s="15"/>
      <c r="CR396" s="15"/>
      <c r="CS396" s="15"/>
      <c r="CT396" s="15"/>
      <c r="CU396" s="15"/>
      <c r="CV396" s="15"/>
      <c r="CW396" s="15"/>
      <c r="CX396" s="15"/>
      <c r="CY396" s="15"/>
      <c r="CZ396" s="16"/>
      <c r="DY396" s="12"/>
      <c r="EA396" s="12"/>
      <c r="FA396" s="13"/>
      <c r="FC396" s="14"/>
      <c r="FD396" s="15"/>
      <c r="FE396" s="15"/>
      <c r="FF396" s="15"/>
      <c r="FG396" s="15"/>
      <c r="FH396" s="15"/>
      <c r="FI396" s="15"/>
      <c r="FJ396" s="15"/>
      <c r="FK396" s="15"/>
      <c r="FL396" s="15"/>
      <c r="FM396" s="15"/>
      <c r="FN396" s="15"/>
      <c r="FO396" s="15"/>
      <c r="FP396" s="15"/>
      <c r="FQ396" s="15"/>
      <c r="FR396" s="16"/>
      <c r="FS396" s="13"/>
      <c r="FZ396" s="13"/>
      <c r="GB396" s="13"/>
      <c r="GZ396" s="12"/>
      <c r="HB396" s="14"/>
      <c r="HC396" s="15"/>
      <c r="HD396" s="15"/>
      <c r="HE396" s="15"/>
      <c r="HF396" s="15"/>
      <c r="HG396" s="15"/>
      <c r="HH396" s="15"/>
      <c r="HI396" s="15"/>
      <c r="HJ396" s="15"/>
      <c r="HK396" s="15"/>
      <c r="HL396" s="15"/>
      <c r="HM396" s="15"/>
      <c r="HN396" s="15"/>
      <c r="HO396" s="15"/>
      <c r="HP396" s="15"/>
      <c r="HQ396" s="15"/>
      <c r="HR396" s="15"/>
      <c r="HS396" s="14"/>
      <c r="HT396" s="15"/>
      <c r="HU396" s="15"/>
      <c r="HV396" s="15"/>
      <c r="HW396" s="15"/>
      <c r="HX396" s="15"/>
      <c r="HY396" s="15"/>
      <c r="HZ396" s="15"/>
      <c r="IA396" s="14"/>
      <c r="IB396" s="14"/>
      <c r="IC396" s="15"/>
      <c r="ID396" s="15"/>
      <c r="IE396" s="15"/>
      <c r="IF396" s="15"/>
      <c r="IG396" s="15"/>
      <c r="IH396" s="15"/>
      <c r="II396" s="15"/>
      <c r="IJ396" s="16"/>
      <c r="IK396" s="16"/>
      <c r="IL396" s="15"/>
      <c r="IM396" s="15"/>
      <c r="IN396" s="15"/>
      <c r="IO396" s="15"/>
      <c r="IP396" s="15"/>
      <c r="IQ396" s="15"/>
      <c r="IR396" s="15"/>
      <c r="IS396" s="15"/>
      <c r="IT396" s="16"/>
      <c r="IU396" s="12"/>
      <c r="IZ396" s="13"/>
      <c r="JB396" s="13"/>
    </row>
    <row r="397" spans="40:262" ht="18" customHeight="1">
      <c r="DY397" s="12"/>
      <c r="EA397" s="12"/>
      <c r="FA397" s="13"/>
      <c r="FC397" s="14"/>
      <c r="FD397" s="15"/>
      <c r="FE397" s="15"/>
      <c r="FF397" s="15"/>
      <c r="FG397" s="15"/>
      <c r="FH397" s="15"/>
      <c r="FI397" s="15"/>
      <c r="FJ397" s="15"/>
      <c r="FK397" s="15"/>
      <c r="FL397" s="15"/>
      <c r="FM397" s="15"/>
      <c r="FN397" s="15"/>
      <c r="FO397" s="15"/>
      <c r="FP397" s="15"/>
      <c r="FQ397" s="15"/>
      <c r="FR397" s="15"/>
      <c r="FS397" s="16"/>
      <c r="FZ397" s="13"/>
      <c r="GB397" s="13"/>
      <c r="GZ397" s="96"/>
      <c r="HA397" s="97"/>
      <c r="HB397" s="20"/>
      <c r="HC397" s="21"/>
      <c r="HD397" s="21"/>
      <c r="HE397" s="21"/>
      <c r="HF397" s="21"/>
      <c r="HG397" s="21"/>
      <c r="HH397" s="21"/>
      <c r="HI397" s="21"/>
      <c r="HJ397" s="21"/>
      <c r="HK397" s="21"/>
      <c r="HL397" s="21"/>
      <c r="HM397" s="21"/>
      <c r="HN397" s="21"/>
      <c r="HO397" s="21"/>
      <c r="HP397" s="21"/>
      <c r="HQ397" s="21"/>
      <c r="HR397" s="21"/>
      <c r="HS397" s="21"/>
      <c r="HT397" s="21"/>
      <c r="HU397" s="21"/>
      <c r="HV397" s="21"/>
      <c r="HW397" s="21"/>
      <c r="HX397" s="21"/>
      <c r="HY397" s="21"/>
      <c r="HZ397" s="212"/>
      <c r="IA397" s="260"/>
      <c r="IB397" s="15"/>
      <c r="IC397" s="15"/>
      <c r="ID397" s="15"/>
      <c r="IE397" s="15"/>
      <c r="IF397" s="15"/>
      <c r="IG397" s="15"/>
      <c r="IH397" s="15"/>
      <c r="II397" s="15"/>
      <c r="IJ397" s="16"/>
      <c r="IK397" s="16"/>
      <c r="IL397" s="15"/>
      <c r="IM397" s="15"/>
      <c r="IN397" s="15"/>
      <c r="IO397" s="15"/>
      <c r="IP397" s="15"/>
      <c r="IQ397" s="15"/>
      <c r="IR397" s="15"/>
      <c r="IS397" s="15"/>
      <c r="IT397" s="15"/>
      <c r="IU397" s="12"/>
      <c r="IZ397" s="13"/>
      <c r="JA397" s="97"/>
      <c r="JB397" s="98"/>
    </row>
    <row r="398" spans="40:262" ht="18" customHeight="1">
      <c r="DY398" s="12"/>
      <c r="EA398" s="12"/>
      <c r="FA398" s="13"/>
      <c r="FC398" s="12"/>
      <c r="FZ398" s="13"/>
      <c r="GB398" s="13"/>
      <c r="GZ398" s="96"/>
      <c r="HA398" s="97"/>
      <c r="HB398" s="9"/>
      <c r="HC398" s="10"/>
      <c r="HD398" s="10"/>
      <c r="HE398" s="10"/>
      <c r="HF398" s="10"/>
      <c r="HG398" s="10"/>
      <c r="HH398" s="10"/>
      <c r="HI398" s="10"/>
      <c r="HJ398" s="10"/>
      <c r="HK398" s="10"/>
      <c r="HL398" s="10"/>
      <c r="HM398" s="10"/>
      <c r="HN398" s="10"/>
      <c r="HO398" s="10"/>
      <c r="HP398" s="10"/>
      <c r="HQ398" s="10"/>
      <c r="HR398" s="10"/>
      <c r="HS398" s="10"/>
      <c r="HT398" s="10"/>
      <c r="HU398" s="10"/>
      <c r="HV398" s="10"/>
      <c r="HW398" s="10"/>
      <c r="HX398" s="10"/>
      <c r="HY398" s="10"/>
      <c r="HZ398" s="97"/>
      <c r="IA398" s="261"/>
      <c r="IB398" s="10"/>
      <c r="IC398" s="10"/>
      <c r="ID398" s="10"/>
      <c r="IE398" s="10"/>
      <c r="IF398" s="10"/>
      <c r="IG398" s="10"/>
      <c r="IH398" s="10"/>
      <c r="IL398" s="9"/>
      <c r="IM398" s="10"/>
      <c r="IN398" s="10"/>
      <c r="IO398" s="10"/>
      <c r="IP398" s="10"/>
      <c r="IQ398" s="10"/>
      <c r="IR398" s="10"/>
      <c r="IS398" s="10"/>
      <c r="IT398" s="11"/>
      <c r="IU398" s="12"/>
      <c r="IZ398" s="13"/>
      <c r="JA398" s="97"/>
      <c r="JB398" s="98"/>
    </row>
    <row r="399" spans="40:262" ht="18" customHeight="1">
      <c r="DY399" s="12"/>
      <c r="EA399" s="12"/>
      <c r="FA399" s="13"/>
      <c r="FC399" s="12"/>
      <c r="FZ399" s="13"/>
      <c r="GB399" s="13"/>
      <c r="GZ399" s="12"/>
      <c r="HB399" s="12"/>
      <c r="HZ399" s="13"/>
      <c r="IA399" s="18"/>
      <c r="IL399" s="12"/>
      <c r="IT399" s="13"/>
      <c r="IU399" s="12"/>
      <c r="IZ399" s="13"/>
      <c r="JB399" s="13"/>
    </row>
    <row r="400" spans="40:262" ht="18" customHeight="1">
      <c r="DY400" s="12"/>
      <c r="EA400" s="12"/>
      <c r="FA400" s="13"/>
      <c r="FC400" s="12"/>
      <c r="FZ400" s="13"/>
      <c r="GB400" s="13"/>
      <c r="GZ400" s="12"/>
      <c r="HB400" s="12"/>
      <c r="HZ400" s="13"/>
      <c r="IA400" s="18"/>
      <c r="IL400" s="12"/>
      <c r="IT400" s="13"/>
      <c r="IU400" s="12"/>
      <c r="IZ400" s="13"/>
      <c r="JB400" s="13"/>
    </row>
    <row r="401" spans="129:262" ht="18" customHeight="1">
      <c r="DY401" s="12"/>
      <c r="EA401" s="12"/>
      <c r="FA401" s="13"/>
      <c r="FC401" s="12"/>
      <c r="FZ401" s="13"/>
      <c r="GB401" s="13"/>
      <c r="GZ401" s="12"/>
      <c r="HB401" s="12"/>
      <c r="HZ401" s="13"/>
      <c r="IA401" s="13"/>
      <c r="IL401" s="12"/>
      <c r="IT401" s="13"/>
      <c r="IU401" s="12"/>
      <c r="IZ401" s="13"/>
      <c r="JB401" s="13"/>
    </row>
    <row r="402" spans="129:262" ht="18" customHeight="1">
      <c r="DY402" s="12"/>
      <c r="EA402" s="12"/>
      <c r="FA402" s="13"/>
      <c r="FC402" s="12"/>
      <c r="FZ402" s="13"/>
      <c r="GB402" s="13"/>
      <c r="GZ402" s="12"/>
      <c r="HB402" s="12"/>
      <c r="HZ402" s="13"/>
      <c r="IA402" s="13"/>
      <c r="IL402" s="12"/>
      <c r="IT402" s="13"/>
      <c r="IU402" s="12"/>
      <c r="IZ402" s="13"/>
      <c r="JB402" s="13"/>
    </row>
    <row r="403" spans="129:262" ht="18" customHeight="1">
      <c r="DY403" s="12"/>
      <c r="EA403" s="12"/>
      <c r="FA403" s="13"/>
      <c r="FC403" s="12"/>
      <c r="FZ403" s="13"/>
      <c r="GB403" s="13"/>
      <c r="GZ403" s="12"/>
      <c r="HB403" s="12"/>
      <c r="HZ403" s="13"/>
      <c r="IA403" s="13"/>
      <c r="IL403" s="14"/>
      <c r="IM403" s="15"/>
      <c r="IN403" s="15"/>
      <c r="IO403" s="15"/>
      <c r="IP403" s="15"/>
      <c r="IQ403" s="15"/>
      <c r="IR403" s="15"/>
      <c r="IS403" s="15"/>
      <c r="IT403" s="16"/>
      <c r="IU403" s="14"/>
      <c r="IV403" s="15"/>
      <c r="IW403" s="15"/>
      <c r="IX403" s="15"/>
      <c r="IY403" s="15"/>
      <c r="IZ403" s="16"/>
      <c r="JB403" s="13"/>
    </row>
    <row r="404" spans="129:262" ht="18" customHeight="1">
      <c r="DY404" s="12"/>
      <c r="EA404" s="12"/>
      <c r="FA404" s="13"/>
      <c r="FC404" s="12"/>
      <c r="FZ404" s="13"/>
      <c r="GB404" s="13"/>
      <c r="GZ404" s="12"/>
      <c r="HB404" s="12"/>
      <c r="HZ404" s="13"/>
      <c r="IA404" s="13"/>
      <c r="IL404" s="20"/>
      <c r="IM404" s="21"/>
      <c r="IN404" s="21"/>
      <c r="IO404" s="21"/>
      <c r="IP404" s="21"/>
      <c r="IQ404" s="21"/>
      <c r="IR404" s="21"/>
      <c r="IS404" s="21"/>
      <c r="IT404" s="21"/>
      <c r="IU404" s="21"/>
      <c r="IV404" s="21"/>
      <c r="IW404" s="21"/>
      <c r="IX404" s="21"/>
      <c r="IY404" s="21"/>
      <c r="IZ404" s="22"/>
      <c r="JB404" s="13"/>
    </row>
    <row r="405" spans="129:262" ht="18" customHeight="1">
      <c r="DY405" s="12"/>
      <c r="EA405" s="12"/>
      <c r="FA405" s="13"/>
      <c r="FC405" s="12"/>
      <c r="FZ405" s="13"/>
      <c r="GB405" s="13"/>
      <c r="GZ405" s="12"/>
      <c r="HB405" s="12"/>
      <c r="HZ405" s="13"/>
      <c r="IA405" s="13"/>
      <c r="IZ405" s="13"/>
      <c r="JB405" s="13"/>
    </row>
    <row r="406" spans="129:262" ht="18" customHeight="1">
      <c r="DY406" s="12"/>
      <c r="EA406" s="12"/>
      <c r="FA406" s="13"/>
      <c r="FC406" s="12"/>
      <c r="FZ406" s="13"/>
      <c r="GB406" s="13"/>
      <c r="GZ406" s="12"/>
      <c r="HB406" s="12"/>
      <c r="HZ406" s="13"/>
      <c r="IA406" s="13"/>
      <c r="IZ406" s="13"/>
      <c r="JB406" s="13"/>
    </row>
    <row r="407" spans="129:262" ht="18" customHeight="1">
      <c r="DY407" s="12"/>
      <c r="EA407" s="12"/>
      <c r="FA407" s="13"/>
      <c r="FC407" s="12"/>
      <c r="FZ407" s="13"/>
      <c r="GB407" s="13"/>
      <c r="GZ407" s="12"/>
      <c r="HB407" s="12"/>
      <c r="HZ407" s="13"/>
      <c r="IA407" s="13"/>
      <c r="IZ407" s="13"/>
      <c r="JB407" s="13"/>
    </row>
    <row r="408" spans="129:262" ht="18" customHeight="1">
      <c r="DY408" s="12"/>
      <c r="EA408" s="12"/>
      <c r="FA408" s="13"/>
      <c r="FC408" s="12"/>
      <c r="FZ408" s="13"/>
      <c r="GB408" s="13"/>
      <c r="GZ408" s="12"/>
      <c r="HB408" s="12"/>
      <c r="HZ408" s="13"/>
      <c r="IA408" s="13"/>
      <c r="IZ408" s="13"/>
      <c r="JB408" s="13"/>
    </row>
    <row r="409" spans="129:262" ht="18" customHeight="1">
      <c r="DY409" s="12"/>
      <c r="EA409" s="12"/>
      <c r="FA409" s="13"/>
      <c r="FC409" s="12"/>
      <c r="FZ409" s="13"/>
      <c r="GB409" s="13"/>
      <c r="GZ409" s="12"/>
      <c r="HB409" s="12"/>
      <c r="HZ409" s="13"/>
      <c r="IA409" s="13"/>
      <c r="IZ409" s="13"/>
      <c r="JB409" s="13"/>
    </row>
    <row r="410" spans="129:262" ht="18" customHeight="1">
      <c r="DY410" s="12"/>
      <c r="EA410" s="12"/>
      <c r="FA410" s="13"/>
      <c r="FC410" s="12"/>
      <c r="FZ410" s="13"/>
      <c r="GB410" s="13"/>
      <c r="GZ410" s="12"/>
      <c r="HB410" s="12"/>
      <c r="HZ410" s="13"/>
      <c r="IA410" s="13"/>
      <c r="IZ410" s="13"/>
      <c r="JB410" s="13"/>
    </row>
    <row r="411" spans="129:262" ht="18" customHeight="1">
      <c r="DY411" s="12"/>
      <c r="EA411" s="14"/>
      <c r="EB411" s="15"/>
      <c r="EC411" s="15"/>
      <c r="ED411" s="15"/>
      <c r="EE411" s="15"/>
      <c r="EF411" s="15"/>
      <c r="EG411" s="15"/>
      <c r="EH411" s="15"/>
      <c r="EI411" s="15"/>
      <c r="EJ411" s="15"/>
      <c r="EK411" s="15"/>
      <c r="EL411" s="15"/>
      <c r="EM411" s="15"/>
      <c r="EN411" s="15"/>
      <c r="EO411" s="15"/>
      <c r="EP411" s="15"/>
      <c r="EQ411" s="15"/>
      <c r="ER411" s="15"/>
      <c r="ES411" s="15"/>
      <c r="ET411" s="15"/>
      <c r="EU411" s="15"/>
      <c r="EV411" s="15"/>
      <c r="EW411" s="15"/>
      <c r="EX411" s="15"/>
      <c r="EY411" s="15"/>
      <c r="EZ411" s="15"/>
      <c r="FA411" s="16"/>
      <c r="FC411" s="12"/>
      <c r="FZ411" s="13"/>
      <c r="GB411" s="13"/>
      <c r="GZ411" s="12"/>
      <c r="HB411" s="12"/>
      <c r="HZ411" s="13"/>
      <c r="IA411" s="13"/>
      <c r="IZ411" s="13"/>
      <c r="JB411" s="13"/>
    </row>
    <row r="412" spans="129:262" ht="18" customHeight="1">
      <c r="DY412" s="12"/>
      <c r="EA412" s="12"/>
      <c r="FC412" s="12"/>
      <c r="FZ412" s="13"/>
      <c r="GB412" s="13"/>
      <c r="GZ412" s="12"/>
      <c r="HB412" s="12"/>
      <c r="HZ412" s="13"/>
      <c r="IA412" s="13"/>
      <c r="IZ412" s="13"/>
      <c r="JB412" s="13"/>
    </row>
    <row r="413" spans="129:262" ht="18" customHeight="1">
      <c r="DY413" s="12"/>
      <c r="EA413" s="9"/>
      <c r="EB413" s="10"/>
      <c r="EC413" s="10"/>
      <c r="ED413" s="10"/>
      <c r="EE413" s="10"/>
      <c r="EF413" s="11"/>
      <c r="EH413" s="9"/>
      <c r="EI413" s="10"/>
      <c r="EJ413" s="10"/>
      <c r="EK413" s="11"/>
      <c r="EL413" s="10"/>
      <c r="EM413" s="10"/>
      <c r="EN413" s="10"/>
      <c r="EO413" s="10"/>
      <c r="EP413" s="10"/>
      <c r="EQ413" s="10"/>
      <c r="ER413" s="10"/>
      <c r="ES413" s="10"/>
      <c r="ET413" s="10"/>
      <c r="EU413" s="10"/>
      <c r="EV413" s="10"/>
      <c r="EW413" s="10"/>
      <c r="EX413" s="9"/>
      <c r="EY413" s="10"/>
      <c r="EZ413" s="10"/>
      <c r="FA413" s="11"/>
      <c r="FC413" s="12"/>
      <c r="FZ413" s="13"/>
      <c r="GB413" s="13"/>
      <c r="GZ413" s="12"/>
      <c r="HB413" s="12"/>
      <c r="HZ413" s="13"/>
      <c r="IA413" s="13"/>
      <c r="IZ413" s="13"/>
      <c r="JB413" s="13"/>
    </row>
    <row r="414" spans="129:262" ht="18" customHeight="1">
      <c r="DY414" s="12"/>
      <c r="EA414" s="12"/>
      <c r="EF414" s="13"/>
      <c r="EH414" s="12"/>
      <c r="EK414" s="13"/>
      <c r="EX414" s="12"/>
      <c r="FA414" s="13"/>
      <c r="FC414" s="12"/>
      <c r="FZ414" s="13"/>
      <c r="GB414" s="13"/>
      <c r="GZ414" s="12"/>
      <c r="HB414" s="12"/>
      <c r="HZ414" s="13"/>
      <c r="IA414" s="13"/>
      <c r="IZ414" s="13"/>
      <c r="JB414" s="13"/>
    </row>
    <row r="415" spans="129:262" ht="18" customHeight="1">
      <c r="DY415" s="12"/>
      <c r="EA415" s="12"/>
      <c r="EF415" s="13"/>
      <c r="EH415" s="12"/>
      <c r="EK415" s="13"/>
      <c r="EX415" s="12"/>
      <c r="FA415" s="13"/>
      <c r="FC415" s="12"/>
      <c r="FZ415" s="13"/>
      <c r="GB415" s="13"/>
      <c r="GZ415" s="12"/>
      <c r="HB415" s="12"/>
      <c r="HZ415" s="13"/>
      <c r="IA415" s="13"/>
      <c r="IZ415" s="13"/>
      <c r="JB415" s="13"/>
    </row>
    <row r="416" spans="129:262" ht="18" customHeight="1">
      <c r="DY416" s="12"/>
      <c r="EA416" s="12"/>
      <c r="EF416" s="13"/>
      <c r="EH416" s="14"/>
      <c r="EI416" s="15"/>
      <c r="EJ416" s="15"/>
      <c r="EK416" s="16"/>
      <c r="EL416" s="15"/>
      <c r="EM416" s="15"/>
      <c r="EN416" s="15"/>
      <c r="EO416" s="15"/>
      <c r="EP416" s="15"/>
      <c r="EQ416" s="15"/>
      <c r="ER416" s="15"/>
      <c r="ES416" s="15"/>
      <c r="ET416" s="15"/>
      <c r="EU416" s="15"/>
      <c r="EV416" s="15"/>
      <c r="EW416" s="15"/>
      <c r="EX416" s="14"/>
      <c r="EY416" s="15"/>
      <c r="EZ416" s="15"/>
      <c r="FA416" s="16"/>
      <c r="FC416" s="12"/>
      <c r="FZ416" s="13"/>
      <c r="GB416" s="13"/>
      <c r="GZ416" s="12"/>
      <c r="HB416" s="12"/>
      <c r="HZ416" s="13"/>
      <c r="IA416" s="13"/>
      <c r="IZ416" s="13"/>
      <c r="JB416" s="13"/>
    </row>
    <row r="417" spans="32:262" ht="18" customHeight="1">
      <c r="DY417" s="12"/>
      <c r="EA417" s="12"/>
      <c r="EF417" s="13"/>
      <c r="EH417" s="12"/>
      <c r="EK417" s="13"/>
      <c r="EX417" s="9"/>
      <c r="EY417" s="10"/>
      <c r="EZ417" s="10"/>
      <c r="FA417" s="11"/>
      <c r="FC417" s="12"/>
      <c r="FZ417" s="13"/>
      <c r="GB417" s="13"/>
      <c r="GZ417" s="96"/>
      <c r="HA417" s="97"/>
      <c r="HB417" s="20"/>
      <c r="HC417" s="21"/>
      <c r="HD417" s="21"/>
      <c r="HE417" s="21"/>
      <c r="HF417" s="21"/>
      <c r="HG417" s="21"/>
      <c r="HH417" s="21"/>
      <c r="HI417" s="21"/>
      <c r="HJ417" s="21"/>
      <c r="HK417" s="21"/>
      <c r="HL417" s="21"/>
      <c r="HM417" s="21"/>
      <c r="HN417" s="21"/>
      <c r="HO417" s="21"/>
      <c r="HP417" s="21"/>
      <c r="HQ417" s="21"/>
      <c r="HR417" s="22"/>
      <c r="HS417" s="20"/>
      <c r="HT417" s="21"/>
      <c r="HU417" s="21"/>
      <c r="HV417" s="21"/>
      <c r="HW417" s="21"/>
      <c r="HX417" s="21"/>
      <c r="HY417" s="21"/>
      <c r="HZ417" s="212"/>
      <c r="IA417" s="213"/>
      <c r="IZ417" s="13"/>
      <c r="JA417" s="97"/>
      <c r="JB417" s="98"/>
    </row>
    <row r="418" spans="32:262" ht="18" customHeight="1">
      <c r="DY418" s="12"/>
      <c r="EA418" s="12"/>
      <c r="EF418" s="13"/>
      <c r="EH418" s="12"/>
      <c r="EK418" s="13"/>
      <c r="EX418" s="12"/>
      <c r="FA418" s="13"/>
      <c r="FC418" s="12"/>
      <c r="FZ418" s="13"/>
      <c r="GB418" s="13"/>
      <c r="GZ418" s="96"/>
      <c r="HA418" s="97"/>
      <c r="HB418" s="12"/>
      <c r="HQ418" s="13"/>
      <c r="HR418" s="13"/>
      <c r="HS418" s="12"/>
      <c r="HZ418" s="97"/>
      <c r="IA418" s="97"/>
      <c r="IZ418" s="13"/>
      <c r="JA418" s="97"/>
      <c r="JB418" s="98"/>
    </row>
    <row r="419" spans="32:262" ht="18" customHeight="1">
      <c r="DY419" s="12"/>
      <c r="EA419" s="12"/>
      <c r="EF419" s="13"/>
      <c r="EH419" s="12"/>
      <c r="EK419" s="13"/>
      <c r="EX419" s="12"/>
      <c r="FA419" s="13"/>
      <c r="FC419" s="12"/>
      <c r="FZ419" s="13"/>
      <c r="GB419" s="13"/>
      <c r="GZ419" s="12"/>
      <c r="HB419" s="12"/>
      <c r="HQ419" s="13"/>
      <c r="HR419" s="13"/>
      <c r="HS419" s="12"/>
      <c r="IB419" s="13"/>
      <c r="IC419" s="9"/>
      <c r="ID419" s="10"/>
      <c r="IE419" s="21"/>
      <c r="IF419" s="21"/>
      <c r="IG419" s="21"/>
      <c r="IH419" s="22"/>
      <c r="IZ419" s="13"/>
      <c r="JB419" s="13"/>
    </row>
    <row r="420" spans="32:262" ht="18" customHeight="1">
      <c r="DY420" s="12"/>
      <c r="EA420" s="12"/>
      <c r="EF420" s="13"/>
      <c r="EH420" s="12"/>
      <c r="EK420" s="13"/>
      <c r="EX420" s="12"/>
      <c r="FA420" s="13"/>
      <c r="FC420" s="12"/>
      <c r="FZ420" s="13"/>
      <c r="GB420" s="13"/>
      <c r="GZ420" s="12"/>
      <c r="HB420" s="12"/>
      <c r="HQ420" s="13"/>
      <c r="HR420" s="13"/>
      <c r="HS420" s="12"/>
      <c r="IB420" s="13"/>
      <c r="IC420" s="12"/>
      <c r="ID420" s="13"/>
      <c r="IH420" s="13"/>
      <c r="IZ420" s="13"/>
      <c r="JB420" s="13"/>
    </row>
    <row r="421" spans="32:262" ht="18" customHeight="1">
      <c r="DY421" s="12"/>
      <c r="EA421" s="14"/>
      <c r="EB421" s="15"/>
      <c r="EC421" s="15"/>
      <c r="ED421" s="15"/>
      <c r="EE421" s="15"/>
      <c r="EF421" s="16"/>
      <c r="EH421" s="12"/>
      <c r="EK421" s="13"/>
      <c r="EX421" s="12"/>
      <c r="FA421" s="13"/>
      <c r="FC421" s="12"/>
      <c r="FZ421" s="13"/>
      <c r="GB421" s="13"/>
      <c r="GZ421" s="12"/>
      <c r="HB421" s="12"/>
      <c r="HQ421" s="13"/>
      <c r="HR421" s="13"/>
      <c r="HS421" s="12"/>
      <c r="IB421" s="13"/>
      <c r="IC421" s="12"/>
      <c r="ID421" s="13"/>
      <c r="IH421" s="13"/>
      <c r="IZ421" s="13"/>
      <c r="JB421" s="13"/>
    </row>
    <row r="422" spans="32:262" ht="18" customHeight="1">
      <c r="DY422" s="12"/>
      <c r="EA422" s="12"/>
      <c r="EH422" s="12"/>
      <c r="EK422" s="13"/>
      <c r="EX422" s="12"/>
      <c r="FA422" s="13"/>
      <c r="FC422" s="12"/>
      <c r="FZ422" s="13"/>
      <c r="GB422" s="13"/>
      <c r="GZ422" s="12"/>
      <c r="HB422" s="12"/>
      <c r="HQ422" s="13"/>
      <c r="HR422" s="13"/>
      <c r="HS422" s="12"/>
      <c r="IB422" s="13"/>
      <c r="IC422" s="12"/>
      <c r="ID422" s="13"/>
      <c r="IH422" s="13"/>
      <c r="IV422" s="9"/>
      <c r="IW422" s="10"/>
      <c r="IX422" s="11"/>
      <c r="IZ422" s="13"/>
      <c r="JB422" s="13"/>
    </row>
    <row r="423" spans="32:262" ht="18" customHeight="1">
      <c r="AF423" s="9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  <c r="BB423" s="10"/>
      <c r="BC423" s="10"/>
      <c r="BD423" s="10"/>
      <c r="BE423" s="10"/>
      <c r="BF423" s="10"/>
      <c r="BG423" s="11"/>
      <c r="DY423" s="12"/>
      <c r="EA423" s="9"/>
      <c r="EB423" s="10"/>
      <c r="EC423" s="10"/>
      <c r="ED423" s="10"/>
      <c r="EE423" s="10"/>
      <c r="EF423" s="11"/>
      <c r="EH423" s="12"/>
      <c r="EK423" s="13"/>
      <c r="EX423" s="12"/>
      <c r="FA423" s="13"/>
      <c r="FC423" s="12"/>
      <c r="FZ423" s="13"/>
      <c r="GB423" s="13"/>
      <c r="GZ423" s="12"/>
      <c r="HB423" s="12"/>
      <c r="HQ423" s="13"/>
      <c r="HR423" s="13"/>
      <c r="HS423" s="12"/>
      <c r="IB423" s="13"/>
      <c r="IC423" s="12"/>
      <c r="ID423" s="13"/>
      <c r="IH423" s="13"/>
      <c r="IV423" s="12"/>
      <c r="IX423" s="262"/>
      <c r="IZ423" s="13"/>
      <c r="JB423" s="13"/>
    </row>
    <row r="424" spans="32:262" ht="18" customHeight="1">
      <c r="AF424" s="12"/>
      <c r="AG424" s="9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1"/>
      <c r="BG424" s="13"/>
      <c r="DY424" s="12"/>
      <c r="EA424" s="12"/>
      <c r="EF424" s="13"/>
      <c r="EH424" s="12"/>
      <c r="EK424" s="13"/>
      <c r="EX424" s="12"/>
      <c r="FA424" s="13"/>
      <c r="FC424" s="12"/>
      <c r="FZ424" s="13"/>
      <c r="GB424" s="13"/>
      <c r="GZ424" s="12"/>
      <c r="HB424" s="12"/>
      <c r="HQ424" s="13"/>
      <c r="HR424" s="13"/>
      <c r="HS424" s="12"/>
      <c r="IB424" s="13"/>
      <c r="IC424" s="12"/>
      <c r="ID424" s="13"/>
      <c r="IE424" s="9"/>
      <c r="IF424" s="10"/>
      <c r="IG424" s="10"/>
      <c r="IH424" s="11"/>
      <c r="IV424" s="12"/>
      <c r="IX424" s="262"/>
      <c r="IZ424" s="13"/>
      <c r="JB424" s="13"/>
    </row>
    <row r="425" spans="32:262" ht="18" customHeight="1">
      <c r="AF425" s="12"/>
      <c r="AG425" s="12"/>
      <c r="BF425" s="13"/>
      <c r="BG425" s="13"/>
      <c r="DY425" s="12"/>
      <c r="EA425" s="12"/>
      <c r="EF425" s="13"/>
      <c r="EH425" s="12"/>
      <c r="EK425" s="13"/>
      <c r="EX425" s="12"/>
      <c r="FA425" s="13"/>
      <c r="FC425" s="12"/>
      <c r="FZ425" s="13"/>
      <c r="GB425" s="13"/>
      <c r="GZ425" s="12"/>
      <c r="HB425" s="12"/>
      <c r="HQ425" s="13"/>
      <c r="HR425" s="13"/>
      <c r="HS425" s="12"/>
      <c r="IB425" s="13"/>
      <c r="IC425" s="12"/>
      <c r="ID425" s="13"/>
      <c r="IE425" s="12"/>
      <c r="IH425" s="13"/>
      <c r="IV425" s="12"/>
      <c r="IX425" s="262"/>
      <c r="IZ425" s="13"/>
      <c r="JB425" s="13"/>
    </row>
    <row r="426" spans="32:262" ht="18" customHeight="1">
      <c r="AF426" s="12"/>
      <c r="AG426" s="12"/>
      <c r="BF426" s="13"/>
      <c r="BG426" s="13"/>
      <c r="DY426" s="12"/>
      <c r="EA426" s="12"/>
      <c r="EF426" s="13"/>
      <c r="EH426" s="12"/>
      <c r="EK426" s="13"/>
      <c r="EX426" s="14"/>
      <c r="EY426" s="15"/>
      <c r="EZ426" s="15"/>
      <c r="FA426" s="16"/>
      <c r="FC426" s="12"/>
      <c r="FZ426" s="13"/>
      <c r="GB426" s="13"/>
      <c r="GZ426" s="12"/>
      <c r="HB426" s="14"/>
      <c r="HC426" s="15"/>
      <c r="HD426" s="15"/>
      <c r="HE426" s="15"/>
      <c r="HF426" s="15"/>
      <c r="HG426" s="15"/>
      <c r="HH426" s="15"/>
      <c r="HI426" s="15"/>
      <c r="HJ426" s="15"/>
      <c r="HK426" s="15"/>
      <c r="HL426" s="15"/>
      <c r="HM426" s="15"/>
      <c r="HN426" s="15"/>
      <c r="HO426" s="15"/>
      <c r="HP426" s="15"/>
      <c r="HQ426" s="16"/>
      <c r="HR426" s="13"/>
      <c r="HS426" s="12"/>
      <c r="IB426" s="13"/>
      <c r="IC426" s="12"/>
      <c r="ID426" s="13"/>
      <c r="IE426" s="12"/>
      <c r="IH426" s="13"/>
      <c r="IV426" s="12"/>
      <c r="IX426" s="262"/>
      <c r="IZ426" s="13"/>
      <c r="JB426" s="13"/>
    </row>
    <row r="427" spans="32:262" ht="18" customHeight="1">
      <c r="AF427" s="12"/>
      <c r="AG427" s="12"/>
      <c r="BF427" s="13"/>
      <c r="BG427" s="13"/>
      <c r="DY427" s="12"/>
      <c r="EA427" s="12"/>
      <c r="EF427" s="13"/>
      <c r="EH427" s="12"/>
      <c r="EK427" s="13"/>
      <c r="EX427" s="14"/>
      <c r="EY427" s="15"/>
      <c r="EZ427" s="15"/>
      <c r="FA427" s="16"/>
      <c r="FC427" s="12"/>
      <c r="FZ427" s="13"/>
      <c r="GB427" s="13"/>
      <c r="GZ427" s="12"/>
      <c r="HB427" s="20"/>
      <c r="HC427" s="21"/>
      <c r="HD427" s="21"/>
      <c r="HE427" s="21"/>
      <c r="HF427" s="21"/>
      <c r="HG427" s="21"/>
      <c r="HH427" s="21"/>
      <c r="HI427" s="21"/>
      <c r="HJ427" s="21"/>
      <c r="HK427" s="21"/>
      <c r="HL427" s="21"/>
      <c r="HM427" s="21"/>
      <c r="HN427" s="21"/>
      <c r="HO427" s="21"/>
      <c r="HP427" s="21"/>
      <c r="HQ427" s="15"/>
      <c r="HR427" s="16"/>
      <c r="HS427" s="12"/>
      <c r="IB427" s="13"/>
      <c r="IC427" s="12"/>
      <c r="ID427" s="13"/>
      <c r="IE427" s="14"/>
      <c r="IF427" s="15"/>
      <c r="IG427" s="15"/>
      <c r="IH427" s="16"/>
      <c r="IV427" s="12"/>
      <c r="IX427" s="262"/>
      <c r="IZ427" s="13"/>
      <c r="JB427" s="13"/>
    </row>
    <row r="428" spans="32:262" ht="18" customHeight="1">
      <c r="AF428" s="12"/>
      <c r="AG428" s="12"/>
      <c r="BF428" s="13"/>
      <c r="BG428" s="13"/>
      <c r="DY428" s="12"/>
      <c r="EA428" s="12"/>
      <c r="EF428" s="13"/>
      <c r="EH428" s="12"/>
      <c r="EK428" s="13"/>
      <c r="EX428" s="14"/>
      <c r="EY428" s="15"/>
      <c r="EZ428" s="15"/>
      <c r="FA428" s="16"/>
      <c r="FC428" s="12"/>
      <c r="FZ428" s="13"/>
      <c r="GB428" s="13"/>
      <c r="GZ428" s="12"/>
      <c r="HB428" s="12"/>
      <c r="HQ428" s="13"/>
      <c r="HS428" s="12"/>
      <c r="IB428" s="13"/>
      <c r="IC428" s="12"/>
      <c r="ID428" s="13"/>
      <c r="IH428" s="13"/>
      <c r="IV428" s="12"/>
      <c r="IX428" s="262"/>
      <c r="IZ428" s="13"/>
      <c r="JB428" s="13"/>
    </row>
    <row r="429" spans="32:262" ht="18" customHeight="1">
      <c r="AF429" s="12"/>
      <c r="AG429" s="12"/>
      <c r="BF429" s="13"/>
      <c r="BG429" s="13"/>
      <c r="DY429" s="12"/>
      <c r="EA429" s="12"/>
      <c r="EF429" s="13"/>
      <c r="EH429" s="12"/>
      <c r="EK429" s="13"/>
      <c r="EX429" s="14"/>
      <c r="EY429" s="15"/>
      <c r="EZ429" s="15"/>
      <c r="FA429" s="16"/>
      <c r="FC429" s="12"/>
      <c r="FZ429" s="13"/>
      <c r="GB429" s="13"/>
      <c r="GZ429" s="12"/>
      <c r="HB429" s="12"/>
      <c r="HR429" s="18"/>
      <c r="HS429" s="12"/>
      <c r="IB429" s="13"/>
      <c r="IC429" s="12"/>
      <c r="ID429" s="13"/>
      <c r="IH429" s="13"/>
      <c r="IV429" s="14"/>
      <c r="IW429" s="15"/>
      <c r="IX429" s="16"/>
      <c r="IZ429" s="13"/>
      <c r="JB429" s="13"/>
    </row>
    <row r="430" spans="32:262" ht="18" customHeight="1">
      <c r="AF430" s="12"/>
      <c r="AG430" s="12"/>
      <c r="BF430" s="13"/>
      <c r="BG430" s="13"/>
      <c r="DY430" s="12"/>
      <c r="EA430" s="12"/>
      <c r="EF430" s="13"/>
      <c r="EG430" s="20"/>
      <c r="EH430" s="14"/>
      <c r="EI430" s="15"/>
      <c r="EJ430" s="15"/>
      <c r="EK430" s="15"/>
      <c r="EL430" s="15"/>
      <c r="EM430" s="15"/>
      <c r="EN430" s="16"/>
      <c r="EO430" s="15"/>
      <c r="EP430" s="15"/>
      <c r="EQ430" s="15"/>
      <c r="ER430" s="15"/>
      <c r="ES430" s="15"/>
      <c r="ET430" s="15"/>
      <c r="EU430" s="15"/>
      <c r="EV430" s="15"/>
      <c r="EW430" s="15"/>
      <c r="EX430" s="15"/>
      <c r="EY430" s="15"/>
      <c r="EZ430" s="15"/>
      <c r="FA430" s="16"/>
      <c r="FC430" s="12"/>
      <c r="FZ430" s="13"/>
      <c r="GB430" s="13"/>
      <c r="GZ430" s="12"/>
      <c r="HB430" s="12"/>
      <c r="HR430" s="18"/>
      <c r="HS430" s="12"/>
      <c r="IB430" s="13"/>
      <c r="IC430" s="12"/>
      <c r="ID430" s="13"/>
      <c r="IH430" s="13"/>
      <c r="IZ430" s="13"/>
      <c r="JB430" s="13"/>
    </row>
    <row r="431" spans="32:262" ht="18" customHeight="1">
      <c r="AF431" s="12"/>
      <c r="AG431" s="12"/>
      <c r="BF431" s="13"/>
      <c r="BG431" s="13"/>
      <c r="DY431" s="12"/>
      <c r="EA431" s="9"/>
      <c r="EB431" s="10"/>
      <c r="EC431" s="10"/>
      <c r="ED431" s="10"/>
      <c r="EE431" s="10"/>
      <c r="EF431" s="11"/>
      <c r="EG431" s="9"/>
      <c r="EH431" s="10"/>
      <c r="EI431" s="10"/>
      <c r="EJ431" s="10"/>
      <c r="EK431" s="10"/>
      <c r="EL431" s="10"/>
      <c r="EM431" s="10"/>
      <c r="EN431" s="11"/>
      <c r="FC431" s="12"/>
      <c r="FZ431" s="13"/>
      <c r="GB431" s="13"/>
      <c r="GZ431" s="12"/>
      <c r="HB431" s="12"/>
      <c r="HR431" s="19"/>
      <c r="HS431" s="12"/>
      <c r="IB431" s="13"/>
      <c r="IC431" s="12"/>
      <c r="ID431" s="13"/>
      <c r="IH431" s="13"/>
      <c r="IZ431" s="13"/>
      <c r="JB431" s="13"/>
    </row>
    <row r="432" spans="32:262" ht="18" customHeight="1">
      <c r="AF432" s="12"/>
      <c r="AG432" s="12"/>
      <c r="BF432" s="13"/>
      <c r="BG432" s="13"/>
      <c r="DY432" s="12"/>
      <c r="EA432" s="12"/>
      <c r="EF432" s="13"/>
      <c r="EG432" s="12"/>
      <c r="EN432" s="13"/>
      <c r="FC432" s="12"/>
      <c r="FZ432" s="13"/>
      <c r="GB432" s="13"/>
      <c r="GZ432" s="12"/>
      <c r="HB432" s="12"/>
      <c r="HF432" s="9"/>
      <c r="HG432" s="10"/>
      <c r="HH432" s="10"/>
      <c r="HI432" s="10"/>
      <c r="HJ432" s="10"/>
      <c r="HK432" s="10"/>
      <c r="HL432" s="10"/>
      <c r="HM432" s="10"/>
      <c r="HN432" s="10"/>
      <c r="HO432" s="10"/>
      <c r="HP432" s="10"/>
      <c r="HQ432" s="10"/>
      <c r="HR432" s="10"/>
      <c r="IB432" s="13"/>
      <c r="IC432" s="14"/>
      <c r="ID432" s="15"/>
      <c r="IE432" s="21"/>
      <c r="IF432" s="21"/>
      <c r="IG432" s="21"/>
      <c r="IH432" s="22"/>
      <c r="IZ432" s="13"/>
      <c r="JB432" s="13"/>
    </row>
    <row r="433" spans="20:262" ht="18" customHeight="1">
      <c r="AD433" s="17"/>
      <c r="AE433" s="9"/>
      <c r="AF433" s="9"/>
      <c r="AG433" s="9"/>
      <c r="AH433" s="10"/>
      <c r="AI433" s="10"/>
      <c r="AJ433" s="11"/>
      <c r="BF433" s="13"/>
      <c r="BG433" s="13"/>
      <c r="DY433" s="12"/>
      <c r="EA433" s="12"/>
      <c r="EF433" s="13"/>
      <c r="EG433" s="12"/>
      <c r="EN433" s="13"/>
      <c r="FC433" s="12"/>
      <c r="FZ433" s="13"/>
      <c r="GB433" s="13"/>
      <c r="GZ433" s="12"/>
      <c r="HB433" s="12"/>
      <c r="HF433" s="12"/>
      <c r="IZ433" s="13"/>
      <c r="JB433" s="13"/>
    </row>
    <row r="434" spans="20:262" ht="18" customHeight="1">
      <c r="AD434" s="18"/>
      <c r="AE434" s="12"/>
      <c r="AF434" s="12"/>
      <c r="AG434" s="12"/>
      <c r="AJ434" s="13"/>
      <c r="BF434" s="13"/>
      <c r="BG434" s="13"/>
      <c r="DY434" s="12"/>
      <c r="EA434" s="12"/>
      <c r="EF434" s="13"/>
      <c r="EG434" s="12"/>
      <c r="EN434" s="13"/>
      <c r="FC434" s="12"/>
      <c r="FZ434" s="13"/>
      <c r="GB434" s="13"/>
      <c r="GZ434" s="12"/>
      <c r="HB434" s="12"/>
      <c r="HF434" s="12"/>
      <c r="IZ434" s="13"/>
      <c r="JB434" s="13"/>
    </row>
    <row r="435" spans="20:262" ht="18" customHeight="1">
      <c r="AD435" s="18"/>
      <c r="AE435" s="12"/>
      <c r="AF435" s="12"/>
      <c r="AG435" s="12"/>
      <c r="AJ435" s="13"/>
      <c r="BF435" s="13"/>
      <c r="BG435" s="13"/>
      <c r="DY435" s="12"/>
      <c r="EA435" s="12"/>
      <c r="EF435" s="13"/>
      <c r="EG435" s="12"/>
      <c r="EN435" s="13"/>
      <c r="FC435" s="12"/>
      <c r="FZ435" s="13"/>
      <c r="GB435" s="13"/>
      <c r="GZ435" s="12"/>
      <c r="HB435" s="12"/>
      <c r="HF435" s="12"/>
      <c r="IZ435" s="13"/>
      <c r="JB435" s="13"/>
    </row>
    <row r="436" spans="20:262" ht="18" customHeight="1">
      <c r="AD436" s="18"/>
      <c r="AE436" s="12"/>
      <c r="AF436" s="12"/>
      <c r="AG436" s="12"/>
      <c r="AJ436" s="13"/>
      <c r="BF436" s="13"/>
      <c r="BG436" s="13"/>
      <c r="DY436" s="12"/>
      <c r="EA436" s="14"/>
      <c r="EB436" s="15"/>
      <c r="EC436" s="15"/>
      <c r="ED436" s="15"/>
      <c r="EE436" s="15"/>
      <c r="EF436" s="16"/>
      <c r="EG436" s="14"/>
      <c r="EH436" s="15"/>
      <c r="EI436" s="15"/>
      <c r="EJ436" s="15"/>
      <c r="EK436" s="15"/>
      <c r="EL436" s="15"/>
      <c r="EM436" s="15"/>
      <c r="EN436" s="16"/>
      <c r="EO436" s="15"/>
      <c r="EP436" s="15"/>
      <c r="EQ436" s="15"/>
      <c r="ER436" s="15"/>
      <c r="ES436" s="15"/>
      <c r="ET436" s="15"/>
      <c r="EU436" s="15"/>
      <c r="EV436" s="15"/>
      <c r="EW436" s="15"/>
      <c r="EX436" s="15"/>
      <c r="EY436" s="15"/>
      <c r="EZ436" s="15"/>
      <c r="FA436" s="15"/>
      <c r="FB436" s="15"/>
      <c r="FC436" s="14"/>
      <c r="FD436" s="15"/>
      <c r="FE436" s="15"/>
      <c r="FF436" s="15"/>
      <c r="FG436" s="15"/>
      <c r="FH436" s="15"/>
      <c r="FI436" s="15"/>
      <c r="FJ436" s="15"/>
      <c r="FK436" s="15"/>
      <c r="FL436" s="15"/>
      <c r="FM436" s="15"/>
      <c r="FN436" s="15"/>
      <c r="FO436" s="15"/>
      <c r="FP436" s="15"/>
      <c r="FQ436" s="15"/>
      <c r="FR436" s="15"/>
      <c r="FS436" s="15"/>
      <c r="FT436" s="15"/>
      <c r="FU436" s="15"/>
      <c r="FV436" s="15"/>
      <c r="FW436" s="15"/>
      <c r="FX436" s="15"/>
      <c r="FY436" s="15"/>
      <c r="FZ436" s="16"/>
      <c r="GB436" s="13"/>
      <c r="GZ436" s="12"/>
      <c r="HB436" s="12"/>
      <c r="HF436" s="12"/>
      <c r="IZ436" s="13"/>
      <c r="JB436" s="13"/>
    </row>
    <row r="437" spans="20:262" ht="18" customHeight="1">
      <c r="AD437" s="18"/>
      <c r="AE437" s="12"/>
      <c r="AF437" s="12"/>
      <c r="AG437" s="12"/>
      <c r="AJ437" s="13"/>
      <c r="BF437" s="13"/>
      <c r="BG437" s="13"/>
      <c r="DY437" s="12"/>
      <c r="GB437" s="13"/>
      <c r="GZ437" s="12"/>
      <c r="HB437" s="12"/>
      <c r="HF437" s="12"/>
      <c r="IZ437" s="13"/>
      <c r="JB437" s="13"/>
    </row>
    <row r="438" spans="20:262" ht="18" customHeight="1">
      <c r="AD438" s="19"/>
      <c r="AE438" s="14"/>
      <c r="AF438" s="14"/>
      <c r="AG438" s="14"/>
      <c r="AH438" s="15"/>
      <c r="AI438" s="15"/>
      <c r="AJ438" s="16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15"/>
      <c r="AZ438" s="15"/>
      <c r="BA438" s="15"/>
      <c r="BB438" s="15"/>
      <c r="BC438" s="15"/>
      <c r="BD438" s="15"/>
      <c r="BE438" s="15"/>
      <c r="BF438" s="16"/>
      <c r="BG438" s="16"/>
      <c r="DY438" s="14"/>
      <c r="DZ438" s="15"/>
      <c r="EA438" s="15"/>
      <c r="EB438" s="15"/>
      <c r="EC438" s="15"/>
      <c r="ED438" s="15"/>
      <c r="EE438" s="15"/>
      <c r="EF438" s="15"/>
      <c r="EG438" s="15"/>
      <c r="EH438" s="15"/>
      <c r="EI438" s="15"/>
      <c r="EJ438" s="15"/>
      <c r="EK438" s="15"/>
      <c r="EL438" s="15"/>
      <c r="EM438" s="15"/>
      <c r="EN438" s="15"/>
      <c r="EO438" s="15"/>
      <c r="EP438" s="15"/>
      <c r="EQ438" s="15"/>
      <c r="ER438" s="15"/>
      <c r="ES438" s="15"/>
      <c r="ET438" s="15"/>
      <c r="EU438" s="15"/>
      <c r="EV438" s="15"/>
      <c r="EW438" s="15"/>
      <c r="EX438" s="15"/>
      <c r="EY438" s="15"/>
      <c r="EZ438" s="15"/>
      <c r="FA438" s="15"/>
      <c r="FB438" s="15"/>
      <c r="FC438" s="15"/>
      <c r="FD438" s="15"/>
      <c r="FE438" s="15"/>
      <c r="FF438" s="15"/>
      <c r="FG438" s="15"/>
      <c r="FH438" s="15"/>
      <c r="FI438" s="15"/>
      <c r="FJ438" s="15"/>
      <c r="FK438" s="15"/>
      <c r="FL438" s="15"/>
      <c r="FM438" s="15"/>
      <c r="FN438" s="15"/>
      <c r="FO438" s="15"/>
      <c r="FP438" s="15"/>
      <c r="FQ438" s="15"/>
      <c r="FR438" s="15"/>
      <c r="FS438" s="15"/>
      <c r="FT438" s="15"/>
      <c r="FU438" s="15"/>
      <c r="FV438" s="15"/>
      <c r="FW438" s="15"/>
      <c r="FX438" s="15"/>
      <c r="FY438" s="15"/>
      <c r="FZ438" s="15"/>
      <c r="GA438" s="15"/>
      <c r="GB438" s="16"/>
      <c r="GZ438" s="12"/>
      <c r="HB438" s="12"/>
      <c r="HF438" s="12"/>
      <c r="IZ438" s="13"/>
      <c r="JB438" s="13"/>
    </row>
    <row r="439" spans="20:262" ht="18" customHeight="1">
      <c r="T439" s="20"/>
      <c r="U439" s="21"/>
      <c r="V439" s="21"/>
      <c r="W439" s="21"/>
      <c r="X439" s="21"/>
      <c r="Y439" s="21"/>
      <c r="Z439" s="21"/>
      <c r="AA439" s="21"/>
      <c r="AB439" s="21"/>
      <c r="AC439" s="21"/>
      <c r="AD439" s="212"/>
      <c r="AE439" s="212"/>
      <c r="AF439" s="212"/>
      <c r="AG439" s="60"/>
      <c r="AH439" s="60"/>
      <c r="AI439" s="60"/>
      <c r="AJ439" s="60"/>
      <c r="AK439" s="14"/>
      <c r="AL439" s="15"/>
      <c r="AM439" s="15"/>
      <c r="AN439" s="15"/>
      <c r="AO439" s="15"/>
      <c r="AP439" s="15"/>
      <c r="AQ439" s="15"/>
      <c r="AR439" s="15"/>
      <c r="AS439" s="16"/>
      <c r="AT439" s="15"/>
      <c r="AU439" s="15"/>
      <c r="AV439" s="15"/>
      <c r="AW439" s="15"/>
      <c r="BE439" s="10"/>
      <c r="BF439" s="10"/>
      <c r="BG439" s="10"/>
      <c r="BH439" s="10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2"/>
      <c r="BY439" s="21"/>
      <c r="BZ439" s="21"/>
      <c r="CA439" s="21"/>
      <c r="CB439" s="21"/>
      <c r="CC439" s="21"/>
      <c r="CD439" s="21"/>
      <c r="CE439" s="20"/>
      <c r="CF439" s="22"/>
      <c r="GZ439" s="12"/>
      <c r="HB439" s="12"/>
      <c r="HF439" s="12"/>
      <c r="IZ439" s="13"/>
      <c r="JB439" s="13"/>
    </row>
    <row r="440" spans="20:262" ht="18" customHeight="1">
      <c r="T440" s="9"/>
      <c r="U440" s="11"/>
      <c r="AS440" s="13"/>
      <c r="AT440" s="17"/>
      <c r="AU440" s="10"/>
      <c r="AV440" s="10"/>
      <c r="AW440" s="10"/>
      <c r="AX440" s="10"/>
      <c r="AY440" s="10"/>
      <c r="AZ440" s="57"/>
      <c r="BA440" s="57"/>
      <c r="BB440" s="57"/>
      <c r="BC440" s="10"/>
      <c r="BD440" s="10"/>
      <c r="BE440" s="10"/>
      <c r="BF440" s="10"/>
      <c r="BG440" s="10"/>
      <c r="BH440" s="10"/>
      <c r="CE440" s="12"/>
      <c r="CF440" s="13"/>
      <c r="GZ440" s="12"/>
      <c r="HB440" s="12"/>
      <c r="HF440" s="14"/>
      <c r="HG440" s="15"/>
      <c r="HH440" s="15"/>
      <c r="HI440" s="15"/>
      <c r="HJ440" s="15"/>
      <c r="HK440" s="15"/>
      <c r="HL440" s="15"/>
      <c r="HM440" s="15"/>
      <c r="HN440" s="15"/>
      <c r="HO440" s="15"/>
      <c r="HP440" s="15"/>
      <c r="HQ440" s="15"/>
      <c r="HR440" s="15"/>
      <c r="IZ440" s="13"/>
      <c r="JB440" s="13"/>
    </row>
    <row r="441" spans="20:262" ht="18" customHeight="1">
      <c r="T441" s="12"/>
      <c r="U441" s="13"/>
      <c r="AS441" s="13"/>
      <c r="AT441" s="18"/>
      <c r="AZ441" s="97"/>
      <c r="BA441" s="97"/>
      <c r="BB441" s="97"/>
      <c r="BD441" s="9"/>
      <c r="BE441" s="10"/>
      <c r="BF441" s="10"/>
      <c r="BG441" s="10"/>
      <c r="BH441" s="11"/>
      <c r="CE441" s="12"/>
      <c r="CF441" s="13"/>
      <c r="GZ441" s="12"/>
      <c r="HB441" s="12"/>
      <c r="HR441" s="17"/>
      <c r="HS441" s="12"/>
      <c r="IZ441" s="13"/>
      <c r="JB441" s="13"/>
    </row>
    <row r="442" spans="20:262" ht="18" customHeight="1">
      <c r="T442" s="12"/>
      <c r="U442" s="13"/>
      <c r="AS442" s="13"/>
      <c r="AT442" s="18"/>
      <c r="AZ442" s="97"/>
      <c r="BA442" s="97"/>
      <c r="BB442" s="97"/>
      <c r="BD442" s="12"/>
      <c r="BH442" s="13"/>
      <c r="CE442" s="12"/>
      <c r="CF442" s="13"/>
      <c r="GZ442" s="12"/>
      <c r="HB442" s="12"/>
      <c r="HR442" s="18"/>
      <c r="HS442" s="12"/>
      <c r="IZ442" s="13"/>
      <c r="JB442" s="13"/>
    </row>
    <row r="443" spans="20:262" ht="18" customHeight="1">
      <c r="T443" s="12"/>
      <c r="U443" s="13"/>
      <c r="AS443" s="13"/>
      <c r="AT443" s="18"/>
      <c r="AZ443" s="97"/>
      <c r="BA443" s="97"/>
      <c r="BB443" s="97"/>
      <c r="BD443" s="12"/>
      <c r="BH443" s="13"/>
      <c r="CE443" s="12"/>
      <c r="CF443" s="13"/>
      <c r="GZ443" s="12"/>
      <c r="HB443" s="12"/>
      <c r="HR443" s="18"/>
      <c r="HS443" s="12"/>
      <c r="IZ443" s="13"/>
      <c r="JB443" s="13"/>
    </row>
    <row r="444" spans="20:262" ht="18" customHeight="1">
      <c r="T444" s="12"/>
      <c r="U444" s="13"/>
      <c r="AS444" s="13"/>
      <c r="AT444" s="18"/>
      <c r="AZ444" s="97"/>
      <c r="BA444" s="97"/>
      <c r="BB444" s="97"/>
      <c r="BD444" s="12"/>
      <c r="BH444" s="13"/>
      <c r="CE444" s="12"/>
      <c r="CF444" s="13"/>
      <c r="GZ444" s="12"/>
      <c r="HB444" s="14"/>
      <c r="HC444" s="15"/>
      <c r="HD444" s="15"/>
      <c r="HE444" s="15"/>
      <c r="HF444" s="15"/>
      <c r="HG444" s="15"/>
      <c r="HH444" s="15"/>
      <c r="HI444" s="15"/>
      <c r="HJ444" s="15"/>
      <c r="HK444" s="15"/>
      <c r="HL444" s="15"/>
      <c r="HM444" s="15"/>
      <c r="HN444" s="15"/>
      <c r="HO444" s="15"/>
      <c r="HP444" s="15"/>
      <c r="HQ444" s="15"/>
      <c r="HR444" s="19"/>
      <c r="HS444" s="14"/>
      <c r="HT444" s="15"/>
      <c r="HU444" s="15"/>
      <c r="HV444" s="15"/>
      <c r="HW444" s="15"/>
      <c r="HX444" s="15"/>
      <c r="HY444" s="15"/>
      <c r="HZ444" s="15"/>
      <c r="IA444" s="15"/>
      <c r="IB444" s="15"/>
      <c r="IC444" s="15"/>
      <c r="ID444" s="15"/>
      <c r="IE444" s="15"/>
      <c r="IF444" s="15"/>
      <c r="IG444" s="15"/>
      <c r="IH444" s="15"/>
      <c r="II444" s="15"/>
      <c r="IJ444" s="15"/>
      <c r="IK444" s="15"/>
      <c r="IL444" s="15"/>
      <c r="IM444" s="15"/>
      <c r="IN444" s="15"/>
      <c r="IO444" s="15"/>
      <c r="IP444" s="15"/>
      <c r="IQ444" s="15"/>
      <c r="IR444" s="15"/>
      <c r="IS444" s="15"/>
      <c r="IT444" s="15"/>
      <c r="IU444" s="15"/>
      <c r="IV444" s="15"/>
      <c r="IW444" s="15"/>
      <c r="IX444" s="15"/>
      <c r="IY444" s="15"/>
      <c r="IZ444" s="16"/>
      <c r="JB444" s="13"/>
    </row>
    <row r="445" spans="20:262" ht="18" customHeight="1">
      <c r="T445" s="12"/>
      <c r="U445" s="13"/>
      <c r="AS445" s="13"/>
      <c r="AT445" s="18"/>
      <c r="AZ445" s="97"/>
      <c r="BA445" s="97"/>
      <c r="BB445" s="97"/>
      <c r="BD445" s="9"/>
      <c r="BE445" s="10"/>
      <c r="BF445" s="10"/>
      <c r="BG445" s="10"/>
      <c r="BH445" s="11"/>
      <c r="BI445" s="10"/>
      <c r="BJ445" s="17"/>
      <c r="CE445" s="12"/>
      <c r="CF445" s="13"/>
      <c r="GZ445" s="96"/>
      <c r="HA445" s="97"/>
      <c r="HF445" s="20"/>
      <c r="HG445" s="21"/>
      <c r="HH445" s="21"/>
      <c r="HI445" s="21"/>
      <c r="HJ445" s="21"/>
      <c r="HK445" s="22"/>
      <c r="HZ445" s="97"/>
      <c r="IA445" s="97"/>
      <c r="JA445" s="97"/>
      <c r="JB445" s="98"/>
    </row>
    <row r="446" spans="20:262" ht="18" customHeight="1">
      <c r="T446" s="12"/>
      <c r="U446" s="13"/>
      <c r="AS446" s="13"/>
      <c r="AT446" s="18"/>
      <c r="AZ446" s="97"/>
      <c r="BA446" s="97"/>
      <c r="BB446" s="97"/>
      <c r="BD446" s="12"/>
      <c r="BH446" s="13"/>
      <c r="BJ446" s="17"/>
      <c r="CE446" s="12"/>
      <c r="CF446" s="13"/>
      <c r="GZ446" s="59"/>
      <c r="HA446" s="60"/>
      <c r="HB446" s="15"/>
      <c r="HC446" s="15"/>
      <c r="HD446" s="15"/>
      <c r="HE446" s="15"/>
      <c r="HF446" s="20"/>
      <c r="HG446" s="21"/>
      <c r="HH446" s="21"/>
      <c r="HI446" s="21"/>
      <c r="HJ446" s="21"/>
      <c r="HK446" s="22"/>
      <c r="HL446" s="15"/>
      <c r="HM446" s="15"/>
      <c r="HN446" s="15"/>
      <c r="HO446" s="15"/>
      <c r="HP446" s="15"/>
      <c r="HQ446" s="15"/>
      <c r="HR446" s="15"/>
      <c r="HS446" s="15"/>
      <c r="HT446" s="15"/>
      <c r="HU446" s="15"/>
      <c r="HV446" s="15"/>
      <c r="HW446" s="15"/>
      <c r="HX446" s="15"/>
      <c r="HY446" s="15"/>
      <c r="HZ446" s="60"/>
      <c r="IA446" s="60"/>
      <c r="IB446" s="15"/>
      <c r="IC446" s="15"/>
      <c r="ID446" s="15"/>
      <c r="IE446" s="15"/>
      <c r="IF446" s="15"/>
      <c r="IG446" s="15"/>
      <c r="IH446" s="15"/>
      <c r="II446" s="15"/>
      <c r="IJ446" s="15"/>
      <c r="IK446" s="15"/>
      <c r="IL446" s="15"/>
      <c r="IM446" s="15"/>
      <c r="IN446" s="15"/>
      <c r="IO446" s="15"/>
      <c r="IP446" s="15"/>
      <c r="IQ446" s="15"/>
      <c r="IR446" s="15"/>
      <c r="IS446" s="15"/>
      <c r="IT446" s="15"/>
      <c r="IU446" s="15"/>
      <c r="IV446" s="15"/>
      <c r="IW446" s="15"/>
      <c r="IX446" s="15"/>
      <c r="IY446" s="15"/>
      <c r="IZ446" s="15"/>
      <c r="JA446" s="60"/>
      <c r="JB446" s="61"/>
    </row>
    <row r="447" spans="20:262" ht="18" customHeight="1">
      <c r="T447" s="12"/>
      <c r="U447" s="13"/>
      <c r="AS447" s="13"/>
      <c r="AT447" s="18"/>
      <c r="AZ447" s="97"/>
      <c r="BA447" s="97"/>
      <c r="BB447" s="97"/>
      <c r="BD447" s="12"/>
      <c r="BH447" s="13"/>
      <c r="BJ447" s="18"/>
      <c r="CE447" s="12"/>
      <c r="CF447" s="13"/>
    </row>
    <row r="448" spans="20:262" ht="18" customHeight="1">
      <c r="T448" s="12"/>
      <c r="U448" s="13"/>
      <c r="AS448" s="13"/>
      <c r="AT448" s="18"/>
      <c r="AZ448" s="97"/>
      <c r="BA448" s="97"/>
      <c r="BB448" s="97"/>
      <c r="BD448" s="12"/>
      <c r="BH448" s="13"/>
      <c r="BJ448" s="18"/>
      <c r="CE448" s="12"/>
      <c r="CF448" s="13"/>
    </row>
    <row r="449" spans="20:84" ht="18" customHeight="1">
      <c r="T449" s="12"/>
      <c r="U449" s="13"/>
      <c r="AS449" s="13"/>
      <c r="AT449" s="18"/>
      <c r="AZ449" s="97"/>
      <c r="BA449" s="97"/>
      <c r="BB449" s="97"/>
      <c r="BD449" s="12"/>
      <c r="BH449" s="13"/>
      <c r="BJ449" s="18"/>
      <c r="CE449" s="12"/>
      <c r="CF449" s="13"/>
    </row>
    <row r="450" spans="20:84" ht="18" customHeight="1">
      <c r="T450" s="12"/>
      <c r="U450" s="13"/>
      <c r="AS450" s="13"/>
      <c r="AT450" s="18"/>
      <c r="AZ450" s="97"/>
      <c r="BA450" s="97"/>
      <c r="BB450" s="97"/>
      <c r="BD450" s="14"/>
      <c r="BE450" s="15"/>
      <c r="BF450" s="15"/>
      <c r="BG450" s="15"/>
      <c r="BH450" s="16"/>
      <c r="BI450" s="15"/>
      <c r="BJ450" s="19"/>
      <c r="CE450" s="12"/>
      <c r="CF450" s="13"/>
    </row>
    <row r="451" spans="20:84" ht="18" customHeight="1">
      <c r="T451" s="12"/>
      <c r="U451" s="13"/>
      <c r="AS451" s="13"/>
      <c r="AT451" s="18"/>
      <c r="AZ451" s="97"/>
      <c r="BA451" s="97"/>
      <c r="BB451" s="97"/>
      <c r="BD451" s="224"/>
      <c r="BE451" s="224"/>
      <c r="BF451" s="224"/>
      <c r="BG451" s="224"/>
      <c r="BH451" s="224"/>
      <c r="BI451" s="224"/>
      <c r="BJ451" s="225"/>
      <c r="CE451" s="12"/>
      <c r="CF451" s="13"/>
    </row>
    <row r="452" spans="20:84" ht="18" customHeight="1">
      <c r="T452" s="12"/>
      <c r="U452" s="13"/>
      <c r="AS452" s="13"/>
      <c r="AT452" s="18"/>
      <c r="AZ452" s="97"/>
      <c r="BA452" s="97"/>
      <c r="BB452" s="97"/>
      <c r="CE452" s="12"/>
      <c r="CF452" s="13"/>
    </row>
    <row r="453" spans="20:84" ht="18" customHeight="1">
      <c r="T453" s="12"/>
      <c r="U453" s="13"/>
      <c r="AS453" s="13"/>
      <c r="AT453" s="18"/>
      <c r="AZ453" s="97"/>
      <c r="BA453" s="97"/>
      <c r="BB453" s="97"/>
      <c r="BE453" s="18"/>
      <c r="CE453" s="12"/>
      <c r="CF453" s="13"/>
    </row>
    <row r="454" spans="20:84" ht="18" customHeight="1">
      <c r="T454" s="12"/>
      <c r="U454" s="13"/>
      <c r="AS454" s="13"/>
      <c r="AT454" s="18"/>
      <c r="AZ454" s="97"/>
      <c r="BA454" s="97"/>
      <c r="BB454" s="97"/>
      <c r="BE454" s="18"/>
      <c r="CE454" s="12"/>
      <c r="CF454" s="13"/>
    </row>
    <row r="455" spans="20:84" ht="18" customHeight="1">
      <c r="T455" s="12"/>
      <c r="U455" s="13"/>
      <c r="AS455" s="13"/>
      <c r="AT455" s="18"/>
      <c r="AZ455" s="97"/>
      <c r="BA455" s="97"/>
      <c r="BB455" s="97"/>
      <c r="BE455" s="18"/>
      <c r="BX455" s="13"/>
      <c r="CE455" s="12"/>
      <c r="CF455" s="13"/>
    </row>
    <row r="456" spans="20:84" ht="18" customHeight="1">
      <c r="T456" s="12"/>
      <c r="U456" s="13"/>
      <c r="AS456" s="13"/>
      <c r="AT456" s="18"/>
      <c r="AZ456" s="97"/>
      <c r="BA456" s="97"/>
      <c r="BB456" s="97"/>
      <c r="BE456" s="18"/>
      <c r="BX456" s="13"/>
      <c r="CE456" s="12"/>
      <c r="CF456" s="13"/>
    </row>
    <row r="457" spans="20:84" ht="18" customHeight="1">
      <c r="T457" s="12"/>
      <c r="U457" s="13"/>
      <c r="AS457" s="13"/>
      <c r="AT457" s="18"/>
      <c r="AZ457" s="97"/>
      <c r="BA457" s="97"/>
      <c r="BB457" s="97"/>
      <c r="BE457" s="18"/>
      <c r="BX457" s="13"/>
      <c r="CE457" s="12"/>
      <c r="CF457" s="13"/>
    </row>
    <row r="458" spans="20:84" ht="18" customHeight="1">
      <c r="T458" s="12"/>
      <c r="U458" s="13"/>
      <c r="AS458" s="13"/>
      <c r="AT458" s="18"/>
      <c r="AZ458" s="97"/>
      <c r="BA458" s="97"/>
      <c r="BB458" s="97"/>
      <c r="BE458" s="18"/>
      <c r="BX458" s="13"/>
      <c r="CE458" s="12"/>
      <c r="CF458" s="13"/>
    </row>
    <row r="459" spans="20:84" ht="18" customHeight="1">
      <c r="T459" s="12"/>
      <c r="U459" s="13"/>
      <c r="AS459" s="13"/>
      <c r="AT459" s="18"/>
      <c r="AZ459" s="97"/>
      <c r="BA459" s="97"/>
      <c r="BB459" s="97"/>
      <c r="BE459" s="18"/>
      <c r="BX459" s="13"/>
      <c r="CE459" s="12"/>
      <c r="CF459" s="13"/>
    </row>
    <row r="460" spans="20:84" ht="18" customHeight="1">
      <c r="T460" s="12"/>
      <c r="U460" s="13"/>
      <c r="AS460" s="13"/>
      <c r="AT460" s="18"/>
      <c r="AZ460" s="97"/>
      <c r="BA460" s="97"/>
      <c r="BB460" s="97"/>
      <c r="BE460" s="18"/>
      <c r="BX460" s="13"/>
      <c r="CE460" s="12"/>
      <c r="CF460" s="13"/>
    </row>
    <row r="461" spans="20:84" ht="18" customHeight="1">
      <c r="T461" s="12"/>
      <c r="U461" s="13"/>
      <c r="AS461" s="13"/>
      <c r="AT461" s="18"/>
      <c r="AZ461" s="97"/>
      <c r="BA461" s="97"/>
      <c r="BB461" s="97"/>
      <c r="BE461" s="18"/>
      <c r="BY461" s="56"/>
      <c r="BZ461" s="57"/>
      <c r="CA461" s="57"/>
      <c r="CB461" s="57"/>
      <c r="CC461" s="57"/>
      <c r="CD461" s="58"/>
      <c r="CE461" s="12"/>
      <c r="CF461" s="13"/>
    </row>
    <row r="462" spans="20:84" ht="18" customHeight="1">
      <c r="T462" s="12"/>
      <c r="U462" s="13"/>
      <c r="AS462" s="13"/>
      <c r="AT462" s="18"/>
      <c r="AZ462" s="97"/>
      <c r="BA462" s="97"/>
      <c r="BB462" s="97"/>
      <c r="BE462" s="18"/>
      <c r="BY462" s="12"/>
      <c r="CD462" s="13"/>
      <c r="CE462" s="12"/>
      <c r="CF462" s="13"/>
    </row>
    <row r="463" spans="20:84" ht="18" customHeight="1">
      <c r="T463" s="14"/>
      <c r="U463" s="16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6"/>
      <c r="AT463" s="19"/>
      <c r="AU463" s="15"/>
      <c r="AV463" s="15"/>
      <c r="AW463" s="15"/>
      <c r="AX463" s="15"/>
      <c r="AY463" s="15"/>
      <c r="AZ463" s="60"/>
      <c r="BA463" s="60"/>
      <c r="BB463" s="60"/>
      <c r="BC463" s="15"/>
      <c r="BD463" s="15"/>
      <c r="BE463" s="19"/>
      <c r="BF463" s="15"/>
      <c r="BG463" s="15"/>
      <c r="BH463" s="15"/>
      <c r="BI463" s="15"/>
      <c r="BJ463" s="15"/>
      <c r="BK463" s="15"/>
      <c r="BL463" s="15"/>
      <c r="BM463" s="15"/>
      <c r="BN463" s="15"/>
      <c r="BO463" s="15"/>
      <c r="BP463" s="15"/>
      <c r="BQ463" s="15"/>
      <c r="BR463" s="15"/>
      <c r="BS463" s="15"/>
      <c r="BT463" s="15"/>
      <c r="BU463" s="15"/>
      <c r="BV463" s="15"/>
      <c r="BW463" s="15"/>
      <c r="BX463" s="15"/>
      <c r="BY463" s="14"/>
      <c r="BZ463" s="15"/>
      <c r="CA463" s="15"/>
      <c r="CB463" s="15"/>
      <c r="CC463" s="15"/>
      <c r="CD463" s="16"/>
      <c r="CE463" s="14"/>
      <c r="CF463" s="16"/>
    </row>
    <row r="471" spans="20:94" ht="18" customHeight="1">
      <c r="T471" s="9"/>
      <c r="U471" s="10"/>
      <c r="V471" s="10"/>
      <c r="W471" s="10"/>
      <c r="X471" s="10"/>
      <c r="Y471" s="11"/>
      <c r="Z471" s="10"/>
      <c r="AA471" s="10"/>
      <c r="AB471" s="10"/>
      <c r="AC471" s="10"/>
      <c r="AD471" s="10"/>
      <c r="AE471" s="10"/>
      <c r="AF471" s="10"/>
      <c r="AG471" s="10"/>
      <c r="AH471" s="9"/>
      <c r="AI471" s="10"/>
      <c r="AJ471" s="10"/>
      <c r="AK471" s="10"/>
      <c r="AL471" s="10"/>
      <c r="AM471" s="11"/>
      <c r="AR471" s="9"/>
      <c r="AS471" s="10"/>
      <c r="AT471" s="10"/>
      <c r="AU471" s="10"/>
      <c r="AV471" s="10"/>
      <c r="AW471" s="11"/>
      <c r="AX471" s="10"/>
      <c r="AY471" s="10"/>
      <c r="AZ471" s="10"/>
      <c r="BA471" s="10"/>
      <c r="BB471" s="10"/>
      <c r="BC471" s="10"/>
      <c r="BD471" s="10"/>
      <c r="BE471" s="10"/>
      <c r="BF471" s="10"/>
      <c r="BG471" s="10"/>
      <c r="BH471" s="10"/>
      <c r="BI471" s="10"/>
      <c r="BJ471" s="10"/>
      <c r="BK471" s="10"/>
      <c r="BL471" s="9"/>
      <c r="BM471" s="10"/>
      <c r="BN471" s="10"/>
      <c r="BO471" s="10"/>
      <c r="BP471" s="10"/>
      <c r="BQ471" s="11"/>
    </row>
    <row r="472" spans="20:94" ht="18" customHeight="1">
      <c r="T472" s="12"/>
      <c r="Y472" s="13"/>
      <c r="AH472" s="12"/>
      <c r="AM472" s="13"/>
      <c r="AR472" s="96"/>
      <c r="AS472" s="97"/>
      <c r="AT472" s="97"/>
      <c r="AU472" s="97"/>
      <c r="AV472" s="97"/>
      <c r="AW472" s="98"/>
      <c r="BL472" s="12"/>
      <c r="BQ472" s="13"/>
    </row>
    <row r="473" spans="20:94" ht="18" customHeight="1">
      <c r="T473" s="12"/>
      <c r="Y473" s="13"/>
      <c r="AH473" s="96"/>
      <c r="AI473" s="97"/>
      <c r="AJ473" s="97"/>
      <c r="AK473" s="97"/>
      <c r="AL473" s="97"/>
      <c r="AM473" s="98"/>
      <c r="AR473" s="12"/>
      <c r="AW473" s="13"/>
      <c r="BL473" s="12"/>
      <c r="BQ473" s="13"/>
    </row>
    <row r="474" spans="20:94" ht="18" customHeight="1">
      <c r="T474" s="12"/>
      <c r="Y474" s="13"/>
      <c r="AH474" s="12"/>
      <c r="AM474" s="13"/>
      <c r="AR474" s="12"/>
      <c r="AW474" s="13"/>
      <c r="BL474" s="12"/>
      <c r="BQ474" s="13"/>
    </row>
    <row r="475" spans="20:94" ht="18" customHeight="1">
      <c r="T475" s="12"/>
      <c r="Y475" s="13"/>
      <c r="AH475" s="12"/>
      <c r="AM475" s="13"/>
      <c r="AR475" s="12"/>
      <c r="AW475" s="13"/>
      <c r="BL475" s="12"/>
      <c r="BQ475" s="13"/>
    </row>
    <row r="476" spans="20:94" ht="18" customHeight="1">
      <c r="T476" s="12"/>
      <c r="Y476" s="13"/>
      <c r="AH476" s="12"/>
      <c r="AM476" s="13"/>
      <c r="AR476" s="12"/>
      <c r="AW476" s="13"/>
      <c r="BL476" s="12"/>
      <c r="BQ476" s="13"/>
      <c r="CF476" s="9"/>
      <c r="CG476" s="10"/>
      <c r="CH476" s="10"/>
      <c r="CI476" s="10"/>
      <c r="CJ476" s="10"/>
      <c r="CK476" s="10"/>
      <c r="CL476" s="10"/>
      <c r="CM476" s="10"/>
      <c r="CN476" s="10"/>
      <c r="CO476" s="10"/>
      <c r="CP476" s="11"/>
    </row>
    <row r="477" spans="20:94" ht="18" customHeight="1">
      <c r="T477" s="12"/>
      <c r="Y477" s="13"/>
      <c r="AH477" s="12"/>
      <c r="AM477" s="13"/>
      <c r="AR477" s="12"/>
      <c r="AW477" s="13"/>
      <c r="BL477" s="12"/>
      <c r="BQ477" s="13"/>
      <c r="CF477" s="12"/>
      <c r="CP477" s="13"/>
    </row>
    <row r="478" spans="20:94" ht="18" customHeight="1">
      <c r="T478" s="12"/>
      <c r="Y478" s="13"/>
      <c r="AH478" s="12"/>
      <c r="AM478" s="13"/>
      <c r="AR478" s="12"/>
      <c r="AW478" s="13"/>
      <c r="BL478" s="12"/>
      <c r="BQ478" s="13"/>
      <c r="CF478" s="12"/>
      <c r="CP478" s="13"/>
    </row>
    <row r="479" spans="20:94" ht="18" customHeight="1">
      <c r="T479" s="96"/>
      <c r="U479" s="97"/>
      <c r="V479" s="97"/>
      <c r="W479" s="97"/>
      <c r="X479" s="97"/>
      <c r="Y479" s="98"/>
      <c r="AH479" s="12"/>
      <c r="AM479" s="13"/>
      <c r="AR479" s="12"/>
      <c r="AW479" s="13"/>
      <c r="BL479" s="12"/>
      <c r="BQ479" s="13"/>
      <c r="CF479" s="12"/>
      <c r="CP479" s="13"/>
    </row>
    <row r="480" spans="20:94" ht="18" customHeight="1">
      <c r="T480" s="12"/>
      <c r="Y480" s="13"/>
      <c r="AH480" s="12"/>
      <c r="AM480" s="13"/>
      <c r="AR480" s="12"/>
      <c r="AW480" s="13"/>
      <c r="BL480" s="12"/>
      <c r="BQ480" s="13"/>
      <c r="CF480" s="12"/>
      <c r="CP480" s="13"/>
    </row>
    <row r="481" spans="20:105" ht="18" customHeight="1">
      <c r="T481" s="12"/>
      <c r="Y481" s="13"/>
      <c r="AH481" s="12"/>
      <c r="AM481" s="13"/>
      <c r="AR481" s="12"/>
      <c r="AW481" s="13"/>
      <c r="BL481" s="96"/>
      <c r="BM481" s="97"/>
      <c r="BN481" s="97"/>
      <c r="BO481" s="97"/>
      <c r="BP481" s="97"/>
      <c r="BQ481" s="98"/>
      <c r="CF481" s="12"/>
      <c r="CP481" s="13"/>
    </row>
    <row r="482" spans="20:105" ht="18" customHeight="1">
      <c r="T482" s="12"/>
      <c r="Y482" s="13"/>
      <c r="AH482" s="12"/>
      <c r="AM482" s="13"/>
      <c r="AR482" s="12"/>
      <c r="AW482" s="13"/>
      <c r="BL482" s="12"/>
      <c r="BQ482" s="13"/>
      <c r="CF482" s="14"/>
      <c r="CG482" s="15"/>
      <c r="CH482" s="15"/>
      <c r="CI482" s="15"/>
      <c r="CJ482" s="15"/>
      <c r="CK482" s="15"/>
      <c r="CL482" s="15"/>
      <c r="CM482" s="15"/>
      <c r="CN482" s="15"/>
      <c r="CO482" s="15"/>
      <c r="CP482" s="16"/>
    </row>
    <row r="483" spans="20:105" ht="18" customHeight="1">
      <c r="T483" s="12"/>
      <c r="Y483" s="13"/>
      <c r="AH483" s="12"/>
      <c r="AM483" s="13"/>
      <c r="AR483" s="12"/>
      <c r="AW483" s="13"/>
      <c r="BL483" s="12"/>
      <c r="BQ483" s="13"/>
      <c r="CQ483" s="9"/>
      <c r="CR483" s="10"/>
      <c r="CS483" s="10"/>
      <c r="CT483" s="10"/>
      <c r="CU483" s="10"/>
      <c r="CV483" s="10"/>
      <c r="CW483" s="10"/>
      <c r="CX483" s="10"/>
      <c r="CY483" s="10"/>
      <c r="CZ483" s="10"/>
      <c r="DA483" s="11"/>
    </row>
    <row r="484" spans="20:105" ht="18" customHeight="1">
      <c r="T484" s="12"/>
      <c r="Y484" s="13"/>
      <c r="AH484" s="12"/>
      <c r="AM484" s="13"/>
      <c r="AR484" s="12"/>
      <c r="AW484" s="13"/>
      <c r="BL484" s="12"/>
      <c r="BQ484" s="13"/>
      <c r="CQ484" s="12"/>
      <c r="DA484" s="13"/>
    </row>
    <row r="485" spans="20:105" ht="18" customHeight="1">
      <c r="T485" s="12"/>
      <c r="Y485" s="13"/>
      <c r="AH485" s="96"/>
      <c r="AI485" s="97"/>
      <c r="AJ485" s="97"/>
      <c r="AK485" s="97"/>
      <c r="AL485" s="97"/>
      <c r="AM485" s="98"/>
      <c r="AR485" s="12"/>
      <c r="AW485" s="13"/>
      <c r="BL485" s="12"/>
      <c r="BQ485" s="13"/>
      <c r="CQ485" s="12"/>
      <c r="DA485" s="13"/>
    </row>
    <row r="486" spans="20:105" ht="18" customHeight="1">
      <c r="T486" s="12"/>
      <c r="Y486" s="13"/>
      <c r="AH486" s="12"/>
      <c r="AM486" s="13"/>
      <c r="AR486" s="12"/>
      <c r="AW486" s="13"/>
      <c r="BL486" s="12"/>
      <c r="BQ486" s="13"/>
      <c r="CQ486" s="12"/>
      <c r="DA486" s="13"/>
    </row>
    <row r="487" spans="20:105" ht="18" customHeight="1">
      <c r="T487" s="12"/>
      <c r="Y487" s="13"/>
      <c r="AH487" s="12"/>
      <c r="AM487" s="13"/>
      <c r="AR487" s="12"/>
      <c r="AW487" s="13"/>
      <c r="BL487" s="12"/>
      <c r="BQ487" s="13"/>
      <c r="CQ487" s="12"/>
      <c r="DA487" s="13"/>
    </row>
    <row r="488" spans="20:105" ht="18" customHeight="1">
      <c r="T488" s="12"/>
      <c r="Y488" s="13"/>
      <c r="AH488" s="12"/>
      <c r="AM488" s="13"/>
      <c r="AR488" s="12"/>
      <c r="AW488" s="13"/>
      <c r="BL488" s="12"/>
      <c r="BQ488" s="13"/>
      <c r="CQ488" s="12"/>
      <c r="DA488" s="13"/>
    </row>
    <row r="489" spans="20:105" ht="18" customHeight="1">
      <c r="T489" s="12"/>
      <c r="Y489" s="13"/>
      <c r="AH489" s="12"/>
      <c r="AM489" s="13"/>
      <c r="AR489" s="12"/>
      <c r="AW489" s="13"/>
      <c r="BL489" s="12"/>
      <c r="BQ489" s="13"/>
      <c r="CQ489" s="14"/>
      <c r="CR489" s="15"/>
      <c r="CS489" s="15"/>
      <c r="CT489" s="15"/>
      <c r="CU489" s="15"/>
      <c r="CV489" s="15"/>
      <c r="CW489" s="15"/>
      <c r="CX489" s="15"/>
      <c r="CY489" s="15"/>
      <c r="CZ489" s="15"/>
      <c r="DA489" s="16"/>
    </row>
    <row r="490" spans="20:105" ht="18" customHeight="1">
      <c r="T490" s="12"/>
      <c r="Y490" s="13"/>
      <c r="AH490" s="12"/>
      <c r="AM490" s="13"/>
      <c r="AR490" s="12"/>
      <c r="AW490" s="13"/>
      <c r="BL490" s="12"/>
      <c r="BQ490" s="13"/>
    </row>
    <row r="491" spans="20:105" ht="18" customHeight="1">
      <c r="T491" s="12"/>
      <c r="Y491" s="13"/>
      <c r="AH491" s="12"/>
      <c r="AM491" s="13"/>
      <c r="AR491" s="12"/>
      <c r="AW491" s="13"/>
      <c r="BL491" s="12"/>
      <c r="BQ491" s="13"/>
    </row>
    <row r="492" spans="20:105" ht="18" customHeight="1">
      <c r="T492" s="12"/>
      <c r="Y492" s="13"/>
      <c r="AH492" s="12"/>
      <c r="AM492" s="13"/>
      <c r="AR492" s="12"/>
      <c r="AW492" s="13"/>
      <c r="BL492" s="12"/>
      <c r="BQ492" s="13"/>
    </row>
    <row r="493" spans="20:105" ht="18" customHeight="1">
      <c r="T493" s="12"/>
      <c r="Y493" s="13"/>
      <c r="AH493" s="12"/>
      <c r="AM493" s="13"/>
      <c r="AR493" s="12"/>
      <c r="AW493" s="13"/>
      <c r="BL493" s="12"/>
      <c r="BQ493" s="13"/>
    </row>
    <row r="494" spans="20:105" ht="18" customHeight="1">
      <c r="T494" s="14"/>
      <c r="U494" s="15"/>
      <c r="V494" s="15"/>
      <c r="W494" s="15"/>
      <c r="X494" s="15"/>
      <c r="Y494" s="16"/>
      <c r="Z494" s="15"/>
      <c r="AA494" s="15"/>
      <c r="AB494" s="15"/>
      <c r="AC494" s="15"/>
      <c r="AD494" s="15"/>
      <c r="AE494" s="15"/>
      <c r="AF494" s="15"/>
      <c r="AG494" s="15"/>
      <c r="AH494" s="14"/>
      <c r="AI494" s="15"/>
      <c r="AJ494" s="15"/>
      <c r="AK494" s="15"/>
      <c r="AL494" s="15"/>
      <c r="AM494" s="16"/>
      <c r="AR494" s="14"/>
      <c r="AS494" s="15"/>
      <c r="AT494" s="15"/>
      <c r="AU494" s="15"/>
      <c r="AV494" s="15"/>
      <c r="AW494" s="16"/>
      <c r="AX494" s="15"/>
      <c r="AY494" s="15"/>
      <c r="AZ494" s="15"/>
      <c r="BA494" s="15"/>
      <c r="BB494" s="15"/>
      <c r="BC494" s="15"/>
      <c r="BD494" s="15"/>
      <c r="BE494" s="15"/>
      <c r="BF494" s="15"/>
      <c r="BG494" s="15"/>
      <c r="BH494" s="15"/>
      <c r="BI494" s="15"/>
      <c r="BJ494" s="15"/>
      <c r="BK494" s="15"/>
      <c r="BL494" s="14"/>
      <c r="BM494" s="15"/>
      <c r="BN494" s="15"/>
      <c r="BO494" s="15"/>
      <c r="BP494" s="15"/>
      <c r="BQ494" s="16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48F22-9D30-3D42-B10D-F0357583DF67}">
  <sheetPr codeName="Sheet5"/>
  <dimension ref="B2:X41"/>
  <sheetViews>
    <sheetView topLeftCell="H18" zoomScale="185" zoomScaleNormal="150" workbookViewId="0">
      <selection activeCell="W11" sqref="W11"/>
    </sheetView>
  </sheetViews>
  <sheetFormatPr baseColWidth="10" defaultRowHeight="16"/>
  <cols>
    <col min="1" max="1" width="4.5" customWidth="1"/>
    <col min="2" max="2" width="15.33203125" customWidth="1"/>
    <col min="3" max="3" width="11.33203125" customWidth="1"/>
    <col min="4" max="4" width="10.1640625" customWidth="1"/>
    <col min="5" max="5" width="26.5" customWidth="1"/>
    <col min="6" max="6" width="14.1640625" customWidth="1"/>
    <col min="7" max="7" width="7.33203125" customWidth="1"/>
    <col min="8" max="8" width="26.83203125" customWidth="1"/>
    <col min="9" max="9" width="13.83203125" style="219" bestFit="1" customWidth="1"/>
    <col min="10" max="10" width="7" customWidth="1"/>
    <col min="11" max="11" width="6" customWidth="1"/>
  </cols>
  <sheetData>
    <row r="2" spans="2:24">
      <c r="C2">
        <v>12</v>
      </c>
    </row>
    <row r="4" spans="2:24">
      <c r="B4" t="s">
        <v>152</v>
      </c>
      <c r="C4">
        <v>2.54</v>
      </c>
      <c r="L4">
        <v>12</v>
      </c>
      <c r="O4" t="s">
        <v>94</v>
      </c>
      <c r="W4">
        <v>0.1</v>
      </c>
      <c r="X4">
        <f>ATAN(W4)*180/PI()</f>
        <v>5.710593137499643</v>
      </c>
    </row>
    <row r="5" spans="2:24">
      <c r="B5" t="s">
        <v>67</v>
      </c>
      <c r="C5">
        <f>2.54*12</f>
        <v>30.48</v>
      </c>
      <c r="E5" t="s">
        <v>69</v>
      </c>
      <c r="F5">
        <v>2500</v>
      </c>
      <c r="H5" t="s">
        <v>68</v>
      </c>
      <c r="I5" s="219">
        <v>22.5</v>
      </c>
      <c r="K5">
        <v>30</v>
      </c>
      <c r="L5">
        <f>L4*C5</f>
        <v>365.76</v>
      </c>
      <c r="N5" t="s">
        <v>144</v>
      </c>
      <c r="O5">
        <v>56</v>
      </c>
      <c r="P5">
        <v>68</v>
      </c>
      <c r="Q5">
        <f>P5*O5/4</f>
        <v>952</v>
      </c>
      <c r="W5">
        <v>0.2</v>
      </c>
      <c r="X5">
        <f t="shared" ref="X5:X13" si="0">ATAN(W5)*180/PI()</f>
        <v>11.309932474020213</v>
      </c>
    </row>
    <row r="6" spans="2:24">
      <c r="B6" t="s">
        <v>83</v>
      </c>
      <c r="C6">
        <v>10.763915051182416</v>
      </c>
      <c r="E6" t="s">
        <v>70</v>
      </c>
      <c r="F6">
        <v>8000</v>
      </c>
      <c r="H6" t="s">
        <v>122</v>
      </c>
      <c r="I6" s="219">
        <f>I5*K5*L5/1000000</f>
        <v>0.246888</v>
      </c>
      <c r="J6" t="s">
        <v>119</v>
      </c>
      <c r="N6" t="s">
        <v>145</v>
      </c>
      <c r="O6">
        <v>13</v>
      </c>
      <c r="P6">
        <v>46</v>
      </c>
      <c r="Q6">
        <f>P6*O6/4</f>
        <v>149.5</v>
      </c>
      <c r="S6">
        <f>Q6*0.5</f>
        <v>74.75</v>
      </c>
      <c r="T6">
        <f>S6/C10</f>
        <v>2.1166833713999997</v>
      </c>
      <c r="W6">
        <v>0.3</v>
      </c>
      <c r="X6">
        <f t="shared" si="0"/>
        <v>16.699244233993621</v>
      </c>
    </row>
    <row r="7" spans="2:24">
      <c r="B7" t="s">
        <v>82</v>
      </c>
      <c r="C7">
        <v>100</v>
      </c>
      <c r="E7" t="s">
        <v>78</v>
      </c>
      <c r="F7">
        <f>F5+1%*F6</f>
        <v>2580</v>
      </c>
      <c r="H7" t="s">
        <v>71</v>
      </c>
      <c r="I7" s="219">
        <f>I6*F$7</f>
        <v>636.97104000000002</v>
      </c>
      <c r="J7" t="s">
        <v>120</v>
      </c>
      <c r="N7" t="s">
        <v>146</v>
      </c>
      <c r="O7">
        <v>64</v>
      </c>
      <c r="P7">
        <v>16</v>
      </c>
      <c r="Q7">
        <f>P7*O7/4</f>
        <v>256</v>
      </c>
      <c r="R7">
        <f>Q5+Q6+Q7</f>
        <v>1357.5</v>
      </c>
      <c r="T7">
        <f>T6*F5</f>
        <v>5291.7084284999992</v>
      </c>
      <c r="W7">
        <v>0.4</v>
      </c>
      <c r="X7">
        <f t="shared" si="0"/>
        <v>21.801409486351812</v>
      </c>
    </row>
    <row r="8" spans="2:24">
      <c r="B8" t="s">
        <v>131</v>
      </c>
      <c r="C8">
        <v>10</v>
      </c>
      <c r="E8" t="s">
        <v>79</v>
      </c>
      <c r="F8">
        <f>F5+2%*F6</f>
        <v>2660</v>
      </c>
      <c r="H8" t="s">
        <v>87</v>
      </c>
      <c r="I8" s="219">
        <f>I5*K5</f>
        <v>675</v>
      </c>
      <c r="J8" t="s">
        <v>121</v>
      </c>
      <c r="R8" s="218">
        <f>R7/C6</f>
        <v>126.11582250000001</v>
      </c>
      <c r="W8">
        <v>0.5</v>
      </c>
      <c r="X8">
        <f t="shared" si="0"/>
        <v>26.56505117707799</v>
      </c>
    </row>
    <row r="9" spans="2:24">
      <c r="B9" t="s">
        <v>151</v>
      </c>
      <c r="C9">
        <f>100/C5</f>
        <v>3.2808398950131235</v>
      </c>
      <c r="E9" t="s">
        <v>73</v>
      </c>
      <c r="F9">
        <v>2000</v>
      </c>
      <c r="H9" t="s">
        <v>123</v>
      </c>
      <c r="I9" s="219">
        <f>C30*I8*100</f>
        <v>760725</v>
      </c>
      <c r="J9" t="s">
        <v>112</v>
      </c>
      <c r="O9" t="s">
        <v>93</v>
      </c>
      <c r="W9">
        <v>0.6</v>
      </c>
      <c r="X9">
        <f t="shared" si="0"/>
        <v>30.963756532073521</v>
      </c>
    </row>
    <row r="10" spans="2:24">
      <c r="B10" t="s">
        <v>150</v>
      </c>
      <c r="C10">
        <f>C6*C9</f>
        <v>35.314681926451499</v>
      </c>
      <c r="E10" t="s">
        <v>74</v>
      </c>
      <c r="F10">
        <v>600</v>
      </c>
      <c r="H10" t="s">
        <v>95</v>
      </c>
      <c r="I10" s="219">
        <v>9</v>
      </c>
      <c r="O10">
        <v>35</v>
      </c>
      <c r="P10">
        <f>O10*C$5/100/2</f>
        <v>5.3339999999999996</v>
      </c>
      <c r="W10">
        <v>0.7</v>
      </c>
      <c r="X10">
        <f t="shared" si="0"/>
        <v>34.992020198558656</v>
      </c>
    </row>
    <row r="11" spans="2:24">
      <c r="E11" t="s">
        <v>85</v>
      </c>
      <c r="F11">
        <v>20</v>
      </c>
      <c r="H11" t="s">
        <v>96</v>
      </c>
      <c r="I11" s="219">
        <f>I10*I7</f>
        <v>5732.7393600000005</v>
      </c>
      <c r="J11" t="s">
        <v>120</v>
      </c>
      <c r="O11">
        <v>102</v>
      </c>
      <c r="P11">
        <f t="shared" ref="P11:P17" si="1">O11*C$5/100/2</f>
        <v>15.5448</v>
      </c>
      <c r="R11">
        <v>12</v>
      </c>
      <c r="W11">
        <f>7/11</f>
        <v>0.63636363636363635</v>
      </c>
      <c r="X11">
        <f t="shared" si="0"/>
        <v>32.471192290848492</v>
      </c>
    </row>
    <row r="12" spans="2:24">
      <c r="E12" t="s">
        <v>84</v>
      </c>
      <c r="F12">
        <v>415</v>
      </c>
      <c r="O12">
        <v>40</v>
      </c>
      <c r="P12">
        <f t="shared" si="1"/>
        <v>6.0960000000000001</v>
      </c>
      <c r="R12">
        <f>12*4*S12</f>
        <v>72</v>
      </c>
      <c r="S12">
        <v>1.5</v>
      </c>
      <c r="W12">
        <v>0.9</v>
      </c>
      <c r="X12">
        <f t="shared" si="0"/>
        <v>41.987212495816664</v>
      </c>
    </row>
    <row r="13" spans="2:24">
      <c r="E13" t="s">
        <v>86</v>
      </c>
      <c r="F13">
        <f>F11+1%*F12</f>
        <v>24.15</v>
      </c>
      <c r="R13">
        <f>R12+R11</f>
        <v>84</v>
      </c>
      <c r="W13">
        <v>1</v>
      </c>
      <c r="X13">
        <f t="shared" si="0"/>
        <v>45</v>
      </c>
    </row>
    <row r="14" spans="2:24">
      <c r="E14" t="s">
        <v>91</v>
      </c>
      <c r="F14">
        <f>F13*100</f>
        <v>2415</v>
      </c>
      <c r="O14">
        <v>39</v>
      </c>
      <c r="P14">
        <f t="shared" si="1"/>
        <v>5.9436</v>
      </c>
      <c r="R14">
        <v>123</v>
      </c>
    </row>
    <row r="15" spans="2:24">
      <c r="E15" t="s">
        <v>135</v>
      </c>
      <c r="F15">
        <v>5</v>
      </c>
      <c r="H15" t="s">
        <v>72</v>
      </c>
      <c r="I15" s="219">
        <v>22.5</v>
      </c>
      <c r="K15">
        <v>45</v>
      </c>
      <c r="L15">
        <v>100</v>
      </c>
      <c r="O15">
        <v>28</v>
      </c>
      <c r="P15">
        <f t="shared" si="1"/>
        <v>4.2671999999999999</v>
      </c>
      <c r="R15">
        <f>R14-R13</f>
        <v>39</v>
      </c>
    </row>
    <row r="16" spans="2:24">
      <c r="E16" t="s">
        <v>136</v>
      </c>
      <c r="F16">
        <v>7</v>
      </c>
      <c r="H16" t="s">
        <v>76</v>
      </c>
      <c r="I16" s="219">
        <f>I15*K15*L15/1000000</f>
        <v>0.10125000000000001</v>
      </c>
      <c r="J16" t="s">
        <v>119</v>
      </c>
      <c r="O16">
        <v>66</v>
      </c>
      <c r="P16">
        <f t="shared" si="1"/>
        <v>10.058400000000001</v>
      </c>
      <c r="R16">
        <f>R15/4</f>
        <v>9.75</v>
      </c>
    </row>
    <row r="17" spans="2:21">
      <c r="B17" t="s">
        <v>98</v>
      </c>
      <c r="C17">
        <v>600</v>
      </c>
      <c r="D17" t="s">
        <v>99</v>
      </c>
      <c r="H17" t="s">
        <v>90</v>
      </c>
      <c r="I17" s="219">
        <f>I16*F$8</f>
        <v>269.32500000000005</v>
      </c>
      <c r="J17" t="s">
        <v>120</v>
      </c>
      <c r="O17">
        <v>45</v>
      </c>
      <c r="P17">
        <f t="shared" si="1"/>
        <v>6.8579999999999997</v>
      </c>
    </row>
    <row r="18" spans="2:21">
      <c r="B18" t="s">
        <v>100</v>
      </c>
      <c r="C18">
        <v>20</v>
      </c>
      <c r="D18" t="s">
        <v>101</v>
      </c>
      <c r="H18" t="s">
        <v>125</v>
      </c>
      <c r="I18" s="219">
        <f>P24</f>
        <v>52.578000000000003</v>
      </c>
      <c r="J18" t="s">
        <v>124</v>
      </c>
      <c r="S18">
        <v>18</v>
      </c>
      <c r="T18">
        <f>S18*2.54</f>
        <v>45.72</v>
      </c>
      <c r="U18">
        <f>T18*T18</f>
        <v>2090.3184000000001</v>
      </c>
    </row>
    <row r="19" spans="2:21">
      <c r="B19" t="s">
        <v>102</v>
      </c>
      <c r="C19">
        <v>500</v>
      </c>
      <c r="D19" t="s">
        <v>101</v>
      </c>
      <c r="H19" t="s">
        <v>126</v>
      </c>
      <c r="I19" s="219">
        <f>I18*I17</f>
        <v>14160.569850000003</v>
      </c>
      <c r="J19" t="s">
        <v>120</v>
      </c>
      <c r="P19" s="218">
        <f>SUM(P10:P17)</f>
        <v>54.101999999999997</v>
      </c>
      <c r="S19">
        <v>8</v>
      </c>
      <c r="T19">
        <f>S19*2.54</f>
        <v>20.32</v>
      </c>
      <c r="U19">
        <f>U18*T19</f>
        <v>42475.269888000003</v>
      </c>
    </row>
    <row r="20" spans="2:21">
      <c r="B20" t="s">
        <v>103</v>
      </c>
      <c r="C20">
        <v>1.5</v>
      </c>
      <c r="U20">
        <f>U19/1000</f>
        <v>42.475269888</v>
      </c>
    </row>
    <row r="21" spans="2:21">
      <c r="B21" t="s">
        <v>105</v>
      </c>
      <c r="C21" s="215">
        <v>0.01</v>
      </c>
      <c r="D21" t="s">
        <v>106</v>
      </c>
      <c r="O21" t="s">
        <v>93</v>
      </c>
      <c r="U21">
        <f>U20*2.5</f>
        <v>106.18817472000001</v>
      </c>
    </row>
    <row r="22" spans="2:21">
      <c r="B22" t="s">
        <v>107</v>
      </c>
      <c r="C22" s="215">
        <v>0.99</v>
      </c>
      <c r="D22" t="s">
        <v>106</v>
      </c>
      <c r="E22" t="s">
        <v>137</v>
      </c>
      <c r="O22">
        <v>128</v>
      </c>
      <c r="P22">
        <f>3*O22*C$5/100/4</f>
        <v>29.2608</v>
      </c>
    </row>
    <row r="23" spans="2:21">
      <c r="H23" t="s">
        <v>75</v>
      </c>
      <c r="I23" s="219">
        <v>15</v>
      </c>
      <c r="K23">
        <v>100</v>
      </c>
      <c r="L23">
        <v>100</v>
      </c>
      <c r="O23">
        <v>102</v>
      </c>
      <c r="P23">
        <f>3*O23*C$5/100/4</f>
        <v>23.317200000000003</v>
      </c>
    </row>
    <row r="24" spans="2:21">
      <c r="B24" t="s">
        <v>104</v>
      </c>
      <c r="E24" t="s">
        <v>138</v>
      </c>
      <c r="F24" s="222">
        <f>I29</f>
        <v>52320.213177500002</v>
      </c>
      <c r="H24" t="s">
        <v>77</v>
      </c>
      <c r="I24" s="219">
        <f>I23*K23*L23/1000000</f>
        <v>0.15</v>
      </c>
      <c r="J24" t="s">
        <v>130</v>
      </c>
      <c r="P24" s="218">
        <f>P23+P22</f>
        <v>52.578000000000003</v>
      </c>
    </row>
    <row r="25" spans="2:21">
      <c r="E25" t="s">
        <v>139</v>
      </c>
      <c r="F25">
        <f>1.2*F24</f>
        <v>62784.255812999996</v>
      </c>
      <c r="H25" t="s">
        <v>80</v>
      </c>
      <c r="I25" s="219">
        <f>I24*F$8</f>
        <v>399</v>
      </c>
      <c r="J25" t="s">
        <v>129</v>
      </c>
    </row>
    <row r="26" spans="2:21">
      <c r="E26" t="s">
        <v>140</v>
      </c>
      <c r="F26">
        <f>20%*F13</f>
        <v>4.83</v>
      </c>
      <c r="H26" t="s">
        <v>128</v>
      </c>
      <c r="I26" s="219">
        <f>R8</f>
        <v>126.11582250000001</v>
      </c>
      <c r="J26" t="s">
        <v>127</v>
      </c>
    </row>
    <row r="27" spans="2:21">
      <c r="B27" t="s">
        <v>108</v>
      </c>
      <c r="C27">
        <f>C17*C20*1000</f>
        <v>900000</v>
      </c>
      <c r="D27" t="s">
        <v>112</v>
      </c>
      <c r="E27" t="s">
        <v>141</v>
      </c>
      <c r="F27">
        <f>F26*10</f>
        <v>48.3</v>
      </c>
      <c r="H27" t="s">
        <v>88</v>
      </c>
      <c r="I27" s="219">
        <f>I26*I25</f>
        <v>50320.213177500002</v>
      </c>
      <c r="J27" t="s">
        <v>120</v>
      </c>
    </row>
    <row r="28" spans="2:21">
      <c r="B28" t="s">
        <v>110</v>
      </c>
      <c r="C28">
        <f>0.4*C18*99%</f>
        <v>7.92</v>
      </c>
      <c r="D28" t="s">
        <v>101</v>
      </c>
      <c r="E28" t="s">
        <v>142</v>
      </c>
      <c r="F28">
        <f>F25/F27</f>
        <v>1299.8810727329192</v>
      </c>
      <c r="H28" t="s">
        <v>133</v>
      </c>
      <c r="I28" s="219">
        <v>2000</v>
      </c>
      <c r="J28" t="s">
        <v>120</v>
      </c>
    </row>
    <row r="29" spans="2:21">
      <c r="B29" t="s">
        <v>109</v>
      </c>
      <c r="C29">
        <f>0.67*C19*1%</f>
        <v>3.35</v>
      </c>
      <c r="D29" t="s">
        <v>101</v>
      </c>
      <c r="H29" t="s">
        <v>134</v>
      </c>
      <c r="I29" s="219">
        <f>I28+I27</f>
        <v>52320.213177500002</v>
      </c>
      <c r="J29" t="s">
        <v>120</v>
      </c>
    </row>
    <row r="30" spans="2:21">
      <c r="B30" t="s">
        <v>111</v>
      </c>
      <c r="C30">
        <f>C29+C28</f>
        <v>11.27</v>
      </c>
      <c r="D30" t="s">
        <v>101</v>
      </c>
    </row>
    <row r="31" spans="2:21">
      <c r="B31" t="s">
        <v>116</v>
      </c>
      <c r="C31">
        <f>C27/C30</f>
        <v>79858.030168589175</v>
      </c>
      <c r="D31" t="s">
        <v>113</v>
      </c>
      <c r="L31">
        <v>50</v>
      </c>
      <c r="M31" t="s">
        <v>149</v>
      </c>
      <c r="Q31">
        <v>25.5</v>
      </c>
      <c r="R31">
        <f>Q31*4</f>
        <v>102</v>
      </c>
    </row>
    <row r="32" spans="2:21">
      <c r="B32" t="s">
        <v>115</v>
      </c>
      <c r="C32">
        <f>SQRT(C31)</f>
        <v>282.59163145533728</v>
      </c>
      <c r="D32" t="s">
        <v>114</v>
      </c>
      <c r="H32" t="s">
        <v>97</v>
      </c>
      <c r="I32" s="219">
        <f>I29+I19+I11</f>
        <v>72213.522387500008</v>
      </c>
      <c r="J32" t="s">
        <v>120</v>
      </c>
      <c r="L32">
        <f>I33/L31</f>
        <v>2166.4056716250002</v>
      </c>
      <c r="M32" t="s">
        <v>147</v>
      </c>
      <c r="Q32">
        <v>31</v>
      </c>
      <c r="R32">
        <f>Q32*4</f>
        <v>124</v>
      </c>
    </row>
    <row r="33" spans="2:13">
      <c r="H33" t="s">
        <v>81</v>
      </c>
      <c r="I33" s="219">
        <f>1.5*I32</f>
        <v>108320.28358125001</v>
      </c>
      <c r="J33" t="s">
        <v>120</v>
      </c>
      <c r="L33">
        <f>L32/I8</f>
        <v>3.2094898838888892</v>
      </c>
      <c r="M33" t="s">
        <v>148</v>
      </c>
    </row>
    <row r="34" spans="2:13">
      <c r="H34" t="s">
        <v>118</v>
      </c>
      <c r="I34" s="219">
        <f>I33/I26</f>
        <v>858.89527129912665</v>
      </c>
      <c r="J34" t="s">
        <v>129</v>
      </c>
    </row>
    <row r="35" spans="2:13">
      <c r="B35">
        <f>0.85 *30 * 1350</f>
        <v>34425</v>
      </c>
      <c r="C35" s="220">
        <v>3822500</v>
      </c>
      <c r="D35">
        <f>C35/B35</f>
        <v>111.03848946986201</v>
      </c>
      <c r="H35" t="s">
        <v>117</v>
      </c>
      <c r="I35" s="219">
        <f>C8*I34</f>
        <v>8588.9527129912658</v>
      </c>
      <c r="J35" t="s">
        <v>132</v>
      </c>
    </row>
    <row r="36" spans="2:13">
      <c r="D36">
        <v>9.81</v>
      </c>
    </row>
    <row r="37" spans="2:13">
      <c r="D37">
        <f>1000/D36</f>
        <v>101.9367991845056</v>
      </c>
    </row>
    <row r="38" spans="2:13">
      <c r="H38" t="s">
        <v>89</v>
      </c>
      <c r="I38" s="219">
        <f>I35/F15</f>
        <v>1717.7905425982531</v>
      </c>
      <c r="J38" t="s">
        <v>113</v>
      </c>
    </row>
    <row r="39" spans="2:13">
      <c r="H39" t="s">
        <v>89</v>
      </c>
      <c r="I39" s="219">
        <f>I38/100</f>
        <v>17.17790542598253</v>
      </c>
      <c r="J39" t="s">
        <v>121</v>
      </c>
    </row>
    <row r="40" spans="2:13">
      <c r="H40" t="s">
        <v>143</v>
      </c>
      <c r="I40" s="219">
        <f>I39*I26</f>
        <v>2166.4056716249997</v>
      </c>
      <c r="J40" t="s">
        <v>121</v>
      </c>
    </row>
    <row r="41" spans="2:13">
      <c r="H41" t="s">
        <v>92</v>
      </c>
      <c r="I41" s="221">
        <f>I40/I8</f>
        <v>3.2094898838888883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1E49C-ACDA-174E-AEA7-D754159F2CA8}">
  <sheetPr codeName="Sheet6"/>
  <dimension ref="F47:WT1528"/>
  <sheetViews>
    <sheetView showRowColHeaders="0" tabSelected="1" topLeftCell="CN1380" zoomScale="41" zoomScaleNormal="89" workbookViewId="0">
      <selection activeCell="NL1450" sqref="NL1450"/>
    </sheetView>
  </sheetViews>
  <sheetFormatPr baseColWidth="10" defaultColWidth="1.6640625" defaultRowHeight="10.75" customHeight="1"/>
  <cols>
    <col min="80" max="80" width="1.6640625" customWidth="1"/>
  </cols>
  <sheetData>
    <row r="47" spans="76:211" ht="10.75" customHeight="1">
      <c r="BX47" s="9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1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1"/>
    </row>
    <row r="48" spans="76:211" ht="10.75" customHeight="1">
      <c r="BX48" s="12"/>
      <c r="FK48" s="13"/>
      <c r="HC48" s="13"/>
    </row>
    <row r="49" spans="76:387" ht="10.75" customHeight="1">
      <c r="BX49" s="12"/>
      <c r="FK49" s="13"/>
      <c r="HC49" s="13"/>
    </row>
    <row r="50" spans="76:387" ht="10.75" customHeight="1">
      <c r="BX50" s="12"/>
      <c r="FK50" s="13"/>
      <c r="HC50" s="13"/>
    </row>
    <row r="51" spans="76:387" ht="10.75" customHeight="1">
      <c r="BX51" s="12"/>
      <c r="CA51" s="13"/>
      <c r="CB51" s="259"/>
      <c r="CC51" s="141"/>
      <c r="CD51" s="57"/>
      <c r="CE51" s="57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57"/>
      <c r="EM51" s="57"/>
      <c r="EN51" s="57"/>
      <c r="EO51" s="57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259"/>
      <c r="FG51" s="235"/>
      <c r="FH51" s="10"/>
      <c r="FI51" s="10"/>
      <c r="FJ51" s="10"/>
      <c r="FK51" s="11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57"/>
      <c r="GW51" s="57"/>
      <c r="GX51" s="57"/>
      <c r="GY51" s="58"/>
      <c r="HC51" s="13"/>
    </row>
    <row r="52" spans="76:387" ht="10.75" customHeight="1">
      <c r="BX52" s="12"/>
      <c r="CA52" s="13"/>
      <c r="CB52" s="214"/>
      <c r="CC52" s="49"/>
      <c r="CD52" s="97"/>
      <c r="CE52" s="97"/>
      <c r="EL52" s="97"/>
      <c r="EM52" s="97"/>
      <c r="EN52" s="97"/>
      <c r="EO52" s="97"/>
      <c r="FF52" s="214"/>
      <c r="FG52" s="208"/>
      <c r="FK52" s="13"/>
      <c r="GV52" s="97"/>
      <c r="GW52" s="97"/>
      <c r="GX52" s="97"/>
      <c r="GY52" s="98"/>
      <c r="HC52" s="13"/>
      <c r="JT52" s="9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1"/>
    </row>
    <row r="53" spans="76:387" ht="10.75" customHeight="1" thickBot="1">
      <c r="BX53" s="12"/>
      <c r="CA53" s="13"/>
      <c r="CB53" s="214"/>
      <c r="CC53" s="49"/>
      <c r="CD53" s="97"/>
      <c r="CE53" s="97"/>
      <c r="EL53" s="97"/>
      <c r="EM53" s="97"/>
      <c r="EN53" s="97"/>
      <c r="EO53" s="97"/>
      <c r="FF53" s="236"/>
      <c r="FG53" s="209"/>
      <c r="FK53" s="13"/>
      <c r="GV53" s="97"/>
      <c r="GW53" s="97"/>
      <c r="GX53" s="97"/>
      <c r="GY53" s="98"/>
      <c r="HC53" s="13"/>
      <c r="JT53" s="12"/>
      <c r="NW53" s="13"/>
    </row>
    <row r="54" spans="76:387" ht="10.75" customHeight="1">
      <c r="BX54" s="12"/>
      <c r="CA54" s="13"/>
      <c r="CB54" s="214"/>
      <c r="CC54" s="49"/>
      <c r="CE54" s="9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"/>
      <c r="DJ54" s="2"/>
      <c r="DK54" s="2"/>
      <c r="DL54" s="2"/>
      <c r="DM54" s="246"/>
      <c r="DN54" s="247"/>
      <c r="DO54" s="2"/>
      <c r="DP54" s="2"/>
      <c r="DQ54" s="2"/>
      <c r="DR54" s="246"/>
      <c r="DS54" s="247"/>
      <c r="DT54" s="2"/>
      <c r="DU54" s="2"/>
      <c r="DV54" s="2"/>
      <c r="DW54" s="246"/>
      <c r="DX54" s="2"/>
      <c r="DY54" s="2"/>
      <c r="DZ54" s="246"/>
      <c r="EA54" s="2"/>
      <c r="EB54" s="2"/>
      <c r="EC54" s="248"/>
      <c r="ED54" s="249"/>
      <c r="EE54" s="249"/>
      <c r="EF54" s="249"/>
      <c r="EG54" s="250"/>
      <c r="EH54" s="248"/>
      <c r="EI54" s="249"/>
      <c r="EJ54" s="249"/>
      <c r="EK54" s="249"/>
      <c r="EL54" s="250"/>
      <c r="EM54" s="248"/>
      <c r="EN54" s="249"/>
      <c r="EO54" s="249"/>
      <c r="EP54" s="249"/>
      <c r="EQ54" s="250"/>
      <c r="ER54" s="248"/>
      <c r="ES54" s="249"/>
      <c r="ET54" s="249"/>
      <c r="EU54" s="249"/>
      <c r="EV54" s="250"/>
      <c r="EW54" s="247"/>
      <c r="EX54" s="246"/>
      <c r="EY54" s="247"/>
      <c r="EZ54" s="2"/>
      <c r="FA54" s="246"/>
      <c r="FB54" s="247"/>
      <c r="FC54" s="2"/>
      <c r="FD54" s="2"/>
      <c r="FE54" s="3"/>
      <c r="FF54" s="235"/>
      <c r="FG54" s="235"/>
      <c r="FH54" s="10"/>
      <c r="FI54" s="10"/>
      <c r="FJ54" s="10"/>
      <c r="FK54" s="11"/>
      <c r="FL54" s="237"/>
      <c r="FM54" s="238"/>
      <c r="FN54" s="238"/>
      <c r="FO54" s="238"/>
      <c r="FP54" s="239"/>
      <c r="FQ54" s="237"/>
      <c r="FR54" s="238"/>
      <c r="FS54" s="238"/>
      <c r="FT54" s="238"/>
      <c r="FU54" s="239"/>
      <c r="FV54" s="237"/>
      <c r="FW54" s="238"/>
      <c r="FX54" s="238"/>
      <c r="FY54" s="238"/>
      <c r="FZ54" s="239"/>
      <c r="GA54" s="237"/>
      <c r="GB54" s="238"/>
      <c r="GC54" s="238"/>
      <c r="GD54" s="238"/>
      <c r="GE54" s="239"/>
      <c r="GF54" s="10"/>
      <c r="GG54" s="10"/>
      <c r="GH54" s="10"/>
      <c r="GI54" s="10"/>
      <c r="GJ54" s="11"/>
      <c r="GK54" s="9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1"/>
      <c r="GY54" s="13"/>
      <c r="HC54" s="13"/>
      <c r="JT54" s="12"/>
      <c r="NW54" s="13"/>
    </row>
    <row r="55" spans="76:387" ht="10.75" customHeight="1">
      <c r="BX55" s="12"/>
      <c r="CA55" s="13"/>
      <c r="CB55" s="214"/>
      <c r="CC55" s="49"/>
      <c r="CE55" s="12"/>
      <c r="DI55" s="4"/>
      <c r="DM55" s="13"/>
      <c r="DN55" s="12"/>
      <c r="DR55" s="13"/>
      <c r="DS55" s="12"/>
      <c r="DW55" s="13"/>
      <c r="DZ55" s="13"/>
      <c r="EC55" s="240"/>
      <c r="ED55" s="245"/>
      <c r="EE55" s="245"/>
      <c r="EF55" s="245"/>
      <c r="EG55" s="241"/>
      <c r="EH55" s="240"/>
      <c r="EI55" s="245"/>
      <c r="EJ55" s="245"/>
      <c r="EK55" s="245"/>
      <c r="EL55" s="241"/>
      <c r="EM55" s="240"/>
      <c r="EN55" s="245"/>
      <c r="EO55" s="245"/>
      <c r="EP55" s="245"/>
      <c r="EQ55" s="241"/>
      <c r="ER55" s="240"/>
      <c r="ES55" s="245"/>
      <c r="ET55" s="245"/>
      <c r="EU55" s="245"/>
      <c r="EV55" s="241"/>
      <c r="EW55" s="12"/>
      <c r="EX55" s="13"/>
      <c r="EY55" s="12"/>
      <c r="FA55" s="13"/>
      <c r="FB55" s="12"/>
      <c r="FE55" s="5"/>
      <c r="FF55" s="208"/>
      <c r="FG55" s="208"/>
      <c r="FK55" s="13"/>
      <c r="FL55" s="240"/>
      <c r="FM55" s="245"/>
      <c r="FN55" s="245"/>
      <c r="FO55" s="245"/>
      <c r="FP55" s="241"/>
      <c r="FQ55" s="240"/>
      <c r="FR55" s="245"/>
      <c r="FS55" s="245"/>
      <c r="FT55" s="245"/>
      <c r="FU55" s="241"/>
      <c r="FV55" s="240"/>
      <c r="FW55" s="245"/>
      <c r="FX55" s="245"/>
      <c r="FY55" s="245"/>
      <c r="FZ55" s="241"/>
      <c r="GA55" s="240"/>
      <c r="GB55" s="245"/>
      <c r="GC55" s="245"/>
      <c r="GD55" s="245"/>
      <c r="GE55" s="241"/>
      <c r="GJ55" s="13"/>
      <c r="GK55" s="12"/>
      <c r="GV55" s="13"/>
      <c r="GY55" s="13"/>
      <c r="HC55" s="13"/>
      <c r="JT55" s="12"/>
      <c r="JW55" s="9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9"/>
      <c r="KV55" s="10"/>
      <c r="KW55" s="10"/>
      <c r="KX55" s="11"/>
      <c r="KY55" s="9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1"/>
      <c r="LU55" s="10"/>
      <c r="LV55" s="11"/>
      <c r="LW55" s="9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1"/>
      <c r="MO55" s="10"/>
      <c r="MP55" s="11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9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1"/>
      <c r="NW55" s="13"/>
    </row>
    <row r="56" spans="76:387" ht="10.75" customHeight="1">
      <c r="BX56" s="12"/>
      <c r="CA56" s="13"/>
      <c r="CB56" s="214"/>
      <c r="CC56" s="49"/>
      <c r="CE56" s="12"/>
      <c r="DI56" s="4"/>
      <c r="DM56" s="13"/>
      <c r="DN56" s="12"/>
      <c r="DR56" s="13"/>
      <c r="DS56" s="12"/>
      <c r="DW56" s="13"/>
      <c r="DZ56" s="13"/>
      <c r="EC56" s="240"/>
      <c r="ED56" s="245"/>
      <c r="EE56" s="245"/>
      <c r="EF56" s="245"/>
      <c r="EG56" s="241"/>
      <c r="EH56" s="240"/>
      <c r="EI56" s="245"/>
      <c r="EJ56" s="245"/>
      <c r="EK56" s="245"/>
      <c r="EL56" s="241"/>
      <c r="EM56" s="240"/>
      <c r="EN56" s="245"/>
      <c r="EO56" s="245"/>
      <c r="EP56" s="245"/>
      <c r="EQ56" s="241"/>
      <c r="ER56" s="240"/>
      <c r="ES56" s="245"/>
      <c r="ET56" s="245"/>
      <c r="EU56" s="245"/>
      <c r="EV56" s="241"/>
      <c r="EW56" s="12"/>
      <c r="EX56" s="13"/>
      <c r="EY56" s="12"/>
      <c r="FA56" s="13"/>
      <c r="FB56" s="12"/>
      <c r="FE56" s="5"/>
      <c r="FF56" s="208"/>
      <c r="FG56" s="208"/>
      <c r="FK56" s="13"/>
      <c r="FL56" s="240"/>
      <c r="FM56" s="245"/>
      <c r="FN56" s="245"/>
      <c r="FO56" s="245"/>
      <c r="FP56" s="241"/>
      <c r="FQ56" s="240"/>
      <c r="FR56" s="245"/>
      <c r="FS56" s="245"/>
      <c r="FT56" s="245"/>
      <c r="FU56" s="241"/>
      <c r="FV56" s="240"/>
      <c r="FW56" s="245"/>
      <c r="FX56" s="245"/>
      <c r="FY56" s="245"/>
      <c r="FZ56" s="241"/>
      <c r="GA56" s="240"/>
      <c r="GB56" s="245"/>
      <c r="GC56" s="245"/>
      <c r="GD56" s="245"/>
      <c r="GE56" s="241"/>
      <c r="GJ56" s="13"/>
      <c r="GK56" s="12"/>
      <c r="GV56" s="13"/>
      <c r="GY56" s="13"/>
      <c r="HC56" s="13"/>
      <c r="JT56" s="12"/>
      <c r="JW56" s="12"/>
      <c r="KU56" s="12"/>
      <c r="KX56" s="13"/>
      <c r="KY56" s="12"/>
      <c r="LT56" s="13"/>
      <c r="LV56" s="13"/>
      <c r="LW56" s="12"/>
      <c r="MN56" s="13"/>
      <c r="MP56" s="13"/>
      <c r="NI56" s="12"/>
      <c r="NT56" s="13"/>
      <c r="NW56" s="13"/>
    </row>
    <row r="57" spans="76:387" ht="10.75" customHeight="1">
      <c r="BX57" s="12"/>
      <c r="CA57" s="13"/>
      <c r="CB57" s="214"/>
      <c r="CC57" s="49"/>
      <c r="CE57" s="12"/>
      <c r="DI57" s="4"/>
      <c r="DM57" s="13"/>
      <c r="DN57" s="12"/>
      <c r="DR57" s="13"/>
      <c r="DS57" s="12"/>
      <c r="DW57" s="13"/>
      <c r="DZ57" s="13"/>
      <c r="EC57" s="240"/>
      <c r="ED57" s="245"/>
      <c r="EE57" s="245"/>
      <c r="EF57" s="245"/>
      <c r="EG57" s="241"/>
      <c r="EH57" s="240"/>
      <c r="EI57" s="245"/>
      <c r="EJ57" s="245"/>
      <c r="EK57" s="245"/>
      <c r="EL57" s="241"/>
      <c r="EM57" s="240"/>
      <c r="EN57" s="245"/>
      <c r="EO57" s="245"/>
      <c r="EP57" s="245"/>
      <c r="EQ57" s="241"/>
      <c r="ER57" s="240"/>
      <c r="ES57" s="245"/>
      <c r="ET57" s="245"/>
      <c r="EU57" s="245"/>
      <c r="EV57" s="241"/>
      <c r="EW57" s="12"/>
      <c r="EX57" s="13"/>
      <c r="EY57" s="12"/>
      <c r="FA57" s="13"/>
      <c r="FB57" s="12"/>
      <c r="FE57" s="5"/>
      <c r="FF57" s="208"/>
      <c r="FG57" s="208"/>
      <c r="FK57" s="13"/>
      <c r="FL57" s="240"/>
      <c r="FM57" s="245"/>
      <c r="FN57" s="245"/>
      <c r="FO57" s="245"/>
      <c r="FP57" s="241"/>
      <c r="FQ57" s="240"/>
      <c r="FR57" s="245"/>
      <c r="FS57" s="245"/>
      <c r="FT57" s="245"/>
      <c r="FU57" s="241"/>
      <c r="FV57" s="240"/>
      <c r="FW57" s="245"/>
      <c r="FX57" s="245"/>
      <c r="FY57" s="245"/>
      <c r="FZ57" s="241"/>
      <c r="GA57" s="240"/>
      <c r="GB57" s="245"/>
      <c r="GC57" s="245"/>
      <c r="GD57" s="245"/>
      <c r="GE57" s="241"/>
      <c r="GJ57" s="13"/>
      <c r="GK57" s="12"/>
      <c r="GV57" s="13"/>
      <c r="GY57" s="13"/>
      <c r="HC57" s="13"/>
      <c r="JT57" s="12"/>
      <c r="JW57" s="12"/>
      <c r="KU57" s="12"/>
      <c r="KX57" s="13"/>
      <c r="KY57" s="12"/>
      <c r="LT57" s="13"/>
      <c r="LV57" s="13"/>
      <c r="LW57" s="12"/>
      <c r="MN57" s="13"/>
      <c r="MP57" s="13"/>
      <c r="NI57" s="12"/>
      <c r="NT57" s="13"/>
      <c r="NW57" s="13"/>
    </row>
    <row r="58" spans="76:387" ht="10.75" customHeight="1">
      <c r="BX58" s="12"/>
      <c r="CA58" s="13"/>
      <c r="CB58" s="214"/>
      <c r="CC58" s="49"/>
      <c r="CE58" s="12"/>
      <c r="DI58" s="4"/>
      <c r="DM58" s="13"/>
      <c r="DN58" s="12"/>
      <c r="DR58" s="13"/>
      <c r="DS58" s="12"/>
      <c r="DW58" s="13"/>
      <c r="DZ58" s="13"/>
      <c r="EC58" s="240"/>
      <c r="ED58" s="245"/>
      <c r="EE58" s="245"/>
      <c r="EF58" s="245"/>
      <c r="EG58" s="241"/>
      <c r="EH58" s="240"/>
      <c r="EI58" s="245"/>
      <c r="EJ58" s="245"/>
      <c r="EK58" s="245"/>
      <c r="EL58" s="241"/>
      <c r="EM58" s="240"/>
      <c r="EN58" s="245"/>
      <c r="EO58" s="245"/>
      <c r="EP58" s="245"/>
      <c r="EQ58" s="241"/>
      <c r="ER58" s="240"/>
      <c r="ES58" s="245"/>
      <c r="ET58" s="245"/>
      <c r="EU58" s="245"/>
      <c r="EV58" s="241"/>
      <c r="EW58" s="12"/>
      <c r="EX58" s="13"/>
      <c r="EY58" s="12"/>
      <c r="FA58" s="13"/>
      <c r="FB58" s="12"/>
      <c r="FE58" s="5"/>
      <c r="FF58" s="208"/>
      <c r="FG58" s="208"/>
      <c r="FK58" s="13"/>
      <c r="FL58" s="240"/>
      <c r="FM58" s="245"/>
      <c r="FN58" s="245"/>
      <c r="FO58" s="245"/>
      <c r="FP58" s="241"/>
      <c r="FQ58" s="240"/>
      <c r="FR58" s="245"/>
      <c r="FS58" s="245"/>
      <c r="FT58" s="245"/>
      <c r="FU58" s="241"/>
      <c r="FV58" s="240"/>
      <c r="FW58" s="245"/>
      <c r="FX58" s="245"/>
      <c r="FY58" s="245"/>
      <c r="FZ58" s="241"/>
      <c r="GA58" s="240"/>
      <c r="GB58" s="245"/>
      <c r="GC58" s="245"/>
      <c r="GD58" s="245"/>
      <c r="GE58" s="241"/>
      <c r="GJ58" s="13"/>
      <c r="GK58" s="12"/>
      <c r="GV58" s="13"/>
      <c r="GY58" s="13"/>
      <c r="HC58" s="13"/>
      <c r="JT58" s="12"/>
      <c r="JW58" s="12"/>
      <c r="KU58" s="12"/>
      <c r="KX58" s="13"/>
      <c r="KY58" s="12"/>
      <c r="LT58" s="13"/>
      <c r="LV58" s="13"/>
      <c r="LW58" s="12"/>
      <c r="MN58" s="13"/>
      <c r="MP58" s="13"/>
      <c r="NI58" s="12"/>
      <c r="NT58" s="13"/>
      <c r="NW58" s="13"/>
    </row>
    <row r="59" spans="76:387" ht="10.75" customHeight="1">
      <c r="BX59" s="12"/>
      <c r="CA59" s="13"/>
      <c r="CB59" s="214"/>
      <c r="CC59" s="49"/>
      <c r="CE59" s="12"/>
      <c r="DI59" s="4"/>
      <c r="DM59" s="13"/>
      <c r="DN59" s="12"/>
      <c r="DR59" s="13"/>
      <c r="DS59" s="12"/>
      <c r="DW59" s="13"/>
      <c r="DZ59" s="13"/>
      <c r="EC59" s="240"/>
      <c r="ED59" s="245"/>
      <c r="EE59" s="245"/>
      <c r="EF59" s="245"/>
      <c r="EG59" s="241"/>
      <c r="EH59" s="240"/>
      <c r="EI59" s="245"/>
      <c r="EJ59" s="245"/>
      <c r="EK59" s="245"/>
      <c r="EL59" s="241"/>
      <c r="EM59" s="240"/>
      <c r="EN59" s="245"/>
      <c r="EO59" s="245"/>
      <c r="EP59" s="245"/>
      <c r="EQ59" s="241"/>
      <c r="ER59" s="240"/>
      <c r="ES59" s="245"/>
      <c r="ET59" s="245"/>
      <c r="EU59" s="245"/>
      <c r="EV59" s="241"/>
      <c r="EW59" s="12"/>
      <c r="EX59" s="13"/>
      <c r="EY59" s="12"/>
      <c r="FA59" s="13"/>
      <c r="FB59" s="12"/>
      <c r="FE59" s="5"/>
      <c r="FF59" s="208"/>
      <c r="FG59" s="208"/>
      <c r="FK59" s="13"/>
      <c r="FL59" s="240"/>
      <c r="FM59" s="245"/>
      <c r="FN59" s="245"/>
      <c r="FO59" s="245"/>
      <c r="FP59" s="241"/>
      <c r="FQ59" s="240"/>
      <c r="FR59" s="245"/>
      <c r="FS59" s="245"/>
      <c r="FT59" s="245"/>
      <c r="FU59" s="241"/>
      <c r="FV59" s="240"/>
      <c r="FW59" s="245"/>
      <c r="FX59" s="245"/>
      <c r="FY59" s="245"/>
      <c r="FZ59" s="241"/>
      <c r="GA59" s="240"/>
      <c r="GB59" s="245"/>
      <c r="GC59" s="245"/>
      <c r="GD59" s="245"/>
      <c r="GE59" s="241"/>
      <c r="GJ59" s="13"/>
      <c r="GK59" s="12"/>
      <c r="GV59" s="13"/>
      <c r="GY59" s="13"/>
      <c r="HC59" s="13"/>
      <c r="JT59" s="12"/>
      <c r="JW59" s="12"/>
      <c r="KU59" s="12"/>
      <c r="KX59" s="13"/>
      <c r="KY59" s="12"/>
      <c r="LT59" s="13"/>
      <c r="LV59" s="13"/>
      <c r="LW59" s="12"/>
      <c r="MN59" s="13"/>
      <c r="MP59" s="13"/>
      <c r="NI59" s="12"/>
      <c r="NT59" s="13"/>
      <c r="NW59" s="13"/>
    </row>
    <row r="60" spans="76:387" ht="10.75" customHeight="1">
      <c r="BX60" s="12"/>
      <c r="CA60" s="13"/>
      <c r="CB60" s="214"/>
      <c r="CC60" s="49"/>
      <c r="CE60" s="12"/>
      <c r="DI60" s="4"/>
      <c r="DM60" s="13"/>
      <c r="DN60" s="12"/>
      <c r="DR60" s="13"/>
      <c r="DS60" s="12"/>
      <c r="DW60" s="13"/>
      <c r="DZ60" s="13"/>
      <c r="EC60" s="240"/>
      <c r="ED60" s="245"/>
      <c r="EE60" s="245"/>
      <c r="EF60" s="245"/>
      <c r="EG60" s="241"/>
      <c r="EH60" s="240"/>
      <c r="EI60" s="245"/>
      <c r="EJ60" s="245"/>
      <c r="EK60" s="245"/>
      <c r="EL60" s="241"/>
      <c r="EM60" s="240"/>
      <c r="EN60" s="245"/>
      <c r="EO60" s="245"/>
      <c r="EP60" s="245"/>
      <c r="EQ60" s="241"/>
      <c r="ER60" s="240"/>
      <c r="ES60" s="245"/>
      <c r="ET60" s="245"/>
      <c r="EU60" s="245"/>
      <c r="EV60" s="241"/>
      <c r="EW60" s="12"/>
      <c r="EX60" s="13"/>
      <c r="EY60" s="12"/>
      <c r="FA60" s="13"/>
      <c r="FB60" s="12"/>
      <c r="FE60" s="5"/>
      <c r="FF60" s="208"/>
      <c r="FG60" s="208"/>
      <c r="FK60" s="13"/>
      <c r="FL60" s="240"/>
      <c r="FM60" s="245"/>
      <c r="FN60" s="245"/>
      <c r="FO60" s="245"/>
      <c r="FP60" s="241"/>
      <c r="FQ60" s="240"/>
      <c r="FR60" s="245"/>
      <c r="FS60" s="245"/>
      <c r="FT60" s="245"/>
      <c r="FU60" s="241"/>
      <c r="FV60" s="240"/>
      <c r="FW60" s="245"/>
      <c r="FX60" s="245"/>
      <c r="FY60" s="245"/>
      <c r="FZ60" s="241"/>
      <c r="GA60" s="240"/>
      <c r="GB60" s="245"/>
      <c r="GC60" s="245"/>
      <c r="GD60" s="245"/>
      <c r="GE60" s="241"/>
      <c r="GJ60" s="13"/>
      <c r="GK60" s="12"/>
      <c r="GV60" s="13"/>
      <c r="GY60" s="13"/>
      <c r="HC60" s="13"/>
      <c r="JT60" s="12"/>
      <c r="JW60" s="12"/>
      <c r="KU60" s="12"/>
      <c r="KX60" s="13"/>
      <c r="KY60" s="12"/>
      <c r="LT60" s="13"/>
      <c r="LV60" s="13"/>
      <c r="LW60" s="12"/>
      <c r="MN60" s="13"/>
      <c r="MP60" s="13"/>
      <c r="NI60" s="12"/>
      <c r="NT60" s="13"/>
      <c r="NW60" s="13"/>
    </row>
    <row r="61" spans="76:387" ht="10.75" customHeight="1">
      <c r="BX61" s="12"/>
      <c r="CA61" s="13"/>
      <c r="CB61" s="214"/>
      <c r="CC61" s="49"/>
      <c r="CE61" s="12"/>
      <c r="DI61" s="4"/>
      <c r="DM61" s="13"/>
      <c r="DN61" s="12"/>
      <c r="DR61" s="13"/>
      <c r="DS61" s="12"/>
      <c r="DW61" s="13"/>
      <c r="DZ61" s="13"/>
      <c r="EC61" s="240"/>
      <c r="ED61" s="245"/>
      <c r="EE61" s="245"/>
      <c r="EF61" s="245"/>
      <c r="EG61" s="241"/>
      <c r="EH61" s="240"/>
      <c r="EI61" s="245"/>
      <c r="EJ61" s="245"/>
      <c r="EK61" s="245"/>
      <c r="EL61" s="241"/>
      <c r="EM61" s="240"/>
      <c r="EN61" s="245"/>
      <c r="EO61" s="245"/>
      <c r="EP61" s="245"/>
      <c r="EQ61" s="241"/>
      <c r="ER61" s="240"/>
      <c r="ES61" s="245"/>
      <c r="ET61" s="245"/>
      <c r="EU61" s="245"/>
      <c r="EV61" s="241"/>
      <c r="EW61" s="12"/>
      <c r="EX61" s="13"/>
      <c r="EY61" s="12"/>
      <c r="FA61" s="13"/>
      <c r="FB61" s="12"/>
      <c r="FE61" s="5"/>
      <c r="FF61" s="208"/>
      <c r="FG61" s="208"/>
      <c r="FK61" s="13"/>
      <c r="FL61" s="240"/>
      <c r="FM61" s="245"/>
      <c r="FN61" s="245"/>
      <c r="FO61" s="245"/>
      <c r="FP61" s="241"/>
      <c r="FQ61" s="240"/>
      <c r="FR61" s="245"/>
      <c r="FS61" s="245"/>
      <c r="FT61" s="245"/>
      <c r="FU61" s="241"/>
      <c r="FV61" s="240"/>
      <c r="FW61" s="245"/>
      <c r="FX61" s="245"/>
      <c r="FY61" s="245"/>
      <c r="FZ61" s="241"/>
      <c r="GA61" s="240"/>
      <c r="GB61" s="245"/>
      <c r="GC61" s="245"/>
      <c r="GD61" s="245"/>
      <c r="GE61" s="241"/>
      <c r="GJ61" s="13"/>
      <c r="GK61" s="12"/>
      <c r="GV61" s="13"/>
      <c r="GY61" s="13"/>
      <c r="HC61" s="13"/>
      <c r="JT61" s="12"/>
      <c r="JW61" s="12"/>
      <c r="KU61" s="12"/>
      <c r="KX61" s="13"/>
      <c r="KY61" s="12"/>
      <c r="LT61" s="13"/>
      <c r="LV61" s="13"/>
      <c r="LW61" s="12"/>
      <c r="MN61" s="13"/>
      <c r="MP61" s="13"/>
      <c r="NI61" s="12"/>
      <c r="NT61" s="13"/>
      <c r="NW61" s="13"/>
    </row>
    <row r="62" spans="76:387" ht="10.75" customHeight="1">
      <c r="BX62" s="12"/>
      <c r="CA62" s="13"/>
      <c r="CB62" s="214"/>
      <c r="CC62" s="49"/>
      <c r="CE62" s="12"/>
      <c r="DI62" s="4"/>
      <c r="DM62" s="13"/>
      <c r="DN62" s="12"/>
      <c r="DR62" s="13"/>
      <c r="DS62" s="12"/>
      <c r="DW62" s="13"/>
      <c r="DZ62" s="13"/>
      <c r="EC62" s="240"/>
      <c r="ED62" s="245"/>
      <c r="EE62" s="245"/>
      <c r="EF62" s="245"/>
      <c r="EG62" s="241"/>
      <c r="EH62" s="240"/>
      <c r="EI62" s="245"/>
      <c r="EJ62" s="245"/>
      <c r="EK62" s="245"/>
      <c r="EL62" s="241"/>
      <c r="EM62" s="240"/>
      <c r="EN62" s="245"/>
      <c r="EO62" s="245"/>
      <c r="EP62" s="245"/>
      <c r="EQ62" s="241"/>
      <c r="ER62" s="240"/>
      <c r="ES62" s="245"/>
      <c r="ET62" s="245"/>
      <c r="EU62" s="245"/>
      <c r="EV62" s="241"/>
      <c r="EW62" s="12"/>
      <c r="EX62" s="13"/>
      <c r="EY62" s="12"/>
      <c r="FA62" s="13"/>
      <c r="FB62" s="12"/>
      <c r="FE62" s="5"/>
      <c r="FF62" s="208"/>
      <c r="FG62" s="208"/>
      <c r="FK62" s="13"/>
      <c r="FL62" s="240"/>
      <c r="FM62" s="245"/>
      <c r="FN62" s="245"/>
      <c r="FO62" s="245"/>
      <c r="FP62" s="241"/>
      <c r="FQ62" s="240"/>
      <c r="FR62" s="245"/>
      <c r="FS62" s="245"/>
      <c r="FT62" s="245"/>
      <c r="FU62" s="241"/>
      <c r="FV62" s="240"/>
      <c r="FW62" s="245"/>
      <c r="FX62" s="245"/>
      <c r="FY62" s="245"/>
      <c r="FZ62" s="241"/>
      <c r="GA62" s="240"/>
      <c r="GB62" s="245"/>
      <c r="GC62" s="245"/>
      <c r="GD62" s="245"/>
      <c r="GE62" s="241"/>
      <c r="GJ62" s="13"/>
      <c r="GK62" s="12"/>
      <c r="GV62" s="13"/>
      <c r="GY62" s="13"/>
      <c r="HC62" s="13"/>
      <c r="JT62" s="12"/>
      <c r="JW62" s="12"/>
      <c r="KU62" s="12"/>
      <c r="KX62" s="13"/>
      <c r="KY62" s="12"/>
      <c r="LT62" s="13"/>
      <c r="LV62" s="13"/>
      <c r="LW62" s="12"/>
      <c r="MN62" s="13"/>
      <c r="MP62" s="13"/>
      <c r="NI62" s="12"/>
      <c r="NT62" s="13"/>
      <c r="NW62" s="13"/>
    </row>
    <row r="63" spans="76:387" ht="10.75" customHeight="1">
      <c r="BX63" s="12"/>
      <c r="CA63" s="13"/>
      <c r="CB63" s="214"/>
      <c r="CC63" s="49"/>
      <c r="CE63" s="12"/>
      <c r="DI63" s="4"/>
      <c r="DM63" s="13"/>
      <c r="DN63" s="12"/>
      <c r="DR63" s="13"/>
      <c r="DS63" s="12"/>
      <c r="DW63" s="13"/>
      <c r="DZ63" s="13"/>
      <c r="EC63" s="240"/>
      <c r="ED63" s="245"/>
      <c r="EE63" s="245"/>
      <c r="EF63" s="245"/>
      <c r="EG63" s="241"/>
      <c r="EH63" s="240"/>
      <c r="EI63" s="245"/>
      <c r="EJ63" s="245"/>
      <c r="EK63" s="245"/>
      <c r="EL63" s="241"/>
      <c r="EM63" s="240"/>
      <c r="EN63" s="245"/>
      <c r="EO63" s="245"/>
      <c r="EP63" s="245"/>
      <c r="EQ63" s="241"/>
      <c r="ER63" s="240"/>
      <c r="ES63" s="245"/>
      <c r="ET63" s="245"/>
      <c r="EU63" s="245"/>
      <c r="EV63" s="241"/>
      <c r="EW63" s="12"/>
      <c r="EX63" s="13"/>
      <c r="EY63" s="12"/>
      <c r="FA63" s="13"/>
      <c r="FB63" s="12"/>
      <c r="FE63" s="5"/>
      <c r="FF63" s="208"/>
      <c r="FG63" s="208"/>
      <c r="FK63" s="13"/>
      <c r="FL63" s="240"/>
      <c r="FM63" s="245"/>
      <c r="FN63" s="245"/>
      <c r="FO63" s="245"/>
      <c r="FP63" s="241"/>
      <c r="FQ63" s="240"/>
      <c r="FR63" s="245"/>
      <c r="FS63" s="245"/>
      <c r="FT63" s="245"/>
      <c r="FU63" s="241"/>
      <c r="FV63" s="240"/>
      <c r="FW63" s="245"/>
      <c r="FX63" s="245"/>
      <c r="FY63" s="245"/>
      <c r="FZ63" s="241"/>
      <c r="GA63" s="240"/>
      <c r="GB63" s="245"/>
      <c r="GC63" s="245"/>
      <c r="GD63" s="245"/>
      <c r="GE63" s="241"/>
      <c r="GJ63" s="13"/>
      <c r="GK63" s="12"/>
      <c r="GV63" s="13"/>
      <c r="GY63" s="13"/>
      <c r="HC63" s="13"/>
      <c r="JT63" s="12"/>
      <c r="JW63" s="12"/>
      <c r="KU63" s="12"/>
      <c r="KX63" s="13"/>
      <c r="KY63" s="12"/>
      <c r="LT63" s="13"/>
      <c r="LV63" s="13"/>
      <c r="LW63" s="12"/>
      <c r="MN63" s="13"/>
      <c r="MP63" s="13"/>
      <c r="NI63" s="12"/>
      <c r="NT63" s="13"/>
      <c r="NW63" s="13"/>
    </row>
    <row r="64" spans="76:387" ht="10.75" customHeight="1">
      <c r="BX64" s="12"/>
      <c r="CA64" s="13"/>
      <c r="CB64" s="214"/>
      <c r="CC64" s="49"/>
      <c r="CE64" s="12"/>
      <c r="DI64" s="4"/>
      <c r="DM64" s="13"/>
      <c r="DN64" s="12"/>
      <c r="DR64" s="13"/>
      <c r="DS64" s="12"/>
      <c r="DW64" s="13"/>
      <c r="DZ64" s="13"/>
      <c r="EC64" s="240"/>
      <c r="ED64" s="245"/>
      <c r="EE64" s="245"/>
      <c r="EF64" s="245"/>
      <c r="EG64" s="241"/>
      <c r="EH64" s="240"/>
      <c r="EI64" s="245"/>
      <c r="EJ64" s="245"/>
      <c r="EK64" s="245"/>
      <c r="EL64" s="241"/>
      <c r="EM64" s="240"/>
      <c r="EN64" s="245"/>
      <c r="EO64" s="245"/>
      <c r="EP64" s="245"/>
      <c r="EQ64" s="241"/>
      <c r="ER64" s="240"/>
      <c r="ES64" s="245"/>
      <c r="ET64" s="245"/>
      <c r="EU64" s="245"/>
      <c r="EV64" s="241"/>
      <c r="EW64" s="12"/>
      <c r="EX64" s="13"/>
      <c r="EY64" s="12"/>
      <c r="FA64" s="13"/>
      <c r="FB64" s="12"/>
      <c r="FE64" s="5"/>
      <c r="FF64" s="208"/>
      <c r="FG64" s="208"/>
      <c r="FK64" s="13"/>
      <c r="FL64" s="240"/>
      <c r="FM64" s="245"/>
      <c r="FN64" s="245"/>
      <c r="FO64" s="245"/>
      <c r="FP64" s="241"/>
      <c r="FQ64" s="240"/>
      <c r="FR64" s="245"/>
      <c r="FS64" s="245"/>
      <c r="FT64" s="245"/>
      <c r="FU64" s="241"/>
      <c r="FV64" s="240"/>
      <c r="FW64" s="245"/>
      <c r="FX64" s="245"/>
      <c r="FY64" s="245"/>
      <c r="FZ64" s="241"/>
      <c r="GA64" s="240"/>
      <c r="GB64" s="245"/>
      <c r="GC64" s="245"/>
      <c r="GD64" s="245"/>
      <c r="GE64" s="241"/>
      <c r="GJ64" s="13"/>
      <c r="GK64" s="12"/>
      <c r="GV64" s="13"/>
      <c r="GY64" s="13"/>
      <c r="HC64" s="13"/>
      <c r="JT64" s="12"/>
      <c r="JW64" s="12"/>
      <c r="KU64" s="12"/>
      <c r="KX64" s="13"/>
      <c r="KY64" s="12"/>
      <c r="LT64" s="13"/>
      <c r="LV64" s="13"/>
      <c r="LW64" s="12"/>
      <c r="MN64" s="13"/>
      <c r="MP64" s="13"/>
      <c r="NI64" s="12"/>
      <c r="NT64" s="13"/>
      <c r="NW64" s="13"/>
    </row>
    <row r="65" spans="76:387" ht="10.75" customHeight="1" thickBot="1">
      <c r="BX65" s="12"/>
      <c r="CA65" s="13"/>
      <c r="CB65" s="214"/>
      <c r="CC65" s="49"/>
      <c r="CE65" s="14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  <c r="CZ65" s="15"/>
      <c r="DA65" s="15"/>
      <c r="DB65" s="15"/>
      <c r="DC65" s="15"/>
      <c r="DD65" s="15"/>
      <c r="DE65" s="15"/>
      <c r="DF65" s="15"/>
      <c r="DG65" s="15"/>
      <c r="DH65" s="15"/>
      <c r="DI65" s="6"/>
      <c r="DJ65" s="7"/>
      <c r="DK65" s="7"/>
      <c r="DL65" s="7"/>
      <c r="DM65" s="180"/>
      <c r="DN65" s="179"/>
      <c r="DO65" s="7"/>
      <c r="DP65" s="7"/>
      <c r="DQ65" s="7"/>
      <c r="DR65" s="180"/>
      <c r="DS65" s="179"/>
      <c r="DT65" s="7"/>
      <c r="DU65" s="7"/>
      <c r="DV65" s="7"/>
      <c r="DW65" s="180"/>
      <c r="DX65" s="7"/>
      <c r="DY65" s="7"/>
      <c r="DZ65" s="180"/>
      <c r="EA65" s="7"/>
      <c r="EB65" s="7"/>
      <c r="EC65" s="251"/>
      <c r="ED65" s="252"/>
      <c r="EE65" s="252"/>
      <c r="EF65" s="252"/>
      <c r="EG65" s="253"/>
      <c r="EH65" s="251"/>
      <c r="EI65" s="252"/>
      <c r="EJ65" s="252"/>
      <c r="EK65" s="252"/>
      <c r="EL65" s="253"/>
      <c r="EM65" s="251"/>
      <c r="EN65" s="252"/>
      <c r="EO65" s="252"/>
      <c r="EP65" s="252"/>
      <c r="EQ65" s="253"/>
      <c r="ER65" s="251"/>
      <c r="ES65" s="252"/>
      <c r="ET65" s="252"/>
      <c r="EU65" s="252"/>
      <c r="EV65" s="253"/>
      <c r="EW65" s="179"/>
      <c r="EX65" s="180"/>
      <c r="EY65" s="179"/>
      <c r="EZ65" s="7"/>
      <c r="FA65" s="180"/>
      <c r="FB65" s="179"/>
      <c r="FC65" s="7"/>
      <c r="FD65" s="7"/>
      <c r="FE65" s="8"/>
      <c r="FF65" s="209"/>
      <c r="FG65" s="208"/>
      <c r="FH65" s="15"/>
      <c r="FI65" s="15"/>
      <c r="FJ65" s="15"/>
      <c r="FK65" s="16"/>
      <c r="FL65" s="242"/>
      <c r="FM65" s="243"/>
      <c r="FN65" s="243"/>
      <c r="FO65" s="243"/>
      <c r="FP65" s="244"/>
      <c r="FQ65" s="242"/>
      <c r="FR65" s="243"/>
      <c r="FS65" s="243"/>
      <c r="FT65" s="243"/>
      <c r="FU65" s="244"/>
      <c r="FV65" s="242"/>
      <c r="FW65" s="243"/>
      <c r="FX65" s="243"/>
      <c r="FY65" s="243"/>
      <c r="FZ65" s="244"/>
      <c r="GA65" s="242"/>
      <c r="GB65" s="243"/>
      <c r="GC65" s="243"/>
      <c r="GD65" s="243"/>
      <c r="GE65" s="244"/>
      <c r="GF65" s="15"/>
      <c r="GG65" s="15"/>
      <c r="GH65" s="15"/>
      <c r="GI65" s="15"/>
      <c r="GJ65" s="16"/>
      <c r="GK65" s="12"/>
      <c r="GV65" s="13"/>
      <c r="GY65" s="13"/>
      <c r="HC65" s="13"/>
      <c r="JT65" s="12"/>
      <c r="JW65" s="12"/>
      <c r="KU65" s="12"/>
      <c r="KX65" s="13"/>
      <c r="KY65" s="12"/>
      <c r="LT65" s="13"/>
      <c r="LV65" s="13"/>
      <c r="LW65" s="12"/>
      <c r="MN65" s="13"/>
      <c r="MP65" s="13"/>
      <c r="NI65" s="12"/>
      <c r="NT65" s="13"/>
      <c r="NW65" s="13"/>
    </row>
    <row r="66" spans="76:387" ht="10.75" customHeight="1">
      <c r="BX66" s="12"/>
      <c r="CA66" s="13"/>
      <c r="CB66" s="259"/>
      <c r="CC66" s="141"/>
      <c r="CD66" s="235"/>
      <c r="CE66" s="259"/>
      <c r="CF66" s="141"/>
      <c r="CG66" s="141"/>
      <c r="CH66" s="141"/>
      <c r="CI66" s="141"/>
      <c r="CJ66" s="141"/>
      <c r="CK66" s="141"/>
      <c r="CL66" s="141"/>
      <c r="CM66" s="141"/>
      <c r="CN66" s="141"/>
      <c r="CO66" s="141"/>
      <c r="CP66" s="141"/>
      <c r="CQ66" s="141"/>
      <c r="CR66" s="141"/>
      <c r="CS66" s="141"/>
      <c r="CT66" s="141"/>
      <c r="CU66" s="141"/>
      <c r="CV66" s="141"/>
      <c r="CW66" s="141"/>
      <c r="CX66" s="141"/>
      <c r="CY66" s="141"/>
      <c r="CZ66" s="141"/>
      <c r="DA66" s="141"/>
      <c r="DB66" s="141"/>
      <c r="DC66" s="141"/>
      <c r="DD66" s="141"/>
      <c r="DE66" s="141"/>
      <c r="DF66" s="141"/>
      <c r="DG66" s="141"/>
      <c r="DH66" s="141"/>
      <c r="DI66" s="49"/>
      <c r="DJ66" s="49"/>
      <c r="DK66" s="49"/>
      <c r="DL66" s="49"/>
      <c r="DM66" s="49"/>
      <c r="DN66" s="49"/>
      <c r="DO66" s="49"/>
      <c r="DP66" s="49"/>
      <c r="DQ66" s="49"/>
      <c r="DR66" s="49"/>
      <c r="DS66" s="49"/>
      <c r="DT66" s="49"/>
      <c r="DU66" s="49"/>
      <c r="DV66" s="49"/>
      <c r="DW66" s="49"/>
      <c r="DX66" s="49"/>
      <c r="DY66" s="49"/>
      <c r="DZ66" s="208"/>
      <c r="EA66" s="49"/>
      <c r="EB66" s="49"/>
      <c r="EC66" s="214"/>
      <c r="ED66" s="49"/>
      <c r="EE66" s="49"/>
      <c r="EF66" s="49"/>
      <c r="EG66" s="49"/>
      <c r="EH66" s="49"/>
      <c r="EI66" s="49"/>
      <c r="EJ66" s="49"/>
      <c r="EK66" s="49"/>
      <c r="EL66" s="49"/>
      <c r="EM66" s="49"/>
      <c r="EN66" s="49"/>
      <c r="EO66" s="49"/>
      <c r="EP66" s="49"/>
      <c r="EQ66" s="49"/>
      <c r="ER66" s="49"/>
      <c r="ES66" s="49"/>
      <c r="ET66" s="49"/>
      <c r="EU66" s="49"/>
      <c r="EV66" s="208"/>
      <c r="EW66" s="49"/>
      <c r="EX66" s="208"/>
      <c r="EY66" s="49"/>
      <c r="EZ66" s="49"/>
      <c r="FA66" s="49"/>
      <c r="FB66" s="49"/>
      <c r="FC66" s="49"/>
      <c r="FD66" s="49"/>
      <c r="FE66" s="49"/>
      <c r="FF66" s="49"/>
      <c r="FG66" s="208"/>
      <c r="FH66" s="21"/>
      <c r="FI66" s="21"/>
      <c r="FJ66" s="21"/>
      <c r="FK66" s="22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1"/>
      <c r="GB66" s="21"/>
      <c r="GC66" s="21"/>
      <c r="GD66" s="21"/>
      <c r="GE66" s="21"/>
      <c r="GF66" s="21"/>
      <c r="GG66" s="21"/>
      <c r="GH66" s="21"/>
      <c r="GI66" s="21"/>
      <c r="GJ66" s="22"/>
      <c r="GK66" s="12"/>
      <c r="GV66" s="13"/>
      <c r="GY66" s="13"/>
      <c r="HC66" s="13"/>
      <c r="JT66" s="12"/>
      <c r="JW66" s="14"/>
      <c r="JX66" s="15"/>
      <c r="JY66" s="15"/>
      <c r="JZ66" s="15"/>
      <c r="KA66" s="15"/>
      <c r="KB66" s="15"/>
      <c r="KC66" s="15"/>
      <c r="KD66" s="15"/>
      <c r="KE66" s="15"/>
      <c r="KF66" s="15"/>
      <c r="KG66" s="15"/>
      <c r="KH66" s="15"/>
      <c r="KI66" s="15"/>
      <c r="KJ66" s="15"/>
      <c r="KK66" s="15"/>
      <c r="KL66" s="15"/>
      <c r="KM66" s="15"/>
      <c r="KN66" s="15"/>
      <c r="KO66" s="15"/>
      <c r="KP66" s="15"/>
      <c r="KQ66" s="15"/>
      <c r="KR66" s="15"/>
      <c r="KS66" s="15"/>
      <c r="KT66" s="15"/>
      <c r="KU66" s="14"/>
      <c r="KV66" s="15"/>
      <c r="KW66" s="15"/>
      <c r="KX66" s="16"/>
      <c r="KY66" s="14"/>
      <c r="KZ66" s="15"/>
      <c r="LA66" s="15"/>
      <c r="LB66" s="15"/>
      <c r="LC66" s="15"/>
      <c r="LD66" s="15"/>
      <c r="LE66" s="15"/>
      <c r="LF66" s="15"/>
      <c r="LG66" s="15"/>
      <c r="LH66" s="15"/>
      <c r="LI66" s="15"/>
      <c r="LJ66" s="15"/>
      <c r="LK66" s="15"/>
      <c r="LL66" s="15"/>
      <c r="LM66" s="15"/>
      <c r="LN66" s="15"/>
      <c r="LO66" s="15"/>
      <c r="LP66" s="15"/>
      <c r="LQ66" s="15"/>
      <c r="LR66" s="15"/>
      <c r="LS66" s="15"/>
      <c r="LT66" s="16"/>
      <c r="LU66" s="15"/>
      <c r="LV66" s="16"/>
      <c r="LW66" s="14"/>
      <c r="LX66" s="15"/>
      <c r="LY66" s="15"/>
      <c r="LZ66" s="15"/>
      <c r="MA66" s="15"/>
      <c r="MB66" s="15"/>
      <c r="MC66" s="15"/>
      <c r="MD66" s="15"/>
      <c r="ME66" s="15"/>
      <c r="MF66" s="15"/>
      <c r="MG66" s="15"/>
      <c r="MH66" s="15"/>
      <c r="MI66" s="15"/>
      <c r="MJ66" s="15"/>
      <c r="MK66" s="15"/>
      <c r="ML66" s="15"/>
      <c r="MM66" s="15"/>
      <c r="MN66" s="16"/>
      <c r="MO66" s="15"/>
      <c r="MP66" s="16"/>
      <c r="MQ66" s="15"/>
      <c r="MR66" s="15"/>
      <c r="MS66" s="15"/>
      <c r="MT66" s="15"/>
      <c r="MU66" s="15"/>
      <c r="MV66" s="15"/>
      <c r="MW66" s="15"/>
      <c r="MX66" s="15"/>
      <c r="MY66" s="15"/>
      <c r="MZ66" s="15"/>
      <c r="NA66" s="15"/>
      <c r="NB66" s="15"/>
      <c r="NC66" s="15"/>
      <c r="ND66" s="15"/>
      <c r="NE66" s="15"/>
      <c r="NF66" s="15"/>
      <c r="NG66" s="15"/>
      <c r="NH66" s="15"/>
      <c r="NI66" s="12"/>
      <c r="NT66" s="13"/>
      <c r="NW66" s="13"/>
    </row>
    <row r="67" spans="76:387" ht="10.75" customHeight="1">
      <c r="BX67" s="12"/>
      <c r="CA67" s="13"/>
      <c r="CB67" s="236"/>
      <c r="CC67" s="258"/>
      <c r="CD67" s="209"/>
      <c r="CE67" s="236"/>
      <c r="CF67" s="258"/>
      <c r="CG67" s="258"/>
      <c r="CH67" s="258"/>
      <c r="CI67" s="258"/>
      <c r="CJ67" s="258"/>
      <c r="CK67" s="258"/>
      <c r="CL67" s="258"/>
      <c r="CM67" s="258"/>
      <c r="CN67" s="258"/>
      <c r="CO67" s="258"/>
      <c r="CP67" s="258"/>
      <c r="CQ67" s="258"/>
      <c r="CR67" s="258"/>
      <c r="CS67" s="258"/>
      <c r="CT67" s="258"/>
      <c r="CU67" s="258"/>
      <c r="CV67" s="258"/>
      <c r="CW67" s="258"/>
      <c r="CX67" s="258"/>
      <c r="CY67" s="258"/>
      <c r="CZ67" s="258"/>
      <c r="DA67" s="258"/>
      <c r="DB67" s="258"/>
      <c r="DC67" s="258"/>
      <c r="DD67" s="258"/>
      <c r="DE67" s="258"/>
      <c r="DF67" s="258"/>
      <c r="DG67" s="258"/>
      <c r="DH67" s="258"/>
      <c r="DI67" s="258"/>
      <c r="DJ67" s="258"/>
      <c r="DK67" s="258"/>
      <c r="DL67" s="258"/>
      <c r="DM67" s="258"/>
      <c r="DN67" s="258"/>
      <c r="DO67" s="258"/>
      <c r="DP67" s="258"/>
      <c r="DQ67" s="258"/>
      <c r="DR67" s="258"/>
      <c r="DS67" s="258"/>
      <c r="DT67" s="258"/>
      <c r="DU67" s="258"/>
      <c r="DV67" s="258"/>
      <c r="DW67" s="258"/>
      <c r="DX67" s="258"/>
      <c r="DY67" s="258"/>
      <c r="DZ67" s="209"/>
      <c r="EA67" s="258"/>
      <c r="EB67" s="258"/>
      <c r="EC67" s="236"/>
      <c r="ED67" s="258"/>
      <c r="EE67" s="258"/>
      <c r="EF67" s="258"/>
      <c r="EG67" s="258"/>
      <c r="EH67" s="258"/>
      <c r="EI67" s="258"/>
      <c r="EJ67" s="258"/>
      <c r="EK67" s="258"/>
      <c r="EL67" s="258"/>
      <c r="EM67" s="258"/>
      <c r="EN67" s="258"/>
      <c r="EO67" s="258"/>
      <c r="EP67" s="258"/>
      <c r="EQ67" s="258"/>
      <c r="ER67" s="258"/>
      <c r="ES67" s="258"/>
      <c r="ET67" s="258"/>
      <c r="EU67" s="258"/>
      <c r="EV67" s="209"/>
      <c r="EW67" s="258"/>
      <c r="EX67" s="209"/>
      <c r="EY67" s="258"/>
      <c r="EZ67" s="258"/>
      <c r="FA67" s="258"/>
      <c r="FB67" s="258"/>
      <c r="FC67" s="258"/>
      <c r="FD67" s="258"/>
      <c r="FE67" s="258"/>
      <c r="FF67" s="258"/>
      <c r="FG67" s="209"/>
      <c r="FK67" s="13"/>
      <c r="GV67" s="13"/>
      <c r="GY67" s="13"/>
      <c r="HC67" s="13"/>
      <c r="JT67" s="12"/>
      <c r="JW67" s="12"/>
      <c r="LT67" s="13"/>
      <c r="LV67" s="13"/>
      <c r="NI67" s="12"/>
      <c r="NT67" s="13"/>
      <c r="NW67" s="13"/>
    </row>
    <row r="68" spans="76:387" ht="10.75" customHeight="1">
      <c r="BX68" s="12"/>
      <c r="CA68" s="13"/>
      <c r="CB68" s="12"/>
      <c r="CE68" s="12"/>
      <c r="DZ68" s="13"/>
      <c r="EC68" s="12"/>
      <c r="EV68" s="13"/>
      <c r="EX68" s="13"/>
      <c r="FK68" s="13"/>
      <c r="GV68" s="13"/>
      <c r="GY68" s="13"/>
      <c r="HC68" s="13"/>
      <c r="JT68" s="12"/>
      <c r="JW68" s="14"/>
      <c r="JX68" s="15"/>
      <c r="JY68" s="15"/>
      <c r="JZ68" s="15"/>
      <c r="KA68" s="15"/>
      <c r="KB68" s="15"/>
      <c r="KC68" s="15"/>
      <c r="KD68" s="15"/>
      <c r="KE68" s="15"/>
      <c r="KF68" s="15"/>
      <c r="KG68" s="15"/>
      <c r="KH68" s="15"/>
      <c r="KI68" s="15"/>
      <c r="KJ68" s="15"/>
      <c r="KK68" s="15"/>
      <c r="KL68" s="15"/>
      <c r="KM68" s="15"/>
      <c r="KN68" s="15"/>
      <c r="KO68" s="15"/>
      <c r="KP68" s="15"/>
      <c r="KQ68" s="15"/>
      <c r="KR68" s="15"/>
      <c r="KS68" s="15"/>
      <c r="KT68" s="15"/>
      <c r="KU68" s="15"/>
      <c r="KV68" s="15"/>
      <c r="KW68" s="15"/>
      <c r="KX68" s="15"/>
      <c r="KY68" s="15"/>
      <c r="KZ68" s="15"/>
      <c r="LA68" s="15"/>
      <c r="LB68" s="15"/>
      <c r="LC68" s="15"/>
      <c r="LD68" s="15"/>
      <c r="LE68" s="15"/>
      <c r="LF68" s="15"/>
      <c r="LG68" s="15"/>
      <c r="LH68" s="15"/>
      <c r="LI68" s="15"/>
      <c r="LJ68" s="15"/>
      <c r="LK68" s="15"/>
      <c r="LL68" s="15"/>
      <c r="LM68" s="15"/>
      <c r="LN68" s="15"/>
      <c r="LO68" s="15"/>
      <c r="LP68" s="15"/>
      <c r="LQ68" s="15"/>
      <c r="LR68" s="15"/>
      <c r="LS68" s="15"/>
      <c r="LT68" s="16"/>
      <c r="LU68" s="15"/>
      <c r="LV68" s="16"/>
      <c r="LW68" s="15"/>
      <c r="LX68" s="15"/>
      <c r="LY68" s="15"/>
      <c r="LZ68" s="15"/>
      <c r="MA68" s="15"/>
      <c r="MB68" s="15"/>
      <c r="MC68" s="15"/>
      <c r="MD68" s="15"/>
      <c r="ME68" s="15"/>
      <c r="MF68" s="15"/>
      <c r="MG68" s="15"/>
      <c r="MH68" s="15"/>
      <c r="MI68" s="15"/>
      <c r="MJ68" s="15"/>
      <c r="MK68" s="15"/>
      <c r="ML68" s="15"/>
      <c r="MM68" s="15"/>
      <c r="MN68" s="15"/>
      <c r="MO68" s="15"/>
      <c r="MP68" s="15"/>
      <c r="MQ68" s="15"/>
      <c r="MR68" s="15"/>
      <c r="MS68" s="15"/>
      <c r="MT68" s="15"/>
      <c r="MU68" s="15"/>
      <c r="MV68" s="15"/>
      <c r="MW68" s="15"/>
      <c r="MX68" s="15"/>
      <c r="MY68" s="15"/>
      <c r="MZ68" s="15"/>
      <c r="NA68" s="15"/>
      <c r="NB68" s="15"/>
      <c r="NC68" s="15"/>
      <c r="ND68" s="15"/>
      <c r="NE68" s="15"/>
      <c r="NF68" s="15"/>
      <c r="NG68" s="15"/>
      <c r="NH68" s="15"/>
      <c r="NI68" s="12"/>
      <c r="NT68" s="13"/>
      <c r="NW68" s="13"/>
    </row>
    <row r="69" spans="76:387" ht="10.75" customHeight="1">
      <c r="BX69" s="12"/>
      <c r="CB69" s="12"/>
      <c r="CE69" s="12"/>
      <c r="DZ69" s="13"/>
      <c r="EC69" s="12"/>
      <c r="EV69" s="13"/>
      <c r="EX69" s="13"/>
      <c r="FK69" s="13"/>
      <c r="GV69" s="13"/>
      <c r="GY69" s="13"/>
      <c r="HC69" s="13"/>
      <c r="JT69" s="12"/>
      <c r="JW69" s="12"/>
      <c r="LT69" s="13"/>
      <c r="LV69" s="13"/>
      <c r="MW69" s="9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1"/>
      <c r="NI69" s="12"/>
      <c r="NT69" s="13"/>
      <c r="NW69" s="13"/>
    </row>
    <row r="70" spans="76:387" ht="10.75" customHeight="1">
      <c r="BX70" s="12"/>
      <c r="CB70" s="12"/>
      <c r="CE70" s="12"/>
      <c r="DZ70" s="13"/>
      <c r="EC70" s="12"/>
      <c r="EV70" s="13"/>
      <c r="EX70" s="13"/>
      <c r="FK70" s="13"/>
      <c r="GV70" s="13"/>
      <c r="GY70" s="13"/>
      <c r="HC70" s="13"/>
      <c r="JT70" s="12"/>
      <c r="JW70" s="12"/>
      <c r="LT70" s="13"/>
      <c r="LV70" s="13"/>
      <c r="MW70" s="12"/>
      <c r="NH70" s="13"/>
      <c r="NI70" s="12"/>
      <c r="NT70" s="13"/>
      <c r="NW70" s="13"/>
    </row>
    <row r="71" spans="76:387" ht="10.75" customHeight="1">
      <c r="BX71" s="14"/>
      <c r="BY71" s="15"/>
      <c r="BZ71" s="15"/>
      <c r="CA71" s="15"/>
      <c r="CB71" s="14"/>
      <c r="CC71" s="15"/>
      <c r="CD71" s="15"/>
      <c r="CE71" s="14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6"/>
      <c r="EA71" s="15"/>
      <c r="EB71" s="15"/>
      <c r="EC71" s="14"/>
      <c r="ED71" s="15"/>
      <c r="EE71" s="15"/>
      <c r="EF71" s="15"/>
      <c r="EG71" s="15"/>
      <c r="EH71" s="15"/>
      <c r="EI71" s="15"/>
      <c r="EJ71" s="15"/>
      <c r="EK71" s="15"/>
      <c r="EL71" s="15"/>
      <c r="EM71" s="15"/>
      <c r="EN71" s="15"/>
      <c r="EO71" s="15"/>
      <c r="EP71" s="15"/>
      <c r="EQ71" s="15"/>
      <c r="ER71" s="15"/>
      <c r="ES71" s="15"/>
      <c r="ET71" s="15"/>
      <c r="EU71" s="15"/>
      <c r="EV71" s="16"/>
      <c r="EW71" s="15"/>
      <c r="EX71" s="16"/>
      <c r="EY71" s="15"/>
      <c r="EZ71" s="15"/>
      <c r="FA71" s="15"/>
      <c r="FB71" s="15"/>
      <c r="FC71" s="15"/>
      <c r="FD71" s="15"/>
      <c r="FE71" s="15"/>
      <c r="FF71" s="15"/>
      <c r="FG71" s="15"/>
      <c r="FH71" s="15"/>
      <c r="FI71" s="15"/>
      <c r="FJ71" s="15"/>
      <c r="FK71" s="16"/>
      <c r="GV71" s="13"/>
      <c r="GY71" s="13"/>
      <c r="HC71" s="13"/>
      <c r="JT71" s="12"/>
      <c r="JW71" s="12"/>
      <c r="LT71" s="13"/>
      <c r="LV71" s="13"/>
      <c r="MW71" s="12"/>
      <c r="NH71" s="13"/>
      <c r="NI71" s="12"/>
      <c r="NT71" s="13"/>
      <c r="NW71" s="13"/>
    </row>
    <row r="72" spans="76:387" ht="10.75" customHeight="1">
      <c r="BX72" s="12"/>
      <c r="CB72" s="12"/>
      <c r="CE72" s="12"/>
      <c r="DZ72" s="13"/>
      <c r="EC72" s="12"/>
      <c r="EV72" s="13"/>
      <c r="EX72" s="13"/>
      <c r="GV72" s="13"/>
      <c r="GY72" s="13"/>
      <c r="HC72" s="13"/>
      <c r="JT72" s="12"/>
      <c r="JW72" s="12"/>
      <c r="LT72" s="13"/>
      <c r="LV72" s="13"/>
      <c r="MW72" s="12"/>
      <c r="NH72" s="13"/>
      <c r="NI72" s="12"/>
      <c r="NT72" s="13"/>
      <c r="NW72" s="13"/>
    </row>
    <row r="73" spans="76:387" ht="10.75" customHeight="1">
      <c r="BX73" s="12"/>
      <c r="CB73" s="12"/>
      <c r="CE73" s="12"/>
      <c r="DZ73" s="13"/>
      <c r="EC73" s="14"/>
      <c r="ED73" s="15"/>
      <c r="EE73" s="15"/>
      <c r="EF73" s="15"/>
      <c r="EG73" s="15"/>
      <c r="EH73" s="15"/>
      <c r="EI73" s="15"/>
      <c r="EJ73" s="15"/>
      <c r="EK73" s="15"/>
      <c r="EL73" s="15"/>
      <c r="EM73" s="15"/>
      <c r="EN73" s="15"/>
      <c r="EO73" s="15"/>
      <c r="EP73" s="15"/>
      <c r="EQ73" s="15"/>
      <c r="ER73" s="15"/>
      <c r="ES73" s="15"/>
      <c r="ET73" s="15"/>
      <c r="EU73" s="15"/>
      <c r="EV73" s="16"/>
      <c r="EX73" s="13"/>
      <c r="GV73" s="13"/>
      <c r="GY73" s="13"/>
      <c r="HC73" s="13"/>
      <c r="JT73" s="12"/>
      <c r="JW73" s="12"/>
      <c r="LT73" s="13"/>
      <c r="LV73" s="13"/>
      <c r="MW73" s="12"/>
      <c r="NH73" s="13"/>
      <c r="NI73" s="12"/>
      <c r="NT73" s="13"/>
      <c r="NW73" s="13"/>
    </row>
    <row r="74" spans="76:387" ht="10.75" customHeight="1">
      <c r="BX74" s="12"/>
      <c r="CB74" s="12"/>
      <c r="CE74" s="12"/>
      <c r="DZ74" s="13"/>
      <c r="EC74" s="12"/>
      <c r="EX74" s="13"/>
      <c r="GV74" s="13"/>
      <c r="GY74" s="13"/>
      <c r="HC74" s="13"/>
      <c r="JT74" s="12"/>
      <c r="JW74" s="12"/>
      <c r="LT74" s="13"/>
      <c r="LV74" s="13"/>
      <c r="MW74" s="12"/>
      <c r="NH74" s="13"/>
      <c r="NI74" s="12"/>
      <c r="NT74" s="13"/>
      <c r="NW74" s="13"/>
    </row>
    <row r="75" spans="76:387" ht="10.75" customHeight="1">
      <c r="BX75" s="12"/>
      <c r="CB75" s="12"/>
      <c r="CE75" s="12"/>
      <c r="DZ75" s="13"/>
      <c r="EC75" s="14"/>
      <c r="ED75" s="15"/>
      <c r="EE75" s="15"/>
      <c r="EF75" s="15"/>
      <c r="EG75" s="15"/>
      <c r="EH75" s="15"/>
      <c r="EI75" s="15"/>
      <c r="EJ75" s="15"/>
      <c r="EK75" s="15"/>
      <c r="EL75" s="15"/>
      <c r="EM75" s="15"/>
      <c r="EN75" s="15"/>
      <c r="EO75" s="15"/>
      <c r="EP75" s="15"/>
      <c r="EQ75" s="15"/>
      <c r="ER75" s="15"/>
      <c r="ES75" s="15"/>
      <c r="ET75" s="15"/>
      <c r="EU75" s="15"/>
      <c r="EV75" s="15"/>
      <c r="EW75" s="15"/>
      <c r="EX75" s="16"/>
      <c r="GV75" s="13"/>
      <c r="GY75" s="13"/>
      <c r="HC75" s="13"/>
      <c r="JT75" s="12"/>
      <c r="JW75" s="12"/>
      <c r="LT75" s="13"/>
      <c r="LV75" s="13"/>
      <c r="MW75" s="12"/>
      <c r="NH75" s="13"/>
      <c r="NI75" s="12"/>
      <c r="NT75" s="13"/>
      <c r="NW75" s="13"/>
    </row>
    <row r="76" spans="76:387" ht="10.75" customHeight="1">
      <c r="BX76" s="12"/>
      <c r="CB76" s="12"/>
      <c r="CE76" s="12"/>
      <c r="DZ76" s="13"/>
      <c r="EC76" s="12"/>
      <c r="GV76" s="13"/>
      <c r="GY76" s="13"/>
      <c r="HC76" s="13"/>
      <c r="JT76" s="12"/>
      <c r="JW76" s="12"/>
      <c r="LT76" s="13"/>
      <c r="LV76" s="13"/>
      <c r="MW76" s="12"/>
      <c r="NH76" s="13"/>
      <c r="NI76" s="12"/>
      <c r="NT76" s="13"/>
      <c r="NW76" s="13"/>
    </row>
    <row r="77" spans="76:387" ht="10.75" customHeight="1">
      <c r="BX77" s="12"/>
      <c r="CB77" s="12"/>
      <c r="CE77" s="12"/>
      <c r="DZ77" s="13"/>
      <c r="EC77" s="12"/>
      <c r="GV77" s="13"/>
      <c r="GY77" s="13"/>
      <c r="HC77" s="13"/>
      <c r="JT77" s="12"/>
      <c r="JW77" s="12"/>
      <c r="LT77" s="13"/>
      <c r="LV77" s="13"/>
      <c r="MW77" s="12"/>
      <c r="NH77" s="13"/>
      <c r="NI77" s="12"/>
      <c r="NT77" s="13"/>
      <c r="NW77" s="13"/>
    </row>
    <row r="78" spans="76:387" ht="10.75" customHeight="1">
      <c r="BX78" s="12"/>
      <c r="CB78" s="12"/>
      <c r="CE78" s="12"/>
      <c r="DZ78" s="13"/>
      <c r="EC78" s="12"/>
      <c r="GV78" s="13"/>
      <c r="GY78" s="13"/>
      <c r="HC78" s="13"/>
      <c r="JT78" s="12"/>
      <c r="JW78" s="12"/>
      <c r="LT78" s="13"/>
      <c r="LV78" s="13"/>
      <c r="MW78" s="12"/>
      <c r="NH78" s="13"/>
      <c r="NI78" s="12"/>
      <c r="NT78" s="13"/>
      <c r="NW78" s="13"/>
    </row>
    <row r="79" spans="76:387" ht="10.75" customHeight="1">
      <c r="BX79" s="12"/>
      <c r="CB79" s="12"/>
      <c r="CE79" s="12"/>
      <c r="DZ79" s="13"/>
      <c r="EC79" s="12"/>
      <c r="GV79" s="13"/>
      <c r="GY79" s="13"/>
      <c r="HC79" s="13"/>
      <c r="JT79" s="12"/>
      <c r="JW79" s="12"/>
      <c r="LT79" s="13"/>
      <c r="LV79" s="13"/>
      <c r="MW79" s="12"/>
      <c r="NH79" s="13"/>
      <c r="NI79" s="12"/>
      <c r="NT79" s="13"/>
      <c r="NW79" s="13"/>
    </row>
    <row r="80" spans="76:387" ht="10.75" customHeight="1">
      <c r="BX80" s="12"/>
      <c r="CB80" s="12"/>
      <c r="CE80" s="12"/>
      <c r="DZ80" s="13"/>
      <c r="EC80" s="12"/>
      <c r="GV80" s="13"/>
      <c r="GY80" s="13"/>
      <c r="HC80" s="13"/>
      <c r="JT80" s="12"/>
      <c r="JW80" s="12"/>
      <c r="LT80" s="13"/>
      <c r="LV80" s="13"/>
      <c r="MW80" s="14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6"/>
      <c r="NI80" s="14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6"/>
      <c r="NW80" s="13"/>
    </row>
    <row r="81" spans="76:387" ht="10.75" customHeight="1">
      <c r="BX81" s="12"/>
      <c r="CB81" s="12"/>
      <c r="CE81" s="12"/>
      <c r="DZ81" s="13"/>
      <c r="EC81" s="12"/>
      <c r="GV81" s="13"/>
      <c r="GY81" s="13"/>
      <c r="HC81" s="13"/>
      <c r="JT81" s="12"/>
      <c r="JW81" s="12"/>
      <c r="LT81" s="13"/>
      <c r="LV81" s="13"/>
      <c r="MW81" s="9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1"/>
      <c r="NW81" s="13"/>
    </row>
    <row r="82" spans="76:387" ht="10.75" customHeight="1">
      <c r="BX82" s="12"/>
      <c r="CB82" s="12"/>
      <c r="CE82" s="12"/>
      <c r="DZ82" s="13"/>
      <c r="EC82" s="12"/>
      <c r="GV82" s="13"/>
      <c r="GY82" s="13"/>
      <c r="HC82" s="13"/>
      <c r="JT82" s="12"/>
      <c r="JW82" s="12"/>
      <c r="LT82" s="13"/>
      <c r="LV82" s="13"/>
      <c r="MW82" s="14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6"/>
      <c r="NW82" s="13"/>
    </row>
    <row r="83" spans="76:387" ht="10.75" customHeight="1">
      <c r="BX83" s="12"/>
      <c r="CB83" s="12"/>
      <c r="CE83" s="12"/>
      <c r="DZ83" s="13"/>
      <c r="EC83" s="12"/>
      <c r="GV83" s="13"/>
      <c r="GY83" s="13"/>
      <c r="HC83" s="13"/>
      <c r="JT83" s="12"/>
      <c r="JW83" s="12"/>
      <c r="LT83" s="13"/>
      <c r="LV83" s="13"/>
      <c r="NT83" s="13"/>
      <c r="NW83" s="13"/>
    </row>
    <row r="84" spans="76:387" ht="10.75" customHeight="1">
      <c r="BX84" s="12"/>
      <c r="CB84" s="12"/>
      <c r="CE84" s="12"/>
      <c r="DZ84" s="13"/>
      <c r="EC84" s="12"/>
      <c r="GV84" s="13"/>
      <c r="GY84" s="13"/>
      <c r="HC84" s="13"/>
      <c r="JT84" s="12"/>
      <c r="JW84" s="12"/>
      <c r="LT84" s="13"/>
      <c r="LV84" s="13"/>
      <c r="NT84" s="13"/>
      <c r="NW84" s="13"/>
    </row>
    <row r="85" spans="76:387" ht="10.75" customHeight="1">
      <c r="BX85" s="12"/>
      <c r="CB85" s="12"/>
      <c r="CE85" s="12"/>
      <c r="DZ85" s="13"/>
      <c r="EC85" s="12"/>
      <c r="GV85" s="13"/>
      <c r="GY85" s="13"/>
      <c r="HC85" s="13"/>
      <c r="JT85" s="12"/>
      <c r="JW85" s="12"/>
      <c r="LT85" s="13"/>
      <c r="LV85" s="13"/>
      <c r="NT85" s="13"/>
      <c r="NW85" s="13"/>
    </row>
    <row r="86" spans="76:387" ht="10.75" customHeight="1">
      <c r="BX86" s="12"/>
      <c r="CB86" s="12"/>
      <c r="CE86" s="12"/>
      <c r="DZ86" s="13"/>
      <c r="EC86" s="12"/>
      <c r="GV86" s="13"/>
      <c r="GY86" s="13"/>
      <c r="HC86" s="13"/>
      <c r="JT86" s="12"/>
      <c r="JW86" s="12"/>
      <c r="LT86" s="13"/>
      <c r="LV86" s="13"/>
      <c r="NT86" s="13"/>
      <c r="NW86" s="13"/>
    </row>
    <row r="87" spans="76:387" ht="10.75" customHeight="1">
      <c r="BX87" s="12"/>
      <c r="CB87" s="12"/>
      <c r="CE87" s="12"/>
      <c r="DZ87" s="13"/>
      <c r="EC87" s="12"/>
      <c r="GV87" s="13"/>
      <c r="GY87" s="13"/>
      <c r="HC87" s="13"/>
      <c r="JT87" s="12"/>
      <c r="JW87" s="12"/>
      <c r="LT87" s="13"/>
      <c r="LV87" s="13"/>
      <c r="NT87" s="13"/>
      <c r="NW87" s="13"/>
    </row>
    <row r="88" spans="76:387" ht="10.75" customHeight="1">
      <c r="BX88" s="12"/>
      <c r="CB88" s="12"/>
      <c r="CE88" s="12"/>
      <c r="DZ88" s="13"/>
      <c r="EC88" s="12"/>
      <c r="GV88" s="13"/>
      <c r="GY88" s="13"/>
      <c r="HC88" s="13"/>
      <c r="JT88" s="12"/>
      <c r="JW88" s="12"/>
      <c r="LT88" s="13"/>
      <c r="LV88" s="13"/>
      <c r="NT88" s="13"/>
      <c r="NW88" s="13"/>
    </row>
    <row r="89" spans="76:387" ht="10.75" customHeight="1">
      <c r="BX89" s="12"/>
      <c r="CB89" s="12"/>
      <c r="CE89" s="12"/>
      <c r="DZ89" s="13"/>
      <c r="EC89" s="12"/>
      <c r="GV89" s="13"/>
      <c r="GY89" s="13"/>
      <c r="HC89" s="13"/>
      <c r="JT89" s="12"/>
      <c r="JW89" s="12"/>
      <c r="LT89" s="13"/>
      <c r="LV89" s="13"/>
      <c r="NT89" s="13"/>
      <c r="NW89" s="13"/>
    </row>
    <row r="90" spans="76:387" ht="10.75" customHeight="1">
      <c r="BX90" s="12"/>
      <c r="CB90" s="12"/>
      <c r="CE90" s="12"/>
      <c r="DZ90" s="13"/>
      <c r="EC90" s="12"/>
      <c r="GV90" s="13"/>
      <c r="GY90" s="13"/>
      <c r="HC90" s="13"/>
      <c r="JT90" s="12"/>
      <c r="JW90" s="12"/>
      <c r="LT90" s="13"/>
      <c r="LV90" s="13"/>
      <c r="NT90" s="13"/>
      <c r="NW90" s="13"/>
    </row>
    <row r="91" spans="76:387" ht="10.75" customHeight="1">
      <c r="BX91" s="12"/>
      <c r="CB91" s="12"/>
      <c r="CE91" s="12"/>
      <c r="DZ91" s="13"/>
      <c r="EC91" s="12"/>
      <c r="GV91" s="13"/>
      <c r="GY91" s="13"/>
      <c r="HC91" s="13"/>
      <c r="JT91" s="12"/>
      <c r="JW91" s="12"/>
      <c r="LT91" s="13"/>
      <c r="LV91" s="13"/>
      <c r="NT91" s="13"/>
      <c r="NW91" s="13"/>
    </row>
    <row r="92" spans="76:387" ht="10.75" customHeight="1">
      <c r="BX92" s="12"/>
      <c r="CB92" s="12"/>
      <c r="CE92" s="12"/>
      <c r="DZ92" s="13"/>
      <c r="EC92" s="12"/>
      <c r="GV92" s="13"/>
      <c r="GY92" s="13"/>
      <c r="HC92" s="13"/>
      <c r="JT92" s="12"/>
      <c r="JW92" s="12"/>
      <c r="LT92" s="13"/>
      <c r="LV92" s="13"/>
      <c r="NT92" s="13"/>
      <c r="NW92" s="13"/>
    </row>
    <row r="93" spans="76:387" ht="10.75" customHeight="1">
      <c r="BX93" s="12"/>
      <c r="CB93" s="12"/>
      <c r="CE93" s="12"/>
      <c r="DZ93" s="13"/>
      <c r="EC93" s="12"/>
      <c r="GV93" s="13"/>
      <c r="GY93" s="13"/>
      <c r="HC93" s="13"/>
      <c r="JT93" s="12"/>
      <c r="JW93" s="12"/>
      <c r="LT93" s="13"/>
      <c r="LV93" s="13"/>
      <c r="NT93" s="13"/>
      <c r="NW93" s="13"/>
    </row>
    <row r="94" spans="76:387" ht="10.75" customHeight="1">
      <c r="BX94" s="12"/>
      <c r="CB94" s="12"/>
      <c r="CE94" s="12"/>
      <c r="DZ94" s="13"/>
      <c r="EC94" s="12"/>
      <c r="GV94" s="13"/>
      <c r="GY94" s="13"/>
      <c r="HC94" s="13"/>
      <c r="JT94" s="12"/>
      <c r="JW94" s="12"/>
      <c r="LT94" s="13"/>
      <c r="LV94" s="13"/>
      <c r="NT94" s="13"/>
      <c r="NW94" s="13"/>
    </row>
    <row r="95" spans="76:387" ht="10.75" customHeight="1">
      <c r="BX95" s="12"/>
      <c r="CB95" s="12"/>
      <c r="CE95" s="12"/>
      <c r="DZ95" s="13"/>
      <c r="EC95" s="12"/>
      <c r="GV95" s="13"/>
      <c r="GY95" s="13"/>
      <c r="HC95" s="13"/>
      <c r="JT95" s="12"/>
      <c r="JW95" s="12"/>
      <c r="LT95" s="13"/>
      <c r="LV95" s="13"/>
      <c r="NT95" s="13"/>
      <c r="NW95" s="13"/>
    </row>
    <row r="96" spans="76:387" ht="10.75" customHeight="1">
      <c r="BX96" s="12"/>
      <c r="CB96" s="12"/>
      <c r="CE96" s="12"/>
      <c r="DZ96" s="13"/>
      <c r="EC96" s="12"/>
      <c r="GV96" s="13"/>
      <c r="GY96" s="13"/>
      <c r="HC96" s="13"/>
      <c r="JT96" s="12"/>
      <c r="JW96" s="12"/>
      <c r="LT96" s="13"/>
      <c r="LV96" s="13"/>
      <c r="NT96" s="13"/>
      <c r="NW96" s="13"/>
    </row>
    <row r="97" spans="76:387" ht="10.75" customHeight="1">
      <c r="BX97" s="12"/>
      <c r="CB97" s="12"/>
      <c r="CE97" s="12"/>
      <c r="DZ97" s="13"/>
      <c r="EC97" s="12"/>
      <c r="GV97" s="13"/>
      <c r="GY97" s="13"/>
      <c r="HC97" s="13"/>
      <c r="JT97" s="12"/>
      <c r="JW97" s="12"/>
      <c r="LT97" s="13"/>
      <c r="LV97" s="13"/>
      <c r="NT97" s="13"/>
      <c r="NW97" s="13"/>
    </row>
    <row r="98" spans="76:387" ht="10.75" customHeight="1">
      <c r="BX98" s="12"/>
      <c r="CB98" s="12"/>
      <c r="CE98" s="12"/>
      <c r="DZ98" s="13"/>
      <c r="EC98" s="12"/>
      <c r="GV98" s="13"/>
      <c r="GY98" s="13"/>
      <c r="HC98" s="13"/>
      <c r="JT98" s="12"/>
      <c r="JW98" s="12"/>
      <c r="LT98" s="13"/>
      <c r="LV98" s="13"/>
      <c r="NT98" s="13"/>
      <c r="NW98" s="13"/>
    </row>
    <row r="99" spans="76:387" ht="10.75" customHeight="1">
      <c r="BX99" s="12"/>
      <c r="CB99" s="12"/>
      <c r="CE99" s="12"/>
      <c r="DZ99" s="13"/>
      <c r="EC99" s="12"/>
      <c r="GV99" s="13"/>
      <c r="GY99" s="13"/>
      <c r="HC99" s="13"/>
      <c r="JT99" s="12"/>
      <c r="JW99" s="12"/>
      <c r="LT99" s="13"/>
      <c r="LV99" s="13"/>
      <c r="NT99" s="13"/>
      <c r="NW99" s="13"/>
    </row>
    <row r="100" spans="76:387" ht="10.75" customHeight="1">
      <c r="BX100" s="12"/>
      <c r="CB100" s="96"/>
      <c r="CC100" s="97"/>
      <c r="CD100" s="97"/>
      <c r="CE100" s="12"/>
      <c r="DZ100" s="13"/>
      <c r="EC100" s="12"/>
      <c r="EL100" s="97"/>
      <c r="EM100" s="97"/>
      <c r="EN100" s="97"/>
      <c r="EO100" s="97"/>
      <c r="GV100" s="13"/>
      <c r="GW100" s="97"/>
      <c r="GX100" s="97"/>
      <c r="GY100" s="98"/>
      <c r="HC100" s="13"/>
      <c r="JT100" s="12"/>
      <c r="JW100" s="12"/>
      <c r="LT100" s="13"/>
      <c r="LV100" s="13"/>
      <c r="NT100" s="13"/>
      <c r="NW100" s="13"/>
    </row>
    <row r="101" spans="76:387" ht="10.75" customHeight="1">
      <c r="BX101" s="12"/>
      <c r="CB101" s="96"/>
      <c r="CC101" s="97"/>
      <c r="CD101" s="97"/>
      <c r="CE101" s="14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  <c r="CV101" s="15"/>
      <c r="CW101" s="15"/>
      <c r="CX101" s="15"/>
      <c r="CY101" s="15"/>
      <c r="CZ101" s="15"/>
      <c r="DA101" s="15"/>
      <c r="DB101" s="15"/>
      <c r="DC101" s="15"/>
      <c r="DD101" s="15"/>
      <c r="DE101" s="15"/>
      <c r="DF101" s="15"/>
      <c r="DG101" s="15"/>
      <c r="DH101" s="15"/>
      <c r="DI101" s="15"/>
      <c r="DJ101" s="15"/>
      <c r="DK101" s="15"/>
      <c r="DL101" s="15"/>
      <c r="DM101" s="15"/>
      <c r="DN101" s="15"/>
      <c r="DO101" s="15"/>
      <c r="DP101" s="15"/>
      <c r="DQ101" s="15"/>
      <c r="DR101" s="15"/>
      <c r="DS101" s="15"/>
      <c r="DT101" s="15"/>
      <c r="DU101" s="15"/>
      <c r="DV101" s="15"/>
      <c r="DW101" s="15"/>
      <c r="DX101" s="15"/>
      <c r="DY101" s="15"/>
      <c r="DZ101" s="16"/>
      <c r="EC101" s="14"/>
      <c r="ED101" s="15"/>
      <c r="EE101" s="15"/>
      <c r="EF101" s="15"/>
      <c r="EG101" s="15"/>
      <c r="EH101" s="15"/>
      <c r="EI101" s="15"/>
      <c r="EJ101" s="15"/>
      <c r="EK101" s="15"/>
      <c r="EL101" s="60"/>
      <c r="EM101" s="60"/>
      <c r="EN101" s="60"/>
      <c r="EO101" s="60"/>
      <c r="EP101" s="15"/>
      <c r="EQ101" s="15"/>
      <c r="ER101" s="15"/>
      <c r="ES101" s="15"/>
      <c r="ET101" s="15"/>
      <c r="EU101" s="15"/>
      <c r="EV101" s="15"/>
      <c r="EW101" s="15"/>
      <c r="EX101" s="15"/>
      <c r="GV101" s="13"/>
      <c r="GW101" s="97"/>
      <c r="GX101" s="97"/>
      <c r="GY101" s="98"/>
      <c r="HC101" s="13"/>
      <c r="JT101" s="12"/>
      <c r="JW101" s="12"/>
      <c r="LT101" s="13"/>
      <c r="LV101" s="13"/>
      <c r="NT101" s="13"/>
      <c r="NW101" s="13"/>
    </row>
    <row r="102" spans="76:387" ht="10.75" customHeight="1">
      <c r="BX102" s="12"/>
      <c r="CB102" s="96"/>
      <c r="CC102" s="97"/>
      <c r="CD102" s="97"/>
      <c r="CE102" s="12"/>
      <c r="EC102" s="49"/>
      <c r="ED102" s="49"/>
      <c r="EE102" s="49"/>
      <c r="EF102" s="49"/>
      <c r="EG102" s="49"/>
      <c r="EH102" s="49"/>
      <c r="EI102" s="49"/>
      <c r="EJ102" s="49"/>
      <c r="EK102" s="49"/>
      <c r="EL102" s="97"/>
      <c r="EM102" s="97"/>
      <c r="EN102" s="97"/>
      <c r="EO102" s="97"/>
      <c r="EP102" s="49"/>
      <c r="EQ102" s="49"/>
      <c r="ER102" s="49"/>
      <c r="ES102" s="49"/>
      <c r="ET102" s="49"/>
      <c r="EU102" s="49"/>
      <c r="EV102" s="49"/>
      <c r="EW102" s="49"/>
      <c r="EX102" s="49"/>
      <c r="EY102" s="141"/>
      <c r="EZ102" s="235"/>
      <c r="GV102" s="13"/>
      <c r="GW102" s="97"/>
      <c r="GX102" s="97"/>
      <c r="GY102" s="98"/>
      <c r="HC102" s="13"/>
      <c r="JT102" s="12"/>
      <c r="JW102" s="12"/>
      <c r="LT102" s="13"/>
      <c r="LV102" s="13"/>
      <c r="NT102" s="13"/>
      <c r="NW102" s="13"/>
    </row>
    <row r="103" spans="76:387" ht="10.75" customHeight="1">
      <c r="BX103" s="12"/>
      <c r="CB103" s="96"/>
      <c r="CC103" s="97"/>
      <c r="CD103" s="97"/>
      <c r="CE103" s="12"/>
      <c r="EC103" s="49"/>
      <c r="ED103" s="49"/>
      <c r="EE103" s="49"/>
      <c r="EF103" s="49"/>
      <c r="EG103" s="49"/>
      <c r="EH103" s="49"/>
      <c r="EI103" s="49"/>
      <c r="EJ103" s="49"/>
      <c r="EK103" s="49"/>
      <c r="EL103" s="97"/>
      <c r="EM103" s="97"/>
      <c r="EN103" s="97"/>
      <c r="EO103" s="97"/>
      <c r="EP103" s="49"/>
      <c r="EQ103" s="49"/>
      <c r="ER103" s="49"/>
      <c r="ES103" s="49"/>
      <c r="ET103" s="49"/>
      <c r="EU103" s="49"/>
      <c r="EV103" s="49"/>
      <c r="EW103" s="49"/>
      <c r="EX103" s="49"/>
      <c r="EY103" s="49"/>
      <c r="EZ103" s="208"/>
      <c r="GV103" s="13"/>
      <c r="GW103" s="97"/>
      <c r="GX103" s="97"/>
      <c r="GY103" s="98"/>
      <c r="HC103" s="13"/>
      <c r="JT103" s="12"/>
      <c r="JW103" s="12"/>
      <c r="LT103" s="13"/>
      <c r="LV103" s="13"/>
      <c r="NT103" s="13"/>
      <c r="NW103" s="13"/>
    </row>
    <row r="104" spans="76:387" ht="10.75" customHeight="1">
      <c r="BX104" s="12"/>
      <c r="CB104" s="12"/>
      <c r="CE104" s="9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1"/>
      <c r="DS104" s="9"/>
      <c r="DT104" s="10"/>
      <c r="DU104" s="10"/>
      <c r="DV104" s="10"/>
      <c r="DW104" s="10"/>
      <c r="DX104" s="10"/>
      <c r="DY104" s="10"/>
      <c r="DZ104" s="10"/>
      <c r="EA104" s="10"/>
      <c r="EB104" s="10"/>
      <c r="EC104" s="10"/>
      <c r="ED104" s="10"/>
      <c r="EE104" s="10"/>
      <c r="EF104" s="10"/>
      <c r="EG104" s="10"/>
      <c r="EH104" s="10"/>
      <c r="EI104" s="10"/>
      <c r="EJ104" s="10"/>
      <c r="EK104" s="10"/>
      <c r="EL104" s="10"/>
      <c r="EM104" s="10"/>
      <c r="EN104" s="10"/>
      <c r="EO104" s="10"/>
      <c r="EP104" s="10"/>
      <c r="EQ104" s="10"/>
      <c r="ER104" s="10"/>
      <c r="ES104" s="10"/>
      <c r="ET104" s="10"/>
      <c r="EU104" s="10"/>
      <c r="EV104" s="10"/>
      <c r="EW104" s="10"/>
      <c r="EX104" s="11"/>
      <c r="EY104" s="214"/>
      <c r="EZ104" s="208"/>
      <c r="GV104" s="13"/>
      <c r="GY104" s="13"/>
      <c r="HC104" s="13"/>
      <c r="JT104" s="12"/>
      <c r="JW104" s="12"/>
      <c r="LT104" s="13"/>
      <c r="LV104" s="13"/>
      <c r="NT104" s="13"/>
      <c r="NW104" s="13"/>
    </row>
    <row r="105" spans="76:387" ht="10.75" customHeight="1">
      <c r="BX105" s="12"/>
      <c r="CB105" s="12"/>
      <c r="CE105" s="12"/>
      <c r="DP105" s="13"/>
      <c r="DS105" s="12"/>
      <c r="EX105" s="13"/>
      <c r="EY105" s="214"/>
      <c r="EZ105" s="208"/>
      <c r="GV105" s="13"/>
      <c r="GY105" s="13"/>
      <c r="HC105" s="13"/>
      <c r="JT105" s="12"/>
      <c r="JW105" s="12"/>
      <c r="LT105" s="13"/>
      <c r="LV105" s="13"/>
      <c r="NT105" s="13"/>
      <c r="NW105" s="13"/>
    </row>
    <row r="106" spans="76:387" ht="10.75" customHeight="1">
      <c r="BX106" s="12"/>
      <c r="CB106" s="12"/>
      <c r="CE106" s="12"/>
      <c r="DP106" s="13"/>
      <c r="DS106" s="12"/>
      <c r="EX106" s="13"/>
      <c r="EY106" s="214"/>
      <c r="EZ106" s="208"/>
      <c r="GV106" s="13"/>
      <c r="GY106" s="13"/>
      <c r="HC106" s="13"/>
      <c r="JT106" s="12"/>
      <c r="JW106" s="14"/>
      <c r="JX106" s="15"/>
      <c r="JY106" s="15"/>
      <c r="JZ106" s="15"/>
      <c r="KA106" s="15"/>
      <c r="KB106" s="15"/>
      <c r="KC106" s="15"/>
      <c r="KD106" s="15"/>
      <c r="KE106" s="15"/>
      <c r="KF106" s="15"/>
      <c r="KG106" s="15"/>
      <c r="KH106" s="15"/>
      <c r="KI106" s="15"/>
      <c r="KJ106" s="15"/>
      <c r="KK106" s="15"/>
      <c r="KL106" s="15"/>
      <c r="KM106" s="15"/>
      <c r="KN106" s="15"/>
      <c r="KO106" s="15"/>
      <c r="KP106" s="15"/>
      <c r="KQ106" s="15"/>
      <c r="KR106" s="15"/>
      <c r="KS106" s="15"/>
      <c r="KT106" s="15"/>
      <c r="KU106" s="15"/>
      <c r="KV106" s="15"/>
      <c r="KW106" s="15"/>
      <c r="KX106" s="15"/>
      <c r="KY106" s="15"/>
      <c r="KZ106" s="15"/>
      <c r="LA106" s="15"/>
      <c r="LB106" s="15"/>
      <c r="LC106" s="15"/>
      <c r="LD106" s="15"/>
      <c r="LE106" s="15"/>
      <c r="LF106" s="15"/>
      <c r="LG106" s="15"/>
      <c r="LH106" s="15"/>
      <c r="LI106" s="15"/>
      <c r="LJ106" s="15"/>
      <c r="LK106" s="15"/>
      <c r="LL106" s="15"/>
      <c r="LM106" s="15"/>
      <c r="LN106" s="15"/>
      <c r="LO106" s="15"/>
      <c r="LP106" s="15"/>
      <c r="LQ106" s="15"/>
      <c r="LR106" s="15"/>
      <c r="LS106" s="15"/>
      <c r="LT106" s="16"/>
      <c r="LV106" s="13"/>
      <c r="NT106" s="13"/>
      <c r="NW106" s="13"/>
    </row>
    <row r="107" spans="76:387" ht="10.75" customHeight="1">
      <c r="BX107" s="12"/>
      <c r="CB107" s="12"/>
      <c r="CE107" s="12"/>
      <c r="DP107" s="13"/>
      <c r="DS107" s="12"/>
      <c r="EX107" s="13"/>
      <c r="EY107" s="214"/>
      <c r="EZ107" s="208"/>
      <c r="GV107" s="13"/>
      <c r="GY107" s="13"/>
      <c r="GZ107" s="9"/>
      <c r="HA107" s="10"/>
      <c r="HB107" s="10"/>
      <c r="HC107" s="11"/>
      <c r="HD107" s="10"/>
      <c r="HE107" s="10"/>
      <c r="HF107" s="10"/>
      <c r="HG107" s="10"/>
      <c r="HH107" s="10"/>
      <c r="HI107" s="10"/>
      <c r="HJ107" s="10"/>
      <c r="HK107" s="10"/>
      <c r="HL107" s="10"/>
      <c r="HM107" s="10"/>
      <c r="HN107" s="10"/>
      <c r="HO107" s="10"/>
      <c r="HP107" s="10"/>
      <c r="HQ107" s="10"/>
      <c r="HR107" s="10"/>
      <c r="HS107" s="10"/>
      <c r="HT107" s="10"/>
      <c r="HU107" s="10"/>
      <c r="HV107" s="10"/>
      <c r="HW107" s="10"/>
      <c r="HX107" s="10"/>
      <c r="HY107" s="10"/>
      <c r="HZ107" s="10"/>
      <c r="IA107" s="10"/>
      <c r="IB107" s="10"/>
      <c r="IC107" s="10"/>
      <c r="ID107" s="10"/>
      <c r="IE107" s="11"/>
      <c r="JT107" s="12"/>
      <c r="JW107" s="12"/>
      <c r="LV107" s="13"/>
      <c r="NT107" s="13"/>
      <c r="NW107" s="13"/>
    </row>
    <row r="108" spans="76:387" ht="10.75" customHeight="1">
      <c r="BX108" s="12"/>
      <c r="CB108" s="12"/>
      <c r="CE108" s="12"/>
      <c r="DP108" s="13"/>
      <c r="DS108" s="12"/>
      <c r="EX108" s="13"/>
      <c r="EY108" s="214"/>
      <c r="EZ108" s="208"/>
      <c r="GV108" s="13"/>
      <c r="GY108" s="13"/>
      <c r="GZ108" s="12"/>
      <c r="HC108" s="13"/>
      <c r="IE108" s="13"/>
      <c r="JT108" s="12"/>
      <c r="JW108" s="14"/>
      <c r="JX108" s="15"/>
      <c r="JY108" s="15"/>
      <c r="JZ108" s="15"/>
      <c r="KA108" s="15"/>
      <c r="KB108" s="15"/>
      <c r="KC108" s="15"/>
      <c r="KD108" s="15"/>
      <c r="KE108" s="15"/>
      <c r="KF108" s="15"/>
      <c r="KG108" s="15"/>
      <c r="KH108" s="15"/>
      <c r="KI108" s="15"/>
      <c r="KJ108" s="15"/>
      <c r="KK108" s="15"/>
      <c r="KL108" s="15"/>
      <c r="KM108" s="15"/>
      <c r="KN108" s="15"/>
      <c r="KO108" s="15"/>
      <c r="KP108" s="15"/>
      <c r="KQ108" s="15"/>
      <c r="KR108" s="15"/>
      <c r="KS108" s="15"/>
      <c r="KT108" s="15"/>
      <c r="KU108" s="15"/>
      <c r="KV108" s="15"/>
      <c r="KW108" s="15"/>
      <c r="KX108" s="15"/>
      <c r="KY108" s="15"/>
      <c r="KZ108" s="15"/>
      <c r="LA108" s="15"/>
      <c r="LB108" s="15"/>
      <c r="LC108" s="15"/>
      <c r="LD108" s="15"/>
      <c r="LE108" s="15"/>
      <c r="LF108" s="15"/>
      <c r="LG108" s="15"/>
      <c r="LH108" s="15"/>
      <c r="LI108" s="15"/>
      <c r="LJ108" s="15"/>
      <c r="LK108" s="15"/>
      <c r="LL108" s="15"/>
      <c r="LM108" s="15"/>
      <c r="LN108" s="15"/>
      <c r="LO108" s="15"/>
      <c r="LP108" s="15"/>
      <c r="LQ108" s="15"/>
      <c r="LR108" s="15"/>
      <c r="LS108" s="15"/>
      <c r="LT108" s="15"/>
      <c r="LU108" s="15"/>
      <c r="LV108" s="16"/>
      <c r="NT108" s="13"/>
      <c r="NW108" s="13"/>
    </row>
    <row r="109" spans="76:387" ht="10.75" customHeight="1">
      <c r="BX109" s="12"/>
      <c r="CB109" s="12"/>
      <c r="CE109" s="12"/>
      <c r="DP109" s="13"/>
      <c r="DS109" s="12"/>
      <c r="EX109" s="13"/>
      <c r="EY109" s="214"/>
      <c r="EZ109" s="208"/>
      <c r="GV109" s="13"/>
      <c r="GY109" s="13"/>
      <c r="GZ109" s="12"/>
      <c r="HC109" s="13"/>
      <c r="IE109" s="13"/>
      <c r="JT109" s="12"/>
      <c r="JW109" s="9"/>
      <c r="JX109" s="10"/>
      <c r="JY109" s="10"/>
      <c r="JZ109" s="10"/>
      <c r="KA109" s="10"/>
      <c r="KB109" s="10"/>
      <c r="KC109" s="10"/>
      <c r="KD109" s="10"/>
      <c r="KE109" s="10"/>
      <c r="KF109" s="10"/>
      <c r="KG109" s="10"/>
      <c r="KH109" s="10"/>
      <c r="KI109" s="10"/>
      <c r="KJ109" s="10"/>
      <c r="KK109" s="10"/>
      <c r="KL109" s="10"/>
      <c r="KM109" s="10"/>
      <c r="KN109" s="10"/>
      <c r="KO109" s="10"/>
      <c r="KP109" s="10"/>
      <c r="KQ109" s="10"/>
      <c r="KR109" s="10"/>
      <c r="KS109" s="10"/>
      <c r="KT109" s="10"/>
      <c r="KU109" s="10"/>
      <c r="KV109" s="10"/>
      <c r="KW109" s="10"/>
      <c r="KX109" s="10"/>
      <c r="KY109" s="10"/>
      <c r="KZ109" s="10"/>
      <c r="LA109" s="10"/>
      <c r="LB109" s="11"/>
      <c r="LC109" s="10"/>
      <c r="LD109" s="11"/>
      <c r="LV109" s="17"/>
      <c r="NT109" s="13"/>
      <c r="NW109" s="13"/>
    </row>
    <row r="110" spans="76:387" ht="10.75" customHeight="1">
      <c r="BX110" s="12"/>
      <c r="CB110" s="12"/>
      <c r="CE110" s="12"/>
      <c r="DP110" s="13"/>
      <c r="DS110" s="12"/>
      <c r="EX110" s="13"/>
      <c r="EY110" s="214"/>
      <c r="EZ110" s="208"/>
      <c r="GV110" s="13"/>
      <c r="GY110" s="13"/>
      <c r="GZ110" s="12"/>
      <c r="HC110" s="13"/>
      <c r="IE110" s="13"/>
      <c r="JT110" s="12"/>
      <c r="JW110" s="12"/>
      <c r="LB110" s="13"/>
      <c r="LD110" s="13"/>
      <c r="LV110" s="18"/>
      <c r="NT110" s="13"/>
      <c r="NW110" s="13"/>
    </row>
    <row r="111" spans="76:387" ht="10.75" customHeight="1">
      <c r="BX111" s="12"/>
      <c r="CB111" s="12"/>
      <c r="CE111" s="12"/>
      <c r="DP111" s="13"/>
      <c r="DS111" s="12"/>
      <c r="EA111" s="15"/>
      <c r="EB111" s="15"/>
      <c r="EC111" s="15"/>
      <c r="ED111" s="15"/>
      <c r="EE111" s="15"/>
      <c r="EF111" s="15"/>
      <c r="EG111" s="15"/>
      <c r="EH111" s="15"/>
      <c r="EI111" s="15"/>
      <c r="EJ111" s="15"/>
      <c r="EK111" s="15"/>
      <c r="EL111" s="15"/>
      <c r="EM111" s="15"/>
      <c r="EN111" s="15"/>
      <c r="EO111" s="15"/>
      <c r="EP111" s="15"/>
      <c r="EX111" s="13"/>
      <c r="EY111" s="214"/>
      <c r="EZ111" s="208"/>
      <c r="GV111" s="13"/>
      <c r="GY111" s="13"/>
      <c r="GZ111" s="12"/>
      <c r="HC111" s="13"/>
      <c r="IE111" s="13"/>
      <c r="JT111" s="12"/>
      <c r="JW111" s="12"/>
      <c r="LB111" s="13"/>
      <c r="LD111" s="13"/>
      <c r="LV111" s="18"/>
      <c r="NT111" s="13"/>
      <c r="NW111" s="13"/>
    </row>
    <row r="112" spans="76:387" ht="10.75" customHeight="1">
      <c r="BX112" s="12"/>
      <c r="CB112" s="12"/>
      <c r="CE112" s="12"/>
      <c r="DP112" s="13"/>
      <c r="DS112" s="12"/>
      <c r="DZ112" s="13"/>
      <c r="EQ112" s="12"/>
      <c r="EX112" s="13"/>
      <c r="EY112" s="214"/>
      <c r="EZ112" s="208"/>
      <c r="GV112" s="13"/>
      <c r="GY112" s="13"/>
      <c r="GZ112" s="12"/>
      <c r="HC112" s="13"/>
      <c r="IE112" s="13"/>
      <c r="JT112" s="12"/>
      <c r="JW112" s="12"/>
      <c r="LB112" s="13"/>
      <c r="LD112" s="13"/>
      <c r="LV112" s="18"/>
      <c r="NT112" s="13"/>
      <c r="NW112" s="13"/>
    </row>
    <row r="113" spans="76:387" ht="10.75" customHeight="1">
      <c r="BX113" s="12"/>
      <c r="CB113" s="12"/>
      <c r="CE113" s="12"/>
      <c r="DP113" s="13"/>
      <c r="DS113" s="12"/>
      <c r="DZ113" s="13"/>
      <c r="EQ113" s="12"/>
      <c r="EX113" s="13"/>
      <c r="EY113" s="214"/>
      <c r="EZ113" s="208"/>
      <c r="GV113" s="13"/>
      <c r="GY113" s="13"/>
      <c r="GZ113" s="12"/>
      <c r="HC113" s="13"/>
      <c r="IE113" s="13"/>
      <c r="JT113" s="12"/>
      <c r="JW113" s="12"/>
      <c r="LB113" s="13"/>
      <c r="LD113" s="13"/>
      <c r="LV113" s="18"/>
      <c r="NT113" s="13"/>
      <c r="NW113" s="13"/>
    </row>
    <row r="114" spans="76:387" ht="10.75" customHeight="1">
      <c r="BX114" s="12"/>
      <c r="CB114" s="12"/>
      <c r="CE114" s="12"/>
      <c r="DP114" s="13"/>
      <c r="DS114" s="12"/>
      <c r="DZ114" s="13"/>
      <c r="EQ114" s="12"/>
      <c r="EX114" s="13"/>
      <c r="EY114" s="214"/>
      <c r="EZ114" s="208"/>
      <c r="GV114" s="13"/>
      <c r="GY114" s="13"/>
      <c r="GZ114" s="12"/>
      <c r="HC114" s="13"/>
      <c r="IE114" s="13"/>
      <c r="JT114" s="12"/>
      <c r="JW114" s="12"/>
      <c r="LB114" s="13"/>
      <c r="LD114" s="13"/>
      <c r="LV114" s="18"/>
      <c r="NT114" s="13"/>
      <c r="NW114" s="13"/>
    </row>
    <row r="115" spans="76:387" ht="10.75" customHeight="1">
      <c r="BX115" s="12"/>
      <c r="CB115" s="12"/>
      <c r="CE115" s="12"/>
      <c r="DP115" s="13"/>
      <c r="DS115" s="12"/>
      <c r="DZ115" s="13"/>
      <c r="EQ115" s="12"/>
      <c r="EX115" s="13"/>
      <c r="EY115" s="214"/>
      <c r="EZ115" s="208"/>
      <c r="GV115" s="13"/>
      <c r="GY115" s="13"/>
      <c r="GZ115" s="12"/>
      <c r="HC115" s="13"/>
      <c r="IE115" s="13"/>
      <c r="JT115" s="12"/>
      <c r="JW115" s="12"/>
      <c r="LB115" s="13"/>
      <c r="LD115" s="13"/>
      <c r="LV115" s="18"/>
      <c r="NT115" s="13"/>
      <c r="NW115" s="13"/>
    </row>
    <row r="116" spans="76:387" ht="10.75" customHeight="1">
      <c r="BX116" s="12"/>
      <c r="CB116" s="12"/>
      <c r="CE116" s="12"/>
      <c r="DP116" s="13"/>
      <c r="DS116" s="12"/>
      <c r="DZ116" s="13"/>
      <c r="EQ116" s="12"/>
      <c r="EX116" s="13"/>
      <c r="EY116" s="214"/>
      <c r="EZ116" s="208"/>
      <c r="GV116" s="13"/>
      <c r="GY116" s="13"/>
      <c r="GZ116" s="12"/>
      <c r="HC116" s="13"/>
      <c r="IE116" s="13"/>
      <c r="JT116" s="12"/>
      <c r="JW116" s="12"/>
      <c r="LB116" s="13"/>
      <c r="LD116" s="13"/>
      <c r="LV116" s="18"/>
      <c r="NT116" s="13"/>
      <c r="NW116" s="13"/>
    </row>
    <row r="117" spans="76:387" ht="10.75" customHeight="1">
      <c r="BX117" s="12"/>
      <c r="CB117" s="12"/>
      <c r="CE117" s="12"/>
      <c r="DP117" s="13"/>
      <c r="DS117" s="12"/>
      <c r="DZ117" s="13"/>
      <c r="EQ117" s="12"/>
      <c r="EX117" s="13"/>
      <c r="EY117" s="214"/>
      <c r="EZ117" s="208"/>
      <c r="GV117" s="13"/>
      <c r="GY117" s="13"/>
      <c r="GZ117" s="12"/>
      <c r="HC117" s="13"/>
      <c r="IE117" s="13"/>
      <c r="JT117" s="12"/>
      <c r="JW117" s="12"/>
      <c r="LB117" s="13"/>
      <c r="LD117" s="13"/>
      <c r="LV117" s="18"/>
      <c r="NT117" s="13"/>
      <c r="NW117" s="13"/>
    </row>
    <row r="118" spans="76:387" ht="10.75" customHeight="1">
      <c r="BX118" s="12"/>
      <c r="CB118" s="12"/>
      <c r="CE118" s="12"/>
      <c r="DP118" s="13"/>
      <c r="DS118" s="12"/>
      <c r="DZ118" s="13"/>
      <c r="EQ118" s="12"/>
      <c r="EX118" s="13"/>
      <c r="EY118" s="214"/>
      <c r="EZ118" s="208"/>
      <c r="GV118" s="13"/>
      <c r="GY118" s="13"/>
      <c r="GZ118" s="12"/>
      <c r="HC118" s="13"/>
      <c r="IE118" s="13"/>
      <c r="JT118" s="12"/>
      <c r="JW118" s="12"/>
      <c r="LB118" s="13"/>
      <c r="LD118" s="13"/>
      <c r="LV118" s="18"/>
      <c r="NT118" s="13"/>
      <c r="NW118" s="13"/>
    </row>
    <row r="119" spans="76:387" ht="10.75" customHeight="1">
      <c r="BX119" s="12"/>
      <c r="CB119" s="12"/>
      <c r="CE119" s="12"/>
      <c r="DP119" s="13"/>
      <c r="DS119" s="12"/>
      <c r="DZ119" s="13"/>
      <c r="EQ119" s="12"/>
      <c r="EX119" s="13"/>
      <c r="EY119" s="214"/>
      <c r="EZ119" s="208"/>
      <c r="GV119" s="13"/>
      <c r="GY119" s="13"/>
      <c r="GZ119" s="12"/>
      <c r="HC119" s="13"/>
      <c r="IE119" s="13"/>
      <c r="JT119" s="12"/>
      <c r="JW119" s="12"/>
      <c r="LB119" s="13"/>
      <c r="LD119" s="13"/>
      <c r="LV119" s="18"/>
      <c r="NT119" s="13"/>
      <c r="NW119" s="13"/>
    </row>
    <row r="120" spans="76:387" ht="10.75" customHeight="1">
      <c r="BX120" s="12"/>
      <c r="CB120" s="12"/>
      <c r="CE120" s="12"/>
      <c r="DP120" s="13"/>
      <c r="DS120" s="12"/>
      <c r="DZ120" s="13"/>
      <c r="EQ120" s="12"/>
      <c r="EX120" s="13"/>
      <c r="EY120" s="214"/>
      <c r="EZ120" s="208"/>
      <c r="GV120" s="13"/>
      <c r="GY120" s="13"/>
      <c r="GZ120" s="12"/>
      <c r="HC120" s="13"/>
      <c r="IE120" s="13"/>
      <c r="JT120" s="12"/>
      <c r="JW120" s="12"/>
      <c r="LB120" s="13"/>
      <c r="LD120" s="13"/>
      <c r="LV120" s="18"/>
      <c r="NT120" s="13"/>
      <c r="NW120" s="13"/>
    </row>
    <row r="121" spans="76:387" ht="10.75" customHeight="1">
      <c r="BX121" s="12"/>
      <c r="CB121" s="12"/>
      <c r="CE121" s="12"/>
      <c r="DP121" s="13"/>
      <c r="DS121" s="12"/>
      <c r="DZ121" s="13"/>
      <c r="EQ121" s="12"/>
      <c r="EX121" s="13"/>
      <c r="EY121" s="214"/>
      <c r="EZ121" s="208"/>
      <c r="GV121" s="13"/>
      <c r="GY121" s="13"/>
      <c r="GZ121" s="12"/>
      <c r="HC121" s="13"/>
      <c r="IE121" s="13"/>
      <c r="JT121" s="12"/>
      <c r="JW121" s="12"/>
      <c r="LB121" s="13"/>
      <c r="LD121" s="13"/>
      <c r="LV121" s="18"/>
      <c r="NT121" s="13"/>
      <c r="NW121" s="13"/>
    </row>
    <row r="122" spans="76:387" ht="10.75" customHeight="1">
      <c r="BX122" s="12"/>
      <c r="CB122" s="12"/>
      <c r="CE122" s="12"/>
      <c r="DP122" s="13"/>
      <c r="DS122" s="12"/>
      <c r="DZ122" s="13"/>
      <c r="EQ122" s="12"/>
      <c r="EX122" s="13"/>
      <c r="EY122" s="214"/>
      <c r="EZ122" s="208"/>
      <c r="GV122" s="13"/>
      <c r="GY122" s="13"/>
      <c r="GZ122" s="12"/>
      <c r="HC122" s="13"/>
      <c r="IE122" s="13"/>
      <c r="JT122" s="12"/>
      <c r="JW122" s="12"/>
      <c r="LB122" s="13"/>
      <c r="LD122" s="13"/>
      <c r="LV122" s="18"/>
      <c r="NT122" s="13"/>
      <c r="NW122" s="13"/>
    </row>
    <row r="123" spans="76:387" ht="10.75" customHeight="1">
      <c r="BX123" s="12"/>
      <c r="CB123" s="12"/>
      <c r="CE123" s="14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6"/>
      <c r="DS123" s="12"/>
      <c r="DZ123" s="13"/>
      <c r="EQ123" s="12"/>
      <c r="EX123" s="13"/>
      <c r="EY123" s="214"/>
      <c r="EZ123" s="208"/>
      <c r="GV123" s="13"/>
      <c r="GY123" s="13"/>
      <c r="GZ123" s="12"/>
      <c r="HC123" s="13"/>
      <c r="IE123" s="13"/>
      <c r="JT123" s="12"/>
      <c r="JW123" s="12"/>
      <c r="LB123" s="13"/>
      <c r="LD123" s="13"/>
      <c r="LV123" s="18"/>
      <c r="NT123" s="13"/>
      <c r="NW123" s="13"/>
    </row>
    <row r="124" spans="76:387" ht="10.75" customHeight="1">
      <c r="BX124" s="12"/>
      <c r="CB124" s="12"/>
      <c r="DS124" s="12"/>
      <c r="DZ124" s="13"/>
      <c r="EQ124" s="12"/>
      <c r="EX124" s="13"/>
      <c r="EY124" s="214"/>
      <c r="EZ124" s="208"/>
      <c r="GV124" s="13"/>
      <c r="GY124" s="13"/>
      <c r="GZ124" s="12"/>
      <c r="HC124" s="13"/>
      <c r="IE124" s="13"/>
      <c r="JT124" s="12"/>
      <c r="JW124" s="12"/>
      <c r="LB124" s="13"/>
      <c r="LD124" s="13"/>
      <c r="LV124" s="18"/>
      <c r="NT124" s="13"/>
      <c r="NW124" s="13"/>
    </row>
    <row r="125" spans="76:387" ht="10.75" customHeight="1">
      <c r="BX125" s="12"/>
      <c r="CB125" s="12"/>
      <c r="DS125" s="12"/>
      <c r="DZ125" s="13"/>
      <c r="EQ125" s="12"/>
      <c r="EX125" s="13"/>
      <c r="EY125" s="214"/>
      <c r="EZ125" s="208"/>
      <c r="GV125" s="13"/>
      <c r="GY125" s="13"/>
      <c r="GZ125" s="12"/>
      <c r="HC125" s="13"/>
      <c r="IE125" s="13"/>
      <c r="JT125" s="12"/>
      <c r="JW125" s="12"/>
      <c r="LB125" s="13"/>
      <c r="LD125" s="13"/>
      <c r="LV125" s="18"/>
      <c r="NT125" s="13"/>
      <c r="NW125" s="13"/>
    </row>
    <row r="126" spans="76:387" ht="10.75" customHeight="1">
      <c r="BX126" s="12"/>
      <c r="CB126" s="12"/>
      <c r="DS126" s="12"/>
      <c r="DZ126" s="13"/>
      <c r="EQ126" s="12"/>
      <c r="EX126" s="13"/>
      <c r="EY126" s="214"/>
      <c r="EZ126" s="208"/>
      <c r="GV126" s="13"/>
      <c r="GY126" s="13"/>
      <c r="GZ126" s="12"/>
      <c r="HC126" s="13"/>
      <c r="IE126" s="13"/>
      <c r="JT126" s="12"/>
      <c r="JW126" s="14"/>
      <c r="JX126" s="15"/>
      <c r="JY126" s="15"/>
      <c r="JZ126" s="15"/>
      <c r="KA126" s="15"/>
      <c r="KB126" s="15"/>
      <c r="KC126" s="15"/>
      <c r="KD126" s="15"/>
      <c r="KE126" s="15"/>
      <c r="KF126" s="15"/>
      <c r="KG126" s="15"/>
      <c r="KH126" s="15"/>
      <c r="KI126" s="15"/>
      <c r="KJ126" s="15"/>
      <c r="KK126" s="15"/>
      <c r="KL126" s="15"/>
      <c r="KM126" s="15"/>
      <c r="KN126" s="15"/>
      <c r="KO126" s="15"/>
      <c r="KP126" s="15"/>
      <c r="KQ126" s="15"/>
      <c r="KR126" s="15"/>
      <c r="KS126" s="15"/>
      <c r="KT126" s="15"/>
      <c r="KU126" s="15"/>
      <c r="KV126" s="15"/>
      <c r="KW126" s="15"/>
      <c r="KX126" s="15"/>
      <c r="KY126" s="15"/>
      <c r="KZ126" s="15"/>
      <c r="LA126" s="15"/>
      <c r="LB126" s="16"/>
      <c r="LD126" s="13"/>
      <c r="LV126" s="18"/>
      <c r="NT126" s="13"/>
      <c r="NW126" s="13"/>
    </row>
    <row r="127" spans="76:387" ht="10.75" customHeight="1">
      <c r="BX127" s="12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1"/>
      <c r="DS127" s="12"/>
      <c r="DZ127" s="13"/>
      <c r="EQ127" s="12"/>
      <c r="EX127" s="13"/>
      <c r="EY127" s="214"/>
      <c r="EZ127" s="208"/>
      <c r="GV127" s="13"/>
      <c r="GY127" s="13"/>
      <c r="GZ127" s="12"/>
      <c r="HC127" s="13"/>
      <c r="IE127" s="13"/>
      <c r="JT127" s="12"/>
      <c r="JW127" s="12"/>
      <c r="LD127" s="13"/>
      <c r="LV127" s="18"/>
      <c r="NT127" s="13"/>
      <c r="NW127" s="13"/>
    </row>
    <row r="128" spans="76:387" ht="10.75" customHeight="1">
      <c r="BX128" s="12"/>
      <c r="DO128" s="13"/>
      <c r="DS128" s="12"/>
      <c r="DZ128" s="13"/>
      <c r="EQ128" s="12"/>
      <c r="EX128" s="13"/>
      <c r="EY128" s="214"/>
      <c r="EZ128" s="208"/>
      <c r="GV128" s="13"/>
      <c r="GY128" s="13"/>
      <c r="GZ128" s="12"/>
      <c r="HC128" s="13"/>
      <c r="IE128" s="13"/>
      <c r="JT128" s="12"/>
      <c r="JW128" s="14"/>
      <c r="JX128" s="15"/>
      <c r="JY128" s="15"/>
      <c r="JZ128" s="15"/>
      <c r="KA128" s="15"/>
      <c r="KB128" s="15"/>
      <c r="KC128" s="15"/>
      <c r="KD128" s="15"/>
      <c r="KE128" s="15"/>
      <c r="KF128" s="15"/>
      <c r="KG128" s="15"/>
      <c r="KH128" s="15"/>
      <c r="KI128" s="15"/>
      <c r="KJ128" s="15"/>
      <c r="KK128" s="15"/>
      <c r="KL128" s="15"/>
      <c r="KM128" s="15"/>
      <c r="KN128" s="15"/>
      <c r="KO128" s="15"/>
      <c r="KP128" s="15"/>
      <c r="KQ128" s="15"/>
      <c r="KR128" s="15"/>
      <c r="KS128" s="15"/>
      <c r="KT128" s="15"/>
      <c r="KU128" s="15"/>
      <c r="KV128" s="15"/>
      <c r="KW128" s="15"/>
      <c r="KX128" s="15"/>
      <c r="KY128" s="15"/>
      <c r="KZ128" s="15"/>
      <c r="LA128" s="15"/>
      <c r="LB128" s="15"/>
      <c r="LC128" s="15"/>
      <c r="LD128" s="16"/>
      <c r="LV128" s="19"/>
      <c r="NT128" s="13"/>
      <c r="NW128" s="13"/>
    </row>
    <row r="129" spans="76:387" ht="10.75" customHeight="1">
      <c r="BX129" s="12"/>
      <c r="DO129" s="13"/>
      <c r="DS129" s="12"/>
      <c r="DZ129" s="13"/>
      <c r="EQ129" s="12"/>
      <c r="EX129" s="13"/>
      <c r="EY129" s="214"/>
      <c r="EZ129" s="208"/>
      <c r="GV129" s="13"/>
      <c r="GY129" s="13"/>
      <c r="GZ129" s="12"/>
      <c r="HC129" s="13"/>
      <c r="IE129" s="13"/>
      <c r="JT129" s="12"/>
      <c r="JW129" s="9"/>
      <c r="JX129" s="10"/>
      <c r="JY129" s="10"/>
      <c r="JZ129" s="10"/>
      <c r="KA129" s="10"/>
      <c r="KB129" s="10"/>
      <c r="KC129" s="10"/>
      <c r="KD129" s="10"/>
      <c r="KE129" s="10"/>
      <c r="KF129" s="10"/>
      <c r="KG129" s="10"/>
      <c r="KH129" s="10"/>
      <c r="KI129" s="10"/>
      <c r="KJ129" s="10"/>
      <c r="KK129" s="10"/>
      <c r="KL129" s="10"/>
      <c r="KM129" s="10"/>
      <c r="KN129" s="10"/>
      <c r="KO129" s="10"/>
      <c r="KP129" s="10"/>
      <c r="KQ129" s="10"/>
      <c r="KR129" s="10"/>
      <c r="KS129" s="10"/>
      <c r="KT129" s="10"/>
      <c r="KU129" s="10"/>
      <c r="KV129" s="10"/>
      <c r="KW129" s="10"/>
      <c r="KX129" s="10"/>
      <c r="KY129" s="10"/>
      <c r="KZ129" s="10"/>
      <c r="LA129" s="10"/>
      <c r="LB129" s="10"/>
      <c r="LC129" s="9"/>
      <c r="LD129" s="11"/>
      <c r="NT129" s="13"/>
      <c r="NW129" s="13"/>
    </row>
    <row r="130" spans="76:387" ht="10.75" customHeight="1">
      <c r="BX130" s="12"/>
      <c r="DO130" s="13"/>
      <c r="DS130" s="12"/>
      <c r="DZ130" s="13"/>
      <c r="EQ130" s="12"/>
      <c r="EX130" s="13"/>
      <c r="EY130" s="214"/>
      <c r="EZ130" s="208"/>
      <c r="GV130" s="13"/>
      <c r="GY130" s="13"/>
      <c r="GZ130" s="12"/>
      <c r="HC130" s="13"/>
      <c r="IE130" s="13"/>
      <c r="JT130" s="12"/>
      <c r="JW130" s="12"/>
      <c r="LC130" s="12"/>
      <c r="LD130" s="13"/>
      <c r="NT130" s="13"/>
      <c r="NW130" s="13"/>
    </row>
    <row r="131" spans="76:387" ht="10.75" customHeight="1">
      <c r="BX131" s="12"/>
      <c r="DO131" s="13"/>
      <c r="DS131" s="12"/>
      <c r="DZ131" s="13"/>
      <c r="EQ131" s="12"/>
      <c r="EX131" s="13"/>
      <c r="EY131" s="214"/>
      <c r="EZ131" s="208"/>
      <c r="GV131" s="13"/>
      <c r="GY131" s="13"/>
      <c r="GZ131" s="12"/>
      <c r="HC131" s="13"/>
      <c r="IE131" s="13"/>
      <c r="JT131" s="12"/>
      <c r="JW131" s="12"/>
      <c r="LC131" s="12"/>
      <c r="LD131" s="13"/>
      <c r="NT131" s="13"/>
      <c r="NW131" s="13"/>
    </row>
    <row r="132" spans="76:387" ht="10.75" customHeight="1">
      <c r="BX132" s="12"/>
      <c r="DO132" s="13"/>
      <c r="DS132" s="12"/>
      <c r="DZ132" s="13"/>
      <c r="EQ132" s="12"/>
      <c r="EX132" s="13"/>
      <c r="EY132" s="214"/>
      <c r="EZ132" s="208"/>
      <c r="GV132" s="13"/>
      <c r="GY132" s="13"/>
      <c r="GZ132" s="12"/>
      <c r="HC132" s="13"/>
      <c r="IE132" s="13"/>
      <c r="JT132" s="12"/>
      <c r="JW132" s="12"/>
      <c r="LC132" s="12"/>
      <c r="LD132" s="13"/>
      <c r="NT132" s="13"/>
      <c r="NW132" s="13"/>
    </row>
    <row r="133" spans="76:387" ht="10.75" customHeight="1">
      <c r="BX133" s="12"/>
      <c r="DO133" s="13"/>
      <c r="DS133" s="12"/>
      <c r="DZ133" s="13"/>
      <c r="EQ133" s="12"/>
      <c r="EX133" s="13"/>
      <c r="EY133" s="214"/>
      <c r="EZ133" s="208"/>
      <c r="GV133" s="13"/>
      <c r="GY133" s="13"/>
      <c r="GZ133" s="12"/>
      <c r="HC133" s="13"/>
      <c r="IE133" s="13"/>
      <c r="JT133" s="12"/>
      <c r="JW133" s="12"/>
      <c r="LC133" s="12"/>
      <c r="LD133" s="13"/>
      <c r="NT133" s="13"/>
      <c r="NW133" s="13"/>
    </row>
    <row r="134" spans="76:387" ht="10.75" customHeight="1">
      <c r="BX134" s="12"/>
      <c r="DO134" s="13"/>
      <c r="DS134" s="12"/>
      <c r="DZ134" s="13"/>
      <c r="EQ134" s="12"/>
      <c r="EX134" s="13"/>
      <c r="EY134" s="214"/>
      <c r="EZ134" s="208"/>
      <c r="GV134" s="13"/>
      <c r="GY134" s="13"/>
      <c r="GZ134" s="12"/>
      <c r="HC134" s="13"/>
      <c r="IE134" s="13"/>
      <c r="JT134" s="12"/>
      <c r="JW134" s="12"/>
      <c r="LC134" s="12"/>
      <c r="LD134" s="13"/>
      <c r="NT134" s="13"/>
      <c r="NW134" s="13"/>
    </row>
    <row r="135" spans="76:387" ht="10.75" customHeight="1">
      <c r="BX135" s="12"/>
      <c r="DO135" s="13"/>
      <c r="DS135" s="12"/>
      <c r="DZ135" s="13"/>
      <c r="EQ135" s="14"/>
      <c r="ER135" s="15"/>
      <c r="ES135" s="15"/>
      <c r="ET135" s="15"/>
      <c r="EU135" s="15"/>
      <c r="EV135" s="15"/>
      <c r="EW135" s="15"/>
      <c r="EX135" s="16"/>
      <c r="EY135" s="236"/>
      <c r="EZ135" s="209"/>
      <c r="GV135" s="13"/>
      <c r="GY135" s="13"/>
      <c r="GZ135" s="12"/>
      <c r="HC135" s="13"/>
      <c r="IE135" s="13"/>
      <c r="JT135" s="12"/>
      <c r="JW135" s="12"/>
      <c r="LC135" s="12"/>
      <c r="LD135" s="13"/>
      <c r="NT135" s="13"/>
      <c r="NW135" s="13"/>
    </row>
    <row r="136" spans="76:387" ht="10.75" customHeight="1">
      <c r="BX136" s="12"/>
      <c r="DO136" s="13"/>
      <c r="DS136" s="12"/>
      <c r="DZ136" s="13"/>
      <c r="GV136" s="13"/>
      <c r="GY136" s="13"/>
      <c r="GZ136" s="12"/>
      <c r="HC136" s="13"/>
      <c r="IE136" s="13"/>
      <c r="JT136" s="12"/>
      <c r="JW136" s="12"/>
      <c r="LC136" s="14"/>
      <c r="LD136" s="16"/>
      <c r="NT136" s="13"/>
      <c r="NW136" s="13"/>
    </row>
    <row r="137" spans="76:387" ht="10.75" customHeight="1">
      <c r="BX137" s="12"/>
      <c r="DO137" s="13"/>
      <c r="DS137" s="12"/>
      <c r="DZ137" s="13"/>
      <c r="GV137" s="13"/>
      <c r="GY137" s="13"/>
      <c r="GZ137" s="12"/>
      <c r="HC137" s="13"/>
      <c r="IE137" s="13"/>
      <c r="JT137" s="12"/>
      <c r="JW137" s="12"/>
      <c r="KE137" s="9"/>
      <c r="KF137" s="10"/>
      <c r="KG137" s="10"/>
      <c r="KH137" s="10"/>
      <c r="KI137" s="10"/>
      <c r="KJ137" s="10"/>
      <c r="KK137" s="10"/>
      <c r="KL137" s="10"/>
      <c r="KM137" s="10"/>
      <c r="KN137" s="10"/>
      <c r="KO137" s="10"/>
      <c r="KP137" s="10"/>
      <c r="KQ137" s="10"/>
      <c r="KR137" s="10"/>
      <c r="KS137" s="10"/>
      <c r="KT137" s="10"/>
      <c r="KU137" s="10"/>
      <c r="KV137" s="10"/>
      <c r="KW137" s="10"/>
      <c r="KX137" s="10"/>
      <c r="KY137" s="10"/>
      <c r="KZ137" s="10"/>
      <c r="LA137" s="10"/>
      <c r="LB137" s="10"/>
      <c r="NT137" s="13"/>
      <c r="NW137" s="13"/>
    </row>
    <row r="138" spans="76:387" ht="10.75" customHeight="1">
      <c r="BX138" s="12"/>
      <c r="DO138" s="13"/>
      <c r="DS138" s="12"/>
      <c r="DZ138" s="13"/>
      <c r="GV138" s="13"/>
      <c r="GY138" s="13"/>
      <c r="GZ138" s="12"/>
      <c r="HC138" s="13"/>
      <c r="IE138" s="13"/>
      <c r="JT138" s="12"/>
      <c r="JW138" s="12"/>
      <c r="KE138" s="12"/>
      <c r="NT138" s="13"/>
      <c r="NW138" s="13"/>
    </row>
    <row r="139" spans="76:387" ht="10.75" customHeight="1">
      <c r="BX139" s="12"/>
      <c r="DO139" s="13"/>
      <c r="DS139" s="12"/>
      <c r="DZ139" s="13"/>
      <c r="GV139" s="13"/>
      <c r="GY139" s="13"/>
      <c r="GZ139" s="12"/>
      <c r="HC139" s="13"/>
      <c r="IE139" s="13"/>
      <c r="JT139" s="12"/>
      <c r="JW139" s="12"/>
      <c r="KE139" s="12"/>
      <c r="NT139" s="13"/>
      <c r="NW139" s="13"/>
    </row>
    <row r="140" spans="76:387" ht="10.75" customHeight="1">
      <c r="BX140" s="12"/>
      <c r="DO140" s="13"/>
      <c r="DS140" s="12"/>
      <c r="DZ140" s="13"/>
      <c r="GV140" s="13"/>
      <c r="GY140" s="13"/>
      <c r="GZ140" s="12"/>
      <c r="HC140" s="13"/>
      <c r="IE140" s="13"/>
      <c r="JT140" s="12"/>
      <c r="JW140" s="12"/>
      <c r="KE140" s="12"/>
      <c r="NT140" s="13"/>
      <c r="NW140" s="13"/>
    </row>
    <row r="141" spans="76:387" ht="10.75" customHeight="1">
      <c r="BX141" s="12"/>
      <c r="DO141" s="13"/>
      <c r="DS141" s="12"/>
      <c r="DZ141" s="13"/>
      <c r="GV141" s="13"/>
      <c r="GY141" s="13"/>
      <c r="GZ141" s="12"/>
      <c r="HC141" s="13"/>
      <c r="IE141" s="13"/>
      <c r="JT141" s="12"/>
      <c r="JW141" s="12"/>
      <c r="KE141" s="12"/>
      <c r="NT141" s="13"/>
      <c r="NW141" s="13"/>
    </row>
    <row r="142" spans="76:387" ht="10.75" customHeight="1">
      <c r="BX142" s="12"/>
      <c r="DO142" s="13"/>
      <c r="DS142" s="12"/>
      <c r="DZ142" s="13"/>
      <c r="GV142" s="13"/>
      <c r="GY142" s="13"/>
      <c r="GZ142" s="12"/>
      <c r="HC142" s="13"/>
      <c r="IE142" s="13"/>
      <c r="JT142" s="12"/>
      <c r="JW142" s="12"/>
      <c r="KE142" s="12"/>
      <c r="NT142" s="13"/>
      <c r="NW142" s="13"/>
    </row>
    <row r="143" spans="76:387" ht="10.75" customHeight="1">
      <c r="BX143" s="12"/>
      <c r="DO143" s="13"/>
      <c r="DS143" s="12"/>
      <c r="DZ143" s="13"/>
      <c r="GV143" s="13"/>
      <c r="GY143" s="13"/>
      <c r="GZ143" s="12"/>
      <c r="HC143" s="13"/>
      <c r="IE143" s="13"/>
      <c r="JT143" s="12"/>
      <c r="JW143" s="12"/>
      <c r="KE143" s="12"/>
      <c r="NT143" s="13"/>
      <c r="NW143" s="13"/>
    </row>
    <row r="144" spans="76:387" ht="10.75" customHeight="1">
      <c r="BX144" s="12"/>
      <c r="DO144" s="13"/>
      <c r="DS144" s="12"/>
      <c r="DZ144" s="13"/>
      <c r="GV144" s="13"/>
      <c r="GY144" s="13"/>
      <c r="GZ144" s="12"/>
      <c r="HC144" s="13"/>
      <c r="IE144" s="13"/>
      <c r="JT144" s="12"/>
      <c r="JW144" s="12"/>
      <c r="KE144" s="12"/>
      <c r="NT144" s="13"/>
      <c r="NW144" s="13"/>
    </row>
    <row r="145" spans="76:387" ht="10.75" customHeight="1">
      <c r="BX145" s="12"/>
      <c r="DO145" s="13"/>
      <c r="DS145" s="12"/>
      <c r="DZ145" s="13"/>
      <c r="GV145" s="13"/>
      <c r="GY145" s="13"/>
      <c r="GZ145" s="12"/>
      <c r="HC145" s="13"/>
      <c r="IE145" s="13"/>
      <c r="JT145" s="12"/>
      <c r="JW145" s="12"/>
      <c r="KE145" s="12"/>
      <c r="NT145" s="13"/>
      <c r="NW145" s="13"/>
    </row>
    <row r="146" spans="76:387" ht="10.75" customHeight="1">
      <c r="BX146" s="12"/>
      <c r="DO146" s="13"/>
      <c r="DS146" s="12"/>
      <c r="DZ146" s="13"/>
      <c r="GV146" s="13"/>
      <c r="GY146" s="13"/>
      <c r="GZ146" s="12"/>
      <c r="HC146" s="13"/>
      <c r="IE146" s="13"/>
      <c r="JT146" s="12"/>
      <c r="JW146" s="12"/>
      <c r="KE146" s="12"/>
      <c r="NT146" s="13"/>
      <c r="NW146" s="13"/>
    </row>
    <row r="147" spans="76:387" ht="10.75" customHeight="1">
      <c r="BX147" s="12"/>
      <c r="DO147" s="13"/>
      <c r="DS147" s="12"/>
      <c r="DZ147" s="13"/>
      <c r="GV147" s="13"/>
      <c r="GY147" s="13"/>
      <c r="GZ147" s="12"/>
      <c r="HC147" s="13"/>
      <c r="IE147" s="13"/>
      <c r="JT147" s="12"/>
      <c r="JW147" s="12"/>
      <c r="KE147" s="12"/>
      <c r="NT147" s="13"/>
      <c r="NW147" s="13"/>
    </row>
    <row r="148" spans="76:387" ht="10.75" customHeight="1">
      <c r="BX148" s="12"/>
      <c r="DO148" s="13"/>
      <c r="DS148" s="12"/>
      <c r="DZ148" s="13"/>
      <c r="GV148" s="13"/>
      <c r="GY148" s="13"/>
      <c r="GZ148" s="12"/>
      <c r="HC148" s="13"/>
      <c r="IE148" s="13"/>
      <c r="JT148" s="12"/>
      <c r="JW148" s="12"/>
      <c r="KE148" s="12"/>
      <c r="NT148" s="13"/>
      <c r="NW148" s="13"/>
    </row>
    <row r="149" spans="76:387" ht="10.75" customHeight="1">
      <c r="BX149" s="12"/>
      <c r="DO149" s="13"/>
      <c r="DS149" s="12"/>
      <c r="DZ149" s="13"/>
      <c r="GV149" s="13"/>
      <c r="GY149" s="13"/>
      <c r="GZ149" s="12"/>
      <c r="HC149" s="13"/>
      <c r="IE149" s="13"/>
      <c r="JT149" s="12"/>
      <c r="JW149" s="12"/>
      <c r="KE149" s="12"/>
      <c r="NT149" s="13"/>
      <c r="NW149" s="13"/>
    </row>
    <row r="150" spans="76:387" ht="10.75" customHeight="1">
      <c r="BX150" s="12"/>
      <c r="DO150" s="13"/>
      <c r="DS150" s="12"/>
      <c r="DZ150" s="13"/>
      <c r="GV150" s="13"/>
      <c r="GY150" s="13"/>
      <c r="GZ150" s="12"/>
      <c r="HC150" s="13"/>
      <c r="IE150" s="13"/>
      <c r="JT150" s="12"/>
      <c r="JW150" s="12"/>
      <c r="KE150" s="12"/>
      <c r="NT150" s="13"/>
      <c r="NW150" s="13"/>
    </row>
    <row r="151" spans="76:387" ht="10.75" customHeight="1">
      <c r="BX151" s="12"/>
      <c r="DO151" s="13"/>
      <c r="DS151" s="14"/>
      <c r="DT151" s="15"/>
      <c r="DU151" s="15"/>
      <c r="DV151" s="15"/>
      <c r="DW151" s="15"/>
      <c r="DX151" s="15"/>
      <c r="DY151" s="15"/>
      <c r="DZ151" s="16"/>
      <c r="EA151" s="15"/>
      <c r="EB151" s="15"/>
      <c r="EC151" s="15"/>
      <c r="ED151" s="15"/>
      <c r="EE151" s="15"/>
      <c r="EF151" s="15"/>
      <c r="EG151" s="15"/>
      <c r="EH151" s="15"/>
      <c r="EI151" s="15"/>
      <c r="EJ151" s="15"/>
      <c r="EK151" s="15"/>
      <c r="EL151" s="15"/>
      <c r="EM151" s="15"/>
      <c r="EN151" s="15"/>
      <c r="EO151" s="15"/>
      <c r="EP151" s="15"/>
      <c r="EQ151" s="15"/>
      <c r="ER151" s="15"/>
      <c r="ES151" s="15"/>
      <c r="ET151" s="15"/>
      <c r="EU151" s="15"/>
      <c r="EV151" s="15"/>
      <c r="EW151" s="15"/>
      <c r="EX151" s="15"/>
      <c r="EY151" s="15"/>
      <c r="EZ151" s="15"/>
      <c r="FA151" s="15"/>
      <c r="FB151" s="15"/>
      <c r="FC151" s="15"/>
      <c r="FD151" s="15"/>
      <c r="FE151" s="15"/>
      <c r="FF151" s="15"/>
      <c r="FG151" s="15"/>
      <c r="FH151" s="15"/>
      <c r="FI151" s="15"/>
      <c r="FJ151" s="15"/>
      <c r="FK151" s="15"/>
      <c r="FL151" s="15"/>
      <c r="FM151" s="15"/>
      <c r="FN151" s="15"/>
      <c r="FO151" s="15"/>
      <c r="FP151" s="15"/>
      <c r="FQ151" s="15"/>
      <c r="FR151" s="15"/>
      <c r="FS151" s="15"/>
      <c r="FT151" s="15"/>
      <c r="FU151" s="15"/>
      <c r="FV151" s="15"/>
      <c r="FW151" s="15"/>
      <c r="FX151" s="15"/>
      <c r="FY151" s="15"/>
      <c r="FZ151" s="15"/>
      <c r="GA151" s="15"/>
      <c r="GB151" s="15"/>
      <c r="GC151" s="15"/>
      <c r="GD151" s="15"/>
      <c r="GE151" s="15"/>
      <c r="GF151" s="15"/>
      <c r="GG151" s="15"/>
      <c r="GH151" s="15"/>
      <c r="GI151" s="15"/>
      <c r="GJ151" s="15"/>
      <c r="GK151" s="15"/>
      <c r="GL151" s="15"/>
      <c r="GM151" s="15"/>
      <c r="GN151" s="15"/>
      <c r="GO151" s="15"/>
      <c r="GP151" s="15"/>
      <c r="GQ151" s="15"/>
      <c r="GR151" s="15"/>
      <c r="GS151" s="15"/>
      <c r="GT151" s="15"/>
      <c r="GU151" s="15"/>
      <c r="GV151" s="16"/>
      <c r="GY151" s="13"/>
      <c r="GZ151" s="12"/>
      <c r="HC151" s="13"/>
      <c r="IE151" s="13"/>
      <c r="JT151" s="12"/>
      <c r="JW151" s="12"/>
      <c r="KE151" s="12"/>
      <c r="NT151" s="13"/>
      <c r="NW151" s="13"/>
    </row>
    <row r="152" spans="76:387" ht="10.75" customHeight="1">
      <c r="BX152" s="12"/>
      <c r="CB152" s="96"/>
      <c r="CC152" s="97"/>
      <c r="CD152" s="97"/>
      <c r="CE152" s="97"/>
      <c r="DO152" s="13"/>
      <c r="EL152" s="97"/>
      <c r="EM152" s="97"/>
      <c r="EN152" s="97"/>
      <c r="EO152" s="97"/>
      <c r="GV152" s="97"/>
      <c r="GW152" s="97"/>
      <c r="GX152" s="97"/>
      <c r="GY152" s="98"/>
      <c r="GZ152" s="12"/>
      <c r="HC152" s="13"/>
      <c r="IE152" s="13"/>
      <c r="JT152" s="12"/>
      <c r="JW152" s="12"/>
      <c r="KE152" s="12"/>
      <c r="NT152" s="13"/>
      <c r="NW152" s="13"/>
    </row>
    <row r="153" spans="76:387" ht="10.75" customHeight="1">
      <c r="BX153" s="12"/>
      <c r="CB153" s="96"/>
      <c r="CC153" s="97"/>
      <c r="CD153" s="97"/>
      <c r="CE153" s="97"/>
      <c r="DO153" s="13"/>
      <c r="EL153" s="97"/>
      <c r="EM153" s="97"/>
      <c r="EN153" s="97"/>
      <c r="EO153" s="97"/>
      <c r="GV153" s="97"/>
      <c r="GW153" s="97"/>
      <c r="GX153" s="97"/>
      <c r="GY153" s="98"/>
      <c r="GZ153" s="12"/>
      <c r="HC153" s="13"/>
      <c r="IE153" s="13"/>
      <c r="JT153" s="12"/>
      <c r="JW153" s="12"/>
      <c r="KE153" s="12"/>
      <c r="NT153" s="13"/>
      <c r="NW153" s="13"/>
    </row>
    <row r="154" spans="76:387" ht="10.75" customHeight="1">
      <c r="BX154" s="12"/>
      <c r="CB154" s="59"/>
      <c r="CC154" s="60"/>
      <c r="CD154" s="60"/>
      <c r="CE154" s="60"/>
      <c r="DO154" s="13"/>
      <c r="DP154" s="15"/>
      <c r="DQ154" s="15"/>
      <c r="DR154" s="15"/>
      <c r="DS154" s="15"/>
      <c r="DT154" s="15"/>
      <c r="DU154" s="15"/>
      <c r="DV154" s="15"/>
      <c r="DW154" s="15"/>
      <c r="DX154" s="15"/>
      <c r="DY154" s="15"/>
      <c r="DZ154" s="15"/>
      <c r="EA154" s="15"/>
      <c r="EB154" s="15"/>
      <c r="EC154" s="15"/>
      <c r="ED154" s="15"/>
      <c r="EE154" s="15"/>
      <c r="EF154" s="15"/>
      <c r="EG154" s="15"/>
      <c r="EH154" s="15"/>
      <c r="EI154" s="15"/>
      <c r="EJ154" s="15"/>
      <c r="EK154" s="15"/>
      <c r="EL154" s="60"/>
      <c r="EM154" s="60"/>
      <c r="EN154" s="60"/>
      <c r="EO154" s="60"/>
      <c r="EP154" s="15"/>
      <c r="EQ154" s="15"/>
      <c r="ER154" s="15"/>
      <c r="ES154" s="15"/>
      <c r="ET154" s="15"/>
      <c r="EU154" s="15"/>
      <c r="EV154" s="15"/>
      <c r="EW154" s="15"/>
      <c r="EX154" s="15"/>
      <c r="EY154" s="15"/>
      <c r="EZ154" s="15"/>
      <c r="FA154" s="15"/>
      <c r="FB154" s="15"/>
      <c r="FC154" s="15"/>
      <c r="FD154" s="15"/>
      <c r="FE154" s="15"/>
      <c r="FF154" s="15"/>
      <c r="FG154" s="15"/>
      <c r="FH154" s="15"/>
      <c r="FI154" s="15"/>
      <c r="FJ154" s="15"/>
      <c r="FK154" s="15"/>
      <c r="FL154" s="15"/>
      <c r="FM154" s="15"/>
      <c r="FN154" s="15"/>
      <c r="FO154" s="15"/>
      <c r="FP154" s="15"/>
      <c r="FQ154" s="15"/>
      <c r="FR154" s="15"/>
      <c r="FS154" s="15"/>
      <c r="FT154" s="15"/>
      <c r="FU154" s="15"/>
      <c r="FV154" s="15"/>
      <c r="FW154" s="15"/>
      <c r="FX154" s="15"/>
      <c r="FY154" s="15"/>
      <c r="FZ154" s="15"/>
      <c r="GA154" s="15"/>
      <c r="GB154" s="15"/>
      <c r="GC154" s="15"/>
      <c r="GD154" s="15"/>
      <c r="GE154" s="15"/>
      <c r="GF154" s="15"/>
      <c r="GG154" s="15"/>
      <c r="GH154" s="15"/>
      <c r="GI154" s="15"/>
      <c r="GJ154" s="15"/>
      <c r="GK154" s="15"/>
      <c r="GL154" s="15"/>
      <c r="GM154" s="15"/>
      <c r="GN154" s="15"/>
      <c r="GO154" s="15"/>
      <c r="GP154" s="15"/>
      <c r="GQ154" s="15"/>
      <c r="GR154" s="15"/>
      <c r="GS154" s="15"/>
      <c r="GT154" s="15"/>
      <c r="GU154" s="15"/>
      <c r="GV154" s="60"/>
      <c r="GW154" s="60"/>
      <c r="GX154" s="60"/>
      <c r="GY154" s="61"/>
      <c r="GZ154" s="12"/>
      <c r="HC154" s="13"/>
      <c r="IE154" s="13"/>
      <c r="JT154" s="12"/>
      <c r="JW154" s="12"/>
      <c r="KE154" s="14"/>
      <c r="KF154" s="15"/>
      <c r="KG154" s="15"/>
      <c r="KH154" s="15"/>
      <c r="KI154" s="15"/>
      <c r="KJ154" s="15"/>
      <c r="KK154" s="15"/>
      <c r="KL154" s="15"/>
      <c r="KM154" s="15"/>
      <c r="KN154" s="15"/>
      <c r="KO154" s="15"/>
      <c r="KP154" s="15"/>
      <c r="KQ154" s="15"/>
      <c r="KR154" s="15"/>
      <c r="KS154" s="15"/>
      <c r="KT154" s="15"/>
      <c r="KU154" s="15"/>
      <c r="KV154" s="15"/>
      <c r="KW154" s="15"/>
      <c r="KX154" s="15"/>
      <c r="KY154" s="15"/>
      <c r="KZ154" s="15"/>
      <c r="LA154" s="15"/>
      <c r="LB154" s="15"/>
      <c r="NT154" s="13"/>
      <c r="NW154" s="13"/>
    </row>
    <row r="155" spans="76:387" ht="10.75" customHeight="1">
      <c r="BX155" s="12"/>
      <c r="DP155" s="9"/>
      <c r="DQ155" s="10"/>
      <c r="DR155" s="10"/>
      <c r="DS155" s="10"/>
      <c r="DT155" s="10"/>
      <c r="DU155" s="10"/>
      <c r="DV155" s="10"/>
      <c r="DW155" s="10"/>
      <c r="DX155" s="10"/>
      <c r="DY155" s="10"/>
      <c r="DZ155" s="10"/>
      <c r="EA155" s="10"/>
      <c r="EB155" s="10"/>
      <c r="EC155" s="10"/>
      <c r="ED155" s="10"/>
      <c r="EE155" s="10"/>
      <c r="EF155" s="10"/>
      <c r="EG155" s="10"/>
      <c r="EH155" s="10"/>
      <c r="EI155" s="10"/>
      <c r="EJ155" s="10"/>
      <c r="EK155" s="10"/>
      <c r="EL155" s="10"/>
      <c r="EM155" s="10"/>
      <c r="EN155" s="10"/>
      <c r="EO155" s="10"/>
      <c r="EP155" s="10"/>
      <c r="EQ155" s="10"/>
      <c r="ER155" s="10"/>
      <c r="ES155" s="10"/>
      <c r="ET155" s="10"/>
      <c r="EU155" s="10"/>
      <c r="EV155" s="10"/>
      <c r="EW155" s="10"/>
      <c r="EX155" s="10"/>
      <c r="EY155" s="10"/>
      <c r="EZ155" s="10"/>
      <c r="FA155" s="10"/>
      <c r="FB155" s="10"/>
      <c r="FC155" s="10"/>
      <c r="FD155" s="10"/>
      <c r="FE155" s="10"/>
      <c r="FF155" s="10"/>
      <c r="FG155" s="10"/>
      <c r="FH155" s="10"/>
      <c r="FI155" s="10"/>
      <c r="FJ155" s="10"/>
      <c r="FK155" s="10"/>
      <c r="FL155" s="10"/>
      <c r="FM155" s="10"/>
      <c r="FN155" s="10"/>
      <c r="FO155" s="10"/>
      <c r="FP155" s="10"/>
      <c r="FQ155" s="10"/>
      <c r="FR155" s="10"/>
      <c r="FS155" s="10"/>
      <c r="FT155" s="10"/>
      <c r="FU155" s="10"/>
      <c r="FV155" s="10"/>
      <c r="FW155" s="10"/>
      <c r="FX155" s="10"/>
      <c r="FY155" s="10"/>
      <c r="FZ155" s="10"/>
      <c r="GA155" s="10"/>
      <c r="GB155" s="10"/>
      <c r="GC155" s="10"/>
      <c r="GD155" s="10"/>
      <c r="GE155" s="10"/>
      <c r="GF155" s="10"/>
      <c r="GG155" s="10"/>
      <c r="GH155" s="10"/>
      <c r="GI155" s="10"/>
      <c r="GJ155" s="10"/>
      <c r="GK155" s="10"/>
      <c r="GL155" s="10"/>
      <c r="GM155" s="10"/>
      <c r="GN155" s="10"/>
      <c r="GO155" s="10"/>
      <c r="GP155" s="10"/>
      <c r="GQ155" s="10"/>
      <c r="GR155" s="10"/>
      <c r="GS155" s="10"/>
      <c r="GT155" s="10"/>
      <c r="GU155" s="10"/>
      <c r="GV155" s="10"/>
      <c r="GW155" s="10"/>
      <c r="GX155" s="10"/>
      <c r="GY155" s="10"/>
      <c r="HC155" s="13"/>
      <c r="IE155" s="13"/>
      <c r="JT155" s="12"/>
      <c r="JW155" s="12"/>
      <c r="LC155" s="9"/>
      <c r="LD155" s="11"/>
      <c r="NT155" s="13"/>
      <c r="NW155" s="13"/>
    </row>
    <row r="156" spans="76:387" ht="10.75" customHeight="1">
      <c r="BX156" s="12"/>
      <c r="DP156" s="12"/>
      <c r="HC156" s="13"/>
      <c r="IE156" s="13"/>
      <c r="JT156" s="12"/>
      <c r="JW156" s="12"/>
      <c r="LC156" s="12"/>
      <c r="LD156" s="13"/>
      <c r="NT156" s="13"/>
      <c r="NW156" s="13"/>
    </row>
    <row r="157" spans="76:387" ht="10.75" customHeight="1">
      <c r="BX157" s="12"/>
      <c r="DP157" s="12"/>
      <c r="HC157" s="13"/>
      <c r="IE157" s="13"/>
      <c r="JT157" s="12"/>
      <c r="JW157" s="12"/>
      <c r="LC157" s="12"/>
      <c r="LD157" s="13"/>
      <c r="NT157" s="13"/>
      <c r="NW157" s="13"/>
    </row>
    <row r="158" spans="76:387" ht="10.75" customHeight="1">
      <c r="BX158" s="14"/>
      <c r="BY158" s="15"/>
      <c r="BZ158" s="15"/>
      <c r="CA158" s="15"/>
      <c r="CB158" s="15"/>
      <c r="CC158" s="15"/>
      <c r="CD158" s="15"/>
      <c r="CE158" s="15"/>
      <c r="CF158" s="15"/>
      <c r="CG158" s="15"/>
      <c r="CH158" s="15"/>
      <c r="CI158" s="15"/>
      <c r="CJ158" s="15"/>
      <c r="CK158" s="15"/>
      <c r="CL158" s="15"/>
      <c r="CM158" s="15"/>
      <c r="CN158" s="15"/>
      <c r="CO158" s="15"/>
      <c r="CP158" s="15"/>
      <c r="CQ158" s="15"/>
      <c r="CR158" s="15"/>
      <c r="CS158" s="15"/>
      <c r="CT158" s="15"/>
      <c r="CU158" s="15"/>
      <c r="CV158" s="15"/>
      <c r="CW158" s="15"/>
      <c r="CX158" s="15"/>
      <c r="CY158" s="15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5"/>
      <c r="DP158" s="14"/>
      <c r="DQ158" s="15"/>
      <c r="DR158" s="15"/>
      <c r="DS158" s="15"/>
      <c r="DT158" s="15"/>
      <c r="DU158" s="15"/>
      <c r="DV158" s="15"/>
      <c r="DW158" s="15"/>
      <c r="DX158" s="15"/>
      <c r="DY158" s="15"/>
      <c r="DZ158" s="15"/>
      <c r="EA158" s="15"/>
      <c r="EB158" s="15"/>
      <c r="EC158" s="15"/>
      <c r="ED158" s="15"/>
      <c r="EE158" s="15"/>
      <c r="EF158" s="15"/>
      <c r="EG158" s="15"/>
      <c r="EH158" s="15"/>
      <c r="EI158" s="15"/>
      <c r="EJ158" s="15"/>
      <c r="EK158" s="15"/>
      <c r="EL158" s="15"/>
      <c r="EM158" s="15"/>
      <c r="EN158" s="15"/>
      <c r="EO158" s="15"/>
      <c r="EP158" s="15"/>
      <c r="EQ158" s="15"/>
      <c r="ER158" s="15"/>
      <c r="ES158" s="15"/>
      <c r="ET158" s="15"/>
      <c r="EU158" s="15"/>
      <c r="EV158" s="15"/>
      <c r="EW158" s="15"/>
      <c r="EX158" s="15"/>
      <c r="EY158" s="15"/>
      <c r="EZ158" s="15"/>
      <c r="FA158" s="15"/>
      <c r="FB158" s="15"/>
      <c r="FC158" s="15"/>
      <c r="FD158" s="15"/>
      <c r="FE158" s="15"/>
      <c r="FF158" s="15"/>
      <c r="FG158" s="15"/>
      <c r="FH158" s="15"/>
      <c r="FI158" s="15"/>
      <c r="FJ158" s="15"/>
      <c r="FK158" s="15"/>
      <c r="FL158" s="15"/>
      <c r="FM158" s="15"/>
      <c r="FN158" s="15"/>
      <c r="FO158" s="15"/>
      <c r="FP158" s="15"/>
      <c r="FQ158" s="15"/>
      <c r="FR158" s="15"/>
      <c r="FS158" s="15"/>
      <c r="FT158" s="15"/>
      <c r="FU158" s="15"/>
      <c r="FV158" s="15"/>
      <c r="FW158" s="15"/>
      <c r="FX158" s="15"/>
      <c r="FY158" s="15"/>
      <c r="FZ158" s="15"/>
      <c r="GA158" s="15"/>
      <c r="GB158" s="15"/>
      <c r="GC158" s="15"/>
      <c r="GD158" s="15"/>
      <c r="GE158" s="15"/>
      <c r="GF158" s="15"/>
      <c r="GG158" s="15"/>
      <c r="GH158" s="15"/>
      <c r="GI158" s="15"/>
      <c r="GJ158" s="15"/>
      <c r="GK158" s="15"/>
      <c r="GL158" s="15"/>
      <c r="GM158" s="15"/>
      <c r="GN158" s="15"/>
      <c r="GO158" s="15"/>
      <c r="GP158" s="15"/>
      <c r="GQ158" s="15"/>
      <c r="GR158" s="15"/>
      <c r="GS158" s="15"/>
      <c r="GT158" s="15"/>
      <c r="GU158" s="15"/>
      <c r="GV158" s="15"/>
      <c r="GW158" s="15"/>
      <c r="GX158" s="15"/>
      <c r="GY158" s="15"/>
      <c r="GZ158" s="15"/>
      <c r="HA158" s="15"/>
      <c r="HB158" s="15"/>
      <c r="HC158" s="16"/>
      <c r="IE158" s="13"/>
      <c r="JT158" s="12"/>
      <c r="JW158" s="12"/>
      <c r="LC158" s="12"/>
      <c r="LD158" s="13"/>
      <c r="NT158" s="13"/>
      <c r="NW158" s="13"/>
    </row>
    <row r="159" spans="76:387" ht="10.75" customHeight="1">
      <c r="DP159" s="12"/>
      <c r="IE159" s="13"/>
      <c r="JT159" s="12"/>
      <c r="JW159" s="12"/>
      <c r="LC159" s="12"/>
      <c r="LD159" s="13"/>
      <c r="NT159" s="13"/>
      <c r="NW159" s="13"/>
    </row>
    <row r="160" spans="76:387" ht="10.75" customHeight="1">
      <c r="DP160" s="12"/>
      <c r="IE160" s="13"/>
      <c r="JT160" s="12"/>
      <c r="JW160" s="12"/>
      <c r="LC160" s="12"/>
      <c r="LD160" s="13"/>
      <c r="NT160" s="13"/>
      <c r="NW160" s="13"/>
    </row>
    <row r="161" spans="120:387" ht="10.75" customHeight="1">
      <c r="DP161" s="12"/>
      <c r="IE161" s="13"/>
      <c r="JT161" s="12"/>
      <c r="JW161" s="12"/>
      <c r="LC161" s="12"/>
      <c r="LD161" s="13"/>
      <c r="NT161" s="13"/>
      <c r="NW161" s="13"/>
    </row>
    <row r="162" spans="120:387" ht="10.75" customHeight="1">
      <c r="DP162" s="12"/>
      <c r="IE162" s="13"/>
      <c r="JT162" s="12"/>
      <c r="JW162" s="14"/>
      <c r="JX162" s="15"/>
      <c r="JY162" s="15"/>
      <c r="JZ162" s="15"/>
      <c r="KA162" s="15"/>
      <c r="KB162" s="15"/>
      <c r="KC162" s="15"/>
      <c r="KD162" s="15"/>
      <c r="KE162" s="15"/>
      <c r="KF162" s="15"/>
      <c r="KG162" s="15"/>
      <c r="KH162" s="15"/>
      <c r="KI162" s="15"/>
      <c r="KJ162" s="15"/>
      <c r="KK162" s="15"/>
      <c r="KL162" s="15"/>
      <c r="KM162" s="15"/>
      <c r="KN162" s="15"/>
      <c r="KO162" s="15"/>
      <c r="KP162" s="15"/>
      <c r="KQ162" s="15"/>
      <c r="KR162" s="15"/>
      <c r="KS162" s="15"/>
      <c r="KT162" s="15"/>
      <c r="KU162" s="15"/>
      <c r="KV162" s="15"/>
      <c r="KW162" s="15"/>
      <c r="KX162" s="15"/>
      <c r="KY162" s="15"/>
      <c r="KZ162" s="15"/>
      <c r="LA162" s="15"/>
      <c r="LB162" s="15"/>
      <c r="LC162" s="14"/>
      <c r="LD162" s="16"/>
      <c r="LE162" s="15"/>
      <c r="LF162" s="15"/>
      <c r="LG162" s="15"/>
      <c r="LH162" s="15"/>
      <c r="LI162" s="15"/>
      <c r="LJ162" s="15"/>
      <c r="LK162" s="15"/>
      <c r="LL162" s="15"/>
      <c r="LM162" s="15"/>
      <c r="LN162" s="15"/>
      <c r="LO162" s="15"/>
      <c r="LP162" s="15"/>
      <c r="LQ162" s="15"/>
      <c r="LR162" s="15"/>
      <c r="LS162" s="15"/>
      <c r="LT162" s="15"/>
      <c r="LU162" s="15"/>
      <c r="LV162" s="15"/>
      <c r="LW162" s="15"/>
      <c r="LX162" s="15"/>
      <c r="LY162" s="15"/>
      <c r="LZ162" s="15"/>
      <c r="MA162" s="15"/>
      <c r="MB162" s="15"/>
      <c r="MC162" s="15"/>
      <c r="MD162" s="15"/>
      <c r="ME162" s="15"/>
      <c r="MF162" s="15"/>
      <c r="MG162" s="15"/>
      <c r="MH162" s="15"/>
      <c r="MI162" s="15"/>
      <c r="MJ162" s="15"/>
      <c r="MK162" s="15"/>
      <c r="ML162" s="15"/>
      <c r="MM162" s="15"/>
      <c r="MN162" s="15"/>
      <c r="MO162" s="15"/>
      <c r="MP162" s="15"/>
      <c r="MQ162" s="15"/>
      <c r="MR162" s="15"/>
      <c r="MS162" s="15"/>
      <c r="MT162" s="15"/>
      <c r="MU162" s="15"/>
      <c r="MV162" s="15"/>
      <c r="MW162" s="15"/>
      <c r="MX162" s="15"/>
      <c r="MY162" s="15"/>
      <c r="MZ162" s="15"/>
      <c r="NA162" s="15"/>
      <c r="NB162" s="15"/>
      <c r="NC162" s="15"/>
      <c r="ND162" s="15"/>
      <c r="NE162" s="15"/>
      <c r="NF162" s="15"/>
      <c r="NG162" s="15"/>
      <c r="NH162" s="15"/>
      <c r="NI162" s="15"/>
      <c r="NJ162" s="15"/>
      <c r="NK162" s="15"/>
      <c r="NL162" s="15"/>
      <c r="NM162" s="15"/>
      <c r="NN162" s="15"/>
      <c r="NO162" s="15"/>
      <c r="NP162" s="15"/>
      <c r="NQ162" s="15"/>
      <c r="NR162" s="15"/>
      <c r="NS162" s="15"/>
      <c r="NT162" s="16"/>
      <c r="NW162" s="13"/>
    </row>
    <row r="163" spans="120:387" ht="10.75" customHeight="1">
      <c r="DP163" s="12"/>
      <c r="IE163" s="13"/>
      <c r="JT163" s="12"/>
      <c r="NW163" s="13"/>
    </row>
    <row r="164" spans="120:387" ht="10.75" customHeight="1">
      <c r="DP164" s="12"/>
      <c r="IE164" s="13"/>
      <c r="JT164" s="12"/>
      <c r="NW164" s="13"/>
    </row>
    <row r="165" spans="120:387" ht="10.75" customHeight="1">
      <c r="DP165" s="12"/>
      <c r="IE165" s="13"/>
      <c r="JT165" s="14"/>
      <c r="JU165" s="15"/>
      <c r="JV165" s="15"/>
      <c r="JW165" s="15"/>
      <c r="JX165" s="15"/>
      <c r="JY165" s="15"/>
      <c r="JZ165" s="15"/>
      <c r="KA165" s="15"/>
      <c r="KB165" s="15"/>
      <c r="KC165" s="15"/>
      <c r="KD165" s="15"/>
      <c r="KE165" s="15"/>
      <c r="KF165" s="15"/>
      <c r="KG165" s="15"/>
      <c r="KH165" s="15"/>
      <c r="KI165" s="15"/>
      <c r="KJ165" s="15"/>
      <c r="KK165" s="15"/>
      <c r="KL165" s="15"/>
      <c r="KM165" s="15"/>
      <c r="KN165" s="15"/>
      <c r="KO165" s="15"/>
      <c r="KP165" s="15"/>
      <c r="KQ165" s="15"/>
      <c r="KR165" s="15"/>
      <c r="KS165" s="15"/>
      <c r="KT165" s="15"/>
      <c r="KU165" s="15"/>
      <c r="KV165" s="15"/>
      <c r="KW165" s="15"/>
      <c r="KX165" s="15"/>
      <c r="KY165" s="15"/>
      <c r="KZ165" s="15"/>
      <c r="LA165" s="15"/>
      <c r="LB165" s="15"/>
      <c r="LC165" s="15"/>
      <c r="LD165" s="15"/>
      <c r="LE165" s="15"/>
      <c r="LF165" s="15"/>
      <c r="LG165" s="15"/>
      <c r="LH165" s="15"/>
      <c r="LI165" s="15"/>
      <c r="LJ165" s="15"/>
      <c r="LK165" s="15"/>
      <c r="LL165" s="15"/>
      <c r="LM165" s="15"/>
      <c r="LN165" s="15"/>
      <c r="LO165" s="15"/>
      <c r="LP165" s="15"/>
      <c r="LQ165" s="15"/>
      <c r="LR165" s="15"/>
      <c r="LS165" s="15"/>
      <c r="LT165" s="15"/>
      <c r="LU165" s="15"/>
      <c r="LV165" s="15"/>
      <c r="LW165" s="15"/>
      <c r="LX165" s="15"/>
      <c r="LY165" s="15"/>
      <c r="LZ165" s="15"/>
      <c r="MA165" s="15"/>
      <c r="MB165" s="15"/>
      <c r="MC165" s="15"/>
      <c r="MD165" s="15"/>
      <c r="ME165" s="15"/>
      <c r="MF165" s="15"/>
      <c r="MG165" s="15"/>
      <c r="MH165" s="15"/>
      <c r="MI165" s="15"/>
      <c r="MJ165" s="15"/>
      <c r="MK165" s="15"/>
      <c r="ML165" s="15"/>
      <c r="MM165" s="15"/>
      <c r="MN165" s="15"/>
      <c r="MO165" s="15"/>
      <c r="MP165" s="15"/>
      <c r="MQ165" s="15"/>
      <c r="MR165" s="15"/>
      <c r="MS165" s="15"/>
      <c r="MT165" s="15"/>
      <c r="MU165" s="15"/>
      <c r="MV165" s="15"/>
      <c r="MW165" s="15"/>
      <c r="MX165" s="15"/>
      <c r="MY165" s="15"/>
      <c r="MZ165" s="15"/>
      <c r="NA165" s="15"/>
      <c r="NB165" s="15"/>
      <c r="NC165" s="15"/>
      <c r="ND165" s="15"/>
      <c r="NE165" s="15"/>
      <c r="NF165" s="15"/>
      <c r="NG165" s="15"/>
      <c r="NH165" s="15"/>
      <c r="NI165" s="15"/>
      <c r="NJ165" s="15"/>
      <c r="NK165" s="15"/>
      <c r="NL165" s="15"/>
      <c r="NM165" s="15"/>
      <c r="NN165" s="15"/>
      <c r="NO165" s="15"/>
      <c r="NP165" s="15"/>
      <c r="NQ165" s="15"/>
      <c r="NR165" s="15"/>
      <c r="NS165" s="15"/>
      <c r="NT165" s="15"/>
      <c r="NU165" s="15"/>
      <c r="NV165" s="15"/>
      <c r="NW165" s="16"/>
    </row>
    <row r="166" spans="120:387" ht="10.75" customHeight="1">
      <c r="DP166" s="12"/>
      <c r="IE166" s="13"/>
    </row>
    <row r="167" spans="120:387" ht="10.75" customHeight="1">
      <c r="DP167" s="12"/>
      <c r="IE167" s="13"/>
    </row>
    <row r="168" spans="120:387" ht="10.75" customHeight="1">
      <c r="DP168" s="12"/>
      <c r="IE168" s="13"/>
    </row>
    <row r="169" spans="120:387" ht="10.75" customHeight="1">
      <c r="DP169" s="12"/>
      <c r="IE169" s="13"/>
    </row>
    <row r="170" spans="120:387" ht="10.75" customHeight="1">
      <c r="DP170" s="12"/>
      <c r="IE170" s="13"/>
    </row>
    <row r="171" spans="120:387" ht="10.75" customHeight="1">
      <c r="DP171" s="12"/>
      <c r="IE171" s="13"/>
    </row>
    <row r="172" spans="120:387" ht="10.75" customHeight="1">
      <c r="DP172" s="12"/>
      <c r="IE172" s="13"/>
    </row>
    <row r="173" spans="120:387" ht="10.75" customHeight="1">
      <c r="DP173" s="12"/>
      <c r="IE173" s="13"/>
    </row>
    <row r="174" spans="120:387" ht="10.75" customHeight="1">
      <c r="DP174" s="12"/>
      <c r="IE174" s="13"/>
    </row>
    <row r="175" spans="120:387" ht="10.75" customHeight="1">
      <c r="DP175" s="12"/>
      <c r="IE175" s="13"/>
    </row>
    <row r="176" spans="120:387" ht="10.75" customHeight="1">
      <c r="DP176" s="12"/>
      <c r="IE176" s="13"/>
    </row>
    <row r="177" spans="120:239" ht="10.75" customHeight="1">
      <c r="DP177" s="12"/>
      <c r="IE177" s="13"/>
    </row>
    <row r="178" spans="120:239" ht="10.75" customHeight="1">
      <c r="DP178" s="12"/>
      <c r="IE178" s="13"/>
    </row>
    <row r="179" spans="120:239" ht="10.75" customHeight="1">
      <c r="DP179" s="12"/>
      <c r="IE179" s="13"/>
    </row>
    <row r="180" spans="120:239" ht="10.75" customHeight="1">
      <c r="DP180" s="12"/>
      <c r="IE180" s="13"/>
    </row>
    <row r="181" spans="120:239" ht="10.75" customHeight="1">
      <c r="DP181" s="12"/>
      <c r="IE181" s="13"/>
    </row>
    <row r="182" spans="120:239" ht="10.75" customHeight="1">
      <c r="DP182" s="12"/>
      <c r="IE182" s="13"/>
    </row>
    <row r="183" spans="120:239" ht="10.75" customHeight="1">
      <c r="DP183" s="12"/>
      <c r="IE183" s="13"/>
    </row>
    <row r="184" spans="120:239" ht="10.75" customHeight="1">
      <c r="DP184" s="12"/>
      <c r="IE184" s="13"/>
    </row>
    <row r="185" spans="120:239" ht="10.75" customHeight="1">
      <c r="DP185" s="12"/>
      <c r="IE185" s="13"/>
    </row>
    <row r="186" spans="120:239" ht="10.75" customHeight="1">
      <c r="DP186" s="14"/>
      <c r="DQ186" s="15"/>
      <c r="DR186" s="15"/>
      <c r="DS186" s="15"/>
      <c r="DT186" s="15"/>
      <c r="DU186" s="15"/>
      <c r="DV186" s="15"/>
      <c r="DW186" s="15"/>
      <c r="DX186" s="15"/>
      <c r="DY186" s="15"/>
      <c r="DZ186" s="15"/>
      <c r="EA186" s="15"/>
      <c r="EB186" s="15"/>
      <c r="EC186" s="15"/>
      <c r="ED186" s="15"/>
      <c r="EE186" s="15"/>
      <c r="EF186" s="15"/>
      <c r="EG186" s="15"/>
      <c r="EH186" s="15"/>
      <c r="EI186" s="15"/>
      <c r="EJ186" s="15"/>
      <c r="EK186" s="15"/>
      <c r="EL186" s="15"/>
      <c r="EM186" s="15"/>
      <c r="EN186" s="15"/>
      <c r="EO186" s="15"/>
      <c r="EP186" s="15"/>
      <c r="EQ186" s="15"/>
      <c r="ER186" s="15"/>
      <c r="ES186" s="15"/>
      <c r="ET186" s="15"/>
      <c r="EU186" s="15"/>
      <c r="EV186" s="15"/>
      <c r="EW186" s="15"/>
      <c r="EX186" s="15"/>
      <c r="EY186" s="15"/>
      <c r="EZ186" s="15"/>
      <c r="FA186" s="15"/>
      <c r="FB186" s="15"/>
      <c r="FC186" s="15"/>
      <c r="FD186" s="15"/>
      <c r="FE186" s="15"/>
      <c r="FF186" s="15"/>
      <c r="FG186" s="15"/>
      <c r="FH186" s="15"/>
      <c r="FI186" s="15"/>
      <c r="FJ186" s="15"/>
      <c r="FK186" s="15"/>
      <c r="FL186" s="15"/>
      <c r="FM186" s="15"/>
      <c r="FN186" s="15"/>
      <c r="FO186" s="15"/>
      <c r="FP186" s="15"/>
      <c r="FQ186" s="15"/>
      <c r="FR186" s="15"/>
      <c r="FS186" s="15"/>
      <c r="FT186" s="15"/>
      <c r="FU186" s="15"/>
      <c r="FV186" s="15"/>
      <c r="FW186" s="15"/>
      <c r="FX186" s="15"/>
      <c r="FY186" s="15"/>
      <c r="FZ186" s="15"/>
      <c r="GA186" s="15"/>
      <c r="GB186" s="15"/>
      <c r="GC186" s="15"/>
      <c r="GD186" s="15"/>
      <c r="GE186" s="15"/>
      <c r="GF186" s="15"/>
      <c r="GG186" s="15"/>
      <c r="GH186" s="15"/>
      <c r="GI186" s="15"/>
      <c r="GJ186" s="15"/>
      <c r="GK186" s="15"/>
      <c r="GL186" s="15"/>
      <c r="GM186" s="15"/>
      <c r="GN186" s="15"/>
      <c r="GO186" s="15"/>
      <c r="GP186" s="15"/>
      <c r="GQ186" s="15"/>
      <c r="GR186" s="15"/>
      <c r="GS186" s="15"/>
      <c r="GT186" s="15"/>
      <c r="GU186" s="15"/>
      <c r="GV186" s="15"/>
      <c r="GW186" s="15"/>
      <c r="GX186" s="15"/>
      <c r="GY186" s="15"/>
      <c r="GZ186" s="15"/>
      <c r="HA186" s="15"/>
      <c r="HB186" s="15"/>
      <c r="HC186" s="15"/>
      <c r="HD186" s="15"/>
      <c r="HE186" s="15"/>
      <c r="HF186" s="15"/>
      <c r="HG186" s="15"/>
      <c r="HH186" s="15"/>
      <c r="HI186" s="15"/>
      <c r="HJ186" s="15"/>
      <c r="HK186" s="15"/>
      <c r="HL186" s="15"/>
      <c r="HM186" s="15"/>
      <c r="HN186" s="15"/>
      <c r="HO186" s="15"/>
      <c r="HP186" s="15"/>
      <c r="HQ186" s="15"/>
      <c r="HR186" s="15"/>
      <c r="HS186" s="15"/>
      <c r="HT186" s="15"/>
      <c r="HU186" s="15"/>
      <c r="HV186" s="15"/>
      <c r="HW186" s="15"/>
      <c r="HX186" s="15"/>
      <c r="HY186" s="15"/>
      <c r="HZ186" s="15"/>
      <c r="IA186" s="15"/>
      <c r="IB186" s="15"/>
      <c r="IC186" s="15"/>
      <c r="ID186" s="15"/>
      <c r="IE186" s="16"/>
    </row>
    <row r="206" spans="268:536" ht="10.75" customHeight="1">
      <c r="JH206" s="56"/>
      <c r="JI206" s="57"/>
      <c r="JJ206" s="57"/>
      <c r="JK206" s="57"/>
      <c r="JL206" s="10"/>
      <c r="JM206" s="10"/>
      <c r="JN206" s="10"/>
      <c r="JO206" s="10"/>
      <c r="JP206" s="10"/>
      <c r="JQ206" s="10"/>
      <c r="JR206" s="10"/>
      <c r="JS206" s="10"/>
      <c r="JT206" s="10"/>
      <c r="JU206" s="10"/>
      <c r="JV206" s="10"/>
      <c r="JW206" s="10"/>
      <c r="JX206" s="10"/>
      <c r="JY206" s="10"/>
      <c r="JZ206" s="10"/>
      <c r="KA206" s="10"/>
      <c r="KB206" s="10"/>
      <c r="KC206" s="10"/>
      <c r="KD206" s="10"/>
      <c r="KE206" s="10"/>
      <c r="KF206" s="10"/>
      <c r="KG206" s="10"/>
      <c r="KH206" s="10"/>
      <c r="KI206" s="10"/>
      <c r="KJ206" s="10"/>
      <c r="KK206" s="10"/>
      <c r="KL206" s="10"/>
      <c r="KM206" s="10"/>
      <c r="KN206" s="10"/>
      <c r="KO206" s="10"/>
      <c r="KP206" s="10"/>
      <c r="KQ206" s="10"/>
      <c r="KR206" s="10"/>
      <c r="KS206" s="10"/>
      <c r="KT206" s="10"/>
      <c r="KU206" s="10"/>
      <c r="KV206" s="10"/>
      <c r="KW206" s="10"/>
      <c r="KX206" s="10"/>
      <c r="KY206" s="10"/>
      <c r="KZ206" s="10"/>
      <c r="LA206" s="10"/>
      <c r="LB206" s="10"/>
      <c r="LC206" s="10"/>
      <c r="LD206" s="10"/>
      <c r="LE206" s="10"/>
      <c r="LF206" s="10"/>
      <c r="LG206" s="10"/>
      <c r="LH206" s="10"/>
      <c r="LI206" s="10"/>
      <c r="LJ206" s="10"/>
      <c r="LK206" s="10"/>
      <c r="LL206" s="10"/>
      <c r="LM206" s="57"/>
      <c r="LN206" s="57"/>
      <c r="LO206" s="57"/>
      <c r="LP206" s="58"/>
      <c r="LQ206" s="10"/>
      <c r="LR206" s="10"/>
      <c r="LS206" s="10"/>
      <c r="LT206" s="10"/>
      <c r="LU206" s="10"/>
      <c r="LV206" s="10"/>
      <c r="LW206" s="10"/>
      <c r="LX206" s="10"/>
      <c r="LY206" s="10"/>
      <c r="LZ206" s="10"/>
      <c r="MA206" s="10"/>
      <c r="MB206" s="10"/>
      <c r="MC206" s="10"/>
      <c r="MD206" s="10"/>
      <c r="ME206" s="10"/>
      <c r="MF206" s="10"/>
      <c r="MG206" s="10"/>
      <c r="MH206" s="10"/>
      <c r="MI206" s="10"/>
      <c r="MJ206" s="10"/>
      <c r="MK206" s="10"/>
      <c r="ML206" s="10"/>
      <c r="MM206" s="10"/>
      <c r="MN206" s="10"/>
      <c r="MO206" s="10"/>
      <c r="MP206" s="10"/>
      <c r="MQ206" s="10"/>
      <c r="MR206" s="10"/>
      <c r="MS206" s="10"/>
      <c r="MT206" s="10"/>
      <c r="MU206" s="10"/>
      <c r="MV206" s="10"/>
      <c r="MW206" s="10"/>
      <c r="MX206" s="10"/>
      <c r="MY206" s="10"/>
      <c r="MZ206" s="10"/>
      <c r="NA206" s="10"/>
      <c r="NB206" s="10"/>
      <c r="NC206" s="10"/>
      <c r="ND206" s="10"/>
      <c r="NE206" s="10"/>
      <c r="NF206" s="10"/>
      <c r="NG206" s="10"/>
      <c r="NH206" s="10"/>
      <c r="NI206" s="10"/>
      <c r="NJ206" s="10"/>
      <c r="NK206" s="10"/>
      <c r="NL206" s="10"/>
      <c r="NM206" s="10"/>
      <c r="NN206" s="10"/>
      <c r="NO206" s="10"/>
      <c r="NP206" s="10"/>
      <c r="NQ206" s="10"/>
      <c r="NR206" s="10"/>
      <c r="NS206" s="10"/>
      <c r="NT206" s="57"/>
      <c r="NU206" s="57"/>
      <c r="NV206" s="57"/>
      <c r="NW206" s="58"/>
      <c r="PA206" s="56"/>
      <c r="PB206" s="57"/>
      <c r="PC206" s="57"/>
      <c r="PD206" s="57"/>
      <c r="PE206" s="10"/>
      <c r="PF206" s="10"/>
      <c r="PG206" s="10"/>
      <c r="PH206" s="10"/>
      <c r="PI206" s="10"/>
      <c r="PJ206" s="10"/>
      <c r="PK206" s="10"/>
      <c r="PL206" s="10"/>
      <c r="PM206" s="10"/>
      <c r="PN206" s="10"/>
      <c r="PO206" s="10"/>
      <c r="PP206" s="10"/>
      <c r="PQ206" s="10"/>
      <c r="PR206" s="10"/>
      <c r="PS206" s="10"/>
      <c r="PT206" s="10"/>
      <c r="PU206" s="10"/>
      <c r="PV206" s="10"/>
      <c r="PW206" s="10"/>
      <c r="PX206" s="10"/>
      <c r="PY206" s="10"/>
      <c r="PZ206" s="10"/>
      <c r="QA206" s="10"/>
      <c r="QB206" s="10"/>
      <c r="QC206" s="10"/>
      <c r="QD206" s="10"/>
      <c r="QE206" s="10"/>
      <c r="QF206" s="10"/>
      <c r="QG206" s="10"/>
      <c r="QH206" s="10"/>
      <c r="QI206" s="10"/>
      <c r="QJ206" s="10"/>
      <c r="QK206" s="10"/>
      <c r="QL206" s="10"/>
      <c r="QM206" s="10"/>
      <c r="QN206" s="10"/>
      <c r="QO206" s="10"/>
      <c r="QP206" s="10"/>
      <c r="QQ206" s="10"/>
      <c r="QR206" s="10"/>
      <c r="QS206" s="10"/>
      <c r="QT206" s="10"/>
      <c r="QU206" s="10"/>
      <c r="QV206" s="10"/>
      <c r="QW206" s="10"/>
      <c r="QX206" s="10"/>
      <c r="QY206" s="10"/>
      <c r="QZ206" s="10"/>
      <c r="RA206" s="10"/>
      <c r="RB206" s="10"/>
      <c r="RC206" s="10"/>
      <c r="RD206" s="10"/>
      <c r="RE206" s="10"/>
      <c r="RF206" s="57"/>
      <c r="RG206" s="57"/>
      <c r="RH206" s="57"/>
      <c r="RI206" s="58"/>
      <c r="RJ206" s="10"/>
      <c r="RK206" s="10"/>
      <c r="RL206" s="10"/>
      <c r="RM206" s="10"/>
      <c r="RN206" s="10"/>
      <c r="RO206" s="10"/>
      <c r="RP206" s="10"/>
      <c r="RQ206" s="10"/>
      <c r="RR206" s="10"/>
      <c r="RS206" s="10"/>
      <c r="RT206" s="10"/>
      <c r="RU206" s="10"/>
      <c r="RV206" s="10"/>
      <c r="RW206" s="10"/>
      <c r="RX206" s="10"/>
      <c r="RY206" s="10"/>
      <c r="RZ206" s="10"/>
      <c r="SA206" s="10"/>
      <c r="SB206" s="10"/>
      <c r="SC206" s="10"/>
      <c r="SD206" s="10"/>
      <c r="SE206" s="10"/>
      <c r="SF206" s="10"/>
      <c r="SG206" s="10"/>
      <c r="SH206" s="10"/>
      <c r="SI206" s="10"/>
      <c r="SJ206" s="10"/>
      <c r="SK206" s="10"/>
      <c r="SL206" s="10"/>
      <c r="SM206" s="10"/>
      <c r="SN206" s="10"/>
      <c r="SO206" s="10"/>
      <c r="SP206" s="10"/>
      <c r="SQ206" s="10"/>
      <c r="SR206" s="10"/>
      <c r="SS206" s="10"/>
      <c r="ST206" s="10"/>
      <c r="SU206" s="10"/>
      <c r="SV206" s="10"/>
      <c r="SW206" s="10"/>
      <c r="SX206" s="10"/>
      <c r="SY206" s="10"/>
      <c r="SZ206" s="10"/>
      <c r="TA206" s="10"/>
      <c r="TB206" s="10"/>
      <c r="TC206" s="10"/>
      <c r="TD206" s="10"/>
      <c r="TE206" s="10"/>
      <c r="TF206" s="10"/>
      <c r="TG206" s="10"/>
      <c r="TH206" s="10"/>
      <c r="TI206" s="10"/>
      <c r="TJ206" s="10"/>
      <c r="TK206" s="10"/>
      <c r="TL206" s="10"/>
      <c r="TM206" s="57"/>
      <c r="TN206" s="57"/>
      <c r="TO206" s="57"/>
      <c r="TP206" s="58"/>
    </row>
    <row r="207" spans="268:536" ht="10.75" customHeight="1">
      <c r="JH207" s="96"/>
      <c r="JI207" s="97"/>
      <c r="JJ207" s="97"/>
      <c r="JK207" s="97"/>
      <c r="LM207" s="97"/>
      <c r="LN207" s="97"/>
      <c r="LO207" s="97"/>
      <c r="LP207" s="98"/>
      <c r="NT207" s="97"/>
      <c r="NU207" s="97"/>
      <c r="NV207" s="97"/>
      <c r="NW207" s="98"/>
      <c r="PA207" s="96"/>
      <c r="PB207" s="97"/>
      <c r="PC207" s="97"/>
      <c r="PD207" s="97"/>
      <c r="RF207" s="97"/>
      <c r="RG207" s="97"/>
      <c r="RH207" s="97"/>
      <c r="RI207" s="98"/>
      <c r="TM207" s="97"/>
      <c r="TN207" s="97"/>
      <c r="TO207" s="97"/>
      <c r="TP207" s="98"/>
    </row>
    <row r="208" spans="268:536" ht="10.75" customHeight="1">
      <c r="JH208" s="96"/>
      <c r="JI208" s="97"/>
      <c r="JJ208" s="97"/>
      <c r="JK208" s="97"/>
      <c r="LM208" s="97"/>
      <c r="LN208" s="97"/>
      <c r="LO208" s="97"/>
      <c r="LP208" s="98"/>
      <c r="NT208" s="97"/>
      <c r="NU208" s="97"/>
      <c r="NV208" s="97"/>
      <c r="NW208" s="98"/>
      <c r="PA208" s="96"/>
      <c r="PB208" s="97"/>
      <c r="PC208" s="97"/>
      <c r="PD208" s="97"/>
      <c r="RF208" s="97"/>
      <c r="RG208" s="97"/>
      <c r="RH208" s="97"/>
      <c r="RI208" s="98"/>
      <c r="TM208" s="97"/>
      <c r="TN208" s="97"/>
      <c r="TO208" s="97"/>
      <c r="TP208" s="98"/>
    </row>
    <row r="209" spans="74:536" ht="10.75" customHeight="1">
      <c r="JH209" s="12"/>
      <c r="JK209" s="9"/>
      <c r="JL209" s="10"/>
      <c r="JM209" s="10"/>
      <c r="JN209" s="10"/>
      <c r="JO209" s="10"/>
      <c r="JP209" s="10"/>
      <c r="JQ209" s="10"/>
      <c r="JR209" s="10"/>
      <c r="JS209" s="10"/>
      <c r="JT209" s="10"/>
      <c r="JU209" s="10"/>
      <c r="JV209" s="10"/>
      <c r="JW209" s="10"/>
      <c r="JX209" s="10"/>
      <c r="JY209" s="10"/>
      <c r="JZ209" s="10"/>
      <c r="KA209" s="10"/>
      <c r="KB209" s="10"/>
      <c r="KC209" s="10"/>
      <c r="KD209" s="10"/>
      <c r="KE209" s="10"/>
      <c r="KF209" s="10"/>
      <c r="KG209" s="10"/>
      <c r="KH209" s="10"/>
      <c r="KI209" s="10"/>
      <c r="KJ209" s="10"/>
      <c r="KK209" s="10"/>
      <c r="KL209" s="10"/>
      <c r="KM209" s="10"/>
      <c r="KN209" s="10"/>
      <c r="KO209" s="10"/>
      <c r="KP209" s="10"/>
      <c r="KQ209" s="10"/>
      <c r="KR209" s="10"/>
      <c r="KS209" s="10"/>
      <c r="KT209" s="10"/>
      <c r="KU209" s="10"/>
      <c r="KV209" s="10"/>
      <c r="KW209" s="10"/>
      <c r="KX209" s="10"/>
      <c r="KY209" s="10"/>
      <c r="KZ209" s="10"/>
      <c r="LA209" s="9"/>
      <c r="LB209" s="10"/>
      <c r="LC209" s="10"/>
      <c r="LD209" s="10"/>
      <c r="LE209" s="10"/>
      <c r="LF209" s="10"/>
      <c r="LG209" s="10"/>
      <c r="LH209" s="10"/>
      <c r="LI209" s="10"/>
      <c r="LJ209" s="10"/>
      <c r="LK209" s="10"/>
      <c r="LL209" s="10"/>
      <c r="LM209" s="10"/>
      <c r="LN209" s="11"/>
      <c r="LO209" s="9"/>
      <c r="LP209" s="11"/>
      <c r="LQ209" s="9"/>
      <c r="LR209" s="10"/>
      <c r="LS209" s="10"/>
      <c r="LT209" s="10"/>
      <c r="LU209" s="10"/>
      <c r="LV209" s="10"/>
      <c r="LW209" s="10"/>
      <c r="LX209" s="10"/>
      <c r="LY209" s="10"/>
      <c r="LZ209" s="10"/>
      <c r="MA209" s="10"/>
      <c r="MB209" s="10"/>
      <c r="MC209" s="10"/>
      <c r="MD209" s="10"/>
      <c r="ME209" s="10"/>
      <c r="MF209" s="10"/>
      <c r="MG209" s="10"/>
      <c r="MH209" s="11"/>
      <c r="MI209" s="10"/>
      <c r="MJ209" s="11"/>
      <c r="MK209" s="10"/>
      <c r="ML209" s="10"/>
      <c r="MM209" s="10"/>
      <c r="MN209" s="10"/>
      <c r="MO209" s="10"/>
      <c r="MP209" s="10"/>
      <c r="MQ209" s="10"/>
      <c r="MR209" s="10"/>
      <c r="MS209" s="10"/>
      <c r="MT209" s="10"/>
      <c r="MU209" s="10"/>
      <c r="MV209" s="10"/>
      <c r="MW209" s="10"/>
      <c r="MX209" s="10"/>
      <c r="MY209" s="10"/>
      <c r="MZ209" s="10"/>
      <c r="NA209" s="10"/>
      <c r="NB209" s="10"/>
      <c r="NC209" s="10"/>
      <c r="ND209" s="10"/>
      <c r="NE209" s="10"/>
      <c r="NF209" s="10"/>
      <c r="NG209" s="10"/>
      <c r="NH209" s="11"/>
      <c r="NI209" s="9"/>
      <c r="NJ209" s="10"/>
      <c r="NK209" s="10"/>
      <c r="NL209" s="10"/>
      <c r="NM209" s="10"/>
      <c r="NN209" s="10"/>
      <c r="NO209" s="10"/>
      <c r="NP209" s="10"/>
      <c r="NQ209" s="10"/>
      <c r="NR209" s="10"/>
      <c r="NS209" s="10"/>
      <c r="NT209" s="11"/>
      <c r="NW209" s="13"/>
      <c r="PA209" s="12"/>
      <c r="PD209" s="9"/>
      <c r="PE209" s="10"/>
      <c r="PF209" s="10"/>
      <c r="PG209" s="10"/>
      <c r="PH209" s="10"/>
      <c r="PI209" s="10"/>
      <c r="PJ209" s="10"/>
      <c r="PK209" s="10"/>
      <c r="PL209" s="10"/>
      <c r="PM209" s="10"/>
      <c r="PN209" s="10"/>
      <c r="PO209" s="10"/>
      <c r="PP209" s="10"/>
      <c r="PQ209" s="10"/>
      <c r="PR209" s="10"/>
      <c r="PS209" s="10"/>
      <c r="PT209" s="10"/>
      <c r="PU209" s="10"/>
      <c r="PV209" s="10"/>
      <c r="PW209" s="10"/>
      <c r="PX209" s="10"/>
      <c r="PY209" s="10"/>
      <c r="PZ209" s="10"/>
      <c r="QA209" s="10"/>
      <c r="QB209" s="10"/>
      <c r="QC209" s="10"/>
      <c r="QD209" s="10"/>
      <c r="QE209" s="10"/>
      <c r="QF209" s="10"/>
      <c r="QG209" s="10"/>
      <c r="QH209" s="10"/>
      <c r="QI209" s="11"/>
      <c r="QJ209" s="10"/>
      <c r="QK209" s="11"/>
      <c r="QL209" s="10"/>
      <c r="QM209" s="10"/>
      <c r="QN209" s="10"/>
      <c r="QO209" s="10"/>
      <c r="QP209" s="10"/>
      <c r="QQ209" s="10"/>
      <c r="QR209" s="10"/>
      <c r="QS209" s="10"/>
      <c r="QT209" s="10"/>
      <c r="QU209" s="10"/>
      <c r="QV209" s="10"/>
      <c r="QW209" s="10"/>
      <c r="QX209" s="10"/>
      <c r="QY209" s="10"/>
      <c r="QZ209" s="10"/>
      <c r="RA209" s="10"/>
      <c r="RB209" s="10"/>
      <c r="RC209" s="10"/>
      <c r="RD209" s="10"/>
      <c r="RE209" s="10"/>
      <c r="RF209" s="10"/>
      <c r="RG209" s="11"/>
      <c r="RH209" s="9"/>
      <c r="RI209" s="11"/>
      <c r="RJ209" s="10"/>
      <c r="RK209" s="10"/>
      <c r="RL209" s="10"/>
      <c r="RM209" s="10"/>
      <c r="RN209" s="10"/>
      <c r="RO209" s="10"/>
      <c r="RP209" s="10"/>
      <c r="RQ209" s="10"/>
      <c r="RR209" s="10"/>
      <c r="RS209" s="10"/>
      <c r="RT209" s="10"/>
      <c r="RU209" s="10"/>
      <c r="RV209" s="10"/>
      <c r="RW209" s="10"/>
      <c r="RX209" s="10"/>
      <c r="RY209" s="10"/>
      <c r="RZ209" s="10"/>
      <c r="SA209" s="10"/>
      <c r="SB209" s="10"/>
      <c r="SC209" s="10"/>
      <c r="SD209" s="10"/>
      <c r="SE209" s="10"/>
      <c r="SF209" s="10"/>
      <c r="SG209" s="10"/>
      <c r="SH209" s="10"/>
      <c r="SI209" s="10"/>
      <c r="SJ209" s="10"/>
      <c r="SK209" s="10"/>
      <c r="SL209" s="10"/>
      <c r="SM209" s="10"/>
      <c r="SN209" s="10"/>
      <c r="SO209" s="10"/>
      <c r="SP209" s="10"/>
      <c r="SQ209" s="10"/>
      <c r="SR209" s="10"/>
      <c r="SS209" s="10"/>
      <c r="ST209" s="10"/>
      <c r="SU209" s="10"/>
      <c r="SV209" s="10"/>
      <c r="SW209" s="10"/>
      <c r="SX209" s="10"/>
      <c r="SY209" s="10"/>
      <c r="SZ209" s="10"/>
      <c r="TA209" s="10"/>
      <c r="TB209" s="10"/>
      <c r="TC209" s="10"/>
      <c r="TD209" s="10"/>
      <c r="TE209" s="10"/>
      <c r="TF209" s="10"/>
      <c r="TG209" s="10"/>
      <c r="TH209" s="10"/>
      <c r="TI209" s="10"/>
      <c r="TJ209" s="10"/>
      <c r="TK209" s="10"/>
      <c r="TL209" s="10"/>
      <c r="TM209" s="11"/>
      <c r="TP209" s="13"/>
    </row>
    <row r="210" spans="74:536" ht="10.75" customHeight="1">
      <c r="JH210" s="12"/>
      <c r="JK210" s="12"/>
      <c r="LA210" s="12"/>
      <c r="LN210" s="13"/>
      <c r="LO210" s="12"/>
      <c r="LP210" s="13"/>
      <c r="LQ210" s="12"/>
      <c r="MH210" s="13"/>
      <c r="MJ210" s="13"/>
      <c r="NH210" s="13"/>
      <c r="NI210" s="12"/>
      <c r="NT210" s="13"/>
      <c r="NW210" s="13"/>
      <c r="PA210" s="12"/>
      <c r="PD210" s="12"/>
      <c r="QI210" s="13"/>
      <c r="QK210" s="13"/>
      <c r="RG210" s="13"/>
      <c r="RH210" s="12"/>
      <c r="RI210" s="13"/>
      <c r="TM210" s="13"/>
      <c r="TP210" s="13"/>
    </row>
    <row r="211" spans="74:536" ht="10.75" customHeight="1">
      <c r="JH211" s="12"/>
      <c r="JK211" s="12"/>
      <c r="LA211" s="12"/>
      <c r="LN211" s="13"/>
      <c r="LO211" s="12"/>
      <c r="LP211" s="13"/>
      <c r="LQ211" s="12"/>
      <c r="MH211" s="13"/>
      <c r="MJ211" s="13"/>
      <c r="NH211" s="13"/>
      <c r="NI211" s="12"/>
      <c r="NT211" s="13"/>
      <c r="NW211" s="13"/>
      <c r="PA211" s="12"/>
      <c r="PD211" s="12"/>
      <c r="QI211" s="13"/>
      <c r="QK211" s="13"/>
      <c r="RG211" s="13"/>
      <c r="RH211" s="12"/>
      <c r="RI211" s="13"/>
      <c r="TM211" s="13"/>
      <c r="TP211" s="13"/>
    </row>
    <row r="212" spans="74:536" ht="10.75" customHeight="1">
      <c r="BV212" s="9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10"/>
      <c r="DB212" s="10"/>
      <c r="DC212" s="10"/>
      <c r="DD212" s="10"/>
      <c r="DE212" s="10"/>
      <c r="DF212" s="10"/>
      <c r="DG212" s="10"/>
      <c r="DH212" s="10"/>
      <c r="DI212" s="10"/>
      <c r="DJ212" s="10"/>
      <c r="DK212" s="10"/>
      <c r="DL212" s="10"/>
      <c r="DM212" s="10"/>
      <c r="DN212" s="10"/>
      <c r="DO212" s="10"/>
      <c r="DP212" s="10"/>
      <c r="DQ212" s="10"/>
      <c r="DR212" s="10"/>
      <c r="DS212" s="10"/>
      <c r="DT212" s="10"/>
      <c r="DU212" s="10"/>
      <c r="DV212" s="10"/>
      <c r="DW212" s="10"/>
      <c r="DX212" s="10"/>
      <c r="DY212" s="10"/>
      <c r="DZ212" s="10"/>
      <c r="EA212" s="10"/>
      <c r="EB212" s="10"/>
      <c r="EC212" s="10"/>
      <c r="ED212" s="10"/>
      <c r="EE212" s="10"/>
      <c r="EF212" s="10"/>
      <c r="EG212" s="10"/>
      <c r="EH212" s="10"/>
      <c r="EI212" s="10"/>
      <c r="EJ212" s="10"/>
      <c r="EK212" s="10"/>
      <c r="EL212" s="10"/>
      <c r="EM212" s="10"/>
      <c r="EN212" s="10"/>
      <c r="EO212" s="10"/>
      <c r="EP212" s="10"/>
      <c r="EQ212" s="10"/>
      <c r="ER212" s="10"/>
      <c r="ES212" s="10"/>
      <c r="ET212" s="10"/>
      <c r="EU212" s="10"/>
      <c r="EV212" s="10"/>
      <c r="EW212" s="10"/>
      <c r="EX212" s="10"/>
      <c r="EY212" s="10"/>
      <c r="EZ212" s="10"/>
      <c r="FA212" s="10"/>
      <c r="FB212" s="10"/>
      <c r="FC212" s="10"/>
      <c r="FD212" s="10"/>
      <c r="FE212" s="10"/>
      <c r="FF212" s="10"/>
      <c r="FG212" s="10"/>
      <c r="FH212" s="10"/>
      <c r="FI212" s="10"/>
      <c r="FJ212" s="10"/>
      <c r="FK212" s="10"/>
      <c r="FL212" s="10"/>
      <c r="FM212" s="11"/>
      <c r="JH212" s="12"/>
      <c r="JK212" s="12"/>
      <c r="LA212" s="12"/>
      <c r="LN212" s="13"/>
      <c r="LO212" s="12"/>
      <c r="LP212" s="13"/>
      <c r="LQ212" s="12"/>
      <c r="MH212" s="13"/>
      <c r="MJ212" s="13"/>
      <c r="NH212" s="13"/>
      <c r="NI212" s="12"/>
      <c r="NT212" s="13"/>
      <c r="NW212" s="13"/>
      <c r="PA212" s="12"/>
      <c r="PD212" s="12"/>
      <c r="QI212" s="13"/>
      <c r="QK212" s="13"/>
      <c r="RG212" s="13"/>
      <c r="RH212" s="12"/>
      <c r="RI212" s="13"/>
      <c r="TM212" s="13"/>
      <c r="TP212" s="13"/>
    </row>
    <row r="213" spans="74:536" ht="10.75" customHeight="1">
      <c r="BV213" s="14"/>
      <c r="BW213" s="15"/>
      <c r="BX213" s="15"/>
      <c r="BY213" s="15"/>
      <c r="BZ213" s="15"/>
      <c r="CA213" s="15"/>
      <c r="CB213" s="15"/>
      <c r="CC213" s="15"/>
      <c r="CD213" s="15"/>
      <c r="CE213" s="15"/>
      <c r="CF213" s="15"/>
      <c r="CG213" s="15"/>
      <c r="CH213" s="15"/>
      <c r="CI213" s="15"/>
      <c r="CJ213" s="15"/>
      <c r="CK213" s="15"/>
      <c r="CL213" s="15"/>
      <c r="CM213" s="15"/>
      <c r="CN213" s="15"/>
      <c r="CO213" s="15"/>
      <c r="CP213" s="15"/>
      <c r="CQ213" s="15"/>
      <c r="CR213" s="15"/>
      <c r="CS213" s="15"/>
      <c r="CT213" s="15"/>
      <c r="CU213" s="15"/>
      <c r="CV213" s="15"/>
      <c r="CW213" s="15"/>
      <c r="CX213" s="15"/>
      <c r="CY213" s="15"/>
      <c r="CZ213" s="15"/>
      <c r="DA213" s="15"/>
      <c r="DB213" s="15"/>
      <c r="DC213" s="15"/>
      <c r="DD213" s="15"/>
      <c r="DE213" s="15"/>
      <c r="DF213" s="15"/>
      <c r="DG213" s="15"/>
      <c r="DH213" s="15"/>
      <c r="DI213" s="15"/>
      <c r="DJ213" s="15"/>
      <c r="DK213" s="15"/>
      <c r="DL213" s="15"/>
      <c r="DM213" s="15"/>
      <c r="DN213" s="15"/>
      <c r="DO213" s="15"/>
      <c r="DP213" s="15"/>
      <c r="DQ213" s="15"/>
      <c r="DR213" s="15"/>
      <c r="DS213" s="15"/>
      <c r="DT213" s="15"/>
      <c r="DU213" s="15"/>
      <c r="DV213" s="15"/>
      <c r="DW213" s="15"/>
      <c r="DX213" s="15"/>
      <c r="DY213" s="15"/>
      <c r="DZ213" s="15"/>
      <c r="EA213" s="15"/>
      <c r="EB213" s="15"/>
      <c r="EC213" s="15"/>
      <c r="ED213" s="15"/>
      <c r="EE213" s="15"/>
      <c r="EF213" s="15"/>
      <c r="EG213" s="15"/>
      <c r="EH213" s="15"/>
      <c r="EI213" s="15"/>
      <c r="EJ213" s="15"/>
      <c r="EK213" s="15"/>
      <c r="EL213" s="15"/>
      <c r="EM213" s="15"/>
      <c r="EN213" s="15"/>
      <c r="EO213" s="15"/>
      <c r="EP213" s="15"/>
      <c r="EQ213" s="15"/>
      <c r="ER213" s="15"/>
      <c r="ES213" s="15"/>
      <c r="ET213" s="15"/>
      <c r="EU213" s="15"/>
      <c r="EV213" s="15"/>
      <c r="EW213" s="15"/>
      <c r="EX213" s="15"/>
      <c r="EY213" s="15"/>
      <c r="EZ213" s="15"/>
      <c r="FA213" s="15"/>
      <c r="FB213" s="15"/>
      <c r="FC213" s="15"/>
      <c r="FD213" s="15"/>
      <c r="FE213" s="15"/>
      <c r="FF213" s="15"/>
      <c r="FG213" s="15"/>
      <c r="FH213" s="15"/>
      <c r="FI213" s="15"/>
      <c r="FJ213" s="15"/>
      <c r="FK213" s="15"/>
      <c r="FL213" s="15"/>
      <c r="FM213" s="16"/>
      <c r="JH213" s="12"/>
      <c r="JK213" s="12"/>
      <c r="LA213" s="12"/>
      <c r="LN213" s="13"/>
      <c r="LO213" s="12"/>
      <c r="LP213" s="13"/>
      <c r="LQ213" s="12"/>
      <c r="MH213" s="13"/>
      <c r="MJ213" s="13"/>
      <c r="NH213" s="13"/>
      <c r="NI213" s="12"/>
      <c r="NT213" s="13"/>
      <c r="NW213" s="13"/>
      <c r="PA213" s="12"/>
      <c r="PD213" s="12"/>
      <c r="QI213" s="13"/>
      <c r="QK213" s="13"/>
      <c r="RG213" s="13"/>
      <c r="RH213" s="12"/>
      <c r="RI213" s="13"/>
      <c r="TM213" s="13"/>
      <c r="TP213" s="13"/>
    </row>
    <row r="214" spans="74:536" ht="10.75" customHeight="1">
      <c r="CB214" s="12"/>
      <c r="CC214" s="13"/>
      <c r="CD214" s="9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1"/>
      <c r="FF214" s="12"/>
      <c r="FG214" s="13"/>
      <c r="JH214" s="12"/>
      <c r="JK214" s="12"/>
      <c r="LA214" s="12"/>
      <c r="LN214" s="13"/>
      <c r="LO214" s="12"/>
      <c r="LP214" s="13"/>
      <c r="LQ214" s="12"/>
      <c r="MH214" s="13"/>
      <c r="MJ214" s="13"/>
      <c r="NH214" s="13"/>
      <c r="NI214" s="12"/>
      <c r="NT214" s="13"/>
      <c r="NW214" s="13"/>
      <c r="PA214" s="12"/>
      <c r="PD214" s="12"/>
      <c r="QI214" s="13"/>
      <c r="QK214" s="13"/>
      <c r="RG214" s="13"/>
      <c r="RH214" s="12"/>
      <c r="RI214" s="13"/>
      <c r="TM214" s="13"/>
      <c r="TP214" s="13"/>
    </row>
    <row r="215" spans="74:536" ht="10.75" customHeight="1">
      <c r="CB215" s="12"/>
      <c r="CC215" s="13"/>
      <c r="CD215" s="12"/>
      <c r="CE215" s="9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1"/>
      <c r="CQ215" s="13"/>
      <c r="FF215" s="12"/>
      <c r="FG215" s="13"/>
      <c r="JH215" s="12"/>
      <c r="JK215" s="12"/>
      <c r="LA215" s="12"/>
      <c r="LN215" s="13"/>
      <c r="LO215" s="12"/>
      <c r="LP215" s="13"/>
      <c r="LQ215" s="12"/>
      <c r="MH215" s="13"/>
      <c r="MJ215" s="13"/>
      <c r="NH215" s="13"/>
      <c r="NI215" s="12"/>
      <c r="NT215" s="13"/>
      <c r="NW215" s="13"/>
      <c r="PA215" s="12"/>
      <c r="PD215" s="12"/>
      <c r="QI215" s="13"/>
      <c r="QK215" s="13"/>
      <c r="RG215" s="13"/>
      <c r="RH215" s="12"/>
      <c r="RI215" s="13"/>
      <c r="TM215" s="13"/>
      <c r="TP215" s="13"/>
    </row>
    <row r="216" spans="74:536" ht="10.75" customHeight="1">
      <c r="CB216" s="12"/>
      <c r="CC216" s="13"/>
      <c r="CD216" s="12"/>
      <c r="CE216" s="12"/>
      <c r="CP216" s="13"/>
      <c r="CQ216" s="13"/>
      <c r="FF216" s="12"/>
      <c r="FG216" s="13"/>
      <c r="JH216" s="12"/>
      <c r="JK216" s="12"/>
      <c r="LA216" s="12"/>
      <c r="LN216" s="13"/>
      <c r="LO216" s="12"/>
      <c r="LP216" s="13"/>
      <c r="LQ216" s="12"/>
      <c r="MH216" s="13"/>
      <c r="MJ216" s="13"/>
      <c r="NH216" s="13"/>
      <c r="NI216" s="14"/>
      <c r="NJ216" s="15"/>
      <c r="NK216" s="15"/>
      <c r="NL216" s="15"/>
      <c r="NM216" s="15"/>
      <c r="NN216" s="15"/>
      <c r="NO216" s="15"/>
      <c r="NP216" s="15"/>
      <c r="NQ216" s="15"/>
      <c r="NR216" s="15"/>
      <c r="NS216" s="15"/>
      <c r="NT216" s="16"/>
      <c r="NW216" s="13"/>
      <c r="PA216" s="12"/>
      <c r="PD216" s="12"/>
      <c r="QI216" s="13"/>
      <c r="QK216" s="13"/>
      <c r="RG216" s="13"/>
      <c r="RH216" s="12"/>
      <c r="RI216" s="13"/>
      <c r="TM216" s="13"/>
      <c r="TP216" s="13"/>
    </row>
    <row r="217" spans="74:536" ht="10.75" customHeight="1">
      <c r="CB217" s="12"/>
      <c r="CC217" s="13"/>
      <c r="CD217" s="12"/>
      <c r="CE217" s="12"/>
      <c r="CP217" s="13"/>
      <c r="CQ217" s="13"/>
      <c r="FF217" s="12"/>
      <c r="FG217" s="13"/>
      <c r="JH217" s="12"/>
      <c r="JK217" s="12"/>
      <c r="LA217" s="12"/>
      <c r="LN217" s="13"/>
      <c r="LO217" s="12"/>
      <c r="LP217" s="13"/>
      <c r="LQ217" s="12"/>
      <c r="MH217" s="13"/>
      <c r="MJ217" s="13"/>
      <c r="NH217" s="13"/>
      <c r="NI217" s="9"/>
      <c r="NJ217" s="10"/>
      <c r="NK217" s="10"/>
      <c r="NL217" s="10"/>
      <c r="NM217" s="10"/>
      <c r="NN217" s="10"/>
      <c r="NO217" s="10"/>
      <c r="NP217" s="10"/>
      <c r="NQ217" s="10"/>
      <c r="NR217" s="10"/>
      <c r="NS217" s="10"/>
      <c r="NT217" s="11"/>
      <c r="NW217" s="13"/>
      <c r="PA217" s="12"/>
      <c r="PD217" s="12"/>
      <c r="QI217" s="13"/>
      <c r="QK217" s="13"/>
      <c r="RG217" s="13"/>
      <c r="RH217" s="12"/>
      <c r="RI217" s="13"/>
      <c r="TM217" s="13"/>
      <c r="TP217" s="13"/>
    </row>
    <row r="218" spans="74:536" ht="10.75" customHeight="1">
      <c r="CB218" s="12"/>
      <c r="CC218" s="13"/>
      <c r="CD218" s="12"/>
      <c r="CE218" s="12"/>
      <c r="CP218" s="13"/>
      <c r="CQ218" s="13"/>
      <c r="FF218" s="12"/>
      <c r="FG218" s="13"/>
      <c r="JH218" s="12"/>
      <c r="JK218" s="12"/>
      <c r="LA218" s="12"/>
      <c r="LN218" s="13"/>
      <c r="LO218" s="12"/>
      <c r="LP218" s="13"/>
      <c r="LQ218" s="12"/>
      <c r="MH218" s="13"/>
      <c r="MJ218" s="13"/>
      <c r="NH218" s="13"/>
      <c r="NI218" s="12"/>
      <c r="NT218" s="13"/>
      <c r="NW218" s="13"/>
      <c r="PA218" s="12"/>
      <c r="PD218" s="12"/>
      <c r="QI218" s="13"/>
      <c r="QK218" s="13"/>
      <c r="RG218" s="13"/>
      <c r="RH218" s="12"/>
      <c r="RI218" s="13"/>
      <c r="TM218" s="13"/>
      <c r="TP218" s="13"/>
    </row>
    <row r="219" spans="74:536" ht="10.75" customHeight="1">
      <c r="CB219" s="12"/>
      <c r="CC219" s="13"/>
      <c r="CD219" s="12"/>
      <c r="CE219" s="12"/>
      <c r="CP219" s="13"/>
      <c r="CQ219" s="13"/>
      <c r="FF219" s="12"/>
      <c r="FG219" s="13"/>
      <c r="JH219" s="12"/>
      <c r="JK219" s="12"/>
      <c r="LA219" s="12"/>
      <c r="LN219" s="13"/>
      <c r="LO219" s="12"/>
      <c r="LP219" s="13"/>
      <c r="LQ219" s="12"/>
      <c r="MH219" s="13"/>
      <c r="MJ219" s="13"/>
      <c r="NH219" s="13"/>
      <c r="NI219" s="12"/>
      <c r="NT219" s="13"/>
      <c r="NW219" s="13"/>
      <c r="PA219" s="12"/>
      <c r="PD219" s="12"/>
      <c r="QI219" s="13"/>
      <c r="QK219" s="13"/>
      <c r="RG219" s="13"/>
      <c r="RH219" s="12"/>
      <c r="RI219" s="13"/>
      <c r="TM219" s="13"/>
      <c r="TP219" s="13"/>
    </row>
    <row r="220" spans="74:536" ht="10.75" customHeight="1">
      <c r="CB220" s="12"/>
      <c r="CC220" s="13"/>
      <c r="CD220" s="12"/>
      <c r="CE220" s="12"/>
      <c r="CP220" s="13"/>
      <c r="CQ220" s="13"/>
      <c r="FF220" s="12"/>
      <c r="FG220" s="13"/>
      <c r="JH220" s="12"/>
      <c r="JK220" s="12"/>
      <c r="LA220" s="14"/>
      <c r="LB220" s="15"/>
      <c r="LC220" s="15"/>
      <c r="LD220" s="15"/>
      <c r="LE220" s="15"/>
      <c r="LF220" s="15"/>
      <c r="LG220" s="15"/>
      <c r="LH220" s="15"/>
      <c r="LI220" s="15"/>
      <c r="LJ220" s="15"/>
      <c r="LK220" s="15"/>
      <c r="LL220" s="15"/>
      <c r="LM220" s="15"/>
      <c r="LN220" s="16"/>
      <c r="LO220" s="14"/>
      <c r="LP220" s="16"/>
      <c r="LQ220" s="14"/>
      <c r="LR220" s="15"/>
      <c r="LS220" s="15"/>
      <c r="LT220" s="15"/>
      <c r="LU220" s="15"/>
      <c r="LV220" s="15"/>
      <c r="LW220" s="15"/>
      <c r="LX220" s="15"/>
      <c r="LY220" s="15"/>
      <c r="LZ220" s="15"/>
      <c r="MA220" s="15"/>
      <c r="MB220" s="15"/>
      <c r="MC220" s="15"/>
      <c r="MD220" s="15"/>
      <c r="ME220" s="15"/>
      <c r="MF220" s="15"/>
      <c r="MG220" s="15"/>
      <c r="MH220" s="16"/>
      <c r="MI220" s="15"/>
      <c r="MJ220" s="16"/>
      <c r="MK220" s="15"/>
      <c r="ML220" s="15"/>
      <c r="MM220" s="15"/>
      <c r="MN220" s="15"/>
      <c r="MO220" s="15"/>
      <c r="MP220" s="15"/>
      <c r="MQ220" s="15"/>
      <c r="MR220" s="15"/>
      <c r="MS220" s="15"/>
      <c r="MT220" s="15"/>
      <c r="MU220" s="15"/>
      <c r="MV220" s="15"/>
      <c r="MW220" s="15"/>
      <c r="MX220" s="15"/>
      <c r="MY220" s="15"/>
      <c r="MZ220" s="15"/>
      <c r="NA220" s="15"/>
      <c r="NB220" s="15"/>
      <c r="NC220" s="15"/>
      <c r="ND220" s="15"/>
      <c r="NE220" s="15"/>
      <c r="NF220" s="15"/>
      <c r="NG220" s="15"/>
      <c r="NH220" s="16"/>
      <c r="NI220" s="12"/>
      <c r="NT220" s="13"/>
      <c r="NW220" s="13"/>
      <c r="PA220" s="12"/>
      <c r="PD220" s="12"/>
      <c r="QI220" s="13"/>
      <c r="QK220" s="13"/>
      <c r="RG220" s="13"/>
      <c r="RH220" s="12"/>
      <c r="RI220" s="13"/>
      <c r="TM220" s="13"/>
      <c r="TP220" s="13"/>
    </row>
    <row r="221" spans="74:536" ht="10.75" customHeight="1">
      <c r="CB221" s="12"/>
      <c r="CC221" s="13"/>
      <c r="CD221" s="12"/>
      <c r="CE221" s="12"/>
      <c r="CP221" s="13"/>
      <c r="CQ221" s="13"/>
      <c r="FF221" s="12"/>
      <c r="FG221" s="13"/>
      <c r="JH221" s="12"/>
      <c r="JK221" s="12"/>
      <c r="LA221" s="9"/>
      <c r="LB221" s="10"/>
      <c r="LC221" s="10"/>
      <c r="LD221" s="10"/>
      <c r="LE221" s="10"/>
      <c r="LF221" s="10"/>
      <c r="LG221" s="10"/>
      <c r="LH221" s="10"/>
      <c r="LI221" s="10"/>
      <c r="LJ221" s="10"/>
      <c r="LK221" s="10"/>
      <c r="LL221" s="10"/>
      <c r="LM221" s="10"/>
      <c r="LN221" s="11"/>
      <c r="LO221" s="12"/>
      <c r="LP221" s="13"/>
      <c r="NG221" s="9"/>
      <c r="NH221" s="11"/>
      <c r="NI221" s="12"/>
      <c r="NT221" s="13"/>
      <c r="NW221" s="13"/>
      <c r="PA221" s="12"/>
      <c r="PD221" s="12"/>
      <c r="QI221" s="13"/>
      <c r="QK221" s="13"/>
      <c r="RG221" s="13"/>
      <c r="RH221" s="12"/>
      <c r="RI221" s="13"/>
      <c r="TM221" s="13"/>
      <c r="TP221" s="13"/>
    </row>
    <row r="222" spans="74:536" ht="10.75" customHeight="1">
      <c r="CB222" s="12"/>
      <c r="CC222" s="13"/>
      <c r="CD222" s="12"/>
      <c r="CE222" s="12"/>
      <c r="CP222" s="13"/>
      <c r="CQ222" s="13"/>
      <c r="FF222" s="12"/>
      <c r="FG222" s="13"/>
      <c r="JH222" s="12"/>
      <c r="JK222" s="12"/>
      <c r="LA222" s="14"/>
      <c r="LB222" s="15"/>
      <c r="LC222" s="15"/>
      <c r="LD222" s="15"/>
      <c r="LE222" s="15"/>
      <c r="LF222" s="15"/>
      <c r="LG222" s="15"/>
      <c r="LH222" s="15"/>
      <c r="LI222" s="15"/>
      <c r="LJ222" s="15"/>
      <c r="LK222" s="15"/>
      <c r="LL222" s="15"/>
      <c r="LM222" s="15"/>
      <c r="LN222" s="16"/>
      <c r="LO222" s="12"/>
      <c r="LP222" s="13"/>
      <c r="LQ222" s="15"/>
      <c r="LR222" s="15"/>
      <c r="LS222" s="15"/>
      <c r="LT222" s="15"/>
      <c r="LU222" s="15"/>
      <c r="LV222" s="15"/>
      <c r="LW222" s="15"/>
      <c r="LX222" s="15"/>
      <c r="LY222" s="15"/>
      <c r="LZ222" s="15"/>
      <c r="MA222" s="15"/>
      <c r="MB222" s="15"/>
      <c r="MC222" s="15"/>
      <c r="MD222" s="15"/>
      <c r="ME222" s="15"/>
      <c r="MF222" s="15"/>
      <c r="MG222" s="15"/>
      <c r="MH222" s="15"/>
      <c r="MI222" s="15"/>
      <c r="MJ222" s="15"/>
      <c r="MK222" s="15"/>
      <c r="ML222" s="15"/>
      <c r="MM222" s="15"/>
      <c r="MN222" s="15"/>
      <c r="MO222" s="15"/>
      <c r="MP222" s="15"/>
      <c r="MQ222" s="15"/>
      <c r="MR222" s="15"/>
      <c r="MS222" s="15"/>
      <c r="MT222" s="15"/>
      <c r="MU222" s="15"/>
      <c r="MV222" s="15"/>
      <c r="MW222" s="15"/>
      <c r="MX222" s="15"/>
      <c r="MY222" s="15"/>
      <c r="MZ222" s="15"/>
      <c r="NA222" s="15"/>
      <c r="NB222" s="15"/>
      <c r="NC222" s="15"/>
      <c r="ND222" s="15"/>
      <c r="NE222" s="15"/>
      <c r="NF222" s="15"/>
      <c r="NG222" s="14"/>
      <c r="NH222" s="16"/>
      <c r="NI222" s="12"/>
      <c r="NT222" s="13"/>
      <c r="NW222" s="13"/>
      <c r="PA222" s="12"/>
      <c r="PD222" s="12"/>
      <c r="QI222" s="13"/>
      <c r="QK222" s="13"/>
      <c r="RG222" s="13"/>
      <c r="RH222" s="12"/>
      <c r="RI222" s="13"/>
      <c r="TM222" s="13"/>
      <c r="TP222" s="13"/>
    </row>
    <row r="223" spans="74:536" ht="10.75" customHeight="1">
      <c r="CB223" s="12"/>
      <c r="CC223" s="13"/>
      <c r="CD223" s="12"/>
      <c r="CE223" s="12"/>
      <c r="CP223" s="13"/>
      <c r="CQ223" s="13"/>
      <c r="FF223" s="12"/>
      <c r="FG223" s="13"/>
      <c r="JH223" s="12"/>
      <c r="JK223" s="12"/>
      <c r="LN223" s="13"/>
      <c r="LO223" s="12"/>
      <c r="LP223" s="13"/>
      <c r="NG223" s="12"/>
      <c r="NH223" s="13"/>
      <c r="NI223" s="12"/>
      <c r="NT223" s="13"/>
      <c r="NW223" s="13"/>
      <c r="PA223" s="12"/>
      <c r="PD223" s="12"/>
      <c r="QI223" s="13"/>
      <c r="QK223" s="13"/>
      <c r="RG223" s="13"/>
      <c r="RH223" s="12"/>
      <c r="RI223" s="13"/>
      <c r="TM223" s="13"/>
      <c r="TP223" s="13"/>
    </row>
    <row r="224" spans="74:536" ht="10.75" customHeight="1">
      <c r="CB224" s="12"/>
      <c r="CC224" s="13"/>
      <c r="CD224" s="12"/>
      <c r="CE224" s="12"/>
      <c r="CP224" s="13"/>
      <c r="CQ224" s="13"/>
      <c r="FF224" s="12"/>
      <c r="FG224" s="13"/>
      <c r="JH224" s="12"/>
      <c r="JK224" s="12"/>
      <c r="LN224" s="13"/>
      <c r="LO224" s="12"/>
      <c r="LP224" s="13"/>
      <c r="NG224" s="12"/>
      <c r="NH224" s="13"/>
      <c r="NI224" s="12"/>
      <c r="NT224" s="13"/>
      <c r="NW224" s="13"/>
      <c r="PA224" s="12"/>
      <c r="PD224" s="12"/>
      <c r="QI224" s="13"/>
      <c r="QK224" s="13"/>
      <c r="RG224" s="13"/>
      <c r="RH224" s="12"/>
      <c r="RI224" s="13"/>
      <c r="TM224" s="13"/>
      <c r="TP224" s="13"/>
    </row>
    <row r="225" spans="80:536" ht="10.75" customHeight="1">
      <c r="CB225" s="12"/>
      <c r="CC225" s="13"/>
      <c r="CD225" s="12"/>
      <c r="CE225" s="12"/>
      <c r="CP225" s="13"/>
      <c r="CQ225" s="13"/>
      <c r="FF225" s="12"/>
      <c r="FG225" s="13"/>
      <c r="JH225" s="12"/>
      <c r="JK225" s="12"/>
      <c r="LN225" s="13"/>
      <c r="LO225" s="12"/>
      <c r="LP225" s="13"/>
      <c r="NG225" s="12"/>
      <c r="NH225" s="13"/>
      <c r="NI225" s="12"/>
      <c r="NT225" s="13"/>
      <c r="NW225" s="13"/>
      <c r="PA225" s="12"/>
      <c r="PD225" s="12"/>
      <c r="QI225" s="13"/>
      <c r="QK225" s="13"/>
      <c r="RG225" s="13"/>
      <c r="RH225" s="12"/>
      <c r="RI225" s="13"/>
      <c r="TM225" s="13"/>
      <c r="TP225" s="13"/>
    </row>
    <row r="226" spans="80:536" ht="10.75" customHeight="1">
      <c r="CB226" s="12"/>
      <c r="CC226" s="13"/>
      <c r="CD226" s="12"/>
      <c r="CE226" s="12"/>
      <c r="CP226" s="13"/>
      <c r="CQ226" s="13"/>
      <c r="FF226" s="12"/>
      <c r="FG226" s="13"/>
      <c r="JH226" s="12"/>
      <c r="JK226" s="12"/>
      <c r="LN226" s="13"/>
      <c r="LO226" s="12"/>
      <c r="LP226" s="13"/>
      <c r="NG226" s="12"/>
      <c r="NH226" s="13"/>
      <c r="NI226" s="12"/>
      <c r="NT226" s="13"/>
      <c r="NW226" s="13"/>
      <c r="PA226" s="12"/>
      <c r="PD226" s="14"/>
      <c r="PE226" s="15"/>
      <c r="PF226" s="15"/>
      <c r="PG226" s="15"/>
      <c r="PH226" s="15"/>
      <c r="PI226" s="15"/>
      <c r="PJ226" s="15"/>
      <c r="PK226" s="15"/>
      <c r="PL226" s="15"/>
      <c r="PM226" s="15"/>
      <c r="PN226" s="15"/>
      <c r="PO226" s="15"/>
      <c r="PP226" s="15"/>
      <c r="PQ226" s="15"/>
      <c r="PR226" s="15"/>
      <c r="PS226" s="15"/>
      <c r="PT226" s="15"/>
      <c r="PU226" s="15"/>
      <c r="PV226" s="15"/>
      <c r="PW226" s="15"/>
      <c r="PX226" s="15"/>
      <c r="PY226" s="15"/>
      <c r="PZ226" s="15"/>
      <c r="QA226" s="15"/>
      <c r="QB226" s="15"/>
      <c r="QC226" s="15"/>
      <c r="QD226" s="15"/>
      <c r="QE226" s="15"/>
      <c r="QF226" s="15"/>
      <c r="QG226" s="15"/>
      <c r="QH226" s="15"/>
      <c r="QI226" s="16"/>
      <c r="QJ226" s="15"/>
      <c r="QK226" s="16"/>
      <c r="QL226" s="15"/>
      <c r="QM226" s="15"/>
      <c r="QN226" s="15"/>
      <c r="QO226" s="15"/>
      <c r="QP226" s="15"/>
      <c r="QQ226" s="15"/>
      <c r="QR226" s="15"/>
      <c r="QS226" s="15"/>
      <c r="QT226" s="15"/>
      <c r="QU226" s="15"/>
      <c r="QV226" s="15"/>
      <c r="QW226" s="15"/>
      <c r="QX226" s="15"/>
      <c r="QY226" s="15"/>
      <c r="QZ226" s="15"/>
      <c r="RA226" s="15"/>
      <c r="RB226" s="15"/>
      <c r="RC226" s="15"/>
      <c r="RD226" s="15"/>
      <c r="RE226" s="15"/>
      <c r="RF226" s="15"/>
      <c r="RG226" s="16"/>
      <c r="RH226" s="12"/>
      <c r="RI226" s="13"/>
      <c r="TM226" s="13"/>
      <c r="TP226" s="13"/>
    </row>
    <row r="227" spans="80:536" ht="10.75" customHeight="1">
      <c r="CB227" s="12"/>
      <c r="CC227" s="13"/>
      <c r="CD227" s="12"/>
      <c r="CE227" s="12"/>
      <c r="CP227" s="13"/>
      <c r="CQ227" s="13"/>
      <c r="FF227" s="12"/>
      <c r="FG227" s="13"/>
      <c r="JH227" s="12"/>
      <c r="JK227" s="12"/>
      <c r="LN227" s="13"/>
      <c r="LO227" s="12"/>
      <c r="LP227" s="13"/>
      <c r="NG227" s="12"/>
      <c r="NH227" s="13"/>
      <c r="NI227" s="12"/>
      <c r="NT227" s="13"/>
      <c r="NW227" s="13"/>
      <c r="PA227" s="12"/>
      <c r="PD227" s="9"/>
      <c r="PE227" s="10"/>
      <c r="PF227" s="10"/>
      <c r="PG227" s="10"/>
      <c r="PH227" s="10"/>
      <c r="PI227" s="10"/>
      <c r="PJ227" s="10"/>
      <c r="PK227" s="10"/>
      <c r="PL227" s="10"/>
      <c r="PM227" s="10"/>
      <c r="PN227" s="10"/>
      <c r="PO227" s="10"/>
      <c r="PP227" s="10"/>
      <c r="PQ227" s="10"/>
      <c r="PR227" s="10"/>
      <c r="PS227" s="10"/>
      <c r="PT227" s="10"/>
      <c r="PU227" s="10"/>
      <c r="PV227" s="10"/>
      <c r="PW227" s="10"/>
      <c r="PX227" s="10"/>
      <c r="PY227" s="10"/>
      <c r="PZ227" s="10"/>
      <c r="QA227" s="10"/>
      <c r="QB227" s="10"/>
      <c r="QC227" s="10"/>
      <c r="QD227" s="10"/>
      <c r="QE227" s="10"/>
      <c r="QF227" s="10"/>
      <c r="QG227" s="10"/>
      <c r="QH227" s="10"/>
      <c r="QI227" s="10"/>
      <c r="QJ227" s="10"/>
      <c r="QK227" s="10"/>
      <c r="QL227" s="10"/>
      <c r="QM227" s="10"/>
      <c r="QN227" s="10"/>
      <c r="QO227" s="10"/>
      <c r="QP227" s="10"/>
      <c r="QQ227" s="10"/>
      <c r="QR227" s="10"/>
      <c r="QS227" s="10"/>
      <c r="QT227" s="10"/>
      <c r="QU227" s="10"/>
      <c r="QV227" s="10"/>
      <c r="QW227" s="10"/>
      <c r="QX227" s="10"/>
      <c r="QY227" s="10"/>
      <c r="QZ227" s="10"/>
      <c r="RA227" s="10"/>
      <c r="RB227" s="10"/>
      <c r="RC227" s="10"/>
      <c r="RD227" s="10"/>
      <c r="RE227" s="10"/>
      <c r="RF227" s="10"/>
      <c r="RG227" s="11"/>
      <c r="RH227" s="12"/>
      <c r="RI227" s="13"/>
      <c r="TM227" s="13"/>
      <c r="TP227" s="13"/>
    </row>
    <row r="228" spans="80:536" ht="10.75" customHeight="1">
      <c r="CB228" s="12"/>
      <c r="CC228" s="13"/>
      <c r="CD228" s="12"/>
      <c r="CE228" s="12"/>
      <c r="CP228" s="13"/>
      <c r="CQ228" s="13"/>
      <c r="FF228" s="12"/>
      <c r="FG228" s="13"/>
      <c r="JH228" s="12"/>
      <c r="JK228" s="12"/>
      <c r="LN228" s="13"/>
      <c r="LO228" s="12"/>
      <c r="LP228" s="13"/>
      <c r="NG228" s="14"/>
      <c r="NH228" s="16"/>
      <c r="NI228" s="14"/>
      <c r="NJ228" s="15"/>
      <c r="NK228" s="15"/>
      <c r="NL228" s="15"/>
      <c r="NM228" s="15"/>
      <c r="NN228" s="15"/>
      <c r="NO228" s="15"/>
      <c r="NP228" s="15"/>
      <c r="NQ228" s="15"/>
      <c r="NR228" s="15"/>
      <c r="NS228" s="15"/>
      <c r="NT228" s="16"/>
      <c r="NW228" s="13"/>
      <c r="PA228" s="12"/>
      <c r="PD228" s="12"/>
      <c r="RG228" s="13"/>
      <c r="RH228" s="12"/>
      <c r="RI228" s="13"/>
      <c r="TM228" s="13"/>
      <c r="TP228" s="13"/>
    </row>
    <row r="229" spans="80:536" ht="10.75" customHeight="1">
      <c r="CB229" s="12"/>
      <c r="CC229" s="13"/>
      <c r="CD229" s="12"/>
      <c r="CE229" s="12"/>
      <c r="CP229" s="13"/>
      <c r="CQ229" s="13"/>
      <c r="FF229" s="12"/>
      <c r="FG229" s="13"/>
      <c r="JH229" s="12"/>
      <c r="JK229" s="12"/>
      <c r="LN229" s="13"/>
      <c r="LO229" s="12"/>
      <c r="LP229" s="13"/>
      <c r="NT229" s="13"/>
      <c r="NW229" s="13"/>
      <c r="PA229" s="12"/>
      <c r="PD229" s="9"/>
      <c r="PE229" s="10"/>
      <c r="PF229" s="10"/>
      <c r="PG229" s="10"/>
      <c r="PH229" s="10"/>
      <c r="PI229" s="10"/>
      <c r="PJ229" s="10"/>
      <c r="PK229" s="10"/>
      <c r="PL229" s="10"/>
      <c r="PM229" s="10"/>
      <c r="PN229" s="10"/>
      <c r="PO229" s="10"/>
      <c r="PP229" s="10"/>
      <c r="PQ229" s="10"/>
      <c r="PR229" s="10"/>
      <c r="PS229" s="10"/>
      <c r="PT229" s="10"/>
      <c r="PU229" s="10"/>
      <c r="PV229" s="10"/>
      <c r="PW229" s="10"/>
      <c r="PX229" s="10"/>
      <c r="PY229" s="10"/>
      <c r="PZ229" s="10"/>
      <c r="QA229" s="10"/>
      <c r="QB229" s="10"/>
      <c r="QC229" s="10"/>
      <c r="QD229" s="10"/>
      <c r="QE229" s="10"/>
      <c r="QF229" s="10"/>
      <c r="QG229" s="10"/>
      <c r="QH229" s="10"/>
      <c r="QI229" s="10"/>
      <c r="QJ229" s="10"/>
      <c r="QK229" s="10"/>
      <c r="QL229" s="10"/>
      <c r="QM229" s="10"/>
      <c r="QN229" s="10"/>
      <c r="QO229" s="10"/>
      <c r="QP229" s="10"/>
      <c r="QQ229" s="10"/>
      <c r="QR229" s="10"/>
      <c r="QS229" s="10"/>
      <c r="QT229" s="10"/>
      <c r="QU229" s="10"/>
      <c r="QV229" s="10"/>
      <c r="QW229" s="10"/>
      <c r="QX229" s="10"/>
      <c r="QY229" s="10"/>
      <c r="QZ229" s="10"/>
      <c r="RA229" s="10"/>
      <c r="RB229" s="10"/>
      <c r="RC229" s="10"/>
      <c r="RD229" s="10"/>
      <c r="RE229" s="10"/>
      <c r="RF229" s="10"/>
      <c r="RG229" s="11"/>
      <c r="RH229" s="12"/>
      <c r="RI229" s="13"/>
      <c r="TM229" s="13"/>
      <c r="TP229" s="13"/>
    </row>
    <row r="230" spans="80:536" ht="10.75" customHeight="1">
      <c r="CB230" s="12"/>
      <c r="CC230" s="13"/>
      <c r="CD230" s="12"/>
      <c r="CE230" s="12"/>
      <c r="CP230" s="13"/>
      <c r="CQ230" s="13"/>
      <c r="FF230" s="12"/>
      <c r="FG230" s="13"/>
      <c r="JH230" s="12"/>
      <c r="JK230" s="12"/>
      <c r="LN230" s="13"/>
      <c r="LO230" s="12"/>
      <c r="LP230" s="13"/>
      <c r="NT230" s="13"/>
      <c r="NW230" s="13"/>
      <c r="PA230" s="12"/>
      <c r="PD230" s="12"/>
      <c r="RG230" s="13"/>
      <c r="RH230" s="12"/>
      <c r="RI230" s="13"/>
      <c r="TM230" s="13"/>
      <c r="TP230" s="13"/>
    </row>
    <row r="231" spans="80:536" ht="10.75" customHeight="1">
      <c r="CB231" s="12"/>
      <c r="CC231" s="13"/>
      <c r="CD231" s="12"/>
      <c r="CE231" s="12"/>
      <c r="CP231" s="13"/>
      <c r="CQ231" s="13"/>
      <c r="FF231" s="12"/>
      <c r="FG231" s="13"/>
      <c r="JH231" s="12"/>
      <c r="JK231" s="12"/>
      <c r="LN231" s="13"/>
      <c r="LO231" s="12"/>
      <c r="LP231" s="13"/>
      <c r="NT231" s="13"/>
      <c r="NW231" s="13"/>
      <c r="PA231" s="12"/>
      <c r="PD231" s="12"/>
      <c r="RG231" s="13"/>
      <c r="RH231" s="12"/>
      <c r="RI231" s="13"/>
      <c r="TM231" s="13"/>
      <c r="TP231" s="13"/>
    </row>
    <row r="232" spans="80:536" ht="10.75" customHeight="1">
      <c r="CB232" s="12"/>
      <c r="CC232" s="13"/>
      <c r="CD232" s="12"/>
      <c r="CE232" s="12"/>
      <c r="CP232" s="13"/>
      <c r="CQ232" s="13"/>
      <c r="DK232" s="17"/>
      <c r="FF232" s="12"/>
      <c r="FG232" s="13"/>
      <c r="JH232" s="12"/>
      <c r="JK232" s="12"/>
      <c r="LN232" s="13"/>
      <c r="LO232" s="12"/>
      <c r="LP232" s="13"/>
      <c r="NT232" s="13"/>
      <c r="NW232" s="13"/>
      <c r="PA232" s="12"/>
      <c r="PD232" s="12"/>
      <c r="RG232" s="13"/>
      <c r="RH232" s="12"/>
      <c r="RI232" s="13"/>
      <c r="TM232" s="13"/>
      <c r="TP232" s="13"/>
    </row>
    <row r="233" spans="80:536" ht="10.75" customHeight="1">
      <c r="CB233" s="12"/>
      <c r="CC233" s="13"/>
      <c r="CD233" s="12"/>
      <c r="CE233" s="12"/>
      <c r="CP233" s="13"/>
      <c r="CQ233" s="13"/>
      <c r="DK233" s="18"/>
      <c r="FF233" s="12"/>
      <c r="FG233" s="13"/>
      <c r="JH233" s="12"/>
      <c r="JK233" s="12"/>
      <c r="LN233" s="13"/>
      <c r="LO233" s="12"/>
      <c r="LP233" s="13"/>
      <c r="NT233" s="13"/>
      <c r="NW233" s="13"/>
      <c r="PA233" s="12"/>
      <c r="PD233" s="12"/>
      <c r="RG233" s="13"/>
      <c r="RH233" s="12"/>
      <c r="RI233" s="13"/>
      <c r="TM233" s="13"/>
      <c r="TP233" s="13"/>
    </row>
    <row r="234" spans="80:536" ht="10.75" customHeight="1">
      <c r="CB234" s="12"/>
      <c r="CC234" s="13"/>
      <c r="CD234" s="12"/>
      <c r="CE234" s="12"/>
      <c r="CP234" s="13"/>
      <c r="CQ234" s="13"/>
      <c r="DK234" s="18"/>
      <c r="FF234" s="12"/>
      <c r="FG234" s="13"/>
      <c r="JH234" s="12"/>
      <c r="JK234" s="12"/>
      <c r="LN234" s="13"/>
      <c r="LO234" s="12"/>
      <c r="LP234" s="13"/>
      <c r="NT234" s="13"/>
      <c r="NW234" s="13"/>
      <c r="PA234" s="12"/>
      <c r="PD234" s="12"/>
      <c r="RG234" s="13"/>
      <c r="RH234" s="12"/>
      <c r="RI234" s="13"/>
      <c r="TM234" s="13"/>
      <c r="TP234" s="13"/>
    </row>
    <row r="235" spans="80:536" ht="10.75" customHeight="1">
      <c r="CB235" s="12"/>
      <c r="CC235" s="13"/>
      <c r="CD235" s="12"/>
      <c r="CE235" s="12"/>
      <c r="CP235" s="13"/>
      <c r="CQ235" s="13"/>
      <c r="DK235" s="18"/>
      <c r="DP235" s="17"/>
      <c r="FF235" s="12"/>
      <c r="FG235" s="13"/>
      <c r="JH235" s="12"/>
      <c r="JK235" s="12"/>
      <c r="LN235" s="13"/>
      <c r="LO235" s="12"/>
      <c r="LP235" s="13"/>
      <c r="NT235" s="13"/>
      <c r="NW235" s="13"/>
      <c r="PA235" s="12"/>
      <c r="PD235" s="12"/>
      <c r="RG235" s="13"/>
      <c r="RH235" s="12"/>
      <c r="RI235" s="13"/>
      <c r="TM235" s="13"/>
      <c r="TP235" s="13"/>
    </row>
    <row r="236" spans="80:536" ht="10.75" customHeight="1">
      <c r="CB236" s="12"/>
      <c r="CC236" s="13"/>
      <c r="CD236" s="12"/>
      <c r="CE236" s="12"/>
      <c r="CP236" s="13"/>
      <c r="CQ236" s="13"/>
      <c r="DK236" s="18"/>
      <c r="DP236" s="18"/>
      <c r="FF236" s="12"/>
      <c r="FG236" s="13"/>
      <c r="JH236" s="12"/>
      <c r="JK236" s="12"/>
      <c r="LN236" s="13"/>
      <c r="LO236" s="12"/>
      <c r="LP236" s="13"/>
      <c r="NT236" s="13"/>
      <c r="NW236" s="13"/>
      <c r="PA236" s="12"/>
      <c r="PD236" s="12"/>
      <c r="RG236" s="13"/>
      <c r="RH236" s="12"/>
      <c r="RI236" s="13"/>
      <c r="TM236" s="13"/>
      <c r="TP236" s="13"/>
    </row>
    <row r="237" spans="80:536" ht="10.75" customHeight="1">
      <c r="CB237" s="12"/>
      <c r="CC237" s="13"/>
      <c r="CD237" s="12"/>
      <c r="CE237" s="12"/>
      <c r="CP237" s="13"/>
      <c r="CQ237" s="13"/>
      <c r="DK237" s="18"/>
      <c r="DP237" s="18"/>
      <c r="FF237" s="12"/>
      <c r="FG237" s="13"/>
      <c r="JH237" s="12"/>
      <c r="JK237" s="12"/>
      <c r="LN237" s="13"/>
      <c r="LO237" s="12"/>
      <c r="LP237" s="13"/>
      <c r="NT237" s="13"/>
      <c r="NW237" s="13"/>
      <c r="PA237" s="12"/>
      <c r="PD237" s="12"/>
      <c r="RG237" s="13"/>
      <c r="RH237" s="12"/>
      <c r="RI237" s="13"/>
      <c r="TM237" s="13"/>
      <c r="TP237" s="13"/>
    </row>
    <row r="238" spans="80:536" ht="10.75" customHeight="1">
      <c r="CB238" s="12"/>
      <c r="CC238" s="13"/>
      <c r="CD238" s="12"/>
      <c r="CE238" s="14"/>
      <c r="CF238" s="15"/>
      <c r="CG238" s="15"/>
      <c r="CH238" s="15"/>
      <c r="CI238" s="15"/>
      <c r="CJ238" s="15"/>
      <c r="CK238" s="15"/>
      <c r="CL238" s="15"/>
      <c r="CM238" s="15"/>
      <c r="CN238" s="15"/>
      <c r="CO238" s="15"/>
      <c r="CP238" s="16"/>
      <c r="CQ238" s="13"/>
      <c r="DK238" s="18"/>
      <c r="DP238" s="18"/>
      <c r="DU238" s="17"/>
      <c r="FF238" s="12"/>
      <c r="FG238" s="13"/>
      <c r="JH238" s="12"/>
      <c r="JK238" s="12"/>
      <c r="LN238" s="13"/>
      <c r="LO238" s="12"/>
      <c r="LP238" s="13"/>
      <c r="NT238" s="13"/>
      <c r="NW238" s="13"/>
      <c r="PA238" s="12"/>
      <c r="PD238" s="12"/>
      <c r="RG238" s="13"/>
      <c r="RH238" s="12"/>
      <c r="RI238" s="13"/>
      <c r="TM238" s="13"/>
      <c r="TP238" s="13"/>
    </row>
    <row r="239" spans="80:536" ht="10.75" customHeight="1">
      <c r="CB239" s="12"/>
      <c r="CC239" s="13"/>
      <c r="CD239" s="12"/>
      <c r="CQ239" s="13"/>
      <c r="DK239" s="18"/>
      <c r="DP239" s="18"/>
      <c r="DU239" s="18"/>
      <c r="FF239" s="12"/>
      <c r="FG239" s="13"/>
      <c r="JH239" s="12"/>
      <c r="JK239" s="12"/>
      <c r="LN239" s="13"/>
      <c r="LO239" s="12"/>
      <c r="LP239" s="13"/>
      <c r="NT239" s="13"/>
      <c r="NW239" s="13"/>
      <c r="PA239" s="12"/>
      <c r="PD239" s="12"/>
      <c r="RG239" s="13"/>
      <c r="RH239" s="12"/>
      <c r="RI239" s="13"/>
      <c r="TM239" s="13"/>
      <c r="TP239" s="13"/>
    </row>
    <row r="240" spans="80:536" ht="10.75" customHeight="1">
      <c r="CB240" s="12"/>
      <c r="CC240" s="13"/>
      <c r="CD240" s="9"/>
      <c r="CE240" s="10"/>
      <c r="CF240" s="10"/>
      <c r="CG240" s="10"/>
      <c r="CH240" s="10"/>
      <c r="CI240" s="10"/>
      <c r="CJ240" s="10"/>
      <c r="CK240" s="10"/>
      <c r="CL240" s="10"/>
      <c r="CM240" s="10"/>
      <c r="CN240" s="10"/>
      <c r="CO240" s="10"/>
      <c r="CP240" s="10"/>
      <c r="CQ240" s="11"/>
      <c r="DK240" s="18"/>
      <c r="DP240" s="18"/>
      <c r="DU240" s="18"/>
      <c r="FF240" s="12"/>
      <c r="FG240" s="13"/>
      <c r="JH240" s="12"/>
      <c r="JK240" s="12"/>
      <c r="LN240" s="13"/>
      <c r="LO240" s="12"/>
      <c r="LP240" s="13"/>
      <c r="NT240" s="13"/>
      <c r="NW240" s="13"/>
      <c r="PA240" s="12"/>
      <c r="PD240" s="12"/>
      <c r="RG240" s="13"/>
      <c r="RH240" s="12"/>
      <c r="RI240" s="13"/>
      <c r="TM240" s="13"/>
      <c r="TP240" s="13"/>
    </row>
    <row r="241" spans="74:536" ht="10.75" customHeight="1">
      <c r="CB241" s="14"/>
      <c r="CC241" s="16"/>
      <c r="CD241" s="14"/>
      <c r="CE241" s="15"/>
      <c r="CF241" s="15"/>
      <c r="CG241" s="15"/>
      <c r="CH241" s="15"/>
      <c r="CI241" s="15"/>
      <c r="CJ241" s="15"/>
      <c r="CK241" s="15"/>
      <c r="CL241" s="15"/>
      <c r="CM241" s="15"/>
      <c r="CN241" s="15"/>
      <c r="CO241" s="15"/>
      <c r="CP241" s="15"/>
      <c r="CQ241" s="16"/>
      <c r="DK241" s="18"/>
      <c r="DP241" s="18"/>
      <c r="DU241" s="18"/>
      <c r="DZ241" s="17"/>
      <c r="FF241" s="12"/>
      <c r="FG241" s="13"/>
      <c r="JH241" s="12"/>
      <c r="JK241" s="12"/>
      <c r="LN241" s="13"/>
      <c r="LO241" s="12"/>
      <c r="LP241" s="13"/>
      <c r="NT241" s="13"/>
      <c r="NW241" s="13"/>
      <c r="PA241" s="12"/>
      <c r="PD241" s="12"/>
      <c r="RG241" s="13"/>
      <c r="RH241" s="12"/>
      <c r="RI241" s="13"/>
      <c r="TM241" s="13"/>
      <c r="TP241" s="13"/>
    </row>
    <row r="242" spans="74:536" ht="10.75" customHeight="1">
      <c r="BV242" s="9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  <c r="CG242" s="10"/>
      <c r="CH242" s="10"/>
      <c r="CI242" s="10"/>
      <c r="CJ242" s="10"/>
      <c r="CK242" s="10"/>
      <c r="CL242" s="10"/>
      <c r="CM242" s="10"/>
      <c r="CN242" s="10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10"/>
      <c r="CZ242" s="10"/>
      <c r="DA242" s="10"/>
      <c r="DB242" s="10"/>
      <c r="DC242" s="10"/>
      <c r="DD242" s="10"/>
      <c r="DE242" s="10"/>
      <c r="DF242" s="10"/>
      <c r="DG242" s="10"/>
      <c r="DH242" s="11"/>
      <c r="DI242" s="254"/>
      <c r="DJ242" s="254"/>
      <c r="DK242" s="255"/>
      <c r="DL242" s="254"/>
      <c r="DM242" s="254"/>
      <c r="DN242" s="254"/>
      <c r="DO242" s="254"/>
      <c r="DP242" s="255"/>
      <c r="DQ242" s="254"/>
      <c r="DR242" s="254"/>
      <c r="DS242" s="254"/>
      <c r="DT242" s="254"/>
      <c r="DU242" s="255"/>
      <c r="DV242" s="254"/>
      <c r="DW242" s="254"/>
      <c r="DX242" s="254"/>
      <c r="DY242" s="254"/>
      <c r="DZ242" s="255"/>
      <c r="EA242" s="254"/>
      <c r="EB242" s="254"/>
      <c r="EC242" s="254"/>
      <c r="ED242" s="254"/>
      <c r="EE242" s="254"/>
      <c r="EF242" s="254"/>
      <c r="EG242" s="254"/>
      <c r="EH242" s="254"/>
      <c r="EI242" s="254"/>
      <c r="EJ242" s="254"/>
      <c r="EK242" s="254"/>
      <c r="EL242" s="254"/>
      <c r="EM242" s="254"/>
      <c r="EN242" s="254"/>
      <c r="EO242" s="254"/>
      <c r="EP242" s="254"/>
      <c r="EQ242" s="254"/>
      <c r="ER242" s="254"/>
      <c r="ES242" s="254"/>
      <c r="ET242" s="254"/>
      <c r="EU242" s="254"/>
      <c r="EV242" s="254"/>
      <c r="EW242" s="254"/>
      <c r="EX242" s="254"/>
      <c r="EY242" s="254"/>
      <c r="EZ242" s="254"/>
      <c r="FA242" s="254"/>
      <c r="FB242" s="254"/>
      <c r="FC242" s="254"/>
      <c r="FD242" s="254"/>
      <c r="FE242" s="254"/>
      <c r="FF242" s="9"/>
      <c r="FG242" s="10"/>
      <c r="FH242" s="10"/>
      <c r="FI242" s="10"/>
      <c r="FJ242" s="10"/>
      <c r="FK242" s="10"/>
      <c r="FL242" s="10"/>
      <c r="FM242" s="10"/>
      <c r="FN242" s="10"/>
      <c r="FO242" s="10"/>
      <c r="FP242" s="10"/>
      <c r="FQ242" s="10"/>
      <c r="FR242" s="10"/>
      <c r="FS242" s="10"/>
      <c r="FT242" s="10"/>
      <c r="FU242" s="10"/>
      <c r="FV242" s="10"/>
      <c r="FW242" s="10"/>
      <c r="FX242" s="10"/>
      <c r="FY242" s="10"/>
      <c r="FZ242" s="10"/>
      <c r="GA242" s="10"/>
      <c r="GB242" s="10"/>
      <c r="GC242" s="10"/>
      <c r="GD242" s="10"/>
      <c r="GE242" s="10"/>
      <c r="GF242" s="10"/>
      <c r="GG242" s="10"/>
      <c r="GH242" s="10"/>
      <c r="GI242" s="10"/>
      <c r="GJ242" s="10"/>
      <c r="GK242" s="10"/>
      <c r="GL242" s="10"/>
      <c r="GM242" s="10"/>
      <c r="GN242" s="10"/>
      <c r="GO242" s="10"/>
      <c r="GP242" s="10"/>
      <c r="GQ242" s="10"/>
      <c r="GR242" s="10"/>
      <c r="GS242" s="10"/>
      <c r="GT242" s="10"/>
      <c r="GU242" s="10"/>
      <c r="GV242" s="10"/>
      <c r="GW242" s="10"/>
      <c r="GX242" s="10"/>
      <c r="GY242" s="10"/>
      <c r="GZ242" s="10"/>
      <c r="HA242" s="10"/>
      <c r="HB242" s="10"/>
      <c r="HC242" s="10"/>
      <c r="HD242" s="10"/>
      <c r="HE242" s="11"/>
      <c r="JH242" s="12"/>
      <c r="JK242" s="12"/>
      <c r="LN242" s="13"/>
      <c r="LO242" s="12"/>
      <c r="LP242" s="13"/>
      <c r="NT242" s="13"/>
      <c r="NW242" s="13"/>
      <c r="PA242" s="12"/>
      <c r="PD242" s="12"/>
      <c r="RG242" s="13"/>
      <c r="RH242" s="12"/>
      <c r="RI242" s="13"/>
      <c r="TM242" s="13"/>
      <c r="TP242" s="13"/>
    </row>
    <row r="243" spans="74:536" ht="10.75" customHeight="1">
      <c r="BV243" s="14"/>
      <c r="BW243" s="15"/>
      <c r="BX243" s="15"/>
      <c r="BY243" s="15"/>
      <c r="BZ243" s="15"/>
      <c r="CA243" s="15"/>
      <c r="CB243" s="15"/>
      <c r="CC243" s="15"/>
      <c r="CD243" s="15"/>
      <c r="CE243" s="15"/>
      <c r="CF243" s="15"/>
      <c r="CG243" s="15"/>
      <c r="CH243" s="15"/>
      <c r="CI243" s="15"/>
      <c r="CJ243" s="15"/>
      <c r="CK243" s="15"/>
      <c r="CL243" s="15"/>
      <c r="CM243" s="15"/>
      <c r="CN243" s="15"/>
      <c r="CO243" s="15"/>
      <c r="CP243" s="15"/>
      <c r="CQ243" s="15"/>
      <c r="CR243" s="15"/>
      <c r="CS243" s="15"/>
      <c r="CT243" s="15"/>
      <c r="CU243" s="15"/>
      <c r="CV243" s="15"/>
      <c r="CW243" s="15"/>
      <c r="CX243" s="15"/>
      <c r="CY243" s="15"/>
      <c r="CZ243" s="15"/>
      <c r="DA243" s="15"/>
      <c r="DB243" s="15"/>
      <c r="DC243" s="15"/>
      <c r="DD243" s="15"/>
      <c r="DE243" s="15"/>
      <c r="DF243" s="15"/>
      <c r="DG243" s="15"/>
      <c r="DH243" s="16"/>
      <c r="DK243" s="18"/>
      <c r="DN243" s="256"/>
      <c r="DO243" s="256"/>
      <c r="DP243" s="257"/>
      <c r="DQ243" s="256"/>
      <c r="DR243" s="256"/>
      <c r="DS243" s="256"/>
      <c r="DT243" s="256"/>
      <c r="DU243" s="257"/>
      <c r="DV243" s="256"/>
      <c r="DW243" s="256"/>
      <c r="DX243" s="256"/>
      <c r="DY243" s="256"/>
      <c r="DZ243" s="257"/>
      <c r="EA243" s="256"/>
      <c r="EB243" s="256"/>
      <c r="EC243" s="256"/>
      <c r="ED243" s="256"/>
      <c r="EE243" s="256"/>
      <c r="EF243" s="256"/>
      <c r="EG243" s="256"/>
      <c r="EH243" s="256"/>
      <c r="EI243" s="256"/>
      <c r="EJ243" s="256"/>
      <c r="EK243" s="256"/>
      <c r="EL243" s="256"/>
      <c r="EM243" s="256"/>
      <c r="EN243" s="256"/>
      <c r="EO243" s="256"/>
      <c r="EP243" s="256"/>
      <c r="EQ243" s="256"/>
      <c r="ER243" s="256"/>
      <c r="ES243" s="256"/>
      <c r="ET243" s="256"/>
      <c r="EU243" s="256"/>
      <c r="EV243" s="256"/>
      <c r="EW243" s="256"/>
      <c r="EX243" s="256"/>
      <c r="EY243" s="256"/>
      <c r="EZ243" s="256"/>
      <c r="FA243" s="256"/>
      <c r="FB243" s="256"/>
      <c r="FC243" s="256"/>
      <c r="FD243" s="256"/>
      <c r="FE243" s="256"/>
      <c r="FF243" s="14"/>
      <c r="FG243" s="15"/>
      <c r="FH243" s="15"/>
      <c r="FI243" s="15"/>
      <c r="FJ243" s="15"/>
      <c r="FK243" s="15"/>
      <c r="FL243" s="15"/>
      <c r="FM243" s="15"/>
      <c r="FN243" s="15"/>
      <c r="FO243" s="15"/>
      <c r="FP243" s="15"/>
      <c r="FQ243" s="15"/>
      <c r="FR243" s="15"/>
      <c r="FS243" s="15"/>
      <c r="FT243" s="15"/>
      <c r="FU243" s="15"/>
      <c r="FV243" s="15"/>
      <c r="FW243" s="15"/>
      <c r="FX243" s="15"/>
      <c r="FY243" s="15"/>
      <c r="FZ243" s="15"/>
      <c r="GA243" s="15"/>
      <c r="GB243" s="15"/>
      <c r="GC243" s="15"/>
      <c r="GD243" s="15"/>
      <c r="GE243" s="15"/>
      <c r="GF243" s="15"/>
      <c r="GG243" s="15"/>
      <c r="GH243" s="15"/>
      <c r="GI243" s="15"/>
      <c r="GJ243" s="15"/>
      <c r="GK243" s="15"/>
      <c r="GL243" s="15"/>
      <c r="GM243" s="15"/>
      <c r="GN243" s="15"/>
      <c r="GO243" s="15"/>
      <c r="GP243" s="15"/>
      <c r="GQ243" s="15"/>
      <c r="GR243" s="15"/>
      <c r="GS243" s="15"/>
      <c r="GT243" s="15"/>
      <c r="GU243" s="15"/>
      <c r="GV243" s="15"/>
      <c r="GW243" s="15"/>
      <c r="GX243" s="15"/>
      <c r="GY243" s="15"/>
      <c r="GZ243" s="15"/>
      <c r="HA243" s="15"/>
      <c r="HB243" s="15"/>
      <c r="HC243" s="15"/>
      <c r="HD243" s="15"/>
      <c r="HE243" s="16"/>
      <c r="JH243" s="12"/>
      <c r="JK243" s="12"/>
      <c r="LN243" s="13"/>
      <c r="LO243" s="12"/>
      <c r="LP243" s="13"/>
      <c r="NT243" s="13"/>
      <c r="NW243" s="13"/>
      <c r="PA243" s="12"/>
      <c r="PD243" s="12"/>
      <c r="RG243" s="13"/>
      <c r="RH243" s="12"/>
      <c r="RI243" s="13"/>
      <c r="TM243" s="13"/>
      <c r="TP243" s="13"/>
    </row>
    <row r="244" spans="74:536" ht="10.75" customHeight="1">
      <c r="CB244" s="9"/>
      <c r="CC244" s="10"/>
      <c r="CD244" s="11"/>
      <c r="DI244" s="9"/>
      <c r="DJ244" s="10"/>
      <c r="DK244" s="10"/>
      <c r="DL244" s="10"/>
      <c r="DM244" s="11"/>
      <c r="DP244" s="18"/>
      <c r="DU244" s="18"/>
      <c r="DZ244" s="18"/>
      <c r="EB244" s="13"/>
      <c r="EE244" s="18"/>
      <c r="GW244" s="9"/>
      <c r="GX244" s="10"/>
      <c r="GY244" s="11"/>
      <c r="JH244" s="12"/>
      <c r="JK244" s="12"/>
      <c r="LN244" s="13"/>
      <c r="LO244" s="12"/>
      <c r="LP244" s="13"/>
      <c r="NT244" s="13"/>
      <c r="NW244" s="13"/>
      <c r="PA244" s="12"/>
      <c r="PD244" s="12"/>
      <c r="RG244" s="13"/>
      <c r="RH244" s="12"/>
      <c r="RI244" s="13"/>
      <c r="TM244" s="13"/>
      <c r="TP244" s="13"/>
    </row>
    <row r="245" spans="74:536" ht="10.75" customHeight="1">
      <c r="CB245" s="12"/>
      <c r="CD245" s="13"/>
      <c r="DI245" s="14"/>
      <c r="DJ245" s="15"/>
      <c r="DK245" s="15"/>
      <c r="DL245" s="15"/>
      <c r="DM245" s="16"/>
      <c r="DP245" s="18"/>
      <c r="DU245" s="18"/>
      <c r="DZ245" s="18"/>
      <c r="EB245" s="13"/>
      <c r="EE245" s="18"/>
      <c r="GW245" s="12"/>
      <c r="GY245" s="13"/>
      <c r="JH245" s="12"/>
      <c r="JK245" s="12"/>
      <c r="LN245" s="13"/>
      <c r="LO245" s="12"/>
      <c r="LP245" s="13"/>
      <c r="NT245" s="13"/>
      <c r="NW245" s="13"/>
      <c r="PA245" s="12"/>
      <c r="PD245" s="12"/>
      <c r="RG245" s="13"/>
      <c r="RH245" s="12"/>
      <c r="RI245" s="13"/>
      <c r="TM245" s="13"/>
      <c r="TP245" s="13"/>
    </row>
    <row r="246" spans="74:536" ht="10.75" customHeight="1">
      <c r="CB246" s="12"/>
      <c r="CD246" s="13"/>
      <c r="DP246" s="19"/>
      <c r="DU246" s="18"/>
      <c r="DZ246" s="18"/>
      <c r="EB246" s="13"/>
      <c r="EE246" s="18"/>
      <c r="GW246" s="12"/>
      <c r="GY246" s="13"/>
      <c r="JH246" s="12"/>
      <c r="JK246" s="12"/>
      <c r="LN246" s="13"/>
      <c r="LO246" s="12"/>
      <c r="LP246" s="13"/>
      <c r="NT246" s="13"/>
      <c r="NW246" s="13"/>
      <c r="PA246" s="12"/>
      <c r="PD246" s="12"/>
      <c r="RG246" s="13"/>
      <c r="RH246" s="12"/>
      <c r="RI246" s="13"/>
      <c r="TM246" s="13"/>
      <c r="TP246" s="13"/>
    </row>
    <row r="247" spans="74:536" ht="10.75" customHeight="1">
      <c r="CB247" s="12"/>
      <c r="CD247" s="13"/>
      <c r="DN247" s="9"/>
      <c r="DO247" s="10"/>
      <c r="DP247" s="10"/>
      <c r="DQ247" s="10"/>
      <c r="DR247" s="11"/>
      <c r="DU247" s="18"/>
      <c r="DZ247" s="18"/>
      <c r="EB247" s="13"/>
      <c r="EE247" s="18"/>
      <c r="EJ247" s="17"/>
      <c r="GW247" s="12"/>
      <c r="GY247" s="13"/>
      <c r="JH247" s="12"/>
      <c r="JK247" s="12"/>
      <c r="LN247" s="13"/>
      <c r="LO247" s="12"/>
      <c r="LP247" s="13"/>
      <c r="NT247" s="13"/>
      <c r="NW247" s="13"/>
      <c r="PA247" s="12"/>
      <c r="PD247" s="12"/>
      <c r="RG247" s="13"/>
      <c r="RH247" s="12"/>
      <c r="RI247" s="13"/>
      <c r="TM247" s="13"/>
      <c r="TP247" s="13"/>
    </row>
    <row r="248" spans="74:536" ht="10.75" customHeight="1">
      <c r="CB248" s="12"/>
      <c r="CD248" s="13"/>
      <c r="DN248" s="14"/>
      <c r="DO248" s="15"/>
      <c r="DP248" s="15"/>
      <c r="DQ248" s="15"/>
      <c r="DR248" s="16"/>
      <c r="DU248" s="18"/>
      <c r="DZ248" s="18"/>
      <c r="EB248" s="13"/>
      <c r="EE248" s="18"/>
      <c r="EJ248" s="18"/>
      <c r="GW248" s="12"/>
      <c r="GY248" s="13"/>
      <c r="JH248" s="12"/>
      <c r="JK248" s="12"/>
      <c r="LN248" s="13"/>
      <c r="LO248" s="12"/>
      <c r="LP248" s="13"/>
      <c r="NT248" s="13"/>
      <c r="NW248" s="13"/>
      <c r="PA248" s="12"/>
      <c r="PD248" s="12"/>
      <c r="RG248" s="13"/>
      <c r="RH248" s="12"/>
      <c r="RI248" s="13"/>
      <c r="TM248" s="13"/>
      <c r="TP248" s="13"/>
    </row>
    <row r="249" spans="74:536" ht="10.75" customHeight="1">
      <c r="CB249" s="12"/>
      <c r="CD249" s="13"/>
      <c r="DU249" s="19"/>
      <c r="DZ249" s="18"/>
      <c r="EB249" s="13"/>
      <c r="EE249" s="18"/>
      <c r="EJ249" s="18"/>
      <c r="GW249" s="12"/>
      <c r="GY249" s="13"/>
      <c r="JH249" s="12"/>
      <c r="JK249" s="12"/>
      <c r="LN249" s="13"/>
      <c r="LO249" s="12"/>
      <c r="LP249" s="13"/>
      <c r="NT249" s="13"/>
      <c r="NW249" s="13"/>
      <c r="PA249" s="12"/>
      <c r="PD249" s="12"/>
      <c r="RG249" s="13"/>
      <c r="RH249" s="12"/>
      <c r="RI249" s="13"/>
      <c r="TM249" s="13"/>
      <c r="TP249" s="13"/>
    </row>
    <row r="250" spans="74:536" ht="10.75" customHeight="1">
      <c r="CB250" s="12"/>
      <c r="CD250" s="13"/>
      <c r="DS250" s="9"/>
      <c r="DT250" s="10"/>
      <c r="DU250" s="10"/>
      <c r="DV250" s="10"/>
      <c r="DW250" s="11"/>
      <c r="DZ250" s="18"/>
      <c r="EB250" s="13"/>
      <c r="EE250" s="18"/>
      <c r="EJ250" s="18"/>
      <c r="EO250" s="17"/>
      <c r="GW250" s="12"/>
      <c r="GY250" s="13"/>
      <c r="JH250" s="12"/>
      <c r="JK250" s="12"/>
      <c r="LN250" s="13"/>
      <c r="LO250" s="12"/>
      <c r="LP250" s="13"/>
      <c r="NT250" s="13"/>
      <c r="NW250" s="13"/>
      <c r="PA250" s="12"/>
      <c r="PD250" s="12"/>
      <c r="RG250" s="13"/>
      <c r="RH250" s="12"/>
      <c r="RI250" s="13"/>
      <c r="TM250" s="13"/>
      <c r="TP250" s="13"/>
    </row>
    <row r="251" spans="74:536" ht="10.75" customHeight="1">
      <c r="CB251" s="12"/>
      <c r="CD251" s="13"/>
      <c r="DS251" s="14"/>
      <c r="DT251" s="15"/>
      <c r="DU251" s="15"/>
      <c r="DV251" s="15"/>
      <c r="DW251" s="16"/>
      <c r="DZ251" s="18"/>
      <c r="EB251" s="13"/>
      <c r="EE251" s="18"/>
      <c r="EJ251" s="18"/>
      <c r="EO251" s="18"/>
      <c r="GW251" s="12"/>
      <c r="GY251" s="13"/>
      <c r="JH251" s="12"/>
      <c r="JK251" s="12"/>
      <c r="LN251" s="13"/>
      <c r="LO251" s="12"/>
      <c r="LP251" s="13"/>
      <c r="NT251" s="13"/>
      <c r="NW251" s="13"/>
      <c r="PA251" s="12"/>
      <c r="PD251" s="12"/>
      <c r="RG251" s="13"/>
      <c r="RH251" s="12"/>
      <c r="RI251" s="13"/>
      <c r="TM251" s="13"/>
      <c r="TP251" s="13"/>
    </row>
    <row r="252" spans="74:536" ht="10.75" customHeight="1">
      <c r="CB252" s="12"/>
      <c r="CD252" s="13"/>
      <c r="DZ252" s="19"/>
      <c r="EB252" s="13"/>
      <c r="EE252" s="18"/>
      <c r="EJ252" s="18"/>
      <c r="EO252" s="18"/>
      <c r="GW252" s="12"/>
      <c r="GY252" s="13"/>
      <c r="JH252" s="12"/>
      <c r="JK252" s="12"/>
      <c r="LN252" s="13"/>
      <c r="LO252" s="12"/>
      <c r="LP252" s="13"/>
      <c r="NT252" s="13"/>
      <c r="NW252" s="13"/>
      <c r="PA252" s="12"/>
      <c r="PD252" s="12"/>
      <c r="RG252" s="13"/>
      <c r="RH252" s="12"/>
      <c r="RI252" s="13"/>
      <c r="TM252" s="13"/>
      <c r="TP252" s="13"/>
    </row>
    <row r="253" spans="74:536" ht="10.75" customHeight="1">
      <c r="CB253" s="12"/>
      <c r="CD253" s="13"/>
      <c r="DX253" s="9"/>
      <c r="DY253" s="10"/>
      <c r="DZ253" s="10"/>
      <c r="EA253" s="9"/>
      <c r="EB253" s="11"/>
      <c r="EE253" s="18"/>
      <c r="EJ253" s="18"/>
      <c r="EO253" s="18"/>
      <c r="ET253" s="17"/>
      <c r="GW253" s="12"/>
      <c r="GY253" s="13"/>
      <c r="JH253" s="12"/>
      <c r="JK253" s="12"/>
      <c r="LN253" s="13"/>
      <c r="LO253" s="12"/>
      <c r="LP253" s="13"/>
      <c r="NT253" s="13"/>
      <c r="NW253" s="13"/>
      <c r="PA253" s="12"/>
      <c r="PD253" s="12"/>
      <c r="RG253" s="13"/>
      <c r="RH253" s="12"/>
      <c r="RI253" s="13"/>
      <c r="TM253" s="13"/>
      <c r="TP253" s="13"/>
    </row>
    <row r="254" spans="74:536" ht="10.75" customHeight="1">
      <c r="CB254" s="12"/>
      <c r="CD254" s="13"/>
      <c r="DX254" s="14"/>
      <c r="DY254" s="15"/>
      <c r="DZ254" s="15"/>
      <c r="EA254" s="14"/>
      <c r="EB254" s="16"/>
      <c r="EE254" s="18"/>
      <c r="EJ254" s="18"/>
      <c r="EO254" s="18"/>
      <c r="ET254" s="18"/>
      <c r="GW254" s="12"/>
      <c r="GY254" s="13"/>
      <c r="JH254" s="12"/>
      <c r="JK254" s="12"/>
      <c r="LN254" s="13"/>
      <c r="LO254" s="12"/>
      <c r="LP254" s="13"/>
      <c r="NT254" s="13"/>
      <c r="NW254" s="13"/>
      <c r="PA254" s="12"/>
      <c r="PD254" s="12"/>
      <c r="RG254" s="13"/>
      <c r="RH254" s="12"/>
      <c r="RI254" s="13"/>
      <c r="TM254" s="13"/>
      <c r="TP254" s="13"/>
    </row>
    <row r="255" spans="74:536" ht="10.75" customHeight="1">
      <c r="CB255" s="12"/>
      <c r="CD255" s="13"/>
      <c r="EA255" s="12"/>
      <c r="EB255" s="13"/>
      <c r="EE255" s="19"/>
      <c r="EJ255" s="18"/>
      <c r="EO255" s="18"/>
      <c r="ET255" s="18"/>
      <c r="GW255" s="12"/>
      <c r="GY255" s="13"/>
      <c r="JH255" s="12"/>
      <c r="JK255" s="12"/>
      <c r="LN255" s="13"/>
      <c r="LO255" s="12"/>
      <c r="LP255" s="13"/>
      <c r="NT255" s="13"/>
      <c r="NW255" s="13"/>
      <c r="PA255" s="12"/>
      <c r="PD255" s="12"/>
      <c r="RG255" s="13"/>
      <c r="RH255" s="12"/>
      <c r="RI255" s="13"/>
      <c r="TM255" s="13"/>
      <c r="TP255" s="13"/>
    </row>
    <row r="256" spans="74:536" ht="10.75" customHeight="1">
      <c r="CB256" s="12"/>
      <c r="CD256" s="13"/>
      <c r="EA256" s="12"/>
      <c r="EB256" s="13"/>
      <c r="EC256" s="9"/>
      <c r="ED256" s="10"/>
      <c r="EE256" s="10"/>
      <c r="EF256" s="10"/>
      <c r="EG256" s="11"/>
      <c r="EJ256" s="18"/>
      <c r="EO256" s="18"/>
      <c r="ET256" s="18"/>
      <c r="EY256" s="17"/>
      <c r="GW256" s="12"/>
      <c r="GY256" s="13"/>
      <c r="JH256" s="96"/>
      <c r="JI256" s="97"/>
      <c r="JJ256" s="97"/>
      <c r="JK256" s="14"/>
      <c r="JL256" s="15"/>
      <c r="JM256" s="15"/>
      <c r="JN256" s="15"/>
      <c r="JO256" s="15"/>
      <c r="JP256" s="15"/>
      <c r="JQ256" s="15"/>
      <c r="JR256" s="15"/>
      <c r="JS256" s="15"/>
      <c r="JT256" s="15"/>
      <c r="JU256" s="15"/>
      <c r="JV256" s="15"/>
      <c r="JW256" s="15"/>
      <c r="JX256" s="15"/>
      <c r="JY256" s="15"/>
      <c r="JZ256" s="15"/>
      <c r="KA256" s="15"/>
      <c r="KB256" s="15"/>
      <c r="KC256" s="15"/>
      <c r="KD256" s="15"/>
      <c r="KE256" s="15"/>
      <c r="KF256" s="15"/>
      <c r="KG256" s="15"/>
      <c r="KH256" s="15"/>
      <c r="KI256" s="15"/>
      <c r="KJ256" s="15"/>
      <c r="KK256" s="15"/>
      <c r="KL256" s="15"/>
      <c r="KM256" s="15"/>
      <c r="KN256" s="15"/>
      <c r="KO256" s="15"/>
      <c r="KP256" s="15"/>
      <c r="KQ256" s="15"/>
      <c r="KR256" s="15"/>
      <c r="KS256" s="15"/>
      <c r="KT256" s="15"/>
      <c r="KU256" s="15"/>
      <c r="KV256" s="15"/>
      <c r="KW256" s="15"/>
      <c r="KX256" s="15"/>
      <c r="KY256" s="15"/>
      <c r="KZ256" s="15"/>
      <c r="LA256" s="15"/>
      <c r="LB256" s="15"/>
      <c r="LC256" s="15"/>
      <c r="LD256" s="15"/>
      <c r="LE256" s="15"/>
      <c r="LF256" s="15"/>
      <c r="LG256" s="15"/>
      <c r="LH256" s="15"/>
      <c r="LI256" s="15"/>
      <c r="LJ256" s="15"/>
      <c r="LK256" s="15"/>
      <c r="LL256" s="15"/>
      <c r="LM256" s="60"/>
      <c r="LN256" s="61"/>
      <c r="LO256" s="96"/>
      <c r="LP256" s="98"/>
      <c r="NT256" s="13"/>
      <c r="NU256" s="97"/>
      <c r="NV256" s="97"/>
      <c r="NW256" s="98"/>
      <c r="PA256" s="96"/>
      <c r="PB256" s="97"/>
      <c r="PC256" s="97"/>
      <c r="PD256" s="12"/>
      <c r="RF256" s="97"/>
      <c r="RG256" s="98"/>
      <c r="RH256" s="96"/>
      <c r="RI256" s="98"/>
      <c r="TM256" s="13"/>
      <c r="TN256" s="97"/>
      <c r="TO256" s="97"/>
      <c r="TP256" s="98"/>
    </row>
    <row r="257" spans="80:536" ht="10.75" customHeight="1">
      <c r="CB257" s="12"/>
      <c r="CD257" s="13"/>
      <c r="EA257" s="12"/>
      <c r="EB257" s="13"/>
      <c r="EC257" s="14"/>
      <c r="ED257" s="15"/>
      <c r="EE257" s="15"/>
      <c r="EF257" s="15"/>
      <c r="EG257" s="16"/>
      <c r="EJ257" s="18"/>
      <c r="EO257" s="18"/>
      <c r="ET257" s="18"/>
      <c r="EY257" s="18"/>
      <c r="GW257" s="12"/>
      <c r="GY257" s="13"/>
      <c r="JH257" s="96"/>
      <c r="JI257" s="97"/>
      <c r="JJ257" s="97"/>
      <c r="JK257" s="12"/>
      <c r="LM257" s="97"/>
      <c r="LN257" s="98"/>
      <c r="LO257" s="96"/>
      <c r="LP257" s="98"/>
      <c r="NT257" s="13"/>
      <c r="NU257" s="97"/>
      <c r="NV257" s="97"/>
      <c r="NW257" s="98"/>
      <c r="PA257" s="96"/>
      <c r="PB257" s="97"/>
      <c r="PC257" s="97"/>
      <c r="PD257" s="12"/>
      <c r="RF257" s="97"/>
      <c r="RG257" s="98"/>
      <c r="RH257" s="96"/>
      <c r="RI257" s="98"/>
      <c r="TM257" s="13"/>
      <c r="TN257" s="97"/>
      <c r="TO257" s="97"/>
      <c r="TP257" s="98"/>
    </row>
    <row r="258" spans="80:536" ht="10.75" customHeight="1">
      <c r="CB258" s="12"/>
      <c r="CD258" s="13"/>
      <c r="EA258" s="12"/>
      <c r="EB258" s="13"/>
      <c r="EJ258" s="19"/>
      <c r="EO258" s="18"/>
      <c r="ET258" s="18"/>
      <c r="EY258" s="18"/>
      <c r="GW258" s="12"/>
      <c r="GY258" s="13"/>
      <c r="JH258" s="59"/>
      <c r="JI258" s="60"/>
      <c r="JJ258" s="60"/>
      <c r="JK258" s="14"/>
      <c r="JL258" s="15"/>
      <c r="JM258" s="15"/>
      <c r="JN258" s="15"/>
      <c r="JO258" s="15"/>
      <c r="JP258" s="15"/>
      <c r="JQ258" s="15"/>
      <c r="JR258" s="15"/>
      <c r="JS258" s="15"/>
      <c r="JT258" s="15"/>
      <c r="JU258" s="15"/>
      <c r="JV258" s="15"/>
      <c r="JW258" s="15"/>
      <c r="JX258" s="15"/>
      <c r="JY258" s="15"/>
      <c r="JZ258" s="15"/>
      <c r="KA258" s="15"/>
      <c r="KB258" s="15"/>
      <c r="KC258" s="15"/>
      <c r="KD258" s="15"/>
      <c r="KE258" s="15"/>
      <c r="KF258" s="15"/>
      <c r="KG258" s="15"/>
      <c r="KH258" s="15"/>
      <c r="KI258" s="15"/>
      <c r="KJ258" s="15"/>
      <c r="KK258" s="15"/>
      <c r="KL258" s="15"/>
      <c r="KM258" s="15"/>
      <c r="KN258" s="15"/>
      <c r="KO258" s="15"/>
      <c r="KP258" s="15"/>
      <c r="KQ258" s="15"/>
      <c r="KR258" s="15"/>
      <c r="KS258" s="15"/>
      <c r="KT258" s="15"/>
      <c r="KU258" s="15"/>
      <c r="KV258" s="15"/>
      <c r="KW258" s="15"/>
      <c r="KX258" s="15"/>
      <c r="KY258" s="15"/>
      <c r="KZ258" s="15"/>
      <c r="LA258" s="15"/>
      <c r="LB258" s="15"/>
      <c r="LC258" s="15"/>
      <c r="LD258" s="15"/>
      <c r="LE258" s="15"/>
      <c r="LF258" s="15"/>
      <c r="LG258" s="15"/>
      <c r="LH258" s="15"/>
      <c r="LI258" s="15"/>
      <c r="LJ258" s="15"/>
      <c r="LK258" s="15"/>
      <c r="LL258" s="15"/>
      <c r="LM258" s="60"/>
      <c r="LN258" s="61"/>
      <c r="LO258" s="59"/>
      <c r="LP258" s="61"/>
      <c r="NT258" s="13"/>
      <c r="NU258" s="97"/>
      <c r="NV258" s="97"/>
      <c r="NW258" s="98"/>
      <c r="PA258" s="59"/>
      <c r="PB258" s="60"/>
      <c r="PC258" s="60"/>
      <c r="PD258" s="12"/>
      <c r="RF258" s="97"/>
      <c r="RG258" s="98"/>
      <c r="RH258" s="96"/>
      <c r="RI258" s="98"/>
      <c r="TM258" s="13"/>
      <c r="TN258" s="97"/>
      <c r="TO258" s="97"/>
      <c r="TP258" s="98"/>
    </row>
    <row r="259" spans="80:536" ht="10.75" customHeight="1">
      <c r="CB259" s="12"/>
      <c r="CD259" s="13"/>
      <c r="EA259" s="12"/>
      <c r="EB259" s="13"/>
      <c r="EH259" s="9"/>
      <c r="EI259" s="10"/>
      <c r="EJ259" s="10"/>
      <c r="EK259" s="10"/>
      <c r="EL259" s="11"/>
      <c r="EO259" s="18"/>
      <c r="ET259" s="18"/>
      <c r="EY259" s="18"/>
      <c r="FD259" s="17"/>
      <c r="GW259" s="12"/>
      <c r="GY259" s="13"/>
      <c r="JH259" s="96"/>
      <c r="JI259" s="97"/>
      <c r="JJ259" s="97"/>
      <c r="JK259" s="12"/>
      <c r="KP259" s="13"/>
      <c r="KQ259" s="12"/>
      <c r="KS259" s="12"/>
      <c r="NT259" s="13"/>
      <c r="NU259" s="97"/>
      <c r="NV259" s="97"/>
      <c r="NW259" s="98"/>
      <c r="PA259" s="96"/>
      <c r="PB259" s="97"/>
      <c r="PC259" s="97"/>
      <c r="PD259" s="12"/>
      <c r="RG259" s="13"/>
      <c r="RH259" s="9"/>
      <c r="RI259" s="11"/>
      <c r="TM259" s="13"/>
      <c r="TN259" s="97"/>
      <c r="TO259" s="97"/>
      <c r="TP259" s="98"/>
    </row>
    <row r="260" spans="80:536" ht="10.75" customHeight="1">
      <c r="CB260" s="12"/>
      <c r="CD260" s="13"/>
      <c r="EA260" s="12"/>
      <c r="EB260" s="13"/>
      <c r="EH260" s="14"/>
      <c r="EI260" s="15"/>
      <c r="EJ260" s="15"/>
      <c r="EK260" s="15"/>
      <c r="EL260" s="16"/>
      <c r="EO260" s="18"/>
      <c r="ET260" s="18"/>
      <c r="EY260" s="18"/>
      <c r="FD260" s="18"/>
      <c r="GW260" s="12"/>
      <c r="GY260" s="13"/>
      <c r="JH260" s="12"/>
      <c r="JK260" s="12"/>
      <c r="KP260" s="13"/>
      <c r="KQ260" s="12"/>
      <c r="KS260" s="12"/>
      <c r="NT260" s="13"/>
      <c r="NW260" s="13"/>
      <c r="PA260" s="12"/>
      <c r="PD260" s="9"/>
      <c r="PE260" s="10"/>
      <c r="PF260" s="10"/>
      <c r="PG260" s="10"/>
      <c r="PH260" s="10"/>
      <c r="PI260" s="10"/>
      <c r="PJ260" s="10"/>
      <c r="PK260" s="10"/>
      <c r="PL260" s="10"/>
      <c r="PM260" s="10"/>
      <c r="PN260" s="10"/>
      <c r="PO260" s="11"/>
      <c r="PP260" s="10"/>
      <c r="PQ260" s="11"/>
      <c r="RG260" s="13"/>
      <c r="RH260" s="12"/>
      <c r="RI260" s="13"/>
      <c r="TM260" s="13"/>
      <c r="TP260" s="13"/>
    </row>
    <row r="261" spans="80:536" ht="10.75" customHeight="1">
      <c r="CB261" s="12"/>
      <c r="CD261" s="13"/>
      <c r="EA261" s="12"/>
      <c r="EB261" s="13"/>
      <c r="EO261" s="18"/>
      <c r="ET261" s="18"/>
      <c r="EY261" s="18"/>
      <c r="FD261" s="18"/>
      <c r="GW261" s="12"/>
      <c r="GY261" s="13"/>
      <c r="JH261" s="12"/>
      <c r="JK261" s="12"/>
      <c r="KP261" s="13"/>
      <c r="KQ261" s="12"/>
      <c r="KS261" s="12"/>
      <c r="LY261" s="9"/>
      <c r="LZ261" s="10"/>
      <c r="MA261" s="10"/>
      <c r="MB261" s="10"/>
      <c r="MC261" s="10"/>
      <c r="MD261" s="10"/>
      <c r="ME261" s="10"/>
      <c r="MF261" s="10"/>
      <c r="MG261" s="10"/>
      <c r="MH261" s="10"/>
      <c r="MI261" s="10"/>
      <c r="MJ261" s="11"/>
      <c r="MK261" s="10"/>
      <c r="ML261" s="10"/>
      <c r="MM261" s="10"/>
      <c r="MN261" s="10"/>
      <c r="MO261" s="10"/>
      <c r="MP261" s="10"/>
      <c r="MQ261" s="10"/>
      <c r="MR261" s="10"/>
      <c r="MS261" s="10"/>
      <c r="MT261" s="10"/>
      <c r="MU261" s="10"/>
      <c r="MV261" s="10"/>
      <c r="MW261" s="10"/>
      <c r="MX261" s="10"/>
      <c r="MY261" s="10"/>
      <c r="MZ261" s="10"/>
      <c r="NA261" s="10"/>
      <c r="NB261" s="10"/>
      <c r="NC261" s="10"/>
      <c r="ND261" s="10"/>
      <c r="NE261" s="10"/>
      <c r="NF261" s="10"/>
      <c r="NG261" s="10"/>
      <c r="NH261" s="10"/>
      <c r="NI261" s="10"/>
      <c r="NJ261" s="10"/>
      <c r="NK261" s="10"/>
      <c r="NL261" s="10"/>
      <c r="NM261" s="10"/>
      <c r="NN261" s="10"/>
      <c r="NO261" s="10"/>
      <c r="NP261" s="10"/>
      <c r="NQ261" s="10"/>
      <c r="NR261" s="10"/>
      <c r="NS261" s="10"/>
      <c r="NT261" s="11"/>
      <c r="NW261" s="13"/>
      <c r="PA261" s="12"/>
      <c r="PD261" s="12"/>
      <c r="PO261" s="13"/>
      <c r="PQ261" s="13"/>
      <c r="RG261" s="13"/>
      <c r="RH261" s="12"/>
      <c r="RI261" s="13"/>
      <c r="TM261" s="13"/>
      <c r="TP261" s="13"/>
    </row>
    <row r="262" spans="80:536" ht="10.75" customHeight="1">
      <c r="CB262" s="12"/>
      <c r="CD262" s="13"/>
      <c r="EA262" s="12"/>
      <c r="EC262" s="9"/>
      <c r="ED262" s="10"/>
      <c r="EE262" s="10"/>
      <c r="EF262" s="10"/>
      <c r="EG262" s="10"/>
      <c r="EH262" s="10"/>
      <c r="EI262" s="10"/>
      <c r="EJ262" s="10"/>
      <c r="EK262" s="10"/>
      <c r="EL262" s="10"/>
      <c r="EM262" s="9"/>
      <c r="EN262" s="10"/>
      <c r="EO262" s="10"/>
      <c r="EP262" s="10"/>
      <c r="EQ262" s="11"/>
      <c r="ER262" s="10"/>
      <c r="ES262" s="11"/>
      <c r="ET262" s="11"/>
      <c r="EU262" s="10"/>
      <c r="EV262" s="10"/>
      <c r="EW262" s="10"/>
      <c r="EX262" s="10"/>
      <c r="EY262" s="18"/>
      <c r="FD262" s="18"/>
      <c r="FI262" s="17"/>
      <c r="GW262" s="12"/>
      <c r="GY262" s="13"/>
      <c r="JH262" s="12"/>
      <c r="JK262" s="12"/>
      <c r="KP262" s="13"/>
      <c r="KQ262" s="12"/>
      <c r="KS262" s="12"/>
      <c r="LY262" s="12"/>
      <c r="MJ262" s="13"/>
      <c r="NT262" s="13"/>
      <c r="NW262" s="13"/>
      <c r="PA262" s="12"/>
      <c r="PD262" s="12"/>
      <c r="PO262" s="13"/>
      <c r="PQ262" s="13"/>
      <c r="RG262" s="13"/>
      <c r="RH262" s="12"/>
      <c r="RI262" s="13"/>
      <c r="TM262" s="13"/>
      <c r="TP262" s="13"/>
    </row>
    <row r="263" spans="80:536" ht="10.75" customHeight="1">
      <c r="CB263" s="12"/>
      <c r="CD263" s="13"/>
      <c r="EA263" s="12"/>
      <c r="EC263" s="14"/>
      <c r="ED263" s="15"/>
      <c r="EE263" s="15"/>
      <c r="EF263" s="15"/>
      <c r="EG263" s="15"/>
      <c r="EH263" s="15"/>
      <c r="EI263" s="15"/>
      <c r="EJ263" s="15"/>
      <c r="EK263" s="15"/>
      <c r="EL263" s="15"/>
      <c r="EM263" s="14"/>
      <c r="EN263" s="15"/>
      <c r="EO263" s="15"/>
      <c r="EP263" s="15"/>
      <c r="EQ263" s="16"/>
      <c r="ER263" s="15"/>
      <c r="ES263" s="16"/>
      <c r="ET263" s="16"/>
      <c r="EU263" s="15"/>
      <c r="EV263" s="15"/>
      <c r="EY263" s="18"/>
      <c r="FD263" s="18"/>
      <c r="FI263" s="18"/>
      <c r="GW263" s="12"/>
      <c r="GY263" s="13"/>
      <c r="JH263" s="12"/>
      <c r="JK263" s="12"/>
      <c r="KP263" s="13"/>
      <c r="KQ263" s="12"/>
      <c r="KS263" s="12"/>
      <c r="LY263" s="12"/>
      <c r="MJ263" s="13"/>
      <c r="NT263" s="13"/>
      <c r="NW263" s="13"/>
      <c r="PA263" s="12"/>
      <c r="PD263" s="12"/>
      <c r="PO263" s="13"/>
      <c r="PQ263" s="13"/>
      <c r="RG263" s="13"/>
      <c r="RH263" s="12"/>
      <c r="RI263" s="13"/>
      <c r="TM263" s="13"/>
      <c r="TP263" s="13"/>
    </row>
    <row r="264" spans="80:536" ht="10.75" customHeight="1">
      <c r="CB264" s="12"/>
      <c r="CD264" s="13"/>
      <c r="EA264" s="12"/>
      <c r="EB264" s="13"/>
      <c r="ET264" s="19"/>
      <c r="EW264" s="12"/>
      <c r="EY264" s="18"/>
      <c r="FD264" s="18"/>
      <c r="FI264" s="18"/>
      <c r="GA264" s="9"/>
      <c r="GB264" s="10"/>
      <c r="GC264" s="10"/>
      <c r="GD264" s="10"/>
      <c r="GE264" s="10"/>
      <c r="GF264" s="10"/>
      <c r="GG264" s="10"/>
      <c r="GH264" s="10"/>
      <c r="GI264" s="10"/>
      <c r="GJ264" s="10"/>
      <c r="GK264" s="10"/>
      <c r="GL264" s="10"/>
      <c r="GM264" s="10"/>
      <c r="GN264" s="11"/>
      <c r="GW264" s="12"/>
      <c r="GY264" s="13"/>
      <c r="JH264" s="12"/>
      <c r="JK264" s="12"/>
      <c r="KP264" s="13"/>
      <c r="KQ264" s="12"/>
      <c r="KS264" s="12"/>
      <c r="LY264" s="12"/>
      <c r="MJ264" s="13"/>
      <c r="NT264" s="13"/>
      <c r="NW264" s="13"/>
      <c r="PA264" s="12"/>
      <c r="PD264" s="12"/>
      <c r="PO264" s="13"/>
      <c r="PQ264" s="13"/>
      <c r="RG264" s="13"/>
      <c r="RH264" s="12"/>
      <c r="RI264" s="13"/>
      <c r="TM264" s="13"/>
      <c r="TP264" s="13"/>
    </row>
    <row r="265" spans="80:536" ht="10.75" customHeight="1">
      <c r="CB265" s="12"/>
      <c r="CD265" s="13"/>
      <c r="EA265" s="12"/>
      <c r="EB265" s="13"/>
      <c r="ER265" s="9"/>
      <c r="ES265" s="10"/>
      <c r="ET265" s="10"/>
      <c r="EU265" s="10"/>
      <c r="EV265" s="10"/>
      <c r="EW265" s="12"/>
      <c r="EY265" s="18"/>
      <c r="FD265" s="18"/>
      <c r="FI265" s="18"/>
      <c r="FN265" s="17"/>
      <c r="GA265" s="12"/>
      <c r="GB265" s="9"/>
      <c r="GC265" s="10"/>
      <c r="GD265" s="10"/>
      <c r="GE265" s="10"/>
      <c r="GF265" s="10"/>
      <c r="GG265" s="10"/>
      <c r="GH265" s="9"/>
      <c r="GI265" s="10"/>
      <c r="GJ265" s="10"/>
      <c r="GK265" s="10"/>
      <c r="GL265" s="10"/>
      <c r="GM265" s="11"/>
      <c r="GN265" s="13"/>
      <c r="GW265" s="12"/>
      <c r="GY265" s="13"/>
      <c r="JH265" s="12"/>
      <c r="JK265" s="12"/>
      <c r="KP265" s="13"/>
      <c r="KQ265" s="12"/>
      <c r="KS265" s="12"/>
      <c r="LY265" s="12"/>
      <c r="MJ265" s="13"/>
      <c r="NT265" s="13"/>
      <c r="NW265" s="13"/>
      <c r="PA265" s="12"/>
      <c r="PD265" s="12"/>
      <c r="PO265" s="13"/>
      <c r="PQ265" s="13"/>
      <c r="RG265" s="13"/>
      <c r="RH265" s="9"/>
      <c r="RI265" s="11"/>
      <c r="TM265" s="13"/>
      <c r="TP265" s="13"/>
    </row>
    <row r="266" spans="80:536" ht="10.75" customHeight="1">
      <c r="CB266" s="12"/>
      <c r="CD266" s="13"/>
      <c r="EA266" s="12"/>
      <c r="EB266" s="13"/>
      <c r="ER266" s="14"/>
      <c r="ES266" s="15"/>
      <c r="ET266" s="15"/>
      <c r="EU266" s="15"/>
      <c r="EV266" s="15"/>
      <c r="EW266" s="12"/>
      <c r="EY266" s="18"/>
      <c r="FD266" s="18"/>
      <c r="FI266" s="18"/>
      <c r="FN266" s="18"/>
      <c r="GA266" s="12"/>
      <c r="GB266" s="12"/>
      <c r="GH266" s="12"/>
      <c r="GM266" s="13"/>
      <c r="GN266" s="13"/>
      <c r="GW266" s="12"/>
      <c r="GY266" s="13"/>
      <c r="JH266" s="12"/>
      <c r="JK266" s="12"/>
      <c r="KP266" s="13"/>
      <c r="KQ266" s="12"/>
      <c r="KS266" s="12"/>
      <c r="LY266" s="12"/>
      <c r="MJ266" s="13"/>
      <c r="NT266" s="13"/>
      <c r="NW266" s="13"/>
      <c r="PA266" s="12"/>
      <c r="PD266" s="12"/>
      <c r="PO266" s="13"/>
      <c r="PQ266" s="13"/>
      <c r="RG266" s="13"/>
      <c r="RH266" s="14"/>
      <c r="RI266" s="16"/>
      <c r="TM266" s="13"/>
      <c r="TP266" s="13"/>
    </row>
    <row r="267" spans="80:536" ht="10.75" customHeight="1">
      <c r="CB267" s="12"/>
      <c r="CD267" s="13"/>
      <c r="EA267" s="12"/>
      <c r="EB267" s="13"/>
      <c r="EW267" s="12"/>
      <c r="EY267" s="19"/>
      <c r="FD267" s="18"/>
      <c r="FI267" s="18"/>
      <c r="FN267" s="18"/>
      <c r="GA267" s="12"/>
      <c r="GB267" s="12"/>
      <c r="GH267" s="12"/>
      <c r="GM267" s="13"/>
      <c r="GN267" s="13"/>
      <c r="GW267" s="12"/>
      <c r="GY267" s="13"/>
      <c r="JH267" s="12"/>
      <c r="JK267" s="12"/>
      <c r="KP267" s="13"/>
      <c r="KQ267" s="12"/>
      <c r="KS267" s="12"/>
      <c r="LY267" s="12"/>
      <c r="MJ267" s="13"/>
      <c r="NT267" s="13"/>
      <c r="NW267" s="13"/>
      <c r="PA267" s="12"/>
      <c r="PD267" s="12"/>
      <c r="PO267" s="13"/>
      <c r="PQ267" s="13"/>
      <c r="RG267" s="13"/>
      <c r="RH267" s="12"/>
      <c r="RI267" s="13"/>
      <c r="TM267" s="13"/>
      <c r="TP267" s="13"/>
    </row>
    <row r="268" spans="80:536" ht="10.75" customHeight="1">
      <c r="CB268" s="12"/>
      <c r="CD268" s="13"/>
      <c r="EA268" s="12"/>
      <c r="EB268" s="13"/>
      <c r="EW268" s="9"/>
      <c r="EX268" s="11"/>
      <c r="EY268" s="10"/>
      <c r="EZ268" s="10"/>
      <c r="FA268" s="11"/>
      <c r="FD268" s="18"/>
      <c r="FI268" s="18"/>
      <c r="FN268" s="18"/>
      <c r="FS268" s="17"/>
      <c r="GA268" s="12"/>
      <c r="GB268" s="12"/>
      <c r="GH268" s="12"/>
      <c r="GM268" s="13"/>
      <c r="GN268" s="13"/>
      <c r="GW268" s="12"/>
      <c r="GY268" s="13"/>
      <c r="JH268" s="12"/>
      <c r="JK268" s="12"/>
      <c r="KP268" s="13"/>
      <c r="KQ268" s="12"/>
      <c r="KS268" s="12"/>
      <c r="LY268" s="12"/>
      <c r="MJ268" s="13"/>
      <c r="NT268" s="13"/>
      <c r="NW268" s="13"/>
      <c r="PA268" s="12"/>
      <c r="PD268" s="12"/>
      <c r="PO268" s="13"/>
      <c r="PQ268" s="13"/>
      <c r="RG268" s="13"/>
      <c r="RH268" s="12"/>
      <c r="RI268" s="13"/>
      <c r="TM268" s="13"/>
      <c r="TP268" s="13"/>
    </row>
    <row r="269" spans="80:536" ht="10.75" customHeight="1">
      <c r="CB269" s="12"/>
      <c r="CD269" s="13"/>
      <c r="EA269" s="12"/>
      <c r="EB269" s="13"/>
      <c r="EW269" s="14"/>
      <c r="EX269" s="16"/>
      <c r="EY269" s="15"/>
      <c r="EZ269" s="15"/>
      <c r="FA269" s="16"/>
      <c r="FD269" s="18"/>
      <c r="FI269" s="18"/>
      <c r="FN269" s="18"/>
      <c r="FS269" s="18"/>
      <c r="GA269" s="12"/>
      <c r="GB269" s="12"/>
      <c r="GH269" s="12"/>
      <c r="GM269" s="13"/>
      <c r="GN269" s="13"/>
      <c r="GW269" s="12"/>
      <c r="GY269" s="13"/>
      <c r="JH269" s="12"/>
      <c r="JK269" s="12"/>
      <c r="KP269" s="13"/>
      <c r="KQ269" s="12"/>
      <c r="KS269" s="12"/>
      <c r="LY269" s="12"/>
      <c r="MJ269" s="13"/>
      <c r="NT269" s="13"/>
      <c r="NW269" s="13"/>
      <c r="PA269" s="12"/>
      <c r="PD269" s="12"/>
      <c r="PO269" s="13"/>
      <c r="PQ269" s="13"/>
      <c r="RG269" s="13"/>
      <c r="RH269" s="12"/>
      <c r="RI269" s="13"/>
      <c r="TM269" s="13"/>
      <c r="TP269" s="13"/>
    </row>
    <row r="270" spans="80:536" ht="10.75" customHeight="1">
      <c r="CB270" s="12"/>
      <c r="CD270" s="13"/>
      <c r="EA270" s="12"/>
      <c r="EB270" s="13"/>
      <c r="EW270" s="12"/>
      <c r="EX270" s="13"/>
      <c r="FD270" s="19"/>
      <c r="FI270" s="18"/>
      <c r="FN270" s="18"/>
      <c r="FS270" s="18"/>
      <c r="GA270" s="12"/>
      <c r="GB270" s="14"/>
      <c r="GC270" s="15"/>
      <c r="GD270" s="15"/>
      <c r="GE270" s="15"/>
      <c r="GF270" s="15"/>
      <c r="GG270" s="15"/>
      <c r="GH270" s="14"/>
      <c r="GI270" s="15"/>
      <c r="GJ270" s="15"/>
      <c r="GK270" s="15"/>
      <c r="GL270" s="15"/>
      <c r="GM270" s="16"/>
      <c r="GN270" s="13"/>
      <c r="GW270" s="12"/>
      <c r="GY270" s="13"/>
      <c r="JH270" s="12"/>
      <c r="JK270" s="12"/>
      <c r="KP270" s="13"/>
      <c r="KQ270" s="12"/>
      <c r="KS270" s="12"/>
      <c r="LY270" s="12"/>
      <c r="MJ270" s="13"/>
      <c r="NT270" s="13"/>
      <c r="NW270" s="13"/>
      <c r="PA270" s="12"/>
      <c r="PD270" s="12"/>
      <c r="PO270" s="13"/>
      <c r="PQ270" s="13"/>
      <c r="RG270" s="13"/>
      <c r="RH270" s="12"/>
      <c r="RI270" s="13"/>
      <c r="TM270" s="13"/>
      <c r="TP270" s="13"/>
    </row>
    <row r="271" spans="80:536" ht="10.75" customHeight="1">
      <c r="CB271" s="12"/>
      <c r="CD271" s="13"/>
      <c r="EA271" s="12"/>
      <c r="EB271" s="13"/>
      <c r="EW271" s="12"/>
      <c r="EX271" s="13"/>
      <c r="FB271" s="9"/>
      <c r="FC271" s="10"/>
      <c r="FD271" s="10"/>
      <c r="FE271" s="10"/>
      <c r="FF271" s="11"/>
      <c r="FI271" s="18"/>
      <c r="FN271" s="18"/>
      <c r="FS271" s="18"/>
      <c r="FX271" s="17"/>
      <c r="GA271" s="12"/>
      <c r="GB271" s="12"/>
      <c r="GH271" s="12"/>
      <c r="GM271" s="13"/>
      <c r="GN271" s="13"/>
      <c r="GW271" s="12"/>
      <c r="GY271" s="13"/>
      <c r="JH271" s="12"/>
      <c r="JK271" s="12"/>
      <c r="KP271" s="13"/>
      <c r="KQ271" s="12"/>
      <c r="KS271" s="12"/>
      <c r="LY271" s="12"/>
      <c r="MJ271" s="13"/>
      <c r="NT271" s="13"/>
      <c r="NW271" s="13"/>
      <c r="PA271" s="12"/>
      <c r="PD271" s="12"/>
      <c r="PO271" s="13"/>
      <c r="PQ271" s="13"/>
      <c r="RG271" s="13"/>
      <c r="RH271" s="12"/>
      <c r="RI271" s="13"/>
      <c r="TM271" s="13"/>
      <c r="TP271" s="13"/>
    </row>
    <row r="272" spans="80:536" ht="10.75" customHeight="1">
      <c r="CB272" s="12"/>
      <c r="CD272" s="13"/>
      <c r="EA272" s="12"/>
      <c r="EB272" s="13"/>
      <c r="EW272" s="12"/>
      <c r="EX272" s="13"/>
      <c r="FB272" s="14"/>
      <c r="FC272" s="15"/>
      <c r="FD272" s="15"/>
      <c r="FE272" s="15"/>
      <c r="FF272" s="16"/>
      <c r="FI272" s="18"/>
      <c r="FN272" s="18"/>
      <c r="FS272" s="18"/>
      <c r="FX272" s="18"/>
      <c r="GA272" s="12"/>
      <c r="GB272" s="12"/>
      <c r="GH272" s="12"/>
      <c r="GM272" s="13"/>
      <c r="GN272" s="13"/>
      <c r="GW272" s="12"/>
      <c r="GY272" s="13"/>
      <c r="JH272" s="12"/>
      <c r="JK272" s="12"/>
      <c r="KP272" s="13"/>
      <c r="KQ272" s="12"/>
      <c r="KS272" s="12"/>
      <c r="LY272" s="12"/>
      <c r="MJ272" s="13"/>
      <c r="NT272" s="13"/>
      <c r="NW272" s="13"/>
      <c r="PA272" s="12"/>
      <c r="PD272" s="12"/>
      <c r="PO272" s="13"/>
      <c r="PQ272" s="13"/>
      <c r="RG272" s="13"/>
      <c r="RH272" s="12"/>
      <c r="RI272" s="13"/>
      <c r="TM272" s="13"/>
      <c r="TP272" s="13"/>
    </row>
    <row r="273" spans="80:536" ht="10.75" customHeight="1">
      <c r="CB273" s="12"/>
      <c r="CD273" s="13"/>
      <c r="EA273" s="12"/>
      <c r="EB273" s="13"/>
      <c r="EW273" s="12"/>
      <c r="EX273" s="13"/>
      <c r="FI273" s="19"/>
      <c r="FN273" s="18"/>
      <c r="FS273" s="18"/>
      <c r="FX273" s="18"/>
      <c r="GA273" s="12"/>
      <c r="GB273" s="12"/>
      <c r="GH273" s="12"/>
      <c r="GM273" s="13"/>
      <c r="GN273" s="13"/>
      <c r="GW273" s="12"/>
      <c r="GY273" s="13"/>
      <c r="JH273" s="12"/>
      <c r="JK273" s="12"/>
      <c r="KP273" s="13"/>
      <c r="KQ273" s="12"/>
      <c r="KS273" s="12"/>
      <c r="LY273" s="12"/>
      <c r="MJ273" s="13"/>
      <c r="NT273" s="13"/>
      <c r="NW273" s="13"/>
      <c r="PA273" s="12"/>
      <c r="PD273" s="12"/>
      <c r="PO273" s="13"/>
      <c r="PQ273" s="13"/>
      <c r="RG273" s="13"/>
      <c r="RH273" s="12"/>
      <c r="RI273" s="13"/>
      <c r="TM273" s="13"/>
      <c r="TP273" s="13"/>
    </row>
    <row r="274" spans="80:536" ht="10.75" customHeight="1">
      <c r="CB274" s="12"/>
      <c r="CD274" s="13"/>
      <c r="EA274" s="12"/>
      <c r="EB274" s="13"/>
      <c r="EW274" s="12"/>
      <c r="EX274" s="13"/>
      <c r="FG274" s="9"/>
      <c r="FH274" s="10"/>
      <c r="FI274" s="10"/>
      <c r="FJ274" s="10"/>
      <c r="FK274" s="11"/>
      <c r="FN274" s="18"/>
      <c r="FS274" s="18"/>
      <c r="FX274" s="18"/>
      <c r="GA274" s="12"/>
      <c r="GB274" s="12"/>
      <c r="GC274" s="17"/>
      <c r="GH274" s="12"/>
      <c r="GM274" s="13"/>
      <c r="GN274" s="13"/>
      <c r="GW274" s="12"/>
      <c r="GY274" s="13"/>
      <c r="JH274" s="12"/>
      <c r="JK274" s="12"/>
      <c r="KP274" s="13"/>
      <c r="KQ274" s="12"/>
      <c r="KS274" s="12"/>
      <c r="LY274" s="12"/>
      <c r="MJ274" s="13"/>
      <c r="NT274" s="13"/>
      <c r="NW274" s="13"/>
      <c r="PA274" s="12"/>
      <c r="PD274" s="14"/>
      <c r="PE274" s="15"/>
      <c r="PF274" s="15"/>
      <c r="PG274" s="15"/>
      <c r="PH274" s="15"/>
      <c r="PI274" s="15"/>
      <c r="PJ274" s="15"/>
      <c r="PK274" s="15"/>
      <c r="PL274" s="15"/>
      <c r="PM274" s="15"/>
      <c r="PN274" s="15"/>
      <c r="PO274" s="16"/>
      <c r="PP274" s="15"/>
      <c r="PQ274" s="16"/>
      <c r="PR274" s="15"/>
      <c r="PS274" s="15"/>
      <c r="PT274" s="15"/>
      <c r="PU274" s="15"/>
      <c r="PV274" s="15"/>
      <c r="PW274" s="15"/>
      <c r="PX274" s="15"/>
      <c r="PY274" s="15"/>
      <c r="PZ274" s="15"/>
      <c r="QA274" s="15"/>
      <c r="QB274" s="15"/>
      <c r="QC274" s="15"/>
      <c r="QD274" s="15"/>
      <c r="QE274" s="15"/>
      <c r="QF274" s="15"/>
      <c r="QG274" s="15"/>
      <c r="QH274" s="15"/>
      <c r="QI274" s="15"/>
      <c r="QJ274" s="15"/>
      <c r="QK274" s="15"/>
      <c r="QL274" s="15"/>
      <c r="QM274" s="15"/>
      <c r="QN274" s="15"/>
      <c r="QO274" s="15"/>
      <c r="QP274" s="15"/>
      <c r="QQ274" s="15"/>
      <c r="QR274" s="15"/>
      <c r="QS274" s="15"/>
      <c r="QT274" s="15"/>
      <c r="QU274" s="15"/>
      <c r="QV274" s="15"/>
      <c r="QW274" s="15"/>
      <c r="QX274" s="15"/>
      <c r="QY274" s="15"/>
      <c r="QZ274" s="15"/>
      <c r="RA274" s="15"/>
      <c r="RB274" s="15"/>
      <c r="RC274" s="15"/>
      <c r="RD274" s="15"/>
      <c r="RE274" s="15"/>
      <c r="RF274" s="15"/>
      <c r="RG274" s="16"/>
      <c r="RH274" s="12"/>
      <c r="RI274" s="13"/>
      <c r="TM274" s="13"/>
      <c r="TP274" s="13"/>
    </row>
    <row r="275" spans="80:536" ht="10.75" customHeight="1">
      <c r="CB275" s="12"/>
      <c r="CD275" s="13"/>
      <c r="EA275" s="12"/>
      <c r="EB275" s="13"/>
      <c r="EW275" s="12"/>
      <c r="EX275" s="13"/>
      <c r="FG275" s="14"/>
      <c r="FH275" s="15"/>
      <c r="FI275" s="15"/>
      <c r="FJ275" s="15"/>
      <c r="FK275" s="16"/>
      <c r="FN275" s="18"/>
      <c r="FS275" s="18"/>
      <c r="FX275" s="18"/>
      <c r="GA275" s="12"/>
      <c r="GB275" s="12"/>
      <c r="GC275" s="18"/>
      <c r="GH275" s="12"/>
      <c r="GM275" s="13"/>
      <c r="GN275" s="13"/>
      <c r="GW275" s="12"/>
      <c r="GY275" s="13"/>
      <c r="JH275" s="12"/>
      <c r="JK275" s="12"/>
      <c r="KP275" s="13"/>
      <c r="KQ275" s="12"/>
      <c r="KS275" s="12"/>
      <c r="LY275" s="12"/>
      <c r="MJ275" s="13"/>
      <c r="NT275" s="13"/>
      <c r="NW275" s="13"/>
      <c r="PA275" s="12"/>
      <c r="PD275" s="12"/>
      <c r="PO275" s="13"/>
      <c r="PQ275" s="13"/>
      <c r="RG275" s="13"/>
      <c r="RH275" s="12"/>
      <c r="RI275" s="13"/>
      <c r="TM275" s="13"/>
      <c r="TP275" s="13"/>
    </row>
    <row r="276" spans="80:536" ht="10.75" customHeight="1">
      <c r="CB276" s="12"/>
      <c r="CD276" s="13"/>
      <c r="EA276" s="12"/>
      <c r="EB276" s="13"/>
      <c r="EW276" s="12"/>
      <c r="EX276" s="13"/>
      <c r="FN276" s="19"/>
      <c r="FS276" s="18"/>
      <c r="FX276" s="18"/>
      <c r="GA276" s="12"/>
      <c r="GB276" s="14"/>
      <c r="GC276" s="19"/>
      <c r="GD276" s="15"/>
      <c r="GE276" s="15"/>
      <c r="GF276" s="15"/>
      <c r="GG276" s="15"/>
      <c r="GH276" s="14"/>
      <c r="GI276" s="15"/>
      <c r="GJ276" s="15"/>
      <c r="GK276" s="15"/>
      <c r="GL276" s="15"/>
      <c r="GM276" s="16"/>
      <c r="GN276" s="13"/>
      <c r="GW276" s="12"/>
      <c r="GY276" s="13"/>
      <c r="JH276" s="12"/>
      <c r="JK276" s="12"/>
      <c r="KP276" s="13"/>
      <c r="KQ276" s="12"/>
      <c r="KS276" s="12"/>
      <c r="LY276" s="12"/>
      <c r="MJ276" s="13"/>
      <c r="NT276" s="13"/>
      <c r="NW276" s="13"/>
      <c r="PA276" s="12"/>
      <c r="PD276" s="14"/>
      <c r="PE276" s="15"/>
      <c r="PF276" s="15"/>
      <c r="PG276" s="15"/>
      <c r="PH276" s="15"/>
      <c r="PI276" s="15"/>
      <c r="PJ276" s="15"/>
      <c r="PK276" s="15"/>
      <c r="PL276" s="15"/>
      <c r="PM276" s="15"/>
      <c r="PN276" s="15"/>
      <c r="PO276" s="16"/>
      <c r="PP276" s="15"/>
      <c r="PQ276" s="16"/>
      <c r="PR276" s="15"/>
      <c r="PS276" s="15"/>
      <c r="PT276" s="15"/>
      <c r="PU276" s="15"/>
      <c r="PV276" s="15"/>
      <c r="PW276" s="15"/>
      <c r="PX276" s="15"/>
      <c r="PY276" s="15"/>
      <c r="PZ276" s="15"/>
      <c r="QA276" s="15"/>
      <c r="QB276" s="15"/>
      <c r="QC276" s="15"/>
      <c r="QD276" s="15"/>
      <c r="QE276" s="15"/>
      <c r="QF276" s="15"/>
      <c r="QG276" s="15"/>
      <c r="QH276" s="15"/>
      <c r="QI276" s="15"/>
      <c r="QJ276" s="15"/>
      <c r="QK276" s="15"/>
      <c r="QL276" s="15"/>
      <c r="QM276" s="15"/>
      <c r="QN276" s="15"/>
      <c r="QO276" s="15"/>
      <c r="QP276" s="15"/>
      <c r="QQ276" s="15"/>
      <c r="QR276" s="15"/>
      <c r="QS276" s="15"/>
      <c r="QT276" s="15"/>
      <c r="QU276" s="15"/>
      <c r="QV276" s="15"/>
      <c r="QW276" s="15"/>
      <c r="QX276" s="15"/>
      <c r="QY276" s="15"/>
      <c r="QZ276" s="15"/>
      <c r="RA276" s="15"/>
      <c r="RB276" s="15"/>
      <c r="RC276" s="15"/>
      <c r="RD276" s="15"/>
      <c r="RE276" s="15"/>
      <c r="RF276" s="15"/>
      <c r="RG276" s="16"/>
      <c r="RH276" s="12"/>
      <c r="RI276" s="13"/>
      <c r="TM276" s="13"/>
      <c r="TP276" s="13"/>
    </row>
    <row r="277" spans="80:536" ht="10.75" customHeight="1">
      <c r="CB277" s="12"/>
      <c r="CD277" s="13"/>
      <c r="EA277" s="12"/>
      <c r="EB277" s="13"/>
      <c r="EW277" s="12"/>
      <c r="EX277" s="13"/>
      <c r="FL277" s="9"/>
      <c r="FM277" s="10"/>
      <c r="FN277" s="10"/>
      <c r="FO277" s="10"/>
      <c r="FP277" s="11"/>
      <c r="FS277" s="18"/>
      <c r="FX277" s="18"/>
      <c r="GA277" s="14"/>
      <c r="GB277" s="15"/>
      <c r="GC277" s="19"/>
      <c r="GD277" s="15"/>
      <c r="GE277" s="15"/>
      <c r="GF277" s="15"/>
      <c r="GG277" s="15"/>
      <c r="GH277" s="19"/>
      <c r="GI277" s="15"/>
      <c r="GJ277" s="15"/>
      <c r="GK277" s="15"/>
      <c r="GL277" s="15"/>
      <c r="GM277" s="15"/>
      <c r="GN277" s="16"/>
      <c r="GW277" s="12"/>
      <c r="GY277" s="13"/>
      <c r="JH277" s="12"/>
      <c r="JK277" s="12"/>
      <c r="KP277" s="13"/>
      <c r="KQ277" s="12"/>
      <c r="KS277" s="12"/>
      <c r="LY277" s="12"/>
      <c r="MJ277" s="13"/>
      <c r="NT277" s="13"/>
      <c r="NW277" s="13"/>
      <c r="PA277" s="12"/>
      <c r="PD277" s="12"/>
      <c r="PO277" s="13"/>
      <c r="PQ277" s="13"/>
      <c r="PR277" s="12"/>
      <c r="RG277" s="13"/>
      <c r="RH277" s="12"/>
      <c r="RI277" s="13"/>
      <c r="TM277" s="13"/>
      <c r="TP277" s="13"/>
    </row>
    <row r="278" spans="80:536" ht="10.75" customHeight="1">
      <c r="CB278" s="12"/>
      <c r="CD278" s="13"/>
      <c r="EA278" s="12"/>
      <c r="EB278" s="13"/>
      <c r="EL278" s="12"/>
      <c r="EO278" s="13"/>
      <c r="EW278" s="12"/>
      <c r="EX278" s="13"/>
      <c r="FL278" s="14"/>
      <c r="FM278" s="15"/>
      <c r="FN278" s="15"/>
      <c r="FO278" s="15"/>
      <c r="FP278" s="16"/>
      <c r="FS278" s="18"/>
      <c r="FX278" s="18"/>
      <c r="GC278" s="18"/>
      <c r="GH278" s="18"/>
      <c r="GW278" s="12"/>
      <c r="GY278" s="13"/>
      <c r="JH278" s="12"/>
      <c r="JK278" s="14"/>
      <c r="JL278" s="15"/>
      <c r="JM278" s="15"/>
      <c r="JN278" s="15"/>
      <c r="JO278" s="15"/>
      <c r="JP278" s="15"/>
      <c r="JQ278" s="15"/>
      <c r="JR278" s="15"/>
      <c r="JS278" s="15"/>
      <c r="JT278" s="15"/>
      <c r="JU278" s="15"/>
      <c r="JV278" s="15"/>
      <c r="JW278" s="15"/>
      <c r="JX278" s="15"/>
      <c r="JY278" s="15"/>
      <c r="JZ278" s="15"/>
      <c r="KA278" s="15"/>
      <c r="KB278" s="15"/>
      <c r="KC278" s="15"/>
      <c r="KD278" s="15"/>
      <c r="KE278" s="15"/>
      <c r="KF278" s="15"/>
      <c r="KG278" s="15"/>
      <c r="KH278" s="15"/>
      <c r="KI278" s="15"/>
      <c r="KJ278" s="15"/>
      <c r="KK278" s="15"/>
      <c r="KL278" s="15"/>
      <c r="KM278" s="15"/>
      <c r="KN278" s="15"/>
      <c r="KO278" s="15"/>
      <c r="KP278" s="16"/>
      <c r="KQ278" s="14"/>
      <c r="KR278" s="15"/>
      <c r="KS278" s="12"/>
      <c r="LY278" s="12"/>
      <c r="MJ278" s="13"/>
      <c r="NT278" s="13"/>
      <c r="NW278" s="13"/>
      <c r="PA278" s="12"/>
      <c r="PD278" s="12"/>
      <c r="PO278" s="13"/>
      <c r="PQ278" s="13"/>
      <c r="PR278" s="12"/>
      <c r="RG278" s="13"/>
      <c r="RH278" s="12"/>
      <c r="RI278" s="13"/>
      <c r="TM278" s="13"/>
      <c r="TP278" s="13"/>
    </row>
    <row r="279" spans="80:536" ht="10.75" customHeight="1">
      <c r="CB279" s="12"/>
      <c r="CD279" s="13"/>
      <c r="EA279" s="12"/>
      <c r="EB279" s="13"/>
      <c r="EL279" s="12"/>
      <c r="EO279" s="13"/>
      <c r="EW279" s="12"/>
      <c r="EX279" s="13"/>
      <c r="FS279" s="19"/>
      <c r="FX279" s="18"/>
      <c r="GC279" s="18"/>
      <c r="GH279" s="18"/>
      <c r="GW279" s="12"/>
      <c r="GY279" s="13"/>
      <c r="JH279" s="12"/>
      <c r="JK279" s="9"/>
      <c r="JL279" s="10"/>
      <c r="JM279" s="10"/>
      <c r="JN279" s="10"/>
      <c r="JO279" s="10"/>
      <c r="JP279" s="10"/>
      <c r="JQ279" s="10"/>
      <c r="JR279" s="10"/>
      <c r="JS279" s="10"/>
      <c r="JT279" s="10"/>
      <c r="JU279" s="10"/>
      <c r="JV279" s="10"/>
      <c r="JW279" s="10"/>
      <c r="JX279" s="10"/>
      <c r="JY279" s="10"/>
      <c r="JZ279" s="10"/>
      <c r="KA279" s="10"/>
      <c r="KB279" s="10"/>
      <c r="KC279" s="10"/>
      <c r="KD279" s="10"/>
      <c r="KE279" s="10"/>
      <c r="KF279" s="10"/>
      <c r="KG279" s="10"/>
      <c r="KH279" s="10"/>
      <c r="KI279" s="10"/>
      <c r="KJ279" s="10"/>
      <c r="KK279" s="10"/>
      <c r="KL279" s="10"/>
      <c r="KM279" s="10"/>
      <c r="KN279" s="10"/>
      <c r="KO279" s="10"/>
      <c r="KP279" s="10"/>
      <c r="KQ279" s="10"/>
      <c r="KR279" s="10"/>
      <c r="KS279" s="12"/>
      <c r="LY279" s="12"/>
      <c r="MJ279" s="13"/>
      <c r="NT279" s="13"/>
      <c r="NW279" s="13"/>
      <c r="PA279" s="12"/>
      <c r="PD279" s="12"/>
      <c r="PO279" s="13"/>
      <c r="PQ279" s="13"/>
      <c r="PR279" s="12"/>
      <c r="RG279" s="13"/>
      <c r="RH279" s="12"/>
      <c r="RI279" s="13"/>
      <c r="TM279" s="13"/>
      <c r="TP279" s="13"/>
    </row>
    <row r="280" spans="80:536" ht="10.75" customHeight="1">
      <c r="CB280" s="12"/>
      <c r="CD280" s="13"/>
      <c r="EA280" s="12"/>
      <c r="EB280" s="13"/>
      <c r="EL280" s="12"/>
      <c r="EO280" s="13"/>
      <c r="EW280" s="12"/>
      <c r="EX280" s="13"/>
      <c r="FQ280" s="9"/>
      <c r="FR280" s="10"/>
      <c r="FS280" s="10"/>
      <c r="FT280" s="10"/>
      <c r="FU280" s="11"/>
      <c r="FX280" s="18"/>
      <c r="GC280" s="18"/>
      <c r="GH280" s="18"/>
      <c r="GW280" s="12"/>
      <c r="GY280" s="13"/>
      <c r="JH280" s="12"/>
      <c r="JK280" s="14"/>
      <c r="JL280" s="15"/>
      <c r="JM280" s="15"/>
      <c r="JN280" s="15"/>
      <c r="JO280" s="15"/>
      <c r="JP280" s="15"/>
      <c r="JQ280" s="15"/>
      <c r="JR280" s="15"/>
      <c r="JS280" s="15"/>
      <c r="JT280" s="15"/>
      <c r="JU280" s="15"/>
      <c r="JV280" s="15"/>
      <c r="JW280" s="15"/>
      <c r="JX280" s="15"/>
      <c r="JY280" s="15"/>
      <c r="JZ280" s="15"/>
      <c r="KA280" s="15"/>
      <c r="KB280" s="15"/>
      <c r="KC280" s="15"/>
      <c r="KD280" s="15"/>
      <c r="KE280" s="15"/>
      <c r="KF280" s="15"/>
      <c r="KG280" s="15"/>
      <c r="KH280" s="15"/>
      <c r="KI280" s="15"/>
      <c r="KJ280" s="15"/>
      <c r="KK280" s="15"/>
      <c r="KL280" s="15"/>
      <c r="KM280" s="15"/>
      <c r="KN280" s="15"/>
      <c r="KO280" s="15"/>
      <c r="KP280" s="15"/>
      <c r="KQ280" s="15"/>
      <c r="KR280" s="15"/>
      <c r="KS280" s="12"/>
      <c r="LY280" s="12"/>
      <c r="MJ280" s="13"/>
      <c r="NT280" s="13"/>
      <c r="NW280" s="13"/>
      <c r="PA280" s="12"/>
      <c r="PD280" s="12"/>
      <c r="PO280" s="13"/>
      <c r="PQ280" s="13"/>
      <c r="PR280" s="12"/>
      <c r="RG280" s="13"/>
      <c r="RH280" s="12"/>
      <c r="RI280" s="13"/>
      <c r="TM280" s="13"/>
      <c r="TP280" s="13"/>
    </row>
    <row r="281" spans="80:536" ht="10.75" customHeight="1">
      <c r="CB281" s="12"/>
      <c r="CD281" s="13"/>
      <c r="EA281" s="12"/>
      <c r="EB281" s="13"/>
      <c r="EL281" s="12"/>
      <c r="EO281" s="13"/>
      <c r="EW281" s="12"/>
      <c r="EX281" s="13"/>
      <c r="FQ281" s="14"/>
      <c r="FR281" s="15"/>
      <c r="FS281" s="15"/>
      <c r="FT281" s="15"/>
      <c r="FU281" s="16"/>
      <c r="FX281" s="18"/>
      <c r="GC281" s="18"/>
      <c r="GH281" s="18"/>
      <c r="GW281" s="12"/>
      <c r="GY281" s="13"/>
      <c r="JH281" s="12"/>
      <c r="JK281" s="12"/>
      <c r="KQ281" s="9"/>
      <c r="KR281" s="10"/>
      <c r="KS281" s="12"/>
      <c r="LY281" s="12"/>
      <c r="MJ281" s="13"/>
      <c r="NT281" s="13"/>
      <c r="NW281" s="13"/>
      <c r="PA281" s="12"/>
      <c r="PD281" s="12"/>
      <c r="PO281" s="13"/>
      <c r="PQ281" s="13"/>
      <c r="PR281" s="12"/>
      <c r="RG281" s="13"/>
      <c r="RH281" s="12"/>
      <c r="RI281" s="13"/>
      <c r="TM281" s="13"/>
      <c r="TP281" s="13"/>
    </row>
    <row r="282" spans="80:536" ht="10.75" customHeight="1">
      <c r="CB282" s="12"/>
      <c r="CD282" s="13"/>
      <c r="EA282" s="12"/>
      <c r="EB282" s="13"/>
      <c r="EL282" s="12"/>
      <c r="EO282" s="13"/>
      <c r="EW282" s="12"/>
      <c r="EX282" s="13"/>
      <c r="FX282" s="19"/>
      <c r="GC282" s="18"/>
      <c r="GH282" s="18"/>
      <c r="GW282" s="12"/>
      <c r="GY282" s="13"/>
      <c r="JH282" s="12"/>
      <c r="JK282" s="12"/>
      <c r="KQ282" s="12"/>
      <c r="KS282" s="12"/>
      <c r="LY282" s="12"/>
      <c r="MJ282" s="13"/>
      <c r="NT282" s="13"/>
      <c r="NW282" s="13"/>
      <c r="PA282" s="12"/>
      <c r="PD282" s="12"/>
      <c r="PO282" s="13"/>
      <c r="PQ282" s="13"/>
      <c r="PR282" s="12"/>
      <c r="RG282" s="13"/>
      <c r="RH282" s="12"/>
      <c r="RI282" s="13"/>
      <c r="TM282" s="13"/>
      <c r="TP282" s="13"/>
    </row>
    <row r="283" spans="80:536" ht="10.75" customHeight="1">
      <c r="CB283" s="12"/>
      <c r="CD283" s="13"/>
      <c r="EA283" s="12"/>
      <c r="EB283" s="13"/>
      <c r="EL283" s="12"/>
      <c r="EO283" s="13"/>
      <c r="EW283" s="12"/>
      <c r="EX283" s="13"/>
      <c r="FV283" s="9"/>
      <c r="FW283" s="10"/>
      <c r="FX283" s="10"/>
      <c r="FY283" s="10"/>
      <c r="FZ283" s="11"/>
      <c r="GC283" s="18"/>
      <c r="GH283" s="18"/>
      <c r="GW283" s="12"/>
      <c r="GY283" s="13"/>
      <c r="JH283" s="12"/>
      <c r="JK283" s="12"/>
      <c r="KQ283" s="12"/>
      <c r="KS283" s="12"/>
      <c r="LY283" s="12"/>
      <c r="MJ283" s="13"/>
      <c r="NT283" s="13"/>
      <c r="NW283" s="13"/>
      <c r="PA283" s="12"/>
      <c r="PD283" s="12"/>
      <c r="PO283" s="13"/>
      <c r="PQ283" s="13"/>
      <c r="PR283" s="12"/>
      <c r="RG283" s="13"/>
      <c r="RH283" s="12"/>
      <c r="RI283" s="13"/>
      <c r="TM283" s="13"/>
      <c r="TP283" s="13"/>
    </row>
    <row r="284" spans="80:536" ht="10.75" customHeight="1">
      <c r="CB284" s="12"/>
      <c r="CD284" s="13"/>
      <c r="EA284" s="12"/>
      <c r="EB284" s="13"/>
      <c r="EL284" s="12"/>
      <c r="EO284" s="13"/>
      <c r="EW284" s="12"/>
      <c r="EX284" s="13"/>
      <c r="FV284" s="14"/>
      <c r="FW284" s="15"/>
      <c r="FX284" s="15"/>
      <c r="FY284" s="15"/>
      <c r="FZ284" s="16"/>
      <c r="GC284" s="18"/>
      <c r="GH284" s="18"/>
      <c r="GW284" s="12"/>
      <c r="GY284" s="13"/>
      <c r="JH284" s="12"/>
      <c r="JK284" s="12"/>
      <c r="KQ284" s="12"/>
      <c r="KS284" s="12"/>
      <c r="LY284" s="12"/>
      <c r="MJ284" s="13"/>
      <c r="NT284" s="13"/>
      <c r="NW284" s="13"/>
      <c r="PA284" s="12"/>
      <c r="PD284" s="12"/>
      <c r="PO284" s="13"/>
      <c r="PQ284" s="13"/>
      <c r="PR284" s="12"/>
      <c r="RG284" s="13"/>
      <c r="RH284" s="12"/>
      <c r="RI284" s="13"/>
      <c r="TM284" s="13"/>
      <c r="TP284" s="13"/>
    </row>
    <row r="285" spans="80:536" ht="10.75" customHeight="1">
      <c r="CB285" s="12"/>
      <c r="CD285" s="13"/>
      <c r="EA285" s="12"/>
      <c r="EB285" s="13"/>
      <c r="EL285" s="12"/>
      <c r="EO285" s="13"/>
      <c r="EW285" s="12"/>
      <c r="EX285" s="13"/>
      <c r="GC285" s="19"/>
      <c r="GH285" s="18"/>
      <c r="GW285" s="12"/>
      <c r="GY285" s="13"/>
      <c r="JH285" s="12"/>
      <c r="JK285" s="12"/>
      <c r="KQ285" s="12"/>
      <c r="KS285" s="12"/>
      <c r="LY285" s="12"/>
      <c r="MJ285" s="13"/>
      <c r="NT285" s="13"/>
      <c r="NW285" s="13"/>
      <c r="PA285" s="12"/>
      <c r="PD285" s="12"/>
      <c r="PO285" s="13"/>
      <c r="PQ285" s="13"/>
      <c r="PR285" s="12"/>
      <c r="RG285" s="13"/>
      <c r="RH285" s="12"/>
      <c r="RI285" s="13"/>
      <c r="TM285" s="13"/>
      <c r="TP285" s="13"/>
    </row>
    <row r="286" spans="80:536" ht="10.75" customHeight="1">
      <c r="CB286" s="12"/>
      <c r="CD286" s="13"/>
      <c r="EA286" s="12"/>
      <c r="EB286" s="13"/>
      <c r="EL286" s="12"/>
      <c r="EO286" s="13"/>
      <c r="EW286" s="12"/>
      <c r="EX286" s="13"/>
      <c r="GA286" s="9"/>
      <c r="GB286" s="10"/>
      <c r="GC286" s="10"/>
      <c r="GD286" s="10"/>
      <c r="GE286" s="11"/>
      <c r="GH286" s="18"/>
      <c r="GW286" s="12"/>
      <c r="GY286" s="13"/>
      <c r="JH286" s="12"/>
      <c r="JK286" s="12"/>
      <c r="KQ286" s="12"/>
      <c r="KS286" s="12"/>
      <c r="LY286" s="12"/>
      <c r="MJ286" s="13"/>
      <c r="NT286" s="13"/>
      <c r="NW286" s="13"/>
      <c r="PA286" s="12"/>
      <c r="PD286" s="12"/>
      <c r="PO286" s="13"/>
      <c r="PQ286" s="13"/>
      <c r="PR286" s="12"/>
      <c r="RG286" s="13"/>
      <c r="RH286" s="12"/>
      <c r="RI286" s="13"/>
      <c r="TM286" s="13"/>
      <c r="TP286" s="13"/>
    </row>
    <row r="287" spans="80:536" ht="10.75" customHeight="1">
      <c r="CB287" s="12"/>
      <c r="CD287" s="13"/>
      <c r="EA287" s="12"/>
      <c r="EB287" s="13"/>
      <c r="EL287" s="12"/>
      <c r="EO287" s="13"/>
      <c r="EW287" s="12"/>
      <c r="EX287" s="13"/>
      <c r="GA287" s="14"/>
      <c r="GB287" s="15"/>
      <c r="GC287" s="15"/>
      <c r="GD287" s="15"/>
      <c r="GE287" s="16"/>
      <c r="GH287" s="18"/>
      <c r="GW287" s="12"/>
      <c r="GY287" s="13"/>
      <c r="JH287" s="12"/>
      <c r="JK287" s="12"/>
      <c r="KQ287" s="12"/>
      <c r="KS287" s="12"/>
      <c r="LY287" s="12"/>
      <c r="MJ287" s="13"/>
      <c r="NT287" s="13"/>
      <c r="NW287" s="13"/>
      <c r="PA287" s="12"/>
      <c r="PD287" s="12"/>
      <c r="PO287" s="13"/>
      <c r="PQ287" s="13"/>
      <c r="PR287" s="12"/>
      <c r="RG287" s="13"/>
      <c r="RH287" s="12"/>
      <c r="RI287" s="13"/>
      <c r="TM287" s="13"/>
      <c r="TP287" s="13"/>
    </row>
    <row r="288" spans="80:536" ht="10.75" customHeight="1">
      <c r="CB288" s="12"/>
      <c r="CD288" s="13"/>
      <c r="EA288" s="12"/>
      <c r="EB288" s="13"/>
      <c r="EL288" s="12"/>
      <c r="EO288" s="13"/>
      <c r="EW288" s="12"/>
      <c r="EX288" s="13"/>
      <c r="GH288" s="19"/>
      <c r="GW288" s="12"/>
      <c r="GY288" s="13"/>
      <c r="JH288" s="12"/>
      <c r="JK288" s="12"/>
      <c r="KQ288" s="14"/>
      <c r="KR288" s="15"/>
      <c r="KS288" s="12"/>
      <c r="LY288" s="14"/>
      <c r="LZ288" s="15"/>
      <c r="MA288" s="15"/>
      <c r="MB288" s="15"/>
      <c r="MC288" s="15"/>
      <c r="MD288" s="15"/>
      <c r="ME288" s="15"/>
      <c r="MF288" s="15"/>
      <c r="MG288" s="15"/>
      <c r="MH288" s="15"/>
      <c r="MI288" s="15"/>
      <c r="MJ288" s="16"/>
      <c r="MK288" s="15"/>
      <c r="ML288" s="15"/>
      <c r="MM288" s="15"/>
      <c r="MN288" s="15"/>
      <c r="MO288" s="15"/>
      <c r="MP288" s="15"/>
      <c r="MQ288" s="15"/>
      <c r="MR288" s="15"/>
      <c r="MS288" s="15"/>
      <c r="MT288" s="15"/>
      <c r="MU288" s="15"/>
      <c r="MV288" s="15"/>
      <c r="MW288" s="15"/>
      <c r="MX288" s="15"/>
      <c r="MY288" s="15"/>
      <c r="MZ288" s="15"/>
      <c r="NA288" s="15"/>
      <c r="NB288" s="15"/>
      <c r="NC288" s="15"/>
      <c r="ND288" s="15"/>
      <c r="NE288" s="15"/>
      <c r="NF288" s="15"/>
      <c r="NG288" s="15"/>
      <c r="NH288" s="15"/>
      <c r="NI288" s="15"/>
      <c r="NJ288" s="15"/>
      <c r="NK288" s="15"/>
      <c r="NL288" s="15"/>
      <c r="NM288" s="15"/>
      <c r="NN288" s="15"/>
      <c r="NO288" s="15"/>
      <c r="NP288" s="15"/>
      <c r="NQ288" s="15"/>
      <c r="NR288" s="15"/>
      <c r="NS288" s="15"/>
      <c r="NT288" s="16"/>
      <c r="NW288" s="13"/>
      <c r="PA288" s="12"/>
      <c r="PD288" s="12"/>
      <c r="PO288" s="13"/>
      <c r="PQ288" s="13"/>
      <c r="PR288" s="12"/>
      <c r="RG288" s="13"/>
      <c r="RH288" s="12"/>
      <c r="RI288" s="13"/>
      <c r="TM288" s="13"/>
      <c r="TP288" s="13"/>
    </row>
    <row r="289" spans="80:536" ht="10.75" customHeight="1">
      <c r="CB289" s="12"/>
      <c r="CD289" s="13"/>
      <c r="EA289" s="12"/>
      <c r="EB289" s="13"/>
      <c r="EL289" s="12"/>
      <c r="EO289" s="13"/>
      <c r="EW289" s="12"/>
      <c r="EX289" s="13"/>
      <c r="GF289" s="9"/>
      <c r="GG289" s="10"/>
      <c r="GH289" s="10"/>
      <c r="GI289" s="10"/>
      <c r="GJ289" s="11"/>
      <c r="GK289" s="12"/>
      <c r="GW289" s="12"/>
      <c r="GY289" s="13"/>
      <c r="JH289" s="12"/>
      <c r="JK289" s="12"/>
      <c r="JS289" s="9"/>
      <c r="JT289" s="10"/>
      <c r="JU289" s="10"/>
      <c r="JV289" s="10"/>
      <c r="JW289" s="10"/>
      <c r="JX289" s="10"/>
      <c r="JY289" s="10"/>
      <c r="JZ289" s="10"/>
      <c r="KA289" s="10"/>
      <c r="KB289" s="10"/>
      <c r="KC289" s="10"/>
      <c r="KD289" s="10"/>
      <c r="KE289" s="10"/>
      <c r="KF289" s="10"/>
      <c r="KG289" s="10"/>
      <c r="KH289" s="10"/>
      <c r="KI289" s="10"/>
      <c r="KJ289" s="10"/>
      <c r="KK289" s="10"/>
      <c r="KL289" s="10"/>
      <c r="KM289" s="10"/>
      <c r="KN289" s="10"/>
      <c r="KO289" s="10"/>
      <c r="KP289" s="10"/>
      <c r="NT289" s="13"/>
      <c r="NW289" s="13"/>
      <c r="PA289" s="12"/>
      <c r="PD289" s="12"/>
      <c r="PO289" s="13"/>
      <c r="PQ289" s="13"/>
      <c r="PR289" s="12"/>
      <c r="RG289" s="13"/>
      <c r="RH289" s="12"/>
      <c r="RI289" s="13"/>
      <c r="TM289" s="13"/>
      <c r="TP289" s="13"/>
    </row>
    <row r="290" spans="80:536" ht="10.75" customHeight="1">
      <c r="CB290" s="12"/>
      <c r="CD290" s="13"/>
      <c r="EA290" s="12"/>
      <c r="EB290" s="13"/>
      <c r="EL290" s="12"/>
      <c r="EO290" s="13"/>
      <c r="EW290" s="12"/>
      <c r="EX290" s="13"/>
      <c r="GF290" s="14"/>
      <c r="GG290" s="15"/>
      <c r="GH290" s="15"/>
      <c r="GI290" s="15"/>
      <c r="GJ290" s="16"/>
      <c r="GK290" s="12"/>
      <c r="GW290" s="12"/>
      <c r="GY290" s="13"/>
      <c r="JH290" s="12"/>
      <c r="JK290" s="12"/>
      <c r="JS290" s="12"/>
      <c r="NT290" s="13"/>
      <c r="NW290" s="13"/>
      <c r="PA290" s="12"/>
      <c r="PD290" s="12"/>
      <c r="PO290" s="13"/>
      <c r="PQ290" s="13"/>
      <c r="PR290" s="12"/>
      <c r="RG290" s="13"/>
      <c r="RH290" s="12"/>
      <c r="RI290" s="13"/>
      <c r="TM290" s="13"/>
      <c r="TP290" s="13"/>
    </row>
    <row r="291" spans="80:536" ht="10.75" customHeight="1">
      <c r="CB291" s="14"/>
      <c r="CC291" s="15"/>
      <c r="CD291" s="16"/>
      <c r="CE291" s="15"/>
      <c r="CF291" s="15"/>
      <c r="CG291" s="15"/>
      <c r="CH291" s="15"/>
      <c r="CI291" s="15"/>
      <c r="CJ291" s="15"/>
      <c r="CK291" s="15"/>
      <c r="CL291" s="15"/>
      <c r="CM291" s="15"/>
      <c r="CN291" s="15"/>
      <c r="CO291" s="15"/>
      <c r="CP291" s="15"/>
      <c r="CQ291" s="15"/>
      <c r="CR291" s="15"/>
      <c r="CS291" s="15"/>
      <c r="CT291" s="15"/>
      <c r="CU291" s="15"/>
      <c r="CV291" s="15"/>
      <c r="CW291" s="15"/>
      <c r="CX291" s="15"/>
      <c r="CY291" s="15"/>
      <c r="CZ291" s="15"/>
      <c r="DA291" s="15"/>
      <c r="DB291" s="15"/>
      <c r="DC291" s="15"/>
      <c r="DD291" s="15"/>
      <c r="DE291" s="15"/>
      <c r="DF291" s="15"/>
      <c r="DG291" s="15"/>
      <c r="DH291" s="15"/>
      <c r="DI291" s="15"/>
      <c r="DJ291" s="15"/>
      <c r="DK291" s="15"/>
      <c r="DL291" s="15"/>
      <c r="DM291" s="15"/>
      <c r="DN291" s="15"/>
      <c r="DO291" s="15"/>
      <c r="DP291" s="15"/>
      <c r="DQ291" s="15"/>
      <c r="DR291" s="15"/>
      <c r="DS291" s="15"/>
      <c r="DT291" s="15"/>
      <c r="DU291" s="15"/>
      <c r="DV291" s="15"/>
      <c r="DW291" s="15"/>
      <c r="DX291" s="15"/>
      <c r="DY291" s="15"/>
      <c r="DZ291" s="15"/>
      <c r="EA291" s="14"/>
      <c r="EB291" s="16"/>
      <c r="EC291" s="15"/>
      <c r="ED291" s="15"/>
      <c r="EE291" s="15"/>
      <c r="EF291" s="15"/>
      <c r="EG291" s="15"/>
      <c r="EH291" s="15"/>
      <c r="EI291" s="15"/>
      <c r="EJ291" s="15"/>
      <c r="EK291" s="15"/>
      <c r="EL291" s="14"/>
      <c r="EM291" s="15"/>
      <c r="EN291" s="15"/>
      <c r="EO291" s="16"/>
      <c r="EP291" s="15"/>
      <c r="EQ291" s="15"/>
      <c r="ER291" s="15"/>
      <c r="ES291" s="15"/>
      <c r="ET291" s="15"/>
      <c r="EU291" s="15"/>
      <c r="EV291" s="15"/>
      <c r="EW291" s="14"/>
      <c r="EX291" s="16"/>
      <c r="EY291" s="15"/>
      <c r="EZ291" s="15"/>
      <c r="FA291" s="15"/>
      <c r="FB291" s="15"/>
      <c r="FC291" s="15"/>
      <c r="FD291" s="15"/>
      <c r="FE291" s="15"/>
      <c r="FF291" s="15"/>
      <c r="FG291" s="15"/>
      <c r="FH291" s="15"/>
      <c r="FI291" s="15"/>
      <c r="FJ291" s="15"/>
      <c r="FK291" s="15"/>
      <c r="FL291" s="15"/>
      <c r="FM291" s="15"/>
      <c r="FN291" s="15"/>
      <c r="FO291" s="15"/>
      <c r="FP291" s="15"/>
      <c r="FQ291" s="15"/>
      <c r="FR291" s="15"/>
      <c r="FS291" s="15"/>
      <c r="FT291" s="15"/>
      <c r="FU291" s="15"/>
      <c r="FV291" s="15"/>
      <c r="FW291" s="15"/>
      <c r="FX291" s="15"/>
      <c r="FY291" s="15"/>
      <c r="FZ291" s="15"/>
      <c r="GA291" s="15"/>
      <c r="GB291" s="15"/>
      <c r="GC291" s="15"/>
      <c r="GD291" s="15"/>
      <c r="GE291" s="15"/>
      <c r="GF291" s="15"/>
      <c r="GG291" s="15"/>
      <c r="GH291" s="15"/>
      <c r="GI291" s="15"/>
      <c r="GJ291" s="15"/>
      <c r="GK291" s="15"/>
      <c r="GL291" s="15"/>
      <c r="GM291" s="15"/>
      <c r="GN291" s="15"/>
      <c r="GO291" s="15"/>
      <c r="GP291" s="15"/>
      <c r="GQ291" s="15"/>
      <c r="GR291" s="15"/>
      <c r="GS291" s="15"/>
      <c r="GT291" s="15"/>
      <c r="GU291" s="15"/>
      <c r="GV291" s="15"/>
      <c r="GW291" s="14"/>
      <c r="GX291" s="15"/>
      <c r="GY291" s="16"/>
      <c r="JH291" s="12"/>
      <c r="JK291" s="12"/>
      <c r="JS291" s="12"/>
      <c r="NT291" s="13"/>
      <c r="NW291" s="13"/>
      <c r="PA291" s="12"/>
      <c r="PD291" s="12"/>
      <c r="PO291" s="13"/>
      <c r="PQ291" s="13"/>
      <c r="PR291" s="12"/>
      <c r="RG291" s="13"/>
      <c r="RH291" s="12"/>
      <c r="RI291" s="13"/>
      <c r="TM291" s="13"/>
      <c r="TP291" s="13"/>
    </row>
    <row r="292" spans="80:536" ht="10.75" customHeight="1">
      <c r="CB292" s="9"/>
      <c r="CC292" s="10"/>
      <c r="CD292" s="10"/>
      <c r="CE292" s="10"/>
      <c r="CF292" s="10"/>
      <c r="CG292" s="10"/>
      <c r="CH292" s="10"/>
      <c r="CI292" s="10"/>
      <c r="CJ292" s="10"/>
      <c r="CK292" s="10"/>
      <c r="CL292" s="10"/>
      <c r="CM292" s="10"/>
      <c r="CN292" s="10"/>
      <c r="CO292" s="10"/>
      <c r="CP292" s="10"/>
      <c r="CQ292" s="10"/>
      <c r="CR292" s="10"/>
      <c r="CS292" s="10"/>
      <c r="CT292" s="10"/>
      <c r="CU292" s="10"/>
      <c r="CV292" s="10"/>
      <c r="CW292" s="10"/>
      <c r="CX292" s="10"/>
      <c r="CY292" s="10"/>
      <c r="CZ292" s="10"/>
      <c r="DA292" s="10"/>
      <c r="DB292" s="10"/>
      <c r="DC292" s="10"/>
      <c r="DD292" s="10"/>
      <c r="DE292" s="10"/>
      <c r="DF292" s="10"/>
      <c r="DG292" s="10"/>
      <c r="DH292" s="10"/>
      <c r="DI292" s="10"/>
      <c r="DJ292" s="10"/>
      <c r="DK292" s="10"/>
      <c r="DL292" s="10"/>
      <c r="DM292" s="10"/>
      <c r="DN292" s="10"/>
      <c r="DO292" s="10"/>
      <c r="DP292" s="10"/>
      <c r="DQ292" s="10"/>
      <c r="DR292" s="10"/>
      <c r="DS292" s="10"/>
      <c r="DT292" s="10"/>
      <c r="DU292" s="10"/>
      <c r="DV292" s="10"/>
      <c r="DW292" s="10"/>
      <c r="DX292" s="10"/>
      <c r="DY292" s="10"/>
      <c r="DZ292" s="10"/>
      <c r="EA292" s="10"/>
      <c r="EB292" s="10"/>
      <c r="EC292" s="10"/>
      <c r="ED292" s="10"/>
      <c r="EE292" s="10"/>
      <c r="EF292" s="10"/>
      <c r="EG292" s="10"/>
      <c r="EH292" s="10"/>
      <c r="EI292" s="10"/>
      <c r="EJ292" s="10"/>
      <c r="EK292" s="10"/>
      <c r="EL292" s="10"/>
      <c r="EM292" s="10"/>
      <c r="EN292" s="10"/>
      <c r="EO292" s="10"/>
      <c r="EP292" s="10"/>
      <c r="EQ292" s="10"/>
      <c r="ER292" s="10"/>
      <c r="ES292" s="10"/>
      <c r="ET292" s="10"/>
      <c r="EU292" s="10"/>
      <c r="EV292" s="10"/>
      <c r="EW292" s="10"/>
      <c r="EX292" s="10"/>
      <c r="EY292" s="10"/>
      <c r="EZ292" s="10"/>
      <c r="FA292" s="10"/>
      <c r="FB292" s="10"/>
      <c r="FC292" s="10"/>
      <c r="FD292" s="10"/>
      <c r="FE292" s="10"/>
      <c r="FF292" s="10"/>
      <c r="FG292" s="10"/>
      <c r="FH292" s="10"/>
      <c r="FI292" s="10"/>
      <c r="FJ292" s="10"/>
      <c r="FK292" s="10"/>
      <c r="FL292" s="10"/>
      <c r="FM292" s="10"/>
      <c r="FN292" s="10"/>
      <c r="FO292" s="10"/>
      <c r="FP292" s="10"/>
      <c r="FQ292" s="10"/>
      <c r="FR292" s="10"/>
      <c r="FS292" s="10"/>
      <c r="FT292" s="10"/>
      <c r="FU292" s="10"/>
      <c r="FV292" s="10"/>
      <c r="FW292" s="10"/>
      <c r="FX292" s="10"/>
      <c r="FY292" s="10"/>
      <c r="FZ292" s="10"/>
      <c r="GA292" s="10"/>
      <c r="GB292" s="10"/>
      <c r="GC292" s="10"/>
      <c r="GD292" s="10"/>
      <c r="GE292" s="10"/>
      <c r="GF292" s="10"/>
      <c r="GG292" s="10"/>
      <c r="GH292" s="10"/>
      <c r="GI292" s="10"/>
      <c r="GJ292" s="10"/>
      <c r="GK292" s="10"/>
      <c r="GL292" s="10"/>
      <c r="GM292" s="10"/>
      <c r="GN292" s="10"/>
      <c r="GO292" s="10"/>
      <c r="GP292" s="10"/>
      <c r="GQ292" s="10"/>
      <c r="GR292" s="10"/>
      <c r="GS292" s="10"/>
      <c r="GT292" s="10"/>
      <c r="GU292" s="10"/>
      <c r="GV292" s="10"/>
      <c r="GW292" s="10"/>
      <c r="GX292" s="10"/>
      <c r="GY292" s="11"/>
      <c r="JH292" s="12"/>
      <c r="JK292" s="12"/>
      <c r="JS292" s="12"/>
      <c r="NT292" s="13"/>
      <c r="NW292" s="13"/>
      <c r="PA292" s="12"/>
      <c r="PD292" s="12"/>
      <c r="PO292" s="13"/>
      <c r="PQ292" s="13"/>
      <c r="PR292" s="12"/>
      <c r="RG292" s="13"/>
      <c r="RH292" s="12"/>
      <c r="RI292" s="13"/>
      <c r="TM292" s="13"/>
      <c r="TP292" s="13"/>
    </row>
    <row r="293" spans="80:536" ht="10.75" customHeight="1">
      <c r="CB293" s="12"/>
      <c r="GY293" s="13"/>
      <c r="JH293" s="12"/>
      <c r="JK293" s="12"/>
      <c r="JS293" s="12"/>
      <c r="NT293" s="13"/>
      <c r="NW293" s="13"/>
      <c r="PA293" s="12"/>
      <c r="PD293" s="12"/>
      <c r="PO293" s="13"/>
      <c r="PQ293" s="13"/>
      <c r="PR293" s="12"/>
      <c r="RG293" s="13"/>
      <c r="RH293" s="12"/>
      <c r="RI293" s="13"/>
      <c r="TM293" s="13"/>
      <c r="TP293" s="13"/>
    </row>
    <row r="294" spans="80:536" ht="10.75" customHeight="1">
      <c r="CB294" s="12"/>
      <c r="GY294" s="13"/>
      <c r="JH294" s="12"/>
      <c r="JK294" s="12"/>
      <c r="JS294" s="12"/>
      <c r="NT294" s="13"/>
      <c r="NW294" s="13"/>
      <c r="PA294" s="12"/>
      <c r="PD294" s="12"/>
      <c r="PO294" s="13"/>
      <c r="PQ294" s="13"/>
      <c r="PR294" s="12"/>
      <c r="RG294" s="13"/>
      <c r="RH294" s="12"/>
      <c r="RI294" s="13"/>
      <c r="TM294" s="13"/>
      <c r="TP294" s="13"/>
    </row>
    <row r="295" spans="80:536" ht="10.75" customHeight="1">
      <c r="CB295" s="12"/>
      <c r="GY295" s="13"/>
      <c r="JH295" s="12"/>
      <c r="JK295" s="12"/>
      <c r="JS295" s="12"/>
      <c r="NT295" s="13"/>
      <c r="NW295" s="13"/>
      <c r="PA295" s="12"/>
      <c r="PD295" s="12"/>
      <c r="PO295" s="13"/>
      <c r="PQ295" s="13"/>
      <c r="PR295" s="12"/>
      <c r="RG295" s="13"/>
      <c r="RH295" s="12"/>
      <c r="RI295" s="13"/>
      <c r="TM295" s="13"/>
      <c r="TP295" s="13"/>
    </row>
    <row r="296" spans="80:536" ht="10.75" customHeight="1">
      <c r="CB296" s="12"/>
      <c r="GY296" s="13"/>
      <c r="JH296" s="12"/>
      <c r="JK296" s="12"/>
      <c r="JS296" s="12"/>
      <c r="NT296" s="13"/>
      <c r="NW296" s="13"/>
      <c r="PA296" s="12"/>
      <c r="PD296" s="12"/>
      <c r="PO296" s="13"/>
      <c r="PQ296" s="13"/>
      <c r="PR296" s="12"/>
      <c r="RG296" s="13"/>
      <c r="RH296" s="12"/>
      <c r="RI296" s="13"/>
      <c r="TM296" s="13"/>
      <c r="TP296" s="13"/>
    </row>
    <row r="297" spans="80:536" ht="10.75" customHeight="1">
      <c r="CB297" s="12"/>
      <c r="GY297" s="13"/>
      <c r="JH297" s="12"/>
      <c r="JK297" s="12"/>
      <c r="JS297" s="12"/>
      <c r="NT297" s="13"/>
      <c r="NW297" s="13"/>
      <c r="PA297" s="12"/>
      <c r="PD297" s="12"/>
      <c r="PO297" s="13"/>
      <c r="PQ297" s="13"/>
      <c r="PR297" s="12"/>
      <c r="RG297" s="13"/>
      <c r="RH297" s="12"/>
      <c r="RI297" s="13"/>
      <c r="TM297" s="13"/>
      <c r="TP297" s="13"/>
    </row>
    <row r="298" spans="80:536" ht="10.75" customHeight="1">
      <c r="CB298" s="12"/>
      <c r="GY298" s="13"/>
      <c r="JH298" s="12"/>
      <c r="JK298" s="12"/>
      <c r="JS298" s="12"/>
      <c r="NT298" s="13"/>
      <c r="NW298" s="13"/>
      <c r="PA298" s="12"/>
      <c r="PD298" s="12"/>
      <c r="PO298" s="13"/>
      <c r="PQ298" s="13"/>
      <c r="PR298" s="12"/>
      <c r="RG298" s="13"/>
      <c r="RH298" s="12"/>
      <c r="RI298" s="13"/>
      <c r="TM298" s="13"/>
      <c r="TP298" s="13"/>
    </row>
    <row r="299" spans="80:536" ht="10.75" customHeight="1">
      <c r="CB299" s="14"/>
      <c r="CC299" s="15"/>
      <c r="CD299" s="15"/>
      <c r="CE299" s="15"/>
      <c r="CF299" s="15"/>
      <c r="CG299" s="15"/>
      <c r="CH299" s="15"/>
      <c r="CI299" s="15"/>
      <c r="CJ299" s="15"/>
      <c r="CK299" s="15"/>
      <c r="CL299" s="15"/>
      <c r="CM299" s="15"/>
      <c r="CN299" s="15"/>
      <c r="CO299" s="15"/>
      <c r="CP299" s="15"/>
      <c r="CQ299" s="15"/>
      <c r="CR299" s="15"/>
      <c r="CS299" s="15"/>
      <c r="CT299" s="15"/>
      <c r="CU299" s="15"/>
      <c r="CV299" s="15"/>
      <c r="CW299" s="15"/>
      <c r="CX299" s="15"/>
      <c r="CY299" s="15"/>
      <c r="CZ299" s="15"/>
      <c r="DA299" s="15"/>
      <c r="DB299" s="15"/>
      <c r="DC299" s="15"/>
      <c r="DD299" s="15"/>
      <c r="DE299" s="15"/>
      <c r="DF299" s="15"/>
      <c r="DG299" s="15"/>
      <c r="DH299" s="15"/>
      <c r="DI299" s="15"/>
      <c r="DJ299" s="15"/>
      <c r="DK299" s="15"/>
      <c r="DL299" s="15"/>
      <c r="DM299" s="15"/>
      <c r="DN299" s="15"/>
      <c r="DO299" s="15"/>
      <c r="DP299" s="15"/>
      <c r="DQ299" s="15"/>
      <c r="DR299" s="15"/>
      <c r="DS299" s="15"/>
      <c r="DT299" s="15"/>
      <c r="DU299" s="15"/>
      <c r="DV299" s="15"/>
      <c r="DW299" s="15"/>
      <c r="DX299" s="15"/>
      <c r="DY299" s="15"/>
      <c r="DZ299" s="15"/>
      <c r="EA299" s="15"/>
      <c r="EB299" s="15"/>
      <c r="EC299" s="15"/>
      <c r="ED299" s="15"/>
      <c r="EE299" s="15"/>
      <c r="EF299" s="15"/>
      <c r="EG299" s="15"/>
      <c r="EH299" s="15"/>
      <c r="EI299" s="15"/>
      <c r="EJ299" s="15"/>
      <c r="EK299" s="15"/>
      <c r="EL299" s="15"/>
      <c r="EM299" s="15"/>
      <c r="EN299" s="15"/>
      <c r="EO299" s="15"/>
      <c r="EP299" s="15"/>
      <c r="EQ299" s="15"/>
      <c r="ER299" s="15"/>
      <c r="ES299" s="15"/>
      <c r="ET299" s="15"/>
      <c r="EU299" s="15"/>
      <c r="EV299" s="15"/>
      <c r="EW299" s="15"/>
      <c r="EX299" s="15"/>
      <c r="EY299" s="15"/>
      <c r="EZ299" s="15"/>
      <c r="FA299" s="15"/>
      <c r="FB299" s="15"/>
      <c r="FC299" s="15"/>
      <c r="FD299" s="15"/>
      <c r="FE299" s="15"/>
      <c r="FF299" s="15"/>
      <c r="FG299" s="15"/>
      <c r="FH299" s="15"/>
      <c r="FI299" s="15"/>
      <c r="FJ299" s="15"/>
      <c r="FK299" s="15"/>
      <c r="FL299" s="15"/>
      <c r="FM299" s="15"/>
      <c r="FN299" s="15"/>
      <c r="FO299" s="15"/>
      <c r="FP299" s="15"/>
      <c r="FQ299" s="15"/>
      <c r="FR299" s="15"/>
      <c r="FS299" s="15"/>
      <c r="FT299" s="15"/>
      <c r="FU299" s="15"/>
      <c r="FV299" s="15"/>
      <c r="FW299" s="15"/>
      <c r="FX299" s="15"/>
      <c r="FY299" s="15"/>
      <c r="FZ299" s="15"/>
      <c r="GA299" s="15"/>
      <c r="GB299" s="15"/>
      <c r="GC299" s="15"/>
      <c r="GD299" s="15"/>
      <c r="GE299" s="15"/>
      <c r="GF299" s="15"/>
      <c r="GG299" s="15"/>
      <c r="GH299" s="15"/>
      <c r="GI299" s="15"/>
      <c r="GJ299" s="15"/>
      <c r="GK299" s="15"/>
      <c r="GL299" s="15"/>
      <c r="GM299" s="15"/>
      <c r="GN299" s="15"/>
      <c r="GO299" s="15"/>
      <c r="GP299" s="15"/>
      <c r="GQ299" s="15"/>
      <c r="GR299" s="15"/>
      <c r="GS299" s="15"/>
      <c r="GT299" s="15"/>
      <c r="GU299" s="15"/>
      <c r="GV299" s="15"/>
      <c r="GW299" s="15"/>
      <c r="GX299" s="15"/>
      <c r="GY299" s="16"/>
      <c r="JH299" s="12"/>
      <c r="JK299" s="12"/>
      <c r="JS299" s="12"/>
      <c r="NT299" s="13"/>
      <c r="NW299" s="13"/>
      <c r="PA299" s="12"/>
      <c r="PD299" s="12"/>
      <c r="PO299" s="13"/>
      <c r="PQ299" s="13"/>
      <c r="PR299" s="12"/>
      <c r="RG299" s="13"/>
      <c r="RH299" s="12"/>
      <c r="RI299" s="13"/>
      <c r="TM299" s="13"/>
      <c r="TP299" s="13"/>
    </row>
    <row r="300" spans="80:536" ht="10.75" customHeight="1">
      <c r="JH300" s="12"/>
      <c r="JK300" s="12"/>
      <c r="JS300" s="12"/>
      <c r="NT300" s="13"/>
      <c r="NW300" s="13"/>
      <c r="PA300" s="12"/>
      <c r="PD300" s="12"/>
      <c r="PO300" s="13"/>
      <c r="PQ300" s="13"/>
      <c r="PR300" s="14"/>
      <c r="PS300" s="15"/>
      <c r="PT300" s="15"/>
      <c r="PU300" s="15"/>
      <c r="PV300" s="15"/>
      <c r="PW300" s="15"/>
      <c r="PX300" s="15"/>
      <c r="PY300" s="15"/>
      <c r="PZ300" s="15"/>
      <c r="QA300" s="15"/>
      <c r="QB300" s="15"/>
      <c r="QC300" s="15"/>
      <c r="QD300" s="15"/>
      <c r="QE300" s="15"/>
      <c r="QF300" s="15"/>
      <c r="QG300" s="15"/>
      <c r="QH300" s="15"/>
      <c r="QI300" s="15"/>
      <c r="QJ300" s="15"/>
      <c r="QK300" s="15"/>
      <c r="QL300" s="15"/>
      <c r="QM300" s="15"/>
      <c r="QN300" s="15"/>
      <c r="QO300" s="15"/>
      <c r="QP300" s="15"/>
      <c r="QQ300" s="15"/>
      <c r="QR300" s="15"/>
      <c r="QS300" s="15"/>
      <c r="QT300" s="15"/>
      <c r="QU300" s="15"/>
      <c r="QV300" s="15"/>
      <c r="QW300" s="15"/>
      <c r="QX300" s="15"/>
      <c r="QY300" s="15"/>
      <c r="QZ300" s="15"/>
      <c r="RA300" s="15"/>
      <c r="RB300" s="15"/>
      <c r="RC300" s="15"/>
      <c r="RD300" s="15"/>
      <c r="RE300" s="15"/>
      <c r="RF300" s="15"/>
      <c r="RG300" s="16"/>
      <c r="RH300" s="14"/>
      <c r="RI300" s="16"/>
      <c r="TM300" s="13"/>
      <c r="TP300" s="13"/>
    </row>
    <row r="301" spans="80:536" ht="10.75" customHeight="1">
      <c r="JH301" s="12"/>
      <c r="JK301" s="12"/>
      <c r="JS301" s="12"/>
      <c r="NT301" s="13"/>
      <c r="NW301" s="13"/>
      <c r="PA301" s="12"/>
      <c r="PD301" s="12"/>
      <c r="PO301" s="13"/>
      <c r="PQ301" s="13"/>
      <c r="PR301" s="9"/>
      <c r="PS301" s="10"/>
      <c r="PT301" s="10"/>
      <c r="PU301" s="10"/>
      <c r="PV301" s="10"/>
      <c r="PW301" s="10"/>
      <c r="PX301" s="10"/>
      <c r="PY301" s="10"/>
      <c r="PZ301" s="10"/>
      <c r="QA301" s="10"/>
      <c r="QB301" s="10"/>
      <c r="QC301" s="10"/>
      <c r="QD301" s="10"/>
      <c r="QE301" s="10"/>
      <c r="QF301" s="10"/>
      <c r="QG301" s="10"/>
      <c r="QH301" s="10"/>
      <c r="QI301" s="10"/>
      <c r="QJ301" s="10"/>
      <c r="QK301" s="10"/>
      <c r="QL301" s="10"/>
      <c r="QM301" s="10"/>
      <c r="QN301" s="10"/>
      <c r="QO301" s="10"/>
      <c r="QP301" s="10"/>
      <c r="QQ301" s="10"/>
      <c r="QR301" s="10"/>
      <c r="QS301" s="10"/>
      <c r="QT301" s="10"/>
      <c r="QU301" s="10"/>
      <c r="QV301" s="10"/>
      <c r="QW301" s="10"/>
      <c r="QX301" s="10"/>
      <c r="QY301" s="10"/>
      <c r="QZ301" s="10"/>
      <c r="RA301" s="10"/>
      <c r="RB301" s="10"/>
      <c r="RC301" s="10"/>
      <c r="RD301" s="10"/>
      <c r="RE301" s="10"/>
      <c r="RF301" s="10"/>
      <c r="RG301" s="11"/>
      <c r="RH301" s="9"/>
      <c r="RI301" s="11"/>
      <c r="TM301" s="13"/>
      <c r="TP301" s="13"/>
    </row>
    <row r="302" spans="80:536" ht="10.75" customHeight="1">
      <c r="JH302" s="12"/>
      <c r="JK302" s="12"/>
      <c r="JS302" s="12"/>
      <c r="NT302" s="13"/>
      <c r="NW302" s="13"/>
      <c r="PA302" s="12"/>
      <c r="PD302" s="12"/>
      <c r="PO302" s="13"/>
      <c r="PQ302" s="13"/>
      <c r="PR302" s="14"/>
      <c r="PS302" s="15"/>
      <c r="PT302" s="15"/>
      <c r="PU302" s="15"/>
      <c r="PV302" s="15"/>
      <c r="PW302" s="15"/>
      <c r="PX302" s="15"/>
      <c r="PY302" s="15"/>
      <c r="PZ302" s="15"/>
      <c r="QA302" s="15"/>
      <c r="QB302" s="15"/>
      <c r="QC302" s="15"/>
      <c r="QD302" s="15"/>
      <c r="QE302" s="15"/>
      <c r="QF302" s="15"/>
      <c r="QG302" s="15"/>
      <c r="QH302" s="15"/>
      <c r="QI302" s="15"/>
      <c r="QJ302" s="15"/>
      <c r="QK302" s="15"/>
      <c r="QL302" s="15"/>
      <c r="QM302" s="15"/>
      <c r="QN302" s="15"/>
      <c r="QO302" s="15"/>
      <c r="QP302" s="15"/>
      <c r="QQ302" s="15"/>
      <c r="QR302" s="15"/>
      <c r="QS302" s="15"/>
      <c r="QT302" s="15"/>
      <c r="QU302" s="15"/>
      <c r="QV302" s="15"/>
      <c r="QW302" s="15"/>
      <c r="QX302" s="15"/>
      <c r="QY302" s="15"/>
      <c r="QZ302" s="15"/>
      <c r="RA302" s="15"/>
      <c r="RB302" s="15"/>
      <c r="RC302" s="15"/>
      <c r="RD302" s="15"/>
      <c r="RE302" s="15"/>
      <c r="RF302" s="15"/>
      <c r="RG302" s="16"/>
      <c r="RH302" s="14"/>
      <c r="RI302" s="16"/>
      <c r="TM302" s="13"/>
      <c r="TP302" s="13"/>
    </row>
    <row r="303" spans="80:536" ht="10.75" customHeight="1">
      <c r="JH303" s="12"/>
      <c r="JK303" s="12"/>
      <c r="JS303" s="12"/>
      <c r="NT303" s="13"/>
      <c r="NW303" s="13"/>
      <c r="PA303" s="12"/>
      <c r="PD303" s="9"/>
      <c r="PE303" s="10"/>
      <c r="PF303" s="10"/>
      <c r="PG303" s="10"/>
      <c r="PH303" s="10"/>
      <c r="PI303" s="10"/>
      <c r="PJ303" s="10"/>
      <c r="PK303" s="10"/>
      <c r="PL303" s="10"/>
      <c r="PM303" s="10"/>
      <c r="PN303" s="10"/>
      <c r="PO303" s="11"/>
      <c r="PP303" s="10"/>
      <c r="PQ303" s="11"/>
      <c r="PR303" s="10"/>
      <c r="PS303" s="10"/>
      <c r="PT303" s="10"/>
      <c r="PU303" s="10"/>
      <c r="PV303" s="10"/>
      <c r="PW303" s="10"/>
      <c r="PX303" s="10"/>
      <c r="PY303" s="10"/>
      <c r="PZ303" s="10"/>
      <c r="QA303" s="10"/>
      <c r="QB303" s="10"/>
      <c r="QC303" s="10"/>
      <c r="QD303" s="10"/>
      <c r="QE303" s="10"/>
      <c r="QF303" s="10"/>
      <c r="QG303" s="10"/>
      <c r="QH303" s="10"/>
      <c r="QI303" s="10"/>
      <c r="QJ303" s="10"/>
      <c r="QK303" s="10"/>
      <c r="QL303" s="10"/>
      <c r="QM303" s="10"/>
      <c r="QN303" s="10"/>
      <c r="QO303" s="10"/>
      <c r="QP303" s="10"/>
      <c r="QQ303" s="10"/>
      <c r="QR303" s="10"/>
      <c r="QS303" s="10"/>
      <c r="QT303" s="10"/>
      <c r="QU303" s="10"/>
      <c r="QV303" s="10"/>
      <c r="QW303" s="10"/>
      <c r="QX303" s="10"/>
      <c r="QY303" s="10"/>
      <c r="QZ303" s="10"/>
      <c r="RA303" s="10"/>
      <c r="RB303" s="10"/>
      <c r="RC303" s="10"/>
      <c r="RD303" s="10"/>
      <c r="RE303" s="10"/>
      <c r="RF303" s="10"/>
      <c r="RG303" s="11"/>
      <c r="RH303" s="9"/>
      <c r="RI303" s="11"/>
      <c r="TM303" s="13"/>
      <c r="TP303" s="13"/>
    </row>
    <row r="304" spans="80:536" ht="10.75" customHeight="1">
      <c r="JH304" s="12"/>
      <c r="JK304" s="12"/>
      <c r="JS304" s="12"/>
      <c r="NT304" s="13"/>
      <c r="NW304" s="13"/>
      <c r="PA304" s="12"/>
      <c r="PD304" s="12"/>
      <c r="PO304" s="13"/>
      <c r="PQ304" s="13"/>
      <c r="RG304" s="13"/>
      <c r="RH304" s="12"/>
      <c r="RI304" s="13"/>
      <c r="TM304" s="13"/>
      <c r="TP304" s="13"/>
    </row>
    <row r="305" spans="176:536" ht="10.75" customHeight="1">
      <c r="JH305" s="12"/>
      <c r="JK305" s="12"/>
      <c r="JS305" s="12"/>
      <c r="NT305" s="13"/>
      <c r="NW305" s="13"/>
      <c r="PA305" s="12"/>
      <c r="PD305" s="12"/>
      <c r="PO305" s="13"/>
      <c r="PQ305" s="13"/>
      <c r="RG305" s="13"/>
      <c r="RH305" s="12"/>
      <c r="RI305" s="13"/>
      <c r="TM305" s="13"/>
      <c r="TP305" s="13"/>
    </row>
    <row r="306" spans="176:536" ht="10.75" customHeight="1">
      <c r="JH306" s="12"/>
      <c r="JK306" s="12"/>
      <c r="JS306" s="14"/>
      <c r="JT306" s="15"/>
      <c r="JU306" s="15"/>
      <c r="JV306" s="15"/>
      <c r="JW306" s="15"/>
      <c r="JX306" s="15"/>
      <c r="JY306" s="15"/>
      <c r="JZ306" s="15"/>
      <c r="KA306" s="15"/>
      <c r="KB306" s="15"/>
      <c r="KC306" s="15"/>
      <c r="KD306" s="15"/>
      <c r="KE306" s="15"/>
      <c r="KF306" s="15"/>
      <c r="KG306" s="15"/>
      <c r="KH306" s="15"/>
      <c r="KI306" s="15"/>
      <c r="KJ306" s="15"/>
      <c r="KK306" s="15"/>
      <c r="KL306" s="15"/>
      <c r="KM306" s="15"/>
      <c r="KN306" s="15"/>
      <c r="KO306" s="15"/>
      <c r="KP306" s="15"/>
      <c r="NT306" s="13"/>
      <c r="NW306" s="13"/>
      <c r="PA306" s="12"/>
      <c r="PD306" s="12"/>
      <c r="PO306" s="13"/>
      <c r="PQ306" s="13"/>
      <c r="RG306" s="13"/>
      <c r="RH306" s="12"/>
      <c r="RI306" s="13"/>
      <c r="TM306" s="13"/>
      <c r="TP306" s="13"/>
    </row>
    <row r="307" spans="176:536" ht="10.75" customHeight="1">
      <c r="JH307" s="12"/>
      <c r="JK307" s="12"/>
      <c r="KQ307" s="9"/>
      <c r="KR307" s="10"/>
      <c r="KS307" s="12"/>
      <c r="NT307" s="13"/>
      <c r="NW307" s="13"/>
      <c r="PA307" s="12"/>
      <c r="PD307" s="12"/>
      <c r="PO307" s="13"/>
      <c r="PQ307" s="13"/>
      <c r="RG307" s="13"/>
      <c r="RH307" s="12"/>
      <c r="RI307" s="13"/>
      <c r="TM307" s="13"/>
      <c r="TP307" s="13"/>
    </row>
    <row r="308" spans="176:536" ht="10.75" customHeight="1">
      <c r="JH308" s="12"/>
      <c r="JK308" s="12"/>
      <c r="KQ308" s="12"/>
      <c r="KS308" s="12"/>
      <c r="NT308" s="13"/>
      <c r="NW308" s="13"/>
      <c r="PA308" s="12"/>
      <c r="PD308" s="12"/>
      <c r="PO308" s="13"/>
      <c r="PQ308" s="13"/>
      <c r="RG308" s="13"/>
      <c r="RH308" s="12"/>
      <c r="RI308" s="13"/>
      <c r="TM308" s="13"/>
      <c r="TP308" s="13"/>
    </row>
    <row r="309" spans="176:536" ht="10.75" customHeight="1">
      <c r="JH309" s="12"/>
      <c r="JK309" s="12"/>
      <c r="KQ309" s="12"/>
      <c r="KS309" s="12"/>
      <c r="NT309" s="13"/>
      <c r="NW309" s="13"/>
      <c r="PA309" s="12"/>
      <c r="PD309" s="12"/>
      <c r="PO309" s="13"/>
      <c r="PQ309" s="13"/>
      <c r="RG309" s="13"/>
      <c r="RH309" s="12"/>
      <c r="RI309" s="13"/>
      <c r="TM309" s="13"/>
      <c r="TP309" s="13"/>
    </row>
    <row r="310" spans="176:536" ht="10.75" customHeight="1">
      <c r="JH310" s="12"/>
      <c r="JK310" s="12"/>
      <c r="KQ310" s="12"/>
      <c r="KS310" s="12"/>
      <c r="NT310" s="13"/>
      <c r="NW310" s="13"/>
      <c r="PA310" s="12"/>
      <c r="PD310" s="12"/>
      <c r="PO310" s="13"/>
      <c r="PQ310" s="13"/>
      <c r="RG310" s="13"/>
      <c r="RH310" s="12"/>
      <c r="RI310" s="13"/>
      <c r="TM310" s="13"/>
      <c r="TP310" s="13"/>
    </row>
    <row r="311" spans="176:536" ht="10.75" customHeight="1">
      <c r="JH311" s="12"/>
      <c r="JK311" s="12"/>
      <c r="KQ311" s="12"/>
      <c r="KS311" s="12"/>
      <c r="NT311" s="13"/>
      <c r="NW311" s="13"/>
      <c r="PA311" s="12"/>
      <c r="PD311" s="12"/>
      <c r="PO311" s="13"/>
      <c r="PQ311" s="13"/>
      <c r="RG311" s="13"/>
      <c r="RH311" s="12"/>
      <c r="RI311" s="13"/>
      <c r="TM311" s="13"/>
      <c r="TP311" s="13"/>
    </row>
    <row r="312" spans="176:536" ht="10.75" customHeight="1">
      <c r="JH312" s="12"/>
      <c r="JK312" s="12"/>
      <c r="KQ312" s="12"/>
      <c r="KS312" s="12"/>
      <c r="NT312" s="13"/>
      <c r="NW312" s="13"/>
      <c r="PA312" s="12"/>
      <c r="PD312" s="12"/>
      <c r="PO312" s="13"/>
      <c r="PQ312" s="13"/>
      <c r="RG312" s="13"/>
      <c r="RH312" s="12"/>
      <c r="RI312" s="13"/>
      <c r="TM312" s="13"/>
      <c r="TP312" s="13"/>
    </row>
    <row r="313" spans="176:536" ht="10.75" customHeight="1">
      <c r="JH313" s="12"/>
      <c r="JK313" s="12"/>
      <c r="KQ313" s="12"/>
      <c r="KS313" s="12"/>
      <c r="NT313" s="13"/>
      <c r="NW313" s="13"/>
      <c r="PA313" s="12"/>
      <c r="PD313" s="12"/>
      <c r="PO313" s="13"/>
      <c r="PQ313" s="13"/>
      <c r="RG313" s="13"/>
      <c r="RH313" s="12"/>
      <c r="RI313" s="13"/>
      <c r="TM313" s="13"/>
      <c r="TP313" s="13"/>
    </row>
    <row r="314" spans="176:536" ht="10.75" customHeight="1">
      <c r="JH314" s="96"/>
      <c r="JI314" s="97"/>
      <c r="JJ314" s="97"/>
      <c r="JK314" s="14"/>
      <c r="JL314" s="15"/>
      <c r="JM314" s="15"/>
      <c r="JN314" s="15"/>
      <c r="JO314" s="15"/>
      <c r="JP314" s="15"/>
      <c r="JQ314" s="15"/>
      <c r="JR314" s="15"/>
      <c r="JS314" s="15"/>
      <c r="JT314" s="15"/>
      <c r="JU314" s="15"/>
      <c r="JV314" s="15"/>
      <c r="JW314" s="15"/>
      <c r="JX314" s="15"/>
      <c r="JY314" s="15"/>
      <c r="JZ314" s="15"/>
      <c r="KA314" s="15"/>
      <c r="KB314" s="15"/>
      <c r="KC314" s="15"/>
      <c r="KD314" s="15"/>
      <c r="KE314" s="15"/>
      <c r="KF314" s="15"/>
      <c r="KG314" s="15"/>
      <c r="KH314" s="15"/>
      <c r="KI314" s="15"/>
      <c r="KJ314" s="15"/>
      <c r="KK314" s="15"/>
      <c r="KL314" s="15"/>
      <c r="KM314" s="15"/>
      <c r="KN314" s="15"/>
      <c r="KO314" s="15"/>
      <c r="KP314" s="15"/>
      <c r="KQ314" s="14"/>
      <c r="KR314" s="15"/>
      <c r="KS314" s="14"/>
      <c r="KT314" s="15"/>
      <c r="KU314" s="15"/>
      <c r="KV314" s="15"/>
      <c r="KW314" s="15"/>
      <c r="KX314" s="15"/>
      <c r="KY314" s="15"/>
      <c r="KZ314" s="15"/>
      <c r="LA314" s="15"/>
      <c r="LB314" s="15"/>
      <c r="LC314" s="15"/>
      <c r="LD314" s="15"/>
      <c r="LE314" s="15"/>
      <c r="LF314" s="15"/>
      <c r="LG314" s="15"/>
      <c r="LH314" s="15"/>
      <c r="LI314" s="15"/>
      <c r="LJ314" s="15"/>
      <c r="LK314" s="15"/>
      <c r="LL314" s="15"/>
      <c r="LM314" s="15"/>
      <c r="LN314" s="15"/>
      <c r="LO314" s="15"/>
      <c r="LP314" s="15"/>
      <c r="LQ314" s="15"/>
      <c r="LR314" s="15"/>
      <c r="LS314" s="15"/>
      <c r="LT314" s="15"/>
      <c r="LU314" s="15"/>
      <c r="LV314" s="15"/>
      <c r="LW314" s="15"/>
      <c r="LX314" s="15"/>
      <c r="LY314" s="15"/>
      <c r="LZ314" s="15"/>
      <c r="MA314" s="15"/>
      <c r="MB314" s="15"/>
      <c r="MC314" s="15"/>
      <c r="MD314" s="15"/>
      <c r="ME314" s="15"/>
      <c r="MF314" s="15"/>
      <c r="MG314" s="15"/>
      <c r="MH314" s="15"/>
      <c r="MI314" s="15"/>
      <c r="MJ314" s="15"/>
      <c r="MK314" s="15"/>
      <c r="ML314" s="15"/>
      <c r="MM314" s="15"/>
      <c r="MN314" s="15"/>
      <c r="MO314" s="15"/>
      <c r="MP314" s="15"/>
      <c r="MQ314" s="15"/>
      <c r="MR314" s="15"/>
      <c r="MS314" s="15"/>
      <c r="MT314" s="15"/>
      <c r="MU314" s="15"/>
      <c r="MV314" s="15"/>
      <c r="MW314" s="15"/>
      <c r="MX314" s="15"/>
      <c r="MY314" s="15"/>
      <c r="MZ314" s="15"/>
      <c r="NA314" s="15"/>
      <c r="NB314" s="15"/>
      <c r="NC314" s="15"/>
      <c r="ND314" s="15"/>
      <c r="NE314" s="15"/>
      <c r="NF314" s="15"/>
      <c r="NG314" s="15"/>
      <c r="NH314" s="15"/>
      <c r="NI314" s="15"/>
      <c r="NJ314" s="15"/>
      <c r="NK314" s="15"/>
      <c r="NL314" s="15"/>
      <c r="NM314" s="15"/>
      <c r="NN314" s="15"/>
      <c r="NO314" s="15"/>
      <c r="NP314" s="15"/>
      <c r="NQ314" s="15"/>
      <c r="NR314" s="15"/>
      <c r="NS314" s="15"/>
      <c r="NT314" s="16"/>
      <c r="NU314" s="97"/>
      <c r="NV314" s="97"/>
      <c r="NW314" s="98"/>
      <c r="PA314" s="96"/>
      <c r="PB314" s="97"/>
      <c r="PC314" s="97"/>
      <c r="PD314" s="14"/>
      <c r="PE314" s="15"/>
      <c r="PF314" s="15"/>
      <c r="PG314" s="15"/>
      <c r="PH314" s="15"/>
      <c r="PI314" s="15"/>
      <c r="PJ314" s="15"/>
      <c r="PK314" s="15"/>
      <c r="PL314" s="15"/>
      <c r="PM314" s="15"/>
      <c r="PN314" s="15"/>
      <c r="PO314" s="16"/>
      <c r="PP314" s="15"/>
      <c r="PQ314" s="16"/>
      <c r="PR314" s="15"/>
      <c r="PS314" s="15"/>
      <c r="PT314" s="15"/>
      <c r="PU314" s="15"/>
      <c r="PV314" s="15"/>
      <c r="PW314" s="15"/>
      <c r="PX314" s="15"/>
      <c r="PY314" s="15"/>
      <c r="PZ314" s="15"/>
      <c r="QA314" s="15"/>
      <c r="QB314" s="15"/>
      <c r="QC314" s="15"/>
      <c r="QD314" s="15"/>
      <c r="QE314" s="15"/>
      <c r="QF314" s="15"/>
      <c r="QG314" s="15"/>
      <c r="QH314" s="15"/>
      <c r="QI314" s="15"/>
      <c r="QJ314" s="15"/>
      <c r="QK314" s="15"/>
      <c r="QL314" s="15"/>
      <c r="QM314" s="15"/>
      <c r="QN314" s="15"/>
      <c r="QO314" s="15"/>
      <c r="QP314" s="15"/>
      <c r="QQ314" s="15"/>
      <c r="QR314" s="15"/>
      <c r="QS314" s="15"/>
      <c r="QT314" s="15"/>
      <c r="QU314" s="15"/>
      <c r="QV314" s="15"/>
      <c r="QW314" s="15"/>
      <c r="QX314" s="15"/>
      <c r="QY314" s="15"/>
      <c r="QZ314" s="15"/>
      <c r="RA314" s="15"/>
      <c r="RB314" s="15"/>
      <c r="RC314" s="15"/>
      <c r="RD314" s="15"/>
      <c r="RE314" s="15"/>
      <c r="RF314" s="15"/>
      <c r="RG314" s="16"/>
      <c r="RH314" s="14"/>
      <c r="RI314" s="16"/>
      <c r="RJ314" s="15"/>
      <c r="RK314" s="15"/>
      <c r="RL314" s="15"/>
      <c r="RM314" s="15"/>
      <c r="RN314" s="15"/>
      <c r="RO314" s="15"/>
      <c r="RP314" s="15"/>
      <c r="RQ314" s="15"/>
      <c r="RR314" s="15"/>
      <c r="RS314" s="15"/>
      <c r="RT314" s="15"/>
      <c r="RU314" s="15"/>
      <c r="RV314" s="15"/>
      <c r="RW314" s="15"/>
      <c r="RX314" s="15"/>
      <c r="RY314" s="15"/>
      <c r="RZ314" s="15"/>
      <c r="SA314" s="15"/>
      <c r="SB314" s="15"/>
      <c r="SC314" s="15"/>
      <c r="SD314" s="15"/>
      <c r="SE314" s="15"/>
      <c r="SF314" s="15"/>
      <c r="SG314" s="15"/>
      <c r="SH314" s="15"/>
      <c r="SI314" s="15"/>
      <c r="SJ314" s="15"/>
      <c r="SK314" s="15"/>
      <c r="SL314" s="15"/>
      <c r="SM314" s="15"/>
      <c r="SN314" s="15"/>
      <c r="SO314" s="15"/>
      <c r="SP314" s="15"/>
      <c r="SQ314" s="15"/>
      <c r="SR314" s="15"/>
      <c r="SS314" s="15"/>
      <c r="ST314" s="15"/>
      <c r="SU314" s="15"/>
      <c r="SV314" s="15"/>
      <c r="SW314" s="15"/>
      <c r="SX314" s="15"/>
      <c r="SY314" s="15"/>
      <c r="SZ314" s="15"/>
      <c r="TA314" s="15"/>
      <c r="TB314" s="15"/>
      <c r="TC314" s="15"/>
      <c r="TD314" s="15"/>
      <c r="TE314" s="15"/>
      <c r="TF314" s="15"/>
      <c r="TG314" s="15"/>
      <c r="TH314" s="15"/>
      <c r="TI314" s="15"/>
      <c r="TJ314" s="15"/>
      <c r="TK314" s="15"/>
      <c r="TL314" s="15"/>
      <c r="TM314" s="16"/>
      <c r="TN314" s="97"/>
      <c r="TO314" s="97"/>
      <c r="TP314" s="98"/>
    </row>
    <row r="315" spans="176:536" ht="10.75" customHeight="1">
      <c r="JH315" s="96"/>
      <c r="JI315" s="97"/>
      <c r="JJ315" s="97"/>
      <c r="JK315" s="12"/>
      <c r="LM315" s="97"/>
      <c r="LN315" s="98"/>
      <c r="LO315" s="96"/>
      <c r="LP315" s="98"/>
      <c r="NU315" s="97"/>
      <c r="NV315" s="97"/>
      <c r="NW315" s="98"/>
      <c r="PA315" s="96"/>
      <c r="PB315" s="97"/>
      <c r="PC315" s="97"/>
      <c r="PD315" s="12"/>
      <c r="RF315" s="97"/>
      <c r="RG315" s="98"/>
      <c r="RH315" s="96"/>
      <c r="RI315" s="98"/>
      <c r="TN315" s="97"/>
      <c r="TO315" s="97"/>
      <c r="TP315" s="98"/>
    </row>
    <row r="316" spans="176:536" ht="10.75" customHeight="1">
      <c r="JH316" s="96"/>
      <c r="JI316" s="97"/>
      <c r="JJ316" s="97"/>
      <c r="JK316" s="12"/>
      <c r="LM316" s="97"/>
      <c r="LN316" s="98"/>
      <c r="LO316" s="96"/>
      <c r="LP316" s="98"/>
      <c r="NU316" s="97"/>
      <c r="NV316" s="97"/>
      <c r="NW316" s="98"/>
      <c r="PA316" s="96"/>
      <c r="PB316" s="97"/>
      <c r="PC316" s="97"/>
      <c r="PD316" s="12"/>
      <c r="RF316" s="97"/>
      <c r="RG316" s="98"/>
      <c r="RH316" s="96"/>
      <c r="RI316" s="98"/>
      <c r="TN316" s="97"/>
      <c r="TO316" s="97"/>
      <c r="TP316" s="98"/>
    </row>
    <row r="317" spans="176:536" ht="10.75" customHeight="1">
      <c r="JH317" s="59"/>
      <c r="JI317" s="60"/>
      <c r="JJ317" s="60"/>
      <c r="JK317" s="14"/>
      <c r="JL317" s="15"/>
      <c r="JM317" s="15"/>
      <c r="JN317" s="15"/>
      <c r="JO317" s="15"/>
      <c r="JP317" s="15"/>
      <c r="JQ317" s="15"/>
      <c r="JR317" s="15"/>
      <c r="JS317" s="15"/>
      <c r="JT317" s="15"/>
      <c r="JU317" s="15"/>
      <c r="JV317" s="15"/>
      <c r="JW317" s="15"/>
      <c r="JX317" s="15"/>
      <c r="JY317" s="15"/>
      <c r="JZ317" s="15"/>
      <c r="KA317" s="15"/>
      <c r="KB317" s="15"/>
      <c r="KC317" s="15"/>
      <c r="KD317" s="15"/>
      <c r="KE317" s="15"/>
      <c r="KF317" s="15"/>
      <c r="KG317" s="15"/>
      <c r="KH317" s="15"/>
      <c r="KI317" s="15"/>
      <c r="KJ317" s="15"/>
      <c r="KK317" s="15"/>
      <c r="KL317" s="15"/>
      <c r="KM317" s="15"/>
      <c r="KN317" s="15"/>
      <c r="KO317" s="15"/>
      <c r="KP317" s="15"/>
      <c r="KQ317" s="15"/>
      <c r="KR317" s="15"/>
      <c r="KS317" s="15"/>
      <c r="KT317" s="15"/>
      <c r="KU317" s="15"/>
      <c r="KV317" s="15"/>
      <c r="KW317" s="15"/>
      <c r="KX317" s="15"/>
      <c r="KY317" s="15"/>
      <c r="KZ317" s="15"/>
      <c r="LA317" s="15"/>
      <c r="LB317" s="15"/>
      <c r="LC317" s="15"/>
      <c r="LD317" s="15"/>
      <c r="LE317" s="15"/>
      <c r="LF317" s="15"/>
      <c r="LG317" s="15"/>
      <c r="LH317" s="15"/>
      <c r="LI317" s="15"/>
      <c r="LJ317" s="15"/>
      <c r="LK317" s="15"/>
      <c r="LL317" s="15"/>
      <c r="LM317" s="60"/>
      <c r="LN317" s="61"/>
      <c r="LO317" s="59"/>
      <c r="LP317" s="61"/>
      <c r="LQ317" s="15"/>
      <c r="LR317" s="15"/>
      <c r="LS317" s="15"/>
      <c r="LT317" s="15"/>
      <c r="LU317" s="15"/>
      <c r="LV317" s="15"/>
      <c r="LW317" s="15"/>
      <c r="LX317" s="15"/>
      <c r="LY317" s="15"/>
      <c r="LZ317" s="15"/>
      <c r="MA317" s="15"/>
      <c r="MB317" s="15"/>
      <c r="MC317" s="15"/>
      <c r="MD317" s="15"/>
      <c r="ME317" s="15"/>
      <c r="MF317" s="15"/>
      <c r="MG317" s="15"/>
      <c r="MH317" s="15"/>
      <c r="MI317" s="15"/>
      <c r="MJ317" s="15"/>
      <c r="MK317" s="15"/>
      <c r="ML317" s="15"/>
      <c r="MM317" s="15"/>
      <c r="MN317" s="15"/>
      <c r="MO317" s="15"/>
      <c r="MP317" s="15"/>
      <c r="MQ317" s="15"/>
      <c r="MR317" s="15"/>
      <c r="MS317" s="15"/>
      <c r="MT317" s="15"/>
      <c r="MU317" s="15"/>
      <c r="MV317" s="15"/>
      <c r="MW317" s="15"/>
      <c r="MX317" s="15"/>
      <c r="MY317" s="15"/>
      <c r="MZ317" s="15"/>
      <c r="NA317" s="15"/>
      <c r="NB317" s="15"/>
      <c r="NC317" s="15"/>
      <c r="ND317" s="15"/>
      <c r="NE317" s="15"/>
      <c r="NF317" s="15"/>
      <c r="NG317" s="15"/>
      <c r="NH317" s="15"/>
      <c r="NI317" s="15"/>
      <c r="NJ317" s="15"/>
      <c r="NK317" s="15"/>
      <c r="NL317" s="15"/>
      <c r="NM317" s="15"/>
      <c r="NN317" s="15"/>
      <c r="NO317" s="15"/>
      <c r="NP317" s="15"/>
      <c r="NQ317" s="15"/>
      <c r="NR317" s="15"/>
      <c r="NS317" s="15"/>
      <c r="NT317" s="15"/>
      <c r="NU317" s="60"/>
      <c r="NV317" s="60"/>
      <c r="NW317" s="61"/>
      <c r="PA317" s="59"/>
      <c r="PB317" s="60"/>
      <c r="PC317" s="60"/>
      <c r="PD317" s="14"/>
      <c r="PE317" s="15"/>
      <c r="PF317" s="15"/>
      <c r="PG317" s="15"/>
      <c r="PH317" s="15"/>
      <c r="PI317" s="15"/>
      <c r="PJ317" s="15"/>
      <c r="PK317" s="15"/>
      <c r="PL317" s="15"/>
      <c r="PM317" s="15"/>
      <c r="PN317" s="15"/>
      <c r="PO317" s="15"/>
      <c r="PP317" s="15"/>
      <c r="PQ317" s="15"/>
      <c r="PR317" s="15"/>
      <c r="PS317" s="15"/>
      <c r="PT317" s="15"/>
      <c r="PU317" s="15"/>
      <c r="PV317" s="15"/>
      <c r="PW317" s="15"/>
      <c r="PX317" s="15"/>
      <c r="PY317" s="15"/>
      <c r="PZ317" s="15"/>
      <c r="QA317" s="15"/>
      <c r="QB317" s="15"/>
      <c r="QC317" s="15"/>
      <c r="QD317" s="15"/>
      <c r="QE317" s="15"/>
      <c r="QF317" s="15"/>
      <c r="QG317" s="15"/>
      <c r="QH317" s="15"/>
      <c r="QI317" s="15"/>
      <c r="QJ317" s="15"/>
      <c r="QK317" s="15"/>
      <c r="QL317" s="15"/>
      <c r="QM317" s="15"/>
      <c r="QN317" s="15"/>
      <c r="QO317" s="15"/>
      <c r="QP317" s="15"/>
      <c r="QQ317" s="15"/>
      <c r="QR317" s="15"/>
      <c r="QS317" s="15"/>
      <c r="QT317" s="15"/>
      <c r="QU317" s="15"/>
      <c r="QV317" s="15"/>
      <c r="QW317" s="15"/>
      <c r="QX317" s="15"/>
      <c r="QY317" s="15"/>
      <c r="QZ317" s="15"/>
      <c r="RA317" s="15"/>
      <c r="RB317" s="15"/>
      <c r="RC317" s="15"/>
      <c r="RD317" s="15"/>
      <c r="RE317" s="15"/>
      <c r="RF317" s="60"/>
      <c r="RG317" s="61"/>
      <c r="RH317" s="59"/>
      <c r="RI317" s="61"/>
      <c r="RJ317" s="15"/>
      <c r="RK317" s="15"/>
      <c r="RL317" s="15"/>
      <c r="RM317" s="15"/>
      <c r="RN317" s="15"/>
      <c r="RO317" s="15"/>
      <c r="RP317" s="15"/>
      <c r="RQ317" s="15"/>
      <c r="RR317" s="15"/>
      <c r="RS317" s="15"/>
      <c r="RT317" s="15"/>
      <c r="RU317" s="15"/>
      <c r="RV317" s="15"/>
      <c r="RW317" s="15"/>
      <c r="RX317" s="15"/>
      <c r="RY317" s="15"/>
      <c r="RZ317" s="15"/>
      <c r="SA317" s="15"/>
      <c r="SB317" s="15"/>
      <c r="SC317" s="15"/>
      <c r="SD317" s="15"/>
      <c r="SE317" s="15"/>
      <c r="SF317" s="15"/>
      <c r="SG317" s="15"/>
      <c r="SH317" s="15"/>
      <c r="SI317" s="15"/>
      <c r="SJ317" s="15"/>
      <c r="SK317" s="15"/>
      <c r="SL317" s="15"/>
      <c r="SM317" s="15"/>
      <c r="SN317" s="15"/>
      <c r="SO317" s="15"/>
      <c r="SP317" s="15"/>
      <c r="SQ317" s="15"/>
      <c r="SR317" s="15"/>
      <c r="SS317" s="15"/>
      <c r="ST317" s="15"/>
      <c r="SU317" s="15"/>
      <c r="SV317" s="15"/>
      <c r="SW317" s="15"/>
      <c r="SX317" s="15"/>
      <c r="SY317" s="15"/>
      <c r="SZ317" s="15"/>
      <c r="TA317" s="15"/>
      <c r="TB317" s="15"/>
      <c r="TC317" s="15"/>
      <c r="TD317" s="15"/>
      <c r="TE317" s="15"/>
      <c r="TF317" s="15"/>
      <c r="TG317" s="15"/>
      <c r="TH317" s="15"/>
      <c r="TI317" s="15"/>
      <c r="TJ317" s="15"/>
      <c r="TK317" s="15"/>
      <c r="TL317" s="15"/>
      <c r="TM317" s="15"/>
      <c r="TN317" s="60"/>
      <c r="TO317" s="60"/>
      <c r="TP317" s="61"/>
    </row>
    <row r="320" spans="176:536" ht="10.75" customHeight="1">
      <c r="FT320" s="9"/>
      <c r="FU320" s="10"/>
      <c r="FV320" s="10"/>
      <c r="FW320" s="10"/>
      <c r="FX320" s="10"/>
      <c r="FY320" s="10"/>
      <c r="FZ320" s="10"/>
      <c r="GA320" s="10"/>
      <c r="GB320" s="10"/>
      <c r="GC320" s="10"/>
      <c r="GD320" s="10"/>
      <c r="GE320" s="10"/>
      <c r="GF320" s="10"/>
      <c r="GG320" s="10"/>
      <c r="GH320" s="10"/>
      <c r="GI320" s="10"/>
      <c r="GJ320" s="10"/>
      <c r="GK320" s="10"/>
      <c r="GL320" s="10"/>
      <c r="GM320" s="10"/>
      <c r="GN320" s="10"/>
      <c r="GO320" s="10"/>
      <c r="GP320" s="10"/>
      <c r="GQ320" s="10"/>
      <c r="GR320" s="10"/>
      <c r="GS320" s="10"/>
      <c r="GT320" s="10"/>
      <c r="GU320" s="10"/>
      <c r="GV320" s="10"/>
      <c r="GW320" s="11"/>
    </row>
    <row r="321" spans="44:205" ht="10.75" customHeight="1">
      <c r="FT321" s="12"/>
      <c r="GW321" s="13"/>
    </row>
    <row r="322" spans="44:205" ht="10.75" customHeight="1">
      <c r="FT322" s="12"/>
      <c r="GW322" s="13"/>
    </row>
    <row r="323" spans="44:205" ht="10.75" customHeight="1">
      <c r="AR323" s="56"/>
      <c r="AS323" s="57"/>
      <c r="AT323" s="57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57"/>
      <c r="CV323" s="57"/>
      <c r="CW323" s="57"/>
      <c r="CX323" s="57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57"/>
      <c r="EW323" s="57"/>
      <c r="EX323" s="57"/>
      <c r="EY323" s="58"/>
      <c r="FT323" s="12"/>
      <c r="GW323" s="13"/>
    </row>
    <row r="324" spans="44:205" ht="10.75" customHeight="1">
      <c r="AR324" s="96"/>
      <c r="AS324" s="97"/>
      <c r="AT324" s="97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97"/>
      <c r="CV324" s="97"/>
      <c r="CW324" s="97"/>
      <c r="CX324" s="97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  <c r="EA324" s="43"/>
      <c r="EB324" s="43"/>
      <c r="EC324" s="43"/>
      <c r="ED324" s="43"/>
      <c r="EE324" s="43"/>
      <c r="EF324" s="43"/>
      <c r="EG324" s="43"/>
      <c r="EH324" s="43"/>
      <c r="EI324" s="43"/>
      <c r="EJ324" s="43"/>
      <c r="EK324" s="43"/>
      <c r="EL324" s="43"/>
      <c r="EM324" s="43"/>
      <c r="EN324" s="43"/>
      <c r="EO324" s="43"/>
      <c r="EP324" s="43"/>
      <c r="EQ324" s="43"/>
      <c r="ER324" s="43"/>
      <c r="ES324" s="43"/>
      <c r="ET324" s="43"/>
      <c r="EU324" s="43"/>
      <c r="EV324" s="97"/>
      <c r="EW324" s="97"/>
      <c r="EX324" s="97"/>
      <c r="EY324" s="98"/>
      <c r="FT324" s="12"/>
      <c r="GW324" s="13"/>
    </row>
    <row r="325" spans="44:205" ht="10.75" customHeight="1">
      <c r="AR325" s="96"/>
      <c r="AS325" s="97"/>
      <c r="AT325" s="97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97"/>
      <c r="CV325" s="97"/>
      <c r="CW325" s="97"/>
      <c r="CX325" s="97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  <c r="EA325" s="43"/>
      <c r="EB325" s="43"/>
      <c r="EC325" s="43"/>
      <c r="ED325" s="43"/>
      <c r="EE325" s="43"/>
      <c r="EF325" s="43"/>
      <c r="EG325" s="43"/>
      <c r="EH325" s="43"/>
      <c r="EI325" s="43"/>
      <c r="EJ325" s="43"/>
      <c r="EK325" s="43"/>
      <c r="EL325" s="43"/>
      <c r="EM325" s="43"/>
      <c r="EN325" s="43"/>
      <c r="EO325" s="43"/>
      <c r="EP325" s="43"/>
      <c r="EQ325" s="43"/>
      <c r="ER325" s="43"/>
      <c r="ES325" s="43"/>
      <c r="ET325" s="43"/>
      <c r="EU325" s="43"/>
      <c r="EV325" s="97"/>
      <c r="EW325" s="97"/>
      <c r="EX325" s="97"/>
      <c r="EY325" s="98"/>
      <c r="FT325" s="12"/>
      <c r="GW325" s="13"/>
    </row>
    <row r="326" spans="44:205" ht="10.75" customHeight="1">
      <c r="AR326" s="96"/>
      <c r="AS326" s="97"/>
      <c r="AT326" s="97"/>
      <c r="AU326" s="9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10"/>
      <c r="BK326" s="10"/>
      <c r="BL326" s="10"/>
      <c r="BM326" s="10"/>
      <c r="BN326" s="10"/>
      <c r="BO326" s="10"/>
      <c r="BP326" s="10"/>
      <c r="BQ326" s="10"/>
      <c r="BR326" s="10"/>
      <c r="BS326" s="10"/>
      <c r="BT326" s="10"/>
      <c r="BU326" s="10"/>
      <c r="BV326" s="10"/>
      <c r="BW326" s="10"/>
      <c r="BX326" s="10"/>
      <c r="BY326" s="10"/>
      <c r="BZ326" s="11"/>
      <c r="CA326" s="10"/>
      <c r="CB326" s="11"/>
      <c r="CC326" s="10"/>
      <c r="CD326" s="10"/>
      <c r="CE326" s="10"/>
      <c r="CF326" s="10"/>
      <c r="CG326" s="10"/>
      <c r="CH326" s="10"/>
      <c r="CI326" s="10"/>
      <c r="CJ326" s="10"/>
      <c r="CK326" s="10"/>
      <c r="CL326" s="10"/>
      <c r="CM326" s="10"/>
      <c r="CN326" s="10"/>
      <c r="CO326" s="10"/>
      <c r="CP326" s="10"/>
      <c r="CQ326" s="10"/>
      <c r="CR326" s="10"/>
      <c r="CS326" s="10"/>
      <c r="CT326" s="10"/>
      <c r="CU326" s="10"/>
      <c r="CV326" s="11"/>
      <c r="CW326" s="10"/>
      <c r="CX326" s="11"/>
      <c r="CY326" s="10"/>
      <c r="CZ326" s="10"/>
      <c r="DA326" s="10"/>
      <c r="DB326" s="10"/>
      <c r="DC326" s="10"/>
      <c r="DD326" s="10"/>
      <c r="DE326" s="10"/>
      <c r="DF326" s="10"/>
      <c r="DG326" s="10"/>
      <c r="DH326" s="10"/>
      <c r="DI326" s="10"/>
      <c r="DJ326" s="10"/>
      <c r="DK326" s="10"/>
      <c r="DL326" s="10"/>
      <c r="DM326" s="10"/>
      <c r="DN326" s="10"/>
      <c r="DO326" s="10"/>
      <c r="DP326" s="10"/>
      <c r="DQ326" s="10"/>
      <c r="DR326" s="10"/>
      <c r="DS326" s="10"/>
      <c r="DT326" s="10"/>
      <c r="DU326" s="10"/>
      <c r="DV326" s="10"/>
      <c r="DW326" s="10"/>
      <c r="DX326" s="10"/>
      <c r="DY326" s="10"/>
      <c r="DZ326" s="10"/>
      <c r="EA326" s="10"/>
      <c r="EB326" s="10"/>
      <c r="EC326" s="10"/>
      <c r="ED326" s="10"/>
      <c r="EE326" s="10"/>
      <c r="EF326" s="10"/>
      <c r="EG326" s="10"/>
      <c r="EH326" s="10"/>
      <c r="EI326" s="10"/>
      <c r="EJ326" s="10"/>
      <c r="EK326" s="10"/>
      <c r="EL326" s="10"/>
      <c r="EM326" s="10"/>
      <c r="EN326" s="10"/>
      <c r="EO326" s="10"/>
      <c r="EP326" s="10"/>
      <c r="EQ326" s="10"/>
      <c r="ER326" s="10"/>
      <c r="ES326" s="10"/>
      <c r="ET326" s="10"/>
      <c r="EU326" s="10"/>
      <c r="EV326" s="11"/>
      <c r="EW326" s="43"/>
      <c r="EX326" s="43"/>
      <c r="EY326" s="45"/>
      <c r="FT326" s="12"/>
      <c r="GW326" s="13"/>
    </row>
    <row r="327" spans="44:205" ht="10.75" customHeight="1">
      <c r="AR327" s="42"/>
      <c r="AS327" s="43"/>
      <c r="AT327" s="43"/>
      <c r="AU327" s="12"/>
      <c r="BZ327" s="13"/>
      <c r="CB327" s="13"/>
      <c r="CV327" s="13"/>
      <c r="CX327" s="122"/>
      <c r="EV327" s="13"/>
      <c r="EW327" s="43"/>
      <c r="EX327" s="43"/>
      <c r="EY327" s="45"/>
      <c r="FT327" s="14"/>
      <c r="FU327" s="15"/>
      <c r="FV327" s="15"/>
      <c r="FW327" s="15"/>
      <c r="FX327" s="15"/>
      <c r="FY327" s="15"/>
      <c r="FZ327" s="15"/>
      <c r="GA327" s="15"/>
      <c r="GB327" s="15"/>
      <c r="GC327" s="15"/>
      <c r="GD327" s="15"/>
      <c r="GE327" s="15"/>
      <c r="GF327" s="15"/>
      <c r="GG327" s="15"/>
      <c r="GH327" s="15"/>
      <c r="GI327" s="15"/>
      <c r="GJ327" s="15"/>
      <c r="GK327" s="15"/>
      <c r="GL327" s="15"/>
      <c r="GM327" s="15"/>
      <c r="GN327" s="15"/>
      <c r="GO327" s="15"/>
      <c r="GP327" s="15"/>
      <c r="GQ327" s="15"/>
      <c r="GR327" s="15"/>
      <c r="GS327" s="15"/>
      <c r="GT327" s="15"/>
      <c r="GU327" s="15"/>
      <c r="GV327" s="15"/>
      <c r="GW327" s="16"/>
    </row>
    <row r="328" spans="44:205" ht="10.75" customHeight="1">
      <c r="AR328" s="42"/>
      <c r="AS328" s="43"/>
      <c r="AT328" s="43"/>
      <c r="AU328" s="12"/>
      <c r="BZ328" s="13"/>
      <c r="CB328" s="13"/>
      <c r="CV328" s="13"/>
      <c r="CX328" s="122"/>
      <c r="EV328" s="13"/>
      <c r="EW328" s="43"/>
      <c r="EX328" s="43"/>
      <c r="EY328" s="45"/>
    </row>
    <row r="329" spans="44:205" ht="10.75" customHeight="1">
      <c r="AR329" s="42"/>
      <c r="AS329" s="43"/>
      <c r="AT329" s="43"/>
      <c r="AU329" s="12"/>
      <c r="BZ329" s="13"/>
      <c r="CB329" s="13"/>
      <c r="CV329" s="13"/>
      <c r="CX329" s="122"/>
      <c r="EV329" s="13"/>
      <c r="EW329" s="43"/>
      <c r="EX329" s="43"/>
      <c r="EY329" s="45"/>
    </row>
    <row r="330" spans="44:205" ht="10.75" customHeight="1">
      <c r="AR330" s="42"/>
      <c r="AS330" s="43"/>
      <c r="AT330" s="43"/>
      <c r="AU330" s="12"/>
      <c r="BZ330" s="13"/>
      <c r="CB330" s="13"/>
      <c r="CV330" s="13"/>
      <c r="CX330" s="122"/>
      <c r="EV330" s="13"/>
      <c r="EW330" s="43"/>
      <c r="EX330" s="43"/>
      <c r="EY330" s="45"/>
    </row>
    <row r="331" spans="44:205" ht="10.75" customHeight="1">
      <c r="AR331" s="42"/>
      <c r="AS331" s="43"/>
      <c r="AT331" s="43"/>
      <c r="AU331" s="12"/>
      <c r="BZ331" s="13"/>
      <c r="CB331" s="13"/>
      <c r="CV331" s="13"/>
      <c r="CX331" s="122"/>
      <c r="EV331" s="13"/>
      <c r="EW331" s="43"/>
      <c r="EX331" s="43"/>
      <c r="EY331" s="45"/>
    </row>
    <row r="332" spans="44:205" ht="10.75" customHeight="1">
      <c r="AR332" s="42"/>
      <c r="AS332" s="43"/>
      <c r="AT332" s="43"/>
      <c r="AU332" s="12"/>
      <c r="BZ332" s="13"/>
      <c r="CB332" s="13"/>
      <c r="CV332" s="13"/>
      <c r="CX332" s="122"/>
      <c r="EV332" s="13"/>
      <c r="EW332" s="43"/>
      <c r="EX332" s="43"/>
      <c r="EY332" s="45"/>
    </row>
    <row r="333" spans="44:205" ht="10.75" customHeight="1">
      <c r="AR333" s="42"/>
      <c r="AS333" s="43"/>
      <c r="AT333" s="43"/>
      <c r="AU333" s="12"/>
      <c r="BZ333" s="13"/>
      <c r="CB333" s="13"/>
      <c r="CV333" s="13"/>
      <c r="CX333" s="122"/>
      <c r="EV333" s="13"/>
      <c r="EW333" s="43"/>
      <c r="EX333" s="43"/>
      <c r="EY333" s="45"/>
    </row>
    <row r="334" spans="44:205" ht="10.75" customHeight="1">
      <c r="AR334" s="42"/>
      <c r="AS334" s="43"/>
      <c r="AT334" s="43"/>
      <c r="AU334" s="12"/>
      <c r="BZ334" s="13"/>
      <c r="CB334" s="13"/>
      <c r="CV334" s="13"/>
      <c r="CX334" s="122"/>
      <c r="EV334" s="13"/>
      <c r="EW334" s="43"/>
      <c r="EX334" s="43"/>
      <c r="EY334" s="45"/>
    </row>
    <row r="335" spans="44:205" ht="10.75" customHeight="1">
      <c r="AR335" s="42"/>
      <c r="AS335" s="43"/>
      <c r="AT335" s="43"/>
      <c r="AU335" s="12"/>
      <c r="BZ335" s="13"/>
      <c r="CB335" s="13"/>
      <c r="CV335" s="13"/>
      <c r="CX335" s="13"/>
      <c r="EV335" s="13"/>
      <c r="EW335" s="43"/>
      <c r="EX335" s="43"/>
      <c r="EY335" s="45"/>
      <c r="FT335" s="9"/>
      <c r="FU335" s="10"/>
      <c r="FV335" s="10"/>
      <c r="FW335" s="10"/>
      <c r="FX335" s="10"/>
      <c r="FY335" s="10"/>
      <c r="FZ335" s="10"/>
      <c r="GA335" s="10"/>
      <c r="GB335" s="10"/>
      <c r="GC335" s="10"/>
      <c r="GD335" s="10"/>
      <c r="GE335" s="10"/>
      <c r="GF335" s="10"/>
      <c r="GG335" s="10"/>
      <c r="GH335" s="10"/>
      <c r="GI335" s="10"/>
      <c r="GJ335" s="10"/>
      <c r="GK335" s="10"/>
      <c r="GL335" s="10"/>
      <c r="GM335" s="10"/>
      <c r="GN335" s="10"/>
      <c r="GO335" s="10"/>
      <c r="GP335" s="10"/>
      <c r="GQ335" s="10"/>
      <c r="GR335" s="10"/>
      <c r="GS335" s="10"/>
      <c r="GT335" s="10"/>
      <c r="GU335" s="10"/>
      <c r="GV335" s="10"/>
      <c r="GW335" s="11"/>
    </row>
    <row r="336" spans="44:205" ht="10.75" customHeight="1">
      <c r="AR336" s="42"/>
      <c r="AS336" s="43"/>
      <c r="AT336" s="43"/>
      <c r="AU336" s="12"/>
      <c r="BZ336" s="13"/>
      <c r="CB336" s="13"/>
      <c r="CV336" s="13"/>
      <c r="CX336" s="13"/>
      <c r="EV336" s="13"/>
      <c r="EW336" s="43"/>
      <c r="EX336" s="43"/>
      <c r="EY336" s="45"/>
      <c r="FT336" s="12"/>
      <c r="GW336" s="13"/>
    </row>
    <row r="337" spans="44:205" ht="10.75" customHeight="1">
      <c r="AR337" s="42"/>
      <c r="AS337" s="43"/>
      <c r="AT337" s="43"/>
      <c r="AU337" s="12"/>
      <c r="BZ337" s="13"/>
      <c r="CB337" s="13"/>
      <c r="CV337" s="13"/>
      <c r="CX337" s="13"/>
      <c r="EV337" s="13"/>
      <c r="EW337" s="43"/>
      <c r="EX337" s="43"/>
      <c r="EY337" s="45"/>
      <c r="FT337" s="12"/>
      <c r="GW337" s="13"/>
    </row>
    <row r="338" spans="44:205" ht="10.75" customHeight="1">
      <c r="AR338" s="42"/>
      <c r="AS338" s="43"/>
      <c r="AT338" s="43"/>
      <c r="AU338" s="12"/>
      <c r="BZ338" s="13"/>
      <c r="CB338" s="13"/>
      <c r="CV338" s="13"/>
      <c r="CX338" s="13"/>
      <c r="EV338" s="13"/>
      <c r="EW338" s="43"/>
      <c r="EX338" s="43"/>
      <c r="EY338" s="45"/>
      <c r="FT338" s="12"/>
      <c r="GW338" s="13"/>
    </row>
    <row r="339" spans="44:205" ht="10.75" customHeight="1">
      <c r="AR339" s="42"/>
      <c r="AS339" s="43"/>
      <c r="AT339" s="43"/>
      <c r="AU339" s="12"/>
      <c r="BZ339" s="13"/>
      <c r="CB339" s="13"/>
      <c r="CV339" s="13"/>
      <c r="CX339" s="13"/>
      <c r="EV339" s="13"/>
      <c r="EW339" s="43"/>
      <c r="EX339" s="43"/>
      <c r="EY339" s="45"/>
      <c r="FT339" s="12"/>
      <c r="GW339" s="13"/>
    </row>
    <row r="340" spans="44:205" ht="10.75" customHeight="1">
      <c r="AR340" s="42"/>
      <c r="AS340" s="43"/>
      <c r="AT340" s="43"/>
      <c r="AU340" s="12"/>
      <c r="BZ340" s="13"/>
      <c r="CB340" s="13"/>
      <c r="CV340" s="13"/>
      <c r="CX340" s="13"/>
      <c r="EV340" s="13"/>
      <c r="EW340" s="43"/>
      <c r="EX340" s="43"/>
      <c r="EY340" s="45"/>
      <c r="FT340" s="12"/>
      <c r="GW340" s="13"/>
    </row>
    <row r="341" spans="44:205" ht="10.75" customHeight="1">
      <c r="AR341" s="42"/>
      <c r="AS341" s="43"/>
      <c r="AT341" s="43"/>
      <c r="AU341" s="12"/>
      <c r="BZ341" s="13"/>
      <c r="CB341" s="13"/>
      <c r="CV341" s="13"/>
      <c r="CX341" s="13"/>
      <c r="EV341" s="13"/>
      <c r="EW341" s="43"/>
      <c r="EX341" s="43"/>
      <c r="EY341" s="45"/>
      <c r="FT341" s="12"/>
      <c r="GW341" s="13"/>
    </row>
    <row r="342" spans="44:205" ht="10.75" customHeight="1">
      <c r="AR342" s="42"/>
      <c r="AS342" s="43"/>
      <c r="AT342" s="43"/>
      <c r="AU342" s="12"/>
      <c r="BZ342" s="13"/>
      <c r="CB342" s="13"/>
      <c r="CV342" s="13"/>
      <c r="CX342" s="13"/>
      <c r="EV342" s="13"/>
      <c r="EW342" s="43"/>
      <c r="EX342" s="43"/>
      <c r="EY342" s="45"/>
      <c r="FT342" s="12"/>
      <c r="GW342" s="13"/>
    </row>
    <row r="343" spans="44:205" ht="10.75" customHeight="1">
      <c r="AR343" s="42"/>
      <c r="AS343" s="43"/>
      <c r="AT343" s="43"/>
      <c r="AU343" s="12"/>
      <c r="BZ343" s="13"/>
      <c r="CB343" s="13"/>
      <c r="CV343" s="13"/>
      <c r="CX343" s="13"/>
      <c r="EV343" s="13"/>
      <c r="EW343" s="43"/>
      <c r="EX343" s="43"/>
      <c r="EY343" s="45"/>
      <c r="FT343" s="12"/>
      <c r="GW343" s="13"/>
    </row>
    <row r="344" spans="44:205" ht="10.75" customHeight="1">
      <c r="AR344" s="42"/>
      <c r="AS344" s="43"/>
      <c r="AT344" s="43"/>
      <c r="AU344" s="12"/>
      <c r="BZ344" s="13"/>
      <c r="CB344" s="13"/>
      <c r="CV344" s="13"/>
      <c r="CX344" s="13"/>
      <c r="EV344" s="13"/>
      <c r="EW344" s="43"/>
      <c r="EX344" s="43"/>
      <c r="EY344" s="45"/>
      <c r="FT344" s="12"/>
      <c r="GW344" s="13"/>
    </row>
    <row r="345" spans="44:205" ht="10.75" customHeight="1">
      <c r="AR345" s="42"/>
      <c r="AS345" s="43"/>
      <c r="AT345" s="43"/>
      <c r="AU345" s="14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5"/>
      <c r="BQ345" s="15"/>
      <c r="BR345" s="15"/>
      <c r="BS345" s="15"/>
      <c r="BT345" s="15"/>
      <c r="BU345" s="15"/>
      <c r="BV345" s="15"/>
      <c r="BW345" s="15"/>
      <c r="BX345" s="15"/>
      <c r="BY345" s="15"/>
      <c r="BZ345" s="16"/>
      <c r="CA345" s="15"/>
      <c r="CB345" s="16"/>
      <c r="CC345" s="15"/>
      <c r="CD345" s="15"/>
      <c r="CE345" s="15"/>
      <c r="CF345" s="15"/>
      <c r="CG345" s="15"/>
      <c r="CH345" s="15"/>
      <c r="CI345" s="15"/>
      <c r="CJ345" s="15"/>
      <c r="CK345" s="15"/>
      <c r="CL345" s="15"/>
      <c r="CM345" s="15"/>
      <c r="CN345" s="15"/>
      <c r="CO345" s="15"/>
      <c r="CP345" s="15"/>
      <c r="CQ345" s="15"/>
      <c r="CR345" s="15"/>
      <c r="CS345" s="15"/>
      <c r="CT345" s="15"/>
      <c r="CU345" s="15"/>
      <c r="CV345" s="16"/>
      <c r="CX345" s="13"/>
      <c r="EV345" s="13"/>
      <c r="EW345" s="43"/>
      <c r="EX345" s="43"/>
      <c r="EY345" s="45"/>
      <c r="FT345" s="12"/>
      <c r="GW345" s="13"/>
    </row>
    <row r="346" spans="44:205" ht="10.75" customHeight="1">
      <c r="AR346" s="42"/>
      <c r="AS346" s="43"/>
      <c r="AT346" s="43"/>
      <c r="AU346" s="12"/>
      <c r="CV346" s="13"/>
      <c r="CX346" s="13"/>
      <c r="EV346" s="13"/>
      <c r="EW346" s="43"/>
      <c r="EX346" s="43"/>
      <c r="EY346" s="45"/>
      <c r="FT346" s="14"/>
      <c r="FU346" s="15"/>
      <c r="FV346" s="15"/>
      <c r="FW346" s="15"/>
      <c r="FX346" s="15"/>
      <c r="FY346" s="15"/>
      <c r="FZ346" s="15"/>
      <c r="GA346" s="15"/>
      <c r="GB346" s="15"/>
      <c r="GC346" s="15"/>
      <c r="GD346" s="15"/>
      <c r="GE346" s="15"/>
      <c r="GF346" s="15"/>
      <c r="GG346" s="15"/>
      <c r="GH346" s="15"/>
      <c r="GI346" s="15"/>
      <c r="GJ346" s="15"/>
      <c r="GK346" s="15"/>
      <c r="GL346" s="15"/>
      <c r="GM346" s="15"/>
      <c r="GN346" s="15"/>
      <c r="GO346" s="15"/>
      <c r="GP346" s="15"/>
      <c r="GQ346" s="15"/>
      <c r="GR346" s="15"/>
      <c r="GS346" s="15"/>
      <c r="GT346" s="15"/>
      <c r="GU346" s="15"/>
      <c r="GV346" s="15"/>
      <c r="GW346" s="16"/>
    </row>
    <row r="347" spans="44:205" ht="10.75" customHeight="1">
      <c r="AR347" s="42"/>
      <c r="AS347" s="43"/>
      <c r="AT347" s="43"/>
      <c r="AU347" s="14"/>
      <c r="AV347" s="120"/>
      <c r="AW347" s="120"/>
      <c r="AX347" s="120"/>
      <c r="AY347" s="120"/>
      <c r="AZ347" s="120"/>
      <c r="BA347" s="120"/>
      <c r="BB347" s="120"/>
      <c r="BC347" s="120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5"/>
      <c r="BQ347" s="15"/>
      <c r="BR347" s="15"/>
      <c r="BS347" s="15"/>
      <c r="BT347" s="15"/>
      <c r="BU347" s="15"/>
      <c r="BV347" s="15"/>
      <c r="BW347" s="15"/>
      <c r="BX347" s="15"/>
      <c r="BY347" s="15"/>
      <c r="BZ347" s="15"/>
      <c r="CA347" s="15"/>
      <c r="CB347" s="15"/>
      <c r="CC347" s="15"/>
      <c r="CD347" s="15"/>
      <c r="CE347" s="15"/>
      <c r="CF347" s="15"/>
      <c r="CG347" s="15"/>
      <c r="CH347" s="15"/>
      <c r="CI347" s="15"/>
      <c r="CJ347" s="15"/>
      <c r="CK347" s="15"/>
      <c r="CL347" s="15"/>
      <c r="CM347" s="15"/>
      <c r="CN347" s="15"/>
      <c r="CO347" s="15"/>
      <c r="CP347" s="15"/>
      <c r="CQ347" s="15"/>
      <c r="CR347" s="15"/>
      <c r="CS347" s="15"/>
      <c r="CT347" s="15"/>
      <c r="CU347" s="15"/>
      <c r="CV347" s="16"/>
      <c r="CX347" s="13"/>
      <c r="EV347" s="13"/>
      <c r="EW347" s="43"/>
      <c r="EX347" s="43"/>
      <c r="EY347" s="45"/>
    </row>
    <row r="348" spans="44:205" ht="10.75" customHeight="1">
      <c r="AR348" s="42"/>
      <c r="AS348" s="43"/>
      <c r="AT348" s="43"/>
      <c r="AU348" s="9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  <c r="BL348" s="10"/>
      <c r="BM348" s="10"/>
      <c r="BN348" s="10"/>
      <c r="B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  <c r="CD348" s="10"/>
      <c r="CE348" s="10"/>
      <c r="CF348" s="10"/>
      <c r="CG348" s="10"/>
      <c r="CH348" s="10"/>
      <c r="CI348" s="10"/>
      <c r="CJ348" s="10"/>
      <c r="CK348" s="10"/>
      <c r="CL348" s="10"/>
      <c r="CM348" s="10"/>
      <c r="CN348" s="10"/>
      <c r="CO348" s="10"/>
      <c r="CP348" s="10"/>
      <c r="CQ348" s="10"/>
      <c r="CR348" s="10"/>
      <c r="CS348" s="10"/>
      <c r="CT348" s="10"/>
      <c r="CU348" s="10"/>
      <c r="CV348" s="11"/>
      <c r="CX348" s="13"/>
      <c r="EV348" s="13"/>
      <c r="EW348" s="43"/>
      <c r="EX348" s="43"/>
      <c r="EY348" s="45"/>
    </row>
    <row r="349" spans="44:205" ht="10.75" customHeight="1">
      <c r="AR349" s="42"/>
      <c r="AS349" s="43"/>
      <c r="AT349" s="43"/>
      <c r="AU349" s="12"/>
      <c r="CV349" s="13"/>
      <c r="CX349" s="13"/>
      <c r="EV349" s="13"/>
      <c r="EW349" s="43"/>
      <c r="EX349" s="43"/>
      <c r="EY349" s="45"/>
    </row>
    <row r="350" spans="44:205" ht="10.75" customHeight="1">
      <c r="AR350" s="42"/>
      <c r="AS350" s="43"/>
      <c r="AT350" s="43"/>
      <c r="AU350" s="12"/>
      <c r="CV350" s="13"/>
      <c r="CX350" s="13"/>
      <c r="EV350" s="13"/>
      <c r="EW350" s="43"/>
      <c r="EX350" s="43"/>
      <c r="EY350" s="45"/>
    </row>
    <row r="351" spans="44:205" ht="10.75" customHeight="1">
      <c r="AR351" s="42"/>
      <c r="AS351" s="43"/>
      <c r="AT351" s="43"/>
      <c r="AU351" s="12"/>
      <c r="CV351" s="13"/>
      <c r="CX351" s="13"/>
      <c r="EV351" s="13"/>
      <c r="EW351" s="43"/>
      <c r="EX351" s="43"/>
      <c r="EY351" s="45"/>
    </row>
    <row r="352" spans="44:205" ht="10.75" customHeight="1">
      <c r="AR352" s="42"/>
      <c r="AS352" s="43"/>
      <c r="AT352" s="43"/>
      <c r="AU352" s="12"/>
      <c r="CV352" s="13"/>
      <c r="CX352" s="13"/>
      <c r="EV352" s="13"/>
      <c r="EW352" s="43"/>
      <c r="EX352" s="43"/>
      <c r="EY352" s="45"/>
    </row>
    <row r="353" spans="44:363" ht="10.75" customHeight="1">
      <c r="AR353" s="42"/>
      <c r="AS353" s="43"/>
      <c r="AT353" s="43"/>
      <c r="AU353" s="12"/>
      <c r="CV353" s="13"/>
      <c r="CX353" s="13"/>
      <c r="EV353" s="13"/>
      <c r="EW353" s="43"/>
      <c r="EX353" s="43"/>
      <c r="EY353" s="45"/>
    </row>
    <row r="354" spans="44:363" ht="10.75" customHeight="1">
      <c r="AR354" s="42"/>
      <c r="AS354" s="43"/>
      <c r="AT354" s="43"/>
      <c r="AU354" s="12"/>
      <c r="CV354" s="13"/>
      <c r="CX354" s="13"/>
      <c r="DA354" s="279"/>
      <c r="DB354" s="280"/>
      <c r="DC354" s="280"/>
      <c r="DD354" s="280"/>
      <c r="DE354" s="280"/>
      <c r="DF354" s="280"/>
      <c r="DG354" s="280"/>
      <c r="DH354" s="280"/>
      <c r="DI354" s="280"/>
      <c r="DJ354" s="280"/>
      <c r="DK354" s="280"/>
      <c r="DL354" s="283"/>
      <c r="EV354" s="13"/>
      <c r="EW354" s="43"/>
      <c r="EX354" s="43"/>
      <c r="EY354" s="45"/>
    </row>
    <row r="355" spans="44:363" ht="10.75" customHeight="1">
      <c r="AR355" s="42"/>
      <c r="AS355" s="43"/>
      <c r="AT355" s="43"/>
      <c r="AU355" s="12"/>
      <c r="CV355" s="13"/>
      <c r="CX355" s="13"/>
      <c r="DA355" s="281"/>
      <c r="DB355" s="282"/>
      <c r="DC355" s="282"/>
      <c r="DD355" s="282"/>
      <c r="DE355" s="282"/>
      <c r="DF355" s="282"/>
      <c r="DG355" s="282"/>
      <c r="DH355" s="282"/>
      <c r="DI355" s="282"/>
      <c r="DJ355" s="282"/>
      <c r="DK355" s="282"/>
      <c r="DL355" s="284"/>
      <c r="EV355" s="13"/>
      <c r="EW355" s="43"/>
      <c r="EX355" s="43"/>
      <c r="EY355" s="45"/>
    </row>
    <row r="356" spans="44:363" ht="10.75" customHeight="1">
      <c r="AR356" s="42"/>
      <c r="AS356" s="43"/>
      <c r="AT356" s="43"/>
      <c r="AU356" s="12"/>
      <c r="CV356" s="13"/>
      <c r="CX356" s="13"/>
      <c r="DA356" s="281"/>
      <c r="DB356" s="282"/>
      <c r="DC356" s="9"/>
      <c r="DD356" s="11"/>
      <c r="DE356" s="9"/>
      <c r="DF356" s="10"/>
      <c r="DG356" s="10"/>
      <c r="DH356" s="10"/>
      <c r="DI356" s="10"/>
      <c r="DJ356" s="10"/>
      <c r="DK356" s="10"/>
      <c r="DL356" s="11"/>
      <c r="EV356" s="13"/>
      <c r="EW356" s="43"/>
      <c r="EX356" s="43"/>
      <c r="EY356" s="45"/>
    </row>
    <row r="357" spans="44:363" ht="10.75" customHeight="1">
      <c r="AR357" s="42"/>
      <c r="AS357" s="43"/>
      <c r="AT357" s="43"/>
      <c r="AU357" s="12"/>
      <c r="CV357" s="13"/>
      <c r="CX357" s="13"/>
      <c r="DA357" s="281"/>
      <c r="DB357" s="282"/>
      <c r="DC357" s="12"/>
      <c r="DD357" s="13"/>
      <c r="DE357" s="12"/>
      <c r="DL357" s="13"/>
      <c r="EV357" s="13"/>
      <c r="EW357" s="43"/>
      <c r="EX357" s="43"/>
      <c r="EY357" s="45"/>
      <c r="HK357" s="9"/>
      <c r="HL357" s="10"/>
      <c r="HM357" s="10"/>
      <c r="HN357" s="10"/>
      <c r="HO357" s="10"/>
      <c r="HP357" s="10"/>
      <c r="HQ357" s="10"/>
      <c r="HR357" s="10"/>
      <c r="HS357" s="10"/>
      <c r="HT357" s="10"/>
      <c r="HU357" s="10"/>
      <c r="HV357" s="10"/>
      <c r="HW357" s="10"/>
      <c r="HX357" s="10"/>
      <c r="HY357" s="10"/>
      <c r="HZ357" s="10"/>
      <c r="IA357" s="10"/>
      <c r="IB357" s="10"/>
      <c r="IC357" s="10"/>
      <c r="ID357" s="10"/>
      <c r="IE357" s="10"/>
      <c r="IF357" s="10"/>
      <c r="IG357" s="10"/>
      <c r="IH357" s="10"/>
      <c r="II357" s="10"/>
      <c r="IJ357" s="10"/>
      <c r="IK357" s="10"/>
      <c r="IL357" s="10"/>
      <c r="IM357" s="10"/>
      <c r="IN357" s="10"/>
      <c r="IO357" s="10"/>
      <c r="IP357" s="10"/>
      <c r="IQ357" s="10"/>
      <c r="IR357" s="10"/>
      <c r="IS357" s="10"/>
      <c r="IT357" s="10"/>
      <c r="IU357" s="10"/>
      <c r="IV357" s="10"/>
      <c r="IW357" s="10"/>
      <c r="IX357" s="10"/>
      <c r="IY357" s="10"/>
      <c r="IZ357" s="10"/>
      <c r="JA357" s="10"/>
      <c r="JB357" s="10"/>
      <c r="JC357" s="10"/>
      <c r="JD357" s="10"/>
      <c r="JE357" s="10"/>
      <c r="JF357" s="10"/>
      <c r="JG357" s="10"/>
      <c r="JH357" s="10"/>
      <c r="JI357" s="10"/>
      <c r="JJ357" s="10"/>
      <c r="JK357" s="10"/>
      <c r="JL357" s="10"/>
      <c r="JM357" s="10"/>
      <c r="JN357" s="10"/>
      <c r="JO357" s="10"/>
      <c r="JP357" s="10"/>
      <c r="JQ357" s="10"/>
      <c r="JR357" s="10"/>
      <c r="JS357" s="10"/>
      <c r="JT357" s="10"/>
      <c r="JU357" s="10"/>
      <c r="JV357" s="10"/>
      <c r="JW357" s="10"/>
      <c r="JX357" s="10"/>
      <c r="JY357" s="10"/>
      <c r="JZ357" s="10"/>
      <c r="KA357" s="10"/>
      <c r="KB357" s="10"/>
      <c r="KC357" s="10"/>
      <c r="KD357" s="10"/>
      <c r="KE357" s="10"/>
      <c r="KF357" s="10"/>
      <c r="KG357" s="10"/>
      <c r="KH357" s="10"/>
      <c r="KI357" s="10"/>
      <c r="KJ357" s="10"/>
      <c r="KK357" s="10"/>
      <c r="KL357" s="10"/>
      <c r="KM357" s="10"/>
      <c r="KN357" s="10"/>
      <c r="KO357" s="10"/>
      <c r="KP357" s="10"/>
      <c r="KQ357" s="10"/>
      <c r="KR357" s="10"/>
      <c r="KS357" s="10"/>
      <c r="KT357" s="10"/>
      <c r="KU357" s="10"/>
      <c r="KV357" s="10"/>
      <c r="KW357" s="10"/>
      <c r="KX357" s="10"/>
      <c r="KY357" s="10"/>
      <c r="KZ357" s="10"/>
      <c r="LA357" s="10"/>
      <c r="LB357" s="10"/>
      <c r="LC357" s="10"/>
      <c r="LD357" s="10"/>
      <c r="LE357" s="10"/>
      <c r="LF357" s="10"/>
      <c r="LG357" s="10"/>
      <c r="LH357" s="10"/>
      <c r="LI357" s="10"/>
      <c r="LJ357" s="10"/>
      <c r="LK357" s="10"/>
      <c r="LL357" s="10"/>
      <c r="LM357" s="10"/>
      <c r="LN357" s="10"/>
      <c r="LO357" s="10"/>
      <c r="LP357" s="10"/>
      <c r="LQ357" s="10"/>
      <c r="LR357" s="10"/>
      <c r="LS357" s="10"/>
      <c r="LT357" s="10"/>
      <c r="LU357" s="10"/>
      <c r="LV357" s="10"/>
      <c r="LW357" s="10"/>
      <c r="LX357" s="10"/>
      <c r="LY357" s="10"/>
      <c r="LZ357" s="10"/>
      <c r="MA357" s="10"/>
      <c r="MB357" s="10"/>
      <c r="MC357" s="10"/>
      <c r="MD357" s="10"/>
      <c r="ME357" s="10"/>
      <c r="MF357" s="10"/>
      <c r="MG357" s="10"/>
      <c r="MH357" s="10"/>
      <c r="MI357" s="10"/>
      <c r="MJ357" s="10"/>
      <c r="MK357" s="10"/>
      <c r="ML357" s="10"/>
      <c r="MM357" s="10"/>
      <c r="MN357" s="10"/>
      <c r="MO357" s="10"/>
      <c r="MP357" s="10"/>
      <c r="MQ357" s="10"/>
      <c r="MR357" s="10"/>
      <c r="MS357" s="10"/>
      <c r="MT357" s="10"/>
      <c r="MU357" s="10"/>
      <c r="MV357" s="10"/>
      <c r="MW357" s="10"/>
      <c r="MX357" s="10"/>
      <c r="MY357" s="11"/>
    </row>
    <row r="358" spans="44:363" ht="10.75" customHeight="1">
      <c r="AR358" s="42"/>
      <c r="AS358" s="43"/>
      <c r="AT358" s="43"/>
      <c r="AU358" s="12"/>
      <c r="CV358" s="13"/>
      <c r="CX358" s="13"/>
      <c r="DA358" s="281"/>
      <c r="DB358" s="282"/>
      <c r="DC358" s="12"/>
      <c r="DD358" s="13"/>
      <c r="DE358" s="12"/>
      <c r="DL358" s="13"/>
      <c r="EV358" s="13"/>
      <c r="EW358" s="43"/>
      <c r="EX358" s="43"/>
      <c r="EY358" s="45"/>
      <c r="HK358" s="12"/>
      <c r="MY358" s="13"/>
    </row>
    <row r="359" spans="44:363" ht="10.75" customHeight="1">
      <c r="AR359" s="42"/>
      <c r="AS359" s="43"/>
      <c r="AT359" s="43"/>
      <c r="AU359" s="12"/>
      <c r="CV359" s="13"/>
      <c r="CX359" s="13"/>
      <c r="DA359" s="281"/>
      <c r="DB359" s="282"/>
      <c r="DC359" s="12"/>
      <c r="DD359" s="13"/>
      <c r="DE359" s="12"/>
      <c r="DL359" s="13"/>
      <c r="EP359" s="9"/>
      <c r="EQ359" s="10"/>
      <c r="ER359" s="10"/>
      <c r="ES359" s="10"/>
      <c r="ET359" s="10"/>
      <c r="EU359" s="11"/>
      <c r="EV359" s="13"/>
      <c r="EW359" s="43"/>
      <c r="EX359" s="43"/>
      <c r="EY359" s="45"/>
      <c r="HK359" s="12"/>
      <c r="MY359" s="13"/>
    </row>
    <row r="360" spans="44:363" ht="10.75" customHeight="1">
      <c r="AR360" s="42"/>
      <c r="AS360" s="43"/>
      <c r="AT360" s="43"/>
      <c r="AU360" s="12"/>
      <c r="CV360" s="13"/>
      <c r="CX360" s="13"/>
      <c r="DA360" s="281"/>
      <c r="DB360" s="282"/>
      <c r="DC360" s="12"/>
      <c r="DD360" s="13"/>
      <c r="DE360" s="12"/>
      <c r="DL360" s="13"/>
      <c r="EP360" s="12"/>
      <c r="ES360" s="261"/>
      <c r="EU360" s="13"/>
      <c r="EV360" s="13"/>
      <c r="EW360" s="43"/>
      <c r="EX360" s="43"/>
      <c r="EY360" s="45"/>
      <c r="HK360" s="12"/>
      <c r="MY360" s="13"/>
    </row>
    <row r="361" spans="44:363" ht="10.75" customHeight="1">
      <c r="AR361" s="42"/>
      <c r="AS361" s="43"/>
      <c r="AT361" s="43"/>
      <c r="AU361" s="12"/>
      <c r="CV361" s="13"/>
      <c r="CX361" s="13"/>
      <c r="DA361" s="281"/>
      <c r="DB361" s="282"/>
      <c r="DC361" s="12"/>
      <c r="DD361" s="13"/>
      <c r="DE361" s="12"/>
      <c r="DL361" s="13"/>
      <c r="EP361" s="12"/>
      <c r="ES361" s="288"/>
      <c r="EU361" s="13"/>
      <c r="EV361" s="13"/>
      <c r="EW361" s="43"/>
      <c r="EX361" s="43"/>
      <c r="EY361" s="45"/>
      <c r="HK361" s="12"/>
      <c r="MY361" s="13"/>
    </row>
    <row r="362" spans="44:363" ht="10.75" customHeight="1">
      <c r="AR362" s="42"/>
      <c r="AS362" s="43"/>
      <c r="AT362" s="43"/>
      <c r="AU362" s="12"/>
      <c r="CV362" s="13"/>
      <c r="CX362" s="13"/>
      <c r="DA362" s="281"/>
      <c r="DB362" s="282"/>
      <c r="DC362" s="12"/>
      <c r="DD362" s="13"/>
      <c r="DE362" s="12"/>
      <c r="DL362" s="13"/>
      <c r="EP362" s="12"/>
      <c r="ES362" s="288"/>
      <c r="EU362" s="13"/>
      <c r="EV362" s="13"/>
      <c r="EW362" s="43"/>
      <c r="EX362" s="43"/>
      <c r="EY362" s="45"/>
      <c r="HK362" s="12"/>
      <c r="MY362" s="13"/>
    </row>
    <row r="363" spans="44:363" ht="10.75" customHeight="1">
      <c r="AR363" s="42"/>
      <c r="AS363" s="43"/>
      <c r="AT363" s="43"/>
      <c r="AU363" s="12"/>
      <c r="CV363" s="13"/>
      <c r="CX363" s="13"/>
      <c r="DA363" s="281"/>
      <c r="DB363" s="282"/>
      <c r="DC363" s="12"/>
      <c r="DD363" s="13"/>
      <c r="DE363" s="12"/>
      <c r="DL363" s="13"/>
      <c r="EP363" s="12"/>
      <c r="ES363" s="288"/>
      <c r="EU363" s="13"/>
      <c r="EV363" s="13"/>
      <c r="EW363" s="43"/>
      <c r="EX363" s="43"/>
      <c r="EY363" s="45"/>
      <c r="HK363" s="12"/>
      <c r="HP363" s="9"/>
      <c r="HQ363" s="10"/>
      <c r="HR363" s="10"/>
      <c r="HS363" s="10"/>
      <c r="HT363" s="10"/>
      <c r="HU363" s="10"/>
      <c r="HV363" s="10"/>
      <c r="HW363" s="10"/>
      <c r="HX363" s="10"/>
      <c r="HY363" s="10"/>
      <c r="HZ363" s="21"/>
      <c r="IA363" s="10"/>
      <c r="IB363" s="10"/>
      <c r="IC363" s="10"/>
      <c r="ID363" s="10"/>
      <c r="IE363" s="10"/>
      <c r="IF363" s="10"/>
      <c r="IG363" s="10"/>
      <c r="IH363" s="10"/>
      <c r="II363" s="10"/>
      <c r="IJ363" s="10"/>
      <c r="IK363" s="10"/>
      <c r="IL363" s="10"/>
      <c r="IM363" s="10"/>
      <c r="IN363" s="10"/>
      <c r="IO363" s="11"/>
      <c r="MY363" s="13"/>
    </row>
    <row r="364" spans="44:363" ht="10.75" customHeight="1">
      <c r="AR364" s="42"/>
      <c r="AS364" s="43"/>
      <c r="AT364" s="43"/>
      <c r="AU364" s="12"/>
      <c r="BI364" s="9"/>
      <c r="BJ364" s="10"/>
      <c r="BK364" s="10"/>
      <c r="BL364" s="10"/>
      <c r="BM364" s="10"/>
      <c r="BN364" s="10"/>
      <c r="B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  <c r="CD364" s="10"/>
      <c r="CE364" s="10"/>
      <c r="CF364" s="11"/>
      <c r="CV364" s="13"/>
      <c r="CX364" s="13"/>
      <c r="DA364" s="281"/>
      <c r="DB364" s="282"/>
      <c r="DC364" s="12"/>
      <c r="DD364" s="13"/>
      <c r="DE364" s="12"/>
      <c r="DL364" s="13"/>
      <c r="EP364" s="12"/>
      <c r="ES364" s="288"/>
      <c r="EU364" s="13"/>
      <c r="EV364" s="13"/>
      <c r="EW364" s="43"/>
      <c r="EX364" s="43"/>
      <c r="EY364" s="45"/>
      <c r="HK364" s="12"/>
      <c r="HP364" s="12"/>
      <c r="HQ364" s="9"/>
      <c r="HR364" s="10"/>
      <c r="HS364" s="10"/>
      <c r="HT364" s="10"/>
      <c r="HU364" s="10"/>
      <c r="HV364" s="10"/>
      <c r="HW364" s="10"/>
      <c r="HX364" s="10"/>
      <c r="HY364" s="10"/>
      <c r="HZ364" s="10"/>
      <c r="IA364" s="10"/>
      <c r="IB364" s="10"/>
      <c r="IC364" s="10"/>
      <c r="ID364" s="10"/>
      <c r="IE364" s="10"/>
      <c r="IF364" s="10"/>
      <c r="IG364" s="10"/>
      <c r="IH364" s="10"/>
      <c r="II364" s="10"/>
      <c r="IJ364" s="10"/>
      <c r="IK364" s="10"/>
      <c r="IL364" s="10"/>
      <c r="IM364" s="10"/>
      <c r="IN364" s="11"/>
      <c r="IO364" s="13"/>
      <c r="MY364" s="13"/>
    </row>
    <row r="365" spans="44:363" ht="10.75" customHeight="1">
      <c r="AR365" s="42"/>
      <c r="AS365" s="43"/>
      <c r="AT365" s="43"/>
      <c r="AU365" s="12"/>
      <c r="BI365" s="12"/>
      <c r="CF365" s="13"/>
      <c r="CV365" s="13"/>
      <c r="CX365" s="13"/>
      <c r="DA365" s="281"/>
      <c r="DB365" s="282"/>
      <c r="DC365" s="12"/>
      <c r="DD365" s="13"/>
      <c r="DE365" s="12"/>
      <c r="DL365" s="13"/>
      <c r="EP365" s="12"/>
      <c r="ES365" s="288"/>
      <c r="EU365" s="13"/>
      <c r="EV365" s="13"/>
      <c r="EW365" s="43"/>
      <c r="EX365" s="43"/>
      <c r="EY365" s="45"/>
      <c r="HK365" s="12"/>
      <c r="HP365" s="12"/>
      <c r="HQ365" s="12"/>
      <c r="IN365" s="13"/>
      <c r="IO365" s="13"/>
      <c r="MY365" s="13"/>
    </row>
    <row r="366" spans="44:363" ht="10.75" customHeight="1">
      <c r="AR366" s="42"/>
      <c r="AS366" s="43"/>
      <c r="AT366" s="43"/>
      <c r="AU366" s="12"/>
      <c r="BI366" s="12"/>
      <c r="CF366" s="13"/>
      <c r="CV366" s="13"/>
      <c r="CX366" s="13"/>
      <c r="DA366" s="281"/>
      <c r="DB366" s="282"/>
      <c r="DC366" s="14"/>
      <c r="DD366" s="16"/>
      <c r="DE366" s="14"/>
      <c r="DF366" s="15"/>
      <c r="DG366" s="15"/>
      <c r="DH366" s="15"/>
      <c r="DI366" s="15"/>
      <c r="DJ366" s="15"/>
      <c r="DK366" s="15"/>
      <c r="DL366" s="16"/>
      <c r="EP366" s="12"/>
      <c r="ES366" s="288"/>
      <c r="EU366" s="13"/>
      <c r="EV366" s="13"/>
      <c r="EW366" s="43"/>
      <c r="EX366" s="43"/>
      <c r="EY366" s="45"/>
      <c r="HK366" s="12"/>
      <c r="HP366" s="12"/>
      <c r="HQ366" s="12"/>
      <c r="IN366" s="13"/>
      <c r="IO366" s="13"/>
      <c r="MY366" s="13"/>
    </row>
    <row r="367" spans="44:363" ht="10.75" customHeight="1">
      <c r="AR367" s="42"/>
      <c r="AS367" s="43"/>
      <c r="AT367" s="43"/>
      <c r="AU367" s="12"/>
      <c r="BI367" s="12"/>
      <c r="CF367" s="13"/>
      <c r="CV367" s="13"/>
      <c r="CX367" s="13"/>
      <c r="DA367" s="281"/>
      <c r="DB367" s="282"/>
      <c r="DC367" s="12"/>
      <c r="DD367" s="13"/>
      <c r="DE367" s="12"/>
      <c r="DL367" s="13"/>
      <c r="EP367" s="12"/>
      <c r="ES367" s="288"/>
      <c r="EU367" s="13"/>
      <c r="EV367" s="13"/>
      <c r="EW367" s="43"/>
      <c r="EX367" s="43"/>
      <c r="EY367" s="45"/>
      <c r="HK367" s="12"/>
      <c r="HP367" s="12"/>
      <c r="HQ367" s="12"/>
      <c r="IN367" s="13"/>
      <c r="IO367" s="14"/>
      <c r="IP367" s="10"/>
      <c r="IQ367" s="10"/>
      <c r="IR367" s="10"/>
      <c r="IS367" s="10"/>
      <c r="IT367" s="10"/>
      <c r="IU367" s="10"/>
      <c r="IV367" s="10"/>
      <c r="IW367" s="10"/>
      <c r="IX367" s="10"/>
      <c r="IY367" s="10"/>
      <c r="IZ367" s="10"/>
      <c r="JA367" s="10"/>
      <c r="JB367" s="10"/>
      <c r="JC367" s="10"/>
      <c r="JD367" s="10"/>
      <c r="JE367" s="10"/>
      <c r="JF367" s="10"/>
      <c r="JG367" s="10"/>
      <c r="JH367" s="10"/>
      <c r="JI367" s="10"/>
      <c r="JJ367" s="10"/>
      <c r="JK367" s="10"/>
      <c r="JL367" s="10"/>
      <c r="JM367" s="10"/>
      <c r="JN367" s="10"/>
      <c r="JO367" s="10"/>
      <c r="JP367" s="10"/>
      <c r="JQ367" s="10"/>
      <c r="JR367" s="10"/>
      <c r="JS367" s="10"/>
      <c r="JT367" s="10"/>
      <c r="JU367" s="10"/>
      <c r="JV367" s="10"/>
      <c r="JW367" s="10"/>
      <c r="JX367" s="10"/>
      <c r="JY367" s="10"/>
      <c r="JZ367" s="10"/>
      <c r="KA367" s="10"/>
      <c r="KB367" s="10"/>
      <c r="KC367" s="10"/>
      <c r="KD367" s="10"/>
      <c r="KE367" s="10"/>
      <c r="KF367" s="10"/>
      <c r="KG367" s="10"/>
      <c r="KH367" s="10"/>
      <c r="KI367" s="10"/>
      <c r="KJ367" s="10"/>
      <c r="KK367" s="10"/>
      <c r="KL367" s="10"/>
      <c r="KM367" s="10"/>
      <c r="KN367" s="10"/>
      <c r="KO367" s="10"/>
      <c r="KP367" s="10"/>
      <c r="KQ367" s="10"/>
      <c r="KR367" s="10"/>
      <c r="KS367" s="10"/>
      <c r="KT367" s="10"/>
      <c r="KU367" s="10"/>
      <c r="KV367" s="10"/>
      <c r="KW367" s="10"/>
      <c r="KX367" s="10"/>
      <c r="KY367" s="10"/>
      <c r="KZ367" s="10"/>
      <c r="LA367" s="10"/>
      <c r="LB367" s="10"/>
      <c r="LC367" s="10"/>
      <c r="LD367" s="10"/>
      <c r="LE367" s="10"/>
      <c r="LF367" s="10"/>
      <c r="LG367" s="10"/>
      <c r="LH367" s="10"/>
      <c r="LI367" s="10"/>
      <c r="LJ367" s="10"/>
      <c r="LK367" s="10"/>
      <c r="LL367" s="10"/>
      <c r="LM367" s="10"/>
      <c r="LN367" s="10"/>
      <c r="LO367" s="10"/>
      <c r="LP367" s="10"/>
      <c r="LQ367" s="10"/>
      <c r="LR367" s="10"/>
      <c r="LS367" s="10"/>
      <c r="LT367" s="10"/>
      <c r="LU367" s="10"/>
      <c r="LV367" s="10"/>
      <c r="LW367" s="10"/>
      <c r="LX367" s="10"/>
      <c r="LY367" s="10"/>
      <c r="LZ367" s="10"/>
      <c r="MA367" s="10"/>
      <c r="MB367" s="10"/>
      <c r="MC367" s="10"/>
      <c r="MD367" s="10"/>
      <c r="ME367" s="10"/>
      <c r="MF367" s="10"/>
      <c r="MG367" s="10"/>
      <c r="MH367" s="10"/>
      <c r="MI367" s="10"/>
      <c r="MJ367" s="10"/>
      <c r="MK367" s="10"/>
      <c r="ML367" s="10"/>
      <c r="MM367" s="10"/>
      <c r="MN367" s="10"/>
      <c r="MO367" s="11"/>
      <c r="MY367" s="13"/>
    </row>
    <row r="368" spans="44:363" ht="10.75" customHeight="1">
      <c r="AR368" s="42"/>
      <c r="AS368" s="43"/>
      <c r="AT368" s="43"/>
      <c r="AU368" s="12"/>
      <c r="BI368" s="12"/>
      <c r="CF368" s="13"/>
      <c r="CV368" s="13"/>
      <c r="CX368" s="13"/>
      <c r="DA368" s="281"/>
      <c r="DB368" s="282"/>
      <c r="DC368" s="12"/>
      <c r="DD368" s="13"/>
      <c r="DE368" s="12"/>
      <c r="DL368" s="13"/>
      <c r="EP368" s="12"/>
      <c r="ES368" s="288"/>
      <c r="EU368" s="13"/>
      <c r="EV368" s="13"/>
      <c r="EW368" s="43"/>
      <c r="EX368" s="43"/>
      <c r="EY368" s="45"/>
      <c r="HK368" s="12"/>
      <c r="HP368" s="12"/>
      <c r="HQ368" s="12"/>
      <c r="IO368" s="10"/>
      <c r="IP368" s="10"/>
      <c r="IQ368" s="10"/>
      <c r="IR368" s="10"/>
      <c r="IS368" s="10"/>
      <c r="IT368" s="10"/>
      <c r="IU368" s="10"/>
      <c r="IV368" s="10"/>
      <c r="IW368" s="10"/>
      <c r="IX368" s="10"/>
      <c r="IY368" s="10"/>
      <c r="IZ368" s="10"/>
      <c r="JA368" s="10"/>
      <c r="JB368" s="10"/>
      <c r="JC368" s="10"/>
      <c r="JD368" s="10"/>
      <c r="JE368" s="10"/>
      <c r="JF368" s="10"/>
      <c r="JG368" s="10"/>
      <c r="JH368" s="10"/>
      <c r="JI368" s="10"/>
      <c r="JJ368" s="10"/>
      <c r="JK368" s="10"/>
      <c r="JL368" s="10"/>
      <c r="JM368" s="10"/>
      <c r="JN368" s="10"/>
      <c r="JO368" s="10"/>
      <c r="JP368" s="10"/>
      <c r="JQ368" s="10"/>
      <c r="JR368" s="10"/>
      <c r="JS368" s="10"/>
      <c r="JT368" s="10"/>
      <c r="JU368" s="10"/>
      <c r="JV368" s="10"/>
      <c r="JW368" s="10"/>
      <c r="JX368" s="10"/>
      <c r="JY368" s="10"/>
      <c r="JZ368" s="10"/>
      <c r="KA368" s="10"/>
      <c r="KB368" s="10"/>
      <c r="KC368" s="10"/>
      <c r="KD368" s="10"/>
      <c r="KE368" s="10"/>
      <c r="KF368" s="10"/>
      <c r="KG368" s="10"/>
      <c r="KH368" s="10"/>
      <c r="KI368" s="10"/>
      <c r="KJ368" s="10"/>
      <c r="KK368" s="10"/>
      <c r="KL368" s="10"/>
      <c r="KM368" s="10"/>
      <c r="KN368" s="10"/>
      <c r="KO368" s="10"/>
      <c r="KP368" s="10"/>
      <c r="KQ368" s="10"/>
      <c r="KR368" s="10"/>
      <c r="KS368" s="10"/>
      <c r="KT368" s="10"/>
      <c r="KU368" s="10"/>
      <c r="KV368" s="10"/>
      <c r="KW368" s="10"/>
      <c r="KX368" s="10"/>
      <c r="KY368" s="10"/>
      <c r="KZ368" s="10"/>
      <c r="LA368" s="10"/>
      <c r="LB368" s="10"/>
      <c r="LC368" s="10"/>
      <c r="LD368" s="10"/>
      <c r="LE368" s="10"/>
      <c r="LF368" s="10"/>
      <c r="LG368" s="10"/>
      <c r="LH368" s="10"/>
      <c r="LI368" s="10"/>
      <c r="LJ368" s="10"/>
      <c r="LK368" s="10"/>
      <c r="LL368" s="10"/>
      <c r="LM368" s="10"/>
      <c r="LN368" s="10"/>
      <c r="LO368" s="10"/>
      <c r="LP368" s="10"/>
      <c r="LQ368" s="10"/>
      <c r="LR368" s="10"/>
      <c r="LS368" s="10"/>
      <c r="LT368" s="10"/>
      <c r="LU368" s="10"/>
      <c r="LV368" s="10"/>
      <c r="LW368" s="10"/>
      <c r="LX368" s="10"/>
      <c r="LY368" s="10"/>
      <c r="LZ368" s="10"/>
      <c r="MA368" s="10"/>
      <c r="MB368" s="10"/>
      <c r="MC368" s="10"/>
      <c r="MD368" s="10"/>
      <c r="ME368" s="10"/>
      <c r="MF368" s="10"/>
      <c r="MG368" s="10"/>
      <c r="MH368" s="10"/>
      <c r="MI368" s="10"/>
      <c r="MJ368" s="10"/>
      <c r="MK368" s="10"/>
      <c r="ML368" s="10"/>
      <c r="MM368" s="10"/>
      <c r="MN368" s="11"/>
      <c r="MO368" s="13"/>
      <c r="MY368" s="13"/>
    </row>
    <row r="369" spans="34:618" ht="10.75" customHeight="1">
      <c r="AR369" s="42"/>
      <c r="AS369" s="43"/>
      <c r="AT369" s="43"/>
      <c r="AU369" s="12"/>
      <c r="BI369" s="12"/>
      <c r="CF369" s="13"/>
      <c r="CV369" s="13"/>
      <c r="CX369" s="13"/>
      <c r="DA369" s="281"/>
      <c r="DB369" s="282"/>
      <c r="DC369" s="12"/>
      <c r="DD369" s="13"/>
      <c r="DE369" s="12"/>
      <c r="DL369" s="13"/>
      <c r="EP369" s="12"/>
      <c r="ES369" s="288"/>
      <c r="EU369" s="13"/>
      <c r="EV369" s="13"/>
      <c r="EW369" s="43"/>
      <c r="EX369" s="43"/>
      <c r="EY369" s="45"/>
      <c r="HK369" s="12"/>
      <c r="HP369" s="12"/>
      <c r="HQ369" s="12"/>
      <c r="MN369" s="13"/>
      <c r="MO369" s="13"/>
      <c r="MY369" s="13"/>
    </row>
    <row r="370" spans="34:618" ht="10.75" customHeight="1">
      <c r="AH370" s="9"/>
      <c r="AI370" s="10"/>
      <c r="AJ370" s="10"/>
      <c r="AK370" s="10"/>
      <c r="AL370" s="10"/>
      <c r="AM370" s="10"/>
      <c r="AN370" s="10"/>
      <c r="AO370" s="10"/>
      <c r="AP370" s="10"/>
      <c r="AQ370" s="11"/>
      <c r="AR370" s="42"/>
      <c r="AS370" s="43"/>
      <c r="AT370" s="43"/>
      <c r="AU370" s="12"/>
      <c r="BI370" s="12"/>
      <c r="CF370" s="13"/>
      <c r="CV370" s="13"/>
      <c r="CX370" s="13"/>
      <c r="DA370" s="281"/>
      <c r="DB370" s="282"/>
      <c r="DC370" s="12"/>
      <c r="DD370" s="13"/>
      <c r="DE370" s="12"/>
      <c r="DL370" s="13"/>
      <c r="EP370" s="12"/>
      <c r="ES370" s="288"/>
      <c r="EU370" s="13"/>
      <c r="EV370" s="13"/>
      <c r="EW370" s="43"/>
      <c r="EX370" s="43"/>
      <c r="EY370" s="45"/>
      <c r="HK370" s="12"/>
      <c r="HP370" s="12"/>
      <c r="HQ370" s="12"/>
      <c r="MN370" s="13"/>
      <c r="MO370" s="13"/>
      <c r="MY370" s="13"/>
    </row>
    <row r="371" spans="34:618" ht="10.75" customHeight="1">
      <c r="AH371" s="12"/>
      <c r="AI371" s="9"/>
      <c r="AJ371" s="10"/>
      <c r="AK371" s="10"/>
      <c r="AL371" s="10"/>
      <c r="AM371" s="10"/>
      <c r="AN371" s="10"/>
      <c r="AO371" s="10"/>
      <c r="AP371" s="10"/>
      <c r="AQ371" s="11"/>
      <c r="AR371" s="42"/>
      <c r="AS371" s="43"/>
      <c r="AT371" s="43"/>
      <c r="AU371" s="12"/>
      <c r="BI371" s="12"/>
      <c r="CF371" s="13"/>
      <c r="CV371" s="13"/>
      <c r="CX371" s="13"/>
      <c r="DA371" s="281"/>
      <c r="DB371" s="282"/>
      <c r="DC371" s="12"/>
      <c r="DD371" s="13"/>
      <c r="DE371" s="12"/>
      <c r="DL371" s="13"/>
      <c r="EP371" s="12"/>
      <c r="ES371" s="288"/>
      <c r="EU371" s="13"/>
      <c r="EV371" s="13"/>
      <c r="EW371" s="43"/>
      <c r="EX371" s="43"/>
      <c r="EY371" s="45"/>
      <c r="HK371" s="12"/>
      <c r="HP371" s="12"/>
      <c r="HQ371" s="12"/>
      <c r="MN371" s="13"/>
      <c r="MO371" s="13"/>
      <c r="MY371" s="13"/>
    </row>
    <row r="372" spans="34:618" ht="10.75" customHeight="1">
      <c r="AH372" s="12"/>
      <c r="AI372" s="12"/>
      <c r="AQ372" s="13"/>
      <c r="AR372" s="42"/>
      <c r="AS372" s="43"/>
      <c r="AT372" s="43"/>
      <c r="AU372" s="12"/>
      <c r="BI372" s="12"/>
      <c r="CF372" s="13"/>
      <c r="CV372" s="13"/>
      <c r="CX372" s="13"/>
      <c r="DA372" s="281"/>
      <c r="DB372" s="282"/>
      <c r="DC372" s="12"/>
      <c r="DD372" s="13"/>
      <c r="DE372" s="12"/>
      <c r="DL372" s="13"/>
      <c r="EP372" s="12"/>
      <c r="ES372" s="288"/>
      <c r="EU372" s="13"/>
      <c r="EV372" s="13"/>
      <c r="EW372" s="43"/>
      <c r="EX372" s="43"/>
      <c r="EY372" s="45"/>
      <c r="HK372" s="12"/>
      <c r="HP372" s="12"/>
      <c r="HQ372" s="12"/>
      <c r="IA372" s="15"/>
      <c r="IB372" s="15"/>
      <c r="IC372" s="15"/>
      <c r="ID372" s="15"/>
      <c r="IE372" s="15"/>
      <c r="IF372" s="15"/>
      <c r="IG372" s="15"/>
      <c r="IH372" s="15"/>
      <c r="II372" s="15"/>
      <c r="IJ372" s="15"/>
      <c r="IK372" s="15"/>
      <c r="IL372" s="15"/>
      <c r="IM372" s="15"/>
      <c r="IN372" s="15"/>
      <c r="MN372" s="13"/>
      <c r="MO372" s="13"/>
      <c r="MY372" s="13"/>
    </row>
    <row r="373" spans="34:618" ht="10.75" customHeight="1">
      <c r="AH373" s="12"/>
      <c r="AI373" s="12"/>
      <c r="AQ373" s="13"/>
      <c r="AR373" s="42"/>
      <c r="AS373" s="43"/>
      <c r="AT373" s="43"/>
      <c r="AU373" s="12"/>
      <c r="BI373" s="12"/>
      <c r="CF373" s="13"/>
      <c r="CV373" s="13"/>
      <c r="CX373" s="13"/>
      <c r="DA373" s="281"/>
      <c r="DB373" s="282"/>
      <c r="DC373" s="12"/>
      <c r="DD373" s="13"/>
      <c r="DE373" s="12"/>
      <c r="DL373" s="13"/>
      <c r="EP373" s="12"/>
      <c r="ES373" s="289"/>
      <c r="EU373" s="13"/>
      <c r="EV373" s="13"/>
      <c r="EW373" s="43"/>
      <c r="EX373" s="43"/>
      <c r="EY373" s="45"/>
      <c r="HK373" s="12"/>
      <c r="HP373" s="12"/>
      <c r="HQ373" s="12"/>
      <c r="HZ373" s="13"/>
      <c r="IA373" s="57"/>
      <c r="IB373" s="57"/>
      <c r="IC373" s="57"/>
      <c r="ID373" s="57"/>
      <c r="IE373" s="10"/>
      <c r="IF373" s="10"/>
      <c r="IG373" s="10"/>
      <c r="IH373" s="10"/>
      <c r="II373" s="10"/>
      <c r="IJ373" s="10"/>
      <c r="IK373" s="10"/>
      <c r="IL373" s="10"/>
      <c r="IM373" s="10"/>
      <c r="IN373" s="10"/>
      <c r="IO373" s="10"/>
      <c r="IP373" s="10"/>
      <c r="IQ373" s="10"/>
      <c r="IR373" s="10"/>
      <c r="IS373" s="10"/>
      <c r="IT373" s="10"/>
      <c r="IU373" s="10"/>
      <c r="IV373" s="10"/>
      <c r="IW373" s="10"/>
      <c r="IX373" s="10"/>
      <c r="IY373" s="10"/>
      <c r="IZ373" s="10"/>
      <c r="JA373" s="10"/>
      <c r="JB373" s="10"/>
      <c r="JC373" s="10"/>
      <c r="JD373" s="10"/>
      <c r="JE373" s="10"/>
      <c r="JF373" s="10"/>
      <c r="JG373" s="10"/>
      <c r="JH373" s="10"/>
      <c r="JI373" s="10"/>
      <c r="JJ373" s="10"/>
      <c r="JK373" s="10"/>
      <c r="JL373" s="10"/>
      <c r="JM373" s="10"/>
      <c r="JN373" s="10"/>
      <c r="JO373" s="10"/>
      <c r="JP373" s="10"/>
      <c r="JQ373" s="10"/>
      <c r="JR373" s="10"/>
      <c r="JS373" s="10"/>
      <c r="JT373" s="10"/>
      <c r="JU373" s="10"/>
      <c r="JV373" s="10"/>
      <c r="JW373" s="10"/>
      <c r="JX373" s="10"/>
      <c r="JY373" s="10"/>
      <c r="JZ373" s="10"/>
      <c r="KA373" s="10"/>
      <c r="KB373" s="10"/>
      <c r="KC373" s="10"/>
      <c r="KD373" s="57"/>
      <c r="KE373" s="57"/>
      <c r="KF373" s="57"/>
      <c r="KG373" s="57"/>
      <c r="KH373" s="10"/>
      <c r="KI373" s="10"/>
      <c r="KJ373" s="10"/>
      <c r="KK373" s="10"/>
      <c r="KL373" s="10"/>
      <c r="KM373" s="10"/>
      <c r="KN373" s="10"/>
      <c r="KO373" s="10"/>
      <c r="KP373" s="10"/>
      <c r="KQ373" s="10"/>
      <c r="KR373" s="10"/>
      <c r="KS373" s="10"/>
      <c r="KT373" s="10"/>
      <c r="KU373" s="10"/>
      <c r="KV373" s="10"/>
      <c r="KW373" s="10"/>
      <c r="KX373" s="10"/>
      <c r="KY373" s="10"/>
      <c r="KZ373" s="10"/>
      <c r="LA373" s="10"/>
      <c r="LB373" s="10"/>
      <c r="LC373" s="10"/>
      <c r="LD373" s="10"/>
      <c r="LE373" s="10"/>
      <c r="LF373" s="10"/>
      <c r="LG373" s="10"/>
      <c r="LH373" s="10"/>
      <c r="LI373" s="10"/>
      <c r="LJ373" s="10"/>
      <c r="LK373" s="10"/>
      <c r="LL373" s="10"/>
      <c r="LM373" s="10"/>
      <c r="LN373" s="10"/>
      <c r="LO373" s="10"/>
      <c r="LP373" s="10"/>
      <c r="LQ373" s="10"/>
      <c r="LR373" s="10"/>
      <c r="LS373" s="10"/>
      <c r="LT373" s="10"/>
      <c r="LU373" s="10"/>
      <c r="LV373" s="10"/>
      <c r="LW373" s="10"/>
      <c r="LX373" s="10"/>
      <c r="LY373" s="10"/>
      <c r="LZ373" s="10"/>
      <c r="MA373" s="10"/>
      <c r="MB373" s="10"/>
      <c r="MC373" s="10"/>
      <c r="MD373" s="10"/>
      <c r="ME373" s="10"/>
      <c r="MF373" s="10"/>
      <c r="MG373" s="57"/>
      <c r="MH373" s="57"/>
      <c r="MI373" s="58"/>
      <c r="MN373" s="13"/>
      <c r="MO373" s="13"/>
      <c r="MY373" s="13"/>
      <c r="NY373" s="56"/>
      <c r="NZ373" s="57"/>
      <c r="OA373" s="58"/>
      <c r="OB373" s="57"/>
      <c r="OC373" s="10"/>
      <c r="OD373" s="10"/>
      <c r="OE373" s="10"/>
      <c r="OF373" s="10"/>
      <c r="OG373" s="10"/>
      <c r="OH373" s="10"/>
      <c r="OI373" s="10"/>
      <c r="OJ373" s="10"/>
      <c r="OK373" s="10"/>
      <c r="OL373" s="10"/>
      <c r="OM373" s="10"/>
      <c r="ON373" s="10"/>
      <c r="OO373" s="10"/>
      <c r="OP373" s="10"/>
      <c r="OQ373" s="10"/>
      <c r="OR373" s="10"/>
      <c r="OS373" s="10"/>
      <c r="OT373" s="10"/>
      <c r="OU373" s="10"/>
      <c r="OV373" s="10"/>
      <c r="OW373" s="10"/>
      <c r="OX373" s="10"/>
      <c r="OY373" s="10"/>
      <c r="OZ373" s="10"/>
      <c r="PA373" s="10"/>
      <c r="PB373" s="10"/>
      <c r="PC373" s="10"/>
      <c r="PD373" s="10"/>
      <c r="PE373" s="10"/>
      <c r="PF373" s="10"/>
      <c r="PG373" s="10"/>
      <c r="PH373" s="10"/>
      <c r="PI373" s="10"/>
      <c r="PJ373" s="10"/>
      <c r="PK373" s="10"/>
      <c r="PL373" s="10"/>
      <c r="PM373" s="10"/>
      <c r="PN373" s="10"/>
      <c r="PO373" s="10"/>
      <c r="PP373" s="10"/>
      <c r="PQ373" s="10"/>
      <c r="PR373" s="10"/>
      <c r="PS373" s="10"/>
      <c r="PT373" s="10"/>
      <c r="PU373" s="10"/>
      <c r="PV373" s="10"/>
      <c r="PW373" s="57"/>
      <c r="PX373" s="57"/>
      <c r="PY373" s="57"/>
      <c r="PZ373" s="57"/>
      <c r="QA373" s="10"/>
      <c r="QB373" s="10"/>
      <c r="QC373" s="10"/>
      <c r="QD373" s="10"/>
      <c r="QE373" s="10"/>
      <c r="QF373" s="10"/>
      <c r="QG373" s="10"/>
      <c r="QH373" s="10"/>
      <c r="QI373" s="10"/>
      <c r="QJ373" s="10"/>
      <c r="QK373" s="10"/>
      <c r="QL373" s="10"/>
      <c r="QM373" s="10"/>
      <c r="QN373" s="10"/>
      <c r="QO373" s="10"/>
      <c r="QP373" s="10"/>
      <c r="QQ373" s="10"/>
      <c r="QR373" s="10"/>
      <c r="QS373" s="10"/>
      <c r="QT373" s="10"/>
      <c r="QU373" s="10"/>
      <c r="QV373" s="10"/>
      <c r="QW373" s="10"/>
      <c r="QX373" s="10"/>
      <c r="QY373" s="10"/>
      <c r="QZ373" s="10"/>
      <c r="RA373" s="10"/>
      <c r="RB373" s="10"/>
      <c r="RC373" s="10"/>
      <c r="RD373" s="10"/>
      <c r="RE373" s="10"/>
      <c r="RF373" s="10"/>
      <c r="RG373" s="10"/>
      <c r="RH373" s="10"/>
      <c r="RI373" s="10"/>
      <c r="RJ373" s="10"/>
      <c r="RK373" s="10"/>
      <c r="RL373" s="10"/>
      <c r="RM373" s="10"/>
      <c r="RN373" s="10"/>
      <c r="RO373" s="10"/>
      <c r="RP373" s="10"/>
      <c r="RQ373" s="10"/>
      <c r="RR373" s="10"/>
      <c r="RS373" s="10"/>
      <c r="RT373" s="57"/>
      <c r="RU373" s="57"/>
      <c r="RV373" s="58"/>
      <c r="SX373" s="56"/>
      <c r="SY373" s="57"/>
      <c r="SZ373" s="57"/>
      <c r="TA373" s="57"/>
      <c r="TB373" s="10"/>
      <c r="TC373" s="10"/>
      <c r="TD373" s="10"/>
      <c r="TE373" s="10"/>
      <c r="TF373" s="10"/>
      <c r="TG373" s="10"/>
      <c r="TH373" s="10"/>
      <c r="TI373" s="10"/>
      <c r="TJ373" s="10"/>
      <c r="TK373" s="10"/>
      <c r="TL373" s="10"/>
      <c r="TM373" s="10"/>
      <c r="TN373" s="10"/>
      <c r="TO373" s="10"/>
      <c r="TP373" s="10"/>
      <c r="TQ373" s="10"/>
      <c r="TR373" s="10"/>
      <c r="TS373" s="10"/>
      <c r="TT373" s="10"/>
      <c r="TU373" s="10"/>
      <c r="TV373" s="10"/>
      <c r="TW373" s="10"/>
      <c r="TX373" s="10"/>
      <c r="TY373" s="10"/>
      <c r="TZ373" s="10"/>
      <c r="UA373" s="10"/>
      <c r="UB373" s="10"/>
      <c r="UC373" s="10"/>
      <c r="UD373" s="10"/>
      <c r="UE373" s="10"/>
      <c r="UF373" s="10"/>
      <c r="UG373" s="10"/>
      <c r="UH373" s="10"/>
      <c r="UI373" s="10"/>
      <c r="UJ373" s="10"/>
      <c r="UK373" s="10"/>
      <c r="UL373" s="10"/>
      <c r="UM373" s="10"/>
      <c r="UN373" s="10"/>
      <c r="UO373" s="10"/>
      <c r="UP373" s="10"/>
      <c r="UQ373" s="10"/>
      <c r="UR373" s="10"/>
      <c r="US373" s="57"/>
      <c r="UT373" s="57"/>
      <c r="UU373" s="57"/>
      <c r="UV373" s="57"/>
      <c r="UW373" s="10"/>
      <c r="UX373" s="10"/>
      <c r="UY373" s="10"/>
      <c r="UZ373" s="10"/>
      <c r="VA373" s="10"/>
      <c r="VB373" s="10"/>
      <c r="VC373" s="10"/>
      <c r="VD373" s="10"/>
      <c r="VE373" s="10"/>
      <c r="VF373" s="10"/>
      <c r="VG373" s="10"/>
      <c r="VH373" s="10"/>
      <c r="VI373" s="10"/>
      <c r="VJ373" s="10"/>
      <c r="VK373" s="10"/>
      <c r="VL373" s="10"/>
      <c r="VM373" s="10"/>
      <c r="VN373" s="10"/>
      <c r="VO373" s="10"/>
      <c r="VP373" s="10"/>
      <c r="VQ373" s="10"/>
      <c r="VR373" s="10"/>
      <c r="VS373" s="10"/>
      <c r="VT373" s="10"/>
      <c r="VU373" s="10"/>
      <c r="VV373" s="10"/>
      <c r="VW373" s="10"/>
      <c r="VX373" s="10"/>
      <c r="VY373" s="10"/>
      <c r="VZ373" s="10"/>
      <c r="WA373" s="10"/>
      <c r="WB373" s="10"/>
      <c r="WC373" s="10"/>
      <c r="WD373" s="10"/>
      <c r="WE373" s="10"/>
      <c r="WF373" s="10"/>
      <c r="WG373" s="10"/>
      <c r="WH373" s="10"/>
      <c r="WI373" s="10"/>
      <c r="WJ373" s="10"/>
      <c r="WK373" s="10"/>
      <c r="WL373" s="10"/>
      <c r="WM373" s="10"/>
      <c r="WN373" s="10"/>
      <c r="WO373" s="10"/>
      <c r="WP373" s="10"/>
      <c r="WQ373" s="10"/>
      <c r="WR373" s="57"/>
      <c r="WS373" s="57"/>
      <c r="WT373" s="58"/>
    </row>
    <row r="374" spans="34:618" ht="10.75" customHeight="1">
      <c r="AH374" s="12"/>
      <c r="AI374" s="12"/>
      <c r="AQ374" s="13"/>
      <c r="AR374" s="42"/>
      <c r="AS374" s="43"/>
      <c r="AT374" s="43"/>
      <c r="AU374" s="12"/>
      <c r="BI374" s="12"/>
      <c r="CF374" s="13"/>
      <c r="CV374" s="13"/>
      <c r="CX374" s="13"/>
      <c r="DA374" s="281"/>
      <c r="DB374" s="282"/>
      <c r="DC374" s="12"/>
      <c r="DD374" s="13"/>
      <c r="DE374" s="12"/>
      <c r="DL374" s="13"/>
      <c r="EP374" s="14"/>
      <c r="EQ374" s="15"/>
      <c r="ER374" s="15"/>
      <c r="ES374" s="15"/>
      <c r="ET374" s="15"/>
      <c r="EU374" s="16"/>
      <c r="EV374" s="13"/>
      <c r="EW374" s="43"/>
      <c r="EX374" s="43"/>
      <c r="EY374" s="45"/>
      <c r="HK374" s="12"/>
      <c r="HP374" s="12"/>
      <c r="HQ374" s="12"/>
      <c r="HZ374" s="13"/>
      <c r="IA374" s="97"/>
      <c r="IB374" s="97"/>
      <c r="IC374" s="97"/>
      <c r="ID374" s="97"/>
      <c r="KD374" s="97"/>
      <c r="KE374" s="97"/>
      <c r="KF374" s="97"/>
      <c r="KG374" s="97"/>
      <c r="MG374" s="97"/>
      <c r="MH374" s="97"/>
      <c r="MI374" s="98"/>
      <c r="MN374" s="13"/>
      <c r="MO374" s="13"/>
      <c r="MY374" s="13"/>
      <c r="NY374" s="96"/>
      <c r="NZ374" s="97"/>
      <c r="OA374" s="98"/>
      <c r="OB374" s="97"/>
      <c r="PW374" s="97"/>
      <c r="PX374" s="97"/>
      <c r="PY374" s="97"/>
      <c r="PZ374" s="97"/>
      <c r="RT374" s="97"/>
      <c r="RU374" s="97"/>
      <c r="RV374" s="98"/>
      <c r="SX374" s="96"/>
      <c r="SY374" s="97"/>
      <c r="SZ374" s="97"/>
      <c r="TA374" s="97"/>
      <c r="US374" s="97"/>
      <c r="UT374" s="97"/>
      <c r="UU374" s="97"/>
      <c r="UV374" s="97"/>
      <c r="WR374" s="97"/>
      <c r="WS374" s="97"/>
      <c r="WT374" s="98"/>
    </row>
    <row r="375" spans="34:618" ht="10.75" customHeight="1">
      <c r="AH375" s="12"/>
      <c r="AI375" s="12"/>
      <c r="AQ375" s="13"/>
      <c r="AR375" s="43"/>
      <c r="AS375" s="43"/>
      <c r="AT375" s="43"/>
      <c r="AU375" s="12"/>
      <c r="BI375" s="12"/>
      <c r="CF375" s="13"/>
      <c r="CV375" s="13"/>
      <c r="CX375" s="13"/>
      <c r="DA375" s="281"/>
      <c r="DB375" s="282"/>
      <c r="DC375" s="12"/>
      <c r="DD375" s="13"/>
      <c r="DE375" s="12"/>
      <c r="DL375" s="13"/>
      <c r="EV375" s="13"/>
      <c r="EW375" s="43"/>
      <c r="EX375" s="43"/>
      <c r="EY375" s="45"/>
      <c r="HK375" s="12"/>
      <c r="HP375" s="12"/>
      <c r="HQ375" s="14"/>
      <c r="HR375" s="15"/>
      <c r="HS375" s="15"/>
      <c r="HT375" s="15"/>
      <c r="HU375" s="15"/>
      <c r="HV375" s="15"/>
      <c r="HW375" s="15"/>
      <c r="HX375" s="15"/>
      <c r="HY375" s="15"/>
      <c r="HZ375" s="16"/>
      <c r="IA375" s="60"/>
      <c r="IB375" s="60"/>
      <c r="IC375" s="60"/>
      <c r="ID375" s="60"/>
      <c r="IE375" s="15"/>
      <c r="IF375" s="15"/>
      <c r="IG375" s="15"/>
      <c r="IH375" s="15"/>
      <c r="II375" s="15"/>
      <c r="IJ375" s="15"/>
      <c r="IK375" s="15"/>
      <c r="IL375" s="15"/>
      <c r="IM375" s="15"/>
      <c r="IN375" s="15"/>
      <c r="IO375" s="15"/>
      <c r="IP375" s="15"/>
      <c r="IQ375" s="15"/>
      <c r="IR375" s="15"/>
      <c r="IS375" s="15"/>
      <c r="IT375" s="15"/>
      <c r="IU375" s="15"/>
      <c r="IV375" s="15"/>
      <c r="IW375" s="15"/>
      <c r="IX375" s="15"/>
      <c r="IY375" s="15"/>
      <c r="IZ375" s="15"/>
      <c r="JA375" s="15"/>
      <c r="JB375" s="15"/>
      <c r="JC375" s="15"/>
      <c r="JD375" s="15"/>
      <c r="JE375" s="15"/>
      <c r="JF375" s="15"/>
      <c r="JG375" s="15"/>
      <c r="JH375" s="15"/>
      <c r="JI375" s="15"/>
      <c r="JJ375" s="15"/>
      <c r="JK375" s="15"/>
      <c r="JL375" s="15"/>
      <c r="JM375" s="15"/>
      <c r="JN375" s="15"/>
      <c r="JO375" s="15"/>
      <c r="JP375" s="15"/>
      <c r="JQ375" s="15"/>
      <c r="JR375" s="15"/>
      <c r="JS375" s="15"/>
      <c r="JT375" s="15"/>
      <c r="JU375" s="15"/>
      <c r="JV375" s="15"/>
      <c r="JW375" s="15"/>
      <c r="JX375" s="15"/>
      <c r="JY375" s="15"/>
      <c r="JZ375" s="15"/>
      <c r="KA375" s="15"/>
      <c r="KB375" s="15"/>
      <c r="KC375" s="15"/>
      <c r="KD375" s="97"/>
      <c r="KE375" s="97"/>
      <c r="KF375" s="97"/>
      <c r="KG375" s="97"/>
      <c r="KH375" s="15"/>
      <c r="KI375" s="15"/>
      <c r="KJ375" s="15"/>
      <c r="KK375" s="15"/>
      <c r="KL375" s="15"/>
      <c r="KM375" s="15"/>
      <c r="KN375" s="15"/>
      <c r="KO375" s="15"/>
      <c r="KP375" s="15"/>
      <c r="KQ375" s="15"/>
      <c r="KR375" s="15"/>
      <c r="KS375" s="15"/>
      <c r="KT375" s="15"/>
      <c r="KU375" s="15"/>
      <c r="KV375" s="15"/>
      <c r="KW375" s="15"/>
      <c r="KX375" s="15"/>
      <c r="KY375" s="15"/>
      <c r="KZ375" s="15"/>
      <c r="LA375" s="15"/>
      <c r="LB375" s="15"/>
      <c r="LC375" s="15"/>
      <c r="LD375" s="15"/>
      <c r="LE375" s="15"/>
      <c r="LF375" s="15"/>
      <c r="LG375" s="15"/>
      <c r="LH375" s="15"/>
      <c r="LI375" s="15"/>
      <c r="LJ375" s="15"/>
      <c r="LK375" s="15"/>
      <c r="LL375" s="15"/>
      <c r="LM375" s="15"/>
      <c r="LN375" s="15"/>
      <c r="LO375" s="15"/>
      <c r="LP375" s="15"/>
      <c r="LQ375" s="15"/>
      <c r="LR375" s="15"/>
      <c r="LS375" s="15"/>
      <c r="LT375" s="15"/>
      <c r="LU375" s="15"/>
      <c r="LV375" s="15"/>
      <c r="LW375" s="15"/>
      <c r="LX375" s="15"/>
      <c r="LY375" s="15"/>
      <c r="LZ375" s="15"/>
      <c r="MA375" s="15"/>
      <c r="MB375" s="15"/>
      <c r="MC375" s="15"/>
      <c r="MD375" s="15"/>
      <c r="ME375" s="15"/>
      <c r="MF375" s="15"/>
      <c r="MG375" s="97"/>
      <c r="MH375" s="97"/>
      <c r="MI375" s="98"/>
      <c r="MN375" s="13"/>
      <c r="MO375" s="13"/>
      <c r="MY375" s="13"/>
      <c r="NY375" s="96"/>
      <c r="NZ375" s="97"/>
      <c r="OA375" s="98"/>
      <c r="OB375" s="60"/>
      <c r="OC375" s="15"/>
      <c r="OD375" s="15"/>
      <c r="OE375" s="15"/>
      <c r="OF375" s="15"/>
      <c r="OG375" s="15"/>
      <c r="OH375" s="15"/>
      <c r="OI375" s="15"/>
      <c r="OJ375" s="15"/>
      <c r="OK375" s="15"/>
      <c r="OL375" s="15"/>
      <c r="OM375" s="15"/>
      <c r="ON375" s="15"/>
      <c r="OO375" s="15"/>
      <c r="OP375" s="15"/>
      <c r="OQ375" s="15"/>
      <c r="OR375" s="15"/>
      <c r="OS375" s="15"/>
      <c r="OT375" s="15"/>
      <c r="OU375" s="15"/>
      <c r="OV375" s="15"/>
      <c r="OW375" s="15"/>
      <c r="OX375" s="15"/>
      <c r="OY375" s="15"/>
      <c r="OZ375" s="15"/>
      <c r="PA375" s="15"/>
      <c r="PB375" s="15"/>
      <c r="PC375" s="15"/>
      <c r="PD375" s="15"/>
      <c r="PE375" s="15"/>
      <c r="PF375" s="15"/>
      <c r="PG375" s="15"/>
      <c r="PH375" s="15"/>
      <c r="PI375" s="15"/>
      <c r="PJ375" s="15"/>
      <c r="PK375" s="15"/>
      <c r="PL375" s="15"/>
      <c r="PM375" s="15"/>
      <c r="PN375" s="15"/>
      <c r="PO375" s="15"/>
      <c r="PP375" s="15"/>
      <c r="PQ375" s="15"/>
      <c r="PR375" s="15"/>
      <c r="PS375" s="15"/>
      <c r="PT375" s="15"/>
      <c r="PU375" s="15"/>
      <c r="PV375" s="15"/>
      <c r="PW375" s="97"/>
      <c r="PX375" s="97"/>
      <c r="PY375" s="97"/>
      <c r="PZ375" s="97"/>
      <c r="RT375" s="97"/>
      <c r="RU375" s="97"/>
      <c r="RV375" s="98"/>
      <c r="SX375" s="59"/>
      <c r="SY375" s="60"/>
      <c r="SZ375" s="60"/>
      <c r="TA375" s="60"/>
      <c r="TB375" s="15"/>
      <c r="TC375" s="15"/>
      <c r="TD375" s="15"/>
      <c r="TE375" s="15"/>
      <c r="TF375" s="15"/>
      <c r="TG375" s="15"/>
      <c r="TH375" s="15"/>
      <c r="TI375" s="15"/>
      <c r="TJ375" s="15"/>
      <c r="TK375" s="15"/>
      <c r="TL375" s="15"/>
      <c r="TM375" s="15"/>
      <c r="TN375" s="15"/>
      <c r="TO375" s="15"/>
      <c r="TP375" s="15"/>
      <c r="TQ375" s="15"/>
      <c r="TR375" s="15"/>
      <c r="TS375" s="15"/>
      <c r="TT375" s="15"/>
      <c r="TU375" s="15"/>
      <c r="TV375" s="15"/>
      <c r="TW375" s="15"/>
      <c r="TX375" s="15"/>
      <c r="TY375" s="15"/>
      <c r="TZ375" s="15"/>
      <c r="UA375" s="15"/>
      <c r="UB375" s="15"/>
      <c r="UC375" s="15"/>
      <c r="UD375" s="15"/>
      <c r="UE375" s="15"/>
      <c r="UF375" s="15"/>
      <c r="UG375" s="15"/>
      <c r="UH375" s="15"/>
      <c r="UI375" s="15"/>
      <c r="UJ375" s="15"/>
      <c r="UK375" s="15"/>
      <c r="UL375" s="15"/>
      <c r="UM375" s="15"/>
      <c r="UN375" s="15"/>
      <c r="UO375" s="15"/>
      <c r="UP375" s="15"/>
      <c r="UQ375" s="15"/>
      <c r="UR375" s="15"/>
      <c r="US375" s="97"/>
      <c r="UT375" s="97"/>
      <c r="UU375" s="97"/>
      <c r="UV375" s="97"/>
      <c r="UW375" s="15"/>
      <c r="UX375" s="15"/>
      <c r="UY375" s="15"/>
      <c r="UZ375" s="15"/>
      <c r="VA375" s="15"/>
      <c r="VB375" s="15"/>
      <c r="VC375" s="15"/>
      <c r="VD375" s="15"/>
      <c r="VE375" s="15"/>
      <c r="VF375" s="15"/>
      <c r="VG375" s="15"/>
      <c r="VH375" s="15"/>
      <c r="VI375" s="15"/>
      <c r="VJ375" s="15"/>
      <c r="VK375" s="15"/>
      <c r="VL375" s="15"/>
      <c r="VM375" s="15"/>
      <c r="VN375" s="15"/>
      <c r="VO375" s="15"/>
      <c r="VP375" s="15"/>
      <c r="VQ375" s="15"/>
      <c r="VR375" s="15"/>
      <c r="VS375" s="15"/>
      <c r="VT375" s="15"/>
      <c r="VU375" s="15"/>
      <c r="VV375" s="15"/>
      <c r="VW375" s="15"/>
      <c r="VX375" s="15"/>
      <c r="VY375" s="15"/>
      <c r="VZ375" s="15"/>
      <c r="WA375" s="15"/>
      <c r="WB375" s="15"/>
      <c r="WC375" s="15"/>
      <c r="WD375" s="15"/>
      <c r="WE375" s="15"/>
      <c r="WF375" s="15"/>
      <c r="WG375" s="15"/>
      <c r="WH375" s="15"/>
      <c r="WI375" s="15"/>
      <c r="WJ375" s="15"/>
      <c r="WK375" s="15"/>
      <c r="WL375" s="15"/>
      <c r="WM375" s="15"/>
      <c r="WN375" s="15"/>
      <c r="WO375" s="15"/>
      <c r="WP375" s="15"/>
      <c r="WQ375" s="15"/>
      <c r="WR375" s="97"/>
      <c r="WS375" s="97"/>
      <c r="WT375" s="98"/>
    </row>
    <row r="376" spans="34:618" ht="10.75" customHeight="1">
      <c r="AH376" s="12"/>
      <c r="AI376" s="12"/>
      <c r="AQ376" s="13"/>
      <c r="AR376" s="43"/>
      <c r="AS376" s="43"/>
      <c r="AT376" s="43"/>
      <c r="AU376" s="12"/>
      <c r="BI376" s="12"/>
      <c r="CF376" s="13"/>
      <c r="CV376" s="13"/>
      <c r="CX376" s="13"/>
      <c r="DA376" s="281"/>
      <c r="DB376" s="282"/>
      <c r="DC376" s="12"/>
      <c r="DD376" s="13"/>
      <c r="DE376" s="12"/>
      <c r="DL376" s="13"/>
      <c r="EV376" s="13"/>
      <c r="EW376" s="43"/>
      <c r="EX376" s="43"/>
      <c r="EY376" s="45"/>
      <c r="HK376" s="12"/>
      <c r="HP376" s="12"/>
      <c r="HQ376" s="9"/>
      <c r="HR376" s="10"/>
      <c r="HS376" s="10"/>
      <c r="HT376" s="10"/>
      <c r="HU376" s="10"/>
      <c r="HV376" s="10"/>
      <c r="HW376" s="10"/>
      <c r="HX376" s="10"/>
      <c r="HY376" s="10"/>
      <c r="HZ376" s="11"/>
      <c r="IA376" s="17"/>
      <c r="ID376" s="12"/>
      <c r="IE376" s="10"/>
      <c r="IF376" s="9"/>
      <c r="IG376" s="10"/>
      <c r="IH376" s="10"/>
      <c r="II376" s="10"/>
      <c r="IJ376" s="10"/>
      <c r="IK376" s="10"/>
      <c r="IL376" s="10"/>
      <c r="IM376" s="11"/>
      <c r="IN376" s="10"/>
      <c r="IO376" s="10"/>
      <c r="IP376" s="9"/>
      <c r="IQ376" s="10"/>
      <c r="IR376" s="10"/>
      <c r="IS376" s="10"/>
      <c r="IT376" s="10"/>
      <c r="IU376" s="10"/>
      <c r="IV376" s="10"/>
      <c r="IW376" s="11"/>
      <c r="IX376" s="10"/>
      <c r="IY376" s="10"/>
      <c r="IZ376" s="10"/>
      <c r="JA376" s="10"/>
      <c r="JB376" s="10"/>
      <c r="JC376" s="10"/>
      <c r="JD376" s="10"/>
      <c r="JE376" s="10"/>
      <c r="JF376" s="10"/>
      <c r="JG376" s="10"/>
      <c r="JH376" s="10"/>
      <c r="JI376" s="11"/>
      <c r="JJ376" s="10"/>
      <c r="JK376" s="11"/>
      <c r="JL376" s="9"/>
      <c r="JM376" s="10"/>
      <c r="JN376" s="10"/>
      <c r="JO376" s="10"/>
      <c r="JP376" s="10"/>
      <c r="JQ376" s="10"/>
      <c r="JR376" s="10"/>
      <c r="JS376" s="10"/>
      <c r="JT376" s="10"/>
      <c r="JU376" s="10"/>
      <c r="JV376" s="10"/>
      <c r="JW376" s="10"/>
      <c r="JX376" s="10"/>
      <c r="JY376" s="10"/>
      <c r="JZ376" s="10"/>
      <c r="KA376" s="10"/>
      <c r="KB376" s="10"/>
      <c r="KC376" s="10"/>
      <c r="KD376" s="10"/>
      <c r="KE376" s="9"/>
      <c r="KF376" s="11"/>
      <c r="KG376" s="10"/>
      <c r="KH376" s="10"/>
      <c r="KI376" s="10"/>
      <c r="KJ376" s="10"/>
      <c r="KK376" s="10"/>
      <c r="KL376" s="10"/>
      <c r="KM376" s="10"/>
      <c r="KN376" s="10"/>
      <c r="KO376" s="10"/>
      <c r="KP376" s="10"/>
      <c r="KQ376" s="10"/>
      <c r="KR376" s="10"/>
      <c r="KS376" s="10"/>
      <c r="KT376" s="10"/>
      <c r="KU376" s="10"/>
      <c r="KV376" s="10"/>
      <c r="KW376" s="10"/>
      <c r="KX376" s="10"/>
      <c r="KY376" s="10"/>
      <c r="KZ376" s="10"/>
      <c r="LA376" s="10"/>
      <c r="LB376" s="10"/>
      <c r="LC376" s="10"/>
      <c r="LD376" s="10"/>
      <c r="LE376" s="10"/>
      <c r="LF376" s="10"/>
      <c r="LG376" s="10"/>
      <c r="LH376" s="10"/>
      <c r="LI376" s="10"/>
      <c r="LJ376" s="10"/>
      <c r="LK376" s="10"/>
      <c r="LL376" s="10"/>
      <c r="LM376" s="10"/>
      <c r="LN376" s="10"/>
      <c r="LO376" s="10"/>
      <c r="LP376" s="10"/>
      <c r="LQ376" s="10"/>
      <c r="LR376" s="10"/>
      <c r="LS376" s="10"/>
      <c r="LT376" s="10"/>
      <c r="LU376" s="10"/>
      <c r="LV376" s="10"/>
      <c r="LW376" s="10"/>
      <c r="LX376" s="10"/>
      <c r="LY376" s="10"/>
      <c r="LZ376" s="10"/>
      <c r="MA376" s="10"/>
      <c r="MB376" s="10"/>
      <c r="MC376" s="10"/>
      <c r="MD376" s="10"/>
      <c r="ME376" s="10"/>
      <c r="MF376" s="11"/>
      <c r="MG376" s="97"/>
      <c r="MH376" s="97"/>
      <c r="MI376" s="98"/>
      <c r="MN376" s="13"/>
      <c r="MO376" s="13"/>
      <c r="MY376" s="13"/>
      <c r="NY376" s="12"/>
      <c r="OA376" s="13"/>
      <c r="PL376" s="9"/>
      <c r="PM376" s="11"/>
      <c r="PN376" s="9"/>
      <c r="PO376" s="10"/>
      <c r="PP376" s="10"/>
      <c r="PQ376" s="10"/>
      <c r="PR376" s="10"/>
      <c r="PS376" s="10"/>
      <c r="PT376" s="10"/>
      <c r="PU376" s="10"/>
      <c r="PV376" s="10"/>
      <c r="PW376" s="10"/>
      <c r="PX376" s="10"/>
      <c r="PY376" s="10"/>
      <c r="PZ376" s="10"/>
      <c r="QA376" s="10"/>
      <c r="QB376" s="10"/>
      <c r="QC376" s="10"/>
      <c r="QD376" s="10"/>
      <c r="QE376" s="10"/>
      <c r="QF376" s="10"/>
      <c r="QG376" s="10"/>
      <c r="QH376" s="10"/>
      <c r="QI376" s="10"/>
      <c r="QJ376" s="10"/>
      <c r="QK376" s="10"/>
      <c r="QL376" s="10"/>
      <c r="QM376" s="10"/>
      <c r="QN376" s="10"/>
      <c r="QO376" s="11"/>
      <c r="QP376" s="9"/>
      <c r="QQ376" s="10"/>
      <c r="QR376" s="9"/>
      <c r="QS376" s="10"/>
      <c r="QT376" s="10"/>
      <c r="QU376" s="10"/>
      <c r="QV376" s="9"/>
      <c r="QW376" s="10"/>
      <c r="QX376" s="10"/>
      <c r="QY376" s="10"/>
      <c r="QZ376" s="11"/>
      <c r="RA376" s="10"/>
      <c r="RB376" s="10"/>
      <c r="RC376" s="10"/>
      <c r="RD376" s="10"/>
      <c r="RE376" s="11"/>
      <c r="RF376" s="10"/>
      <c r="RG376" s="10"/>
      <c r="RH376" s="9"/>
      <c r="RI376" s="10"/>
      <c r="RJ376" s="10"/>
      <c r="RK376" s="10"/>
      <c r="RL376" s="10"/>
      <c r="RM376" s="10"/>
      <c r="RN376" s="10"/>
      <c r="RO376" s="10"/>
      <c r="RP376" s="10"/>
      <c r="RQ376" s="10"/>
      <c r="RR376" s="10"/>
      <c r="RS376" s="11"/>
      <c r="RV376" s="13"/>
      <c r="SX376" s="12"/>
      <c r="TA376" s="12"/>
      <c r="TB376" s="10"/>
      <c r="TC376" s="10"/>
      <c r="TD376" s="10"/>
      <c r="TE376" s="10"/>
      <c r="TF376" s="10"/>
      <c r="TG376" s="10"/>
      <c r="TH376" s="10"/>
      <c r="TI376" s="10"/>
      <c r="TJ376" s="10"/>
      <c r="TK376" s="10"/>
      <c r="TL376" s="10"/>
      <c r="TM376" s="10"/>
      <c r="TN376" s="10"/>
      <c r="TO376" s="10"/>
      <c r="TP376" s="10"/>
      <c r="TQ376" s="10"/>
      <c r="TR376" s="10"/>
      <c r="TS376" s="10"/>
      <c r="TT376" s="10"/>
      <c r="TU376" s="10"/>
      <c r="TV376" s="10"/>
      <c r="TW376" s="10"/>
      <c r="TX376" s="10"/>
      <c r="TY376" s="10"/>
      <c r="TZ376" s="11"/>
      <c r="UA376" s="10"/>
      <c r="UB376" s="11"/>
      <c r="UC376" s="10"/>
      <c r="UD376" s="10"/>
      <c r="UE376" s="10"/>
      <c r="UF376" s="10"/>
      <c r="UG376" s="10"/>
      <c r="UH376" s="10"/>
      <c r="UI376" s="10"/>
      <c r="UJ376" s="10"/>
      <c r="UK376" s="10"/>
      <c r="UL376" s="10"/>
      <c r="UM376" s="10"/>
      <c r="UN376" s="10"/>
      <c r="UO376" s="10"/>
      <c r="UP376" s="10"/>
      <c r="UQ376" s="10"/>
      <c r="UR376" s="10"/>
      <c r="US376" s="10"/>
      <c r="UT376" s="9"/>
      <c r="UU376" s="11"/>
      <c r="UV376" s="10"/>
      <c r="UW376" s="10"/>
      <c r="UX376" s="10"/>
      <c r="UY376" s="10"/>
      <c r="UZ376" s="10"/>
      <c r="VA376" s="10"/>
      <c r="VB376" s="10"/>
      <c r="VC376" s="10"/>
      <c r="VD376" s="10"/>
      <c r="VE376" s="10"/>
      <c r="VF376" s="10"/>
      <c r="VG376" s="10"/>
      <c r="VH376" s="10"/>
      <c r="VI376" s="10"/>
      <c r="VJ376" s="10"/>
      <c r="VK376" s="10"/>
      <c r="VL376" s="10"/>
      <c r="VM376" s="10"/>
      <c r="VN376" s="10"/>
      <c r="VO376" s="10"/>
      <c r="VP376" s="10"/>
      <c r="VQ376" s="10"/>
      <c r="VR376" s="10"/>
      <c r="VS376" s="10"/>
      <c r="VT376" s="10"/>
      <c r="VU376" s="10"/>
      <c r="VV376" s="10"/>
      <c r="VW376" s="10"/>
      <c r="VX376" s="10"/>
      <c r="VY376" s="10"/>
      <c r="VZ376" s="10"/>
      <c r="WA376" s="10"/>
      <c r="WB376" s="10"/>
      <c r="WC376" s="10"/>
      <c r="WD376" s="10"/>
      <c r="WE376" s="10"/>
      <c r="WF376" s="10"/>
      <c r="WG376" s="10"/>
      <c r="WH376" s="10"/>
      <c r="WI376" s="10"/>
      <c r="WJ376" s="10"/>
      <c r="WK376" s="10"/>
      <c r="WL376" s="10"/>
      <c r="WM376" s="10"/>
      <c r="WN376" s="10"/>
      <c r="WO376" s="10"/>
      <c r="WP376" s="10"/>
      <c r="WQ376" s="11"/>
      <c r="WR376" s="97"/>
      <c r="WS376" s="97"/>
      <c r="WT376" s="98"/>
    </row>
    <row r="377" spans="34:618" ht="10.75" customHeight="1">
      <c r="AH377" s="12"/>
      <c r="AI377" s="12"/>
      <c r="AQ377" s="13"/>
      <c r="AR377" s="43"/>
      <c r="AS377" s="43"/>
      <c r="AT377" s="43"/>
      <c r="AU377" s="12"/>
      <c r="BI377" s="12"/>
      <c r="CF377" s="13"/>
      <c r="CV377" s="13"/>
      <c r="CX377" s="13"/>
      <c r="DA377" s="281"/>
      <c r="DB377" s="282"/>
      <c r="DC377" s="14"/>
      <c r="DD377" s="16"/>
      <c r="DE377" s="14"/>
      <c r="DF377" s="15"/>
      <c r="DG377" s="15"/>
      <c r="DH377" s="15"/>
      <c r="DI377" s="15"/>
      <c r="DJ377" s="15"/>
      <c r="DK377" s="15"/>
      <c r="DL377" s="16"/>
      <c r="EV377" s="13"/>
      <c r="EW377" s="43"/>
      <c r="EX377" s="43"/>
      <c r="EY377" s="45"/>
      <c r="HK377" s="12"/>
      <c r="HP377" s="12"/>
      <c r="HQ377" s="12"/>
      <c r="HZ377" s="13"/>
      <c r="IA377" s="18"/>
      <c r="ID377" s="12"/>
      <c r="IF377" s="14"/>
      <c r="IG377" s="15"/>
      <c r="IH377" s="15"/>
      <c r="II377" s="15"/>
      <c r="IJ377" s="15"/>
      <c r="IK377" s="15"/>
      <c r="IL377" s="15"/>
      <c r="IM377" s="16"/>
      <c r="IP377" s="12"/>
      <c r="IW377" s="13"/>
      <c r="JI377" s="13"/>
      <c r="JK377" s="13"/>
      <c r="JL377" s="12"/>
      <c r="KE377" s="12"/>
      <c r="KF377" s="13"/>
      <c r="MF377" s="13"/>
      <c r="MI377" s="13"/>
      <c r="MN377" s="13"/>
      <c r="MO377" s="13"/>
      <c r="MY377" s="13"/>
      <c r="NY377" s="12"/>
      <c r="OA377" s="13"/>
      <c r="PL377" s="12"/>
      <c r="PM377" s="13"/>
      <c r="PN377" s="12"/>
      <c r="QO377" s="13"/>
      <c r="QP377" s="12"/>
      <c r="QR377" s="12"/>
      <c r="QV377" s="14"/>
      <c r="QW377" s="15"/>
      <c r="QX377" s="15"/>
      <c r="QY377" s="15"/>
      <c r="QZ377" s="16"/>
      <c r="RE377" s="13"/>
      <c r="RH377" s="12"/>
      <c r="RS377" s="13"/>
      <c r="RV377" s="13"/>
      <c r="SX377" s="12"/>
      <c r="TA377" s="12"/>
      <c r="TZ377" s="13"/>
      <c r="UB377" s="13"/>
      <c r="UT377" s="12"/>
      <c r="UU377" s="13"/>
      <c r="WQ377" s="13"/>
      <c r="WT377" s="13"/>
    </row>
    <row r="378" spans="34:618" ht="10.75" customHeight="1">
      <c r="AH378" s="12"/>
      <c r="AI378" s="12"/>
      <c r="AQ378" s="13"/>
      <c r="AR378" s="97"/>
      <c r="AS378" s="97"/>
      <c r="AT378" s="97"/>
      <c r="AU378" s="12"/>
      <c r="BI378" s="12"/>
      <c r="CF378" s="13"/>
      <c r="CV378" s="98"/>
      <c r="CW378" s="97"/>
      <c r="CX378" s="98"/>
      <c r="DA378" s="281"/>
      <c r="DB378" s="282"/>
      <c r="DC378" s="282"/>
      <c r="DD378" s="282"/>
      <c r="DE378" s="282"/>
      <c r="DF378" s="282"/>
      <c r="DG378" s="282"/>
      <c r="DH378" s="282"/>
      <c r="DI378" s="282"/>
      <c r="DJ378" s="282"/>
      <c r="DK378" s="282"/>
      <c r="DL378" s="284"/>
      <c r="EV378" s="13"/>
      <c r="EW378" s="97"/>
      <c r="EX378" s="97"/>
      <c r="EY378" s="98"/>
      <c r="HK378" s="12"/>
      <c r="HP378" s="12"/>
      <c r="HQ378" s="12"/>
      <c r="HZ378" s="13"/>
      <c r="IA378" s="18"/>
      <c r="ID378" s="12"/>
      <c r="IF378" s="12"/>
      <c r="IM378" s="13"/>
      <c r="IP378" s="12"/>
      <c r="IW378" s="13"/>
      <c r="JI378" s="13"/>
      <c r="JK378" s="13"/>
      <c r="JL378" s="12"/>
      <c r="KE378" s="12"/>
      <c r="KF378" s="122"/>
      <c r="MF378" s="13"/>
      <c r="MI378" s="13"/>
      <c r="MN378" s="13"/>
      <c r="MO378" s="13"/>
      <c r="MY378" s="13"/>
      <c r="NY378" s="12"/>
      <c r="OA378" s="13"/>
      <c r="PL378" s="12"/>
      <c r="PM378" s="13"/>
      <c r="PN378" s="12"/>
      <c r="QO378" s="13"/>
      <c r="QP378" s="12"/>
      <c r="QR378" s="12"/>
      <c r="QV378" s="9"/>
      <c r="QW378" s="10"/>
      <c r="QX378" s="10"/>
      <c r="QY378" s="10"/>
      <c r="QZ378" s="11"/>
      <c r="RE378" s="13"/>
      <c r="RH378" s="12"/>
      <c r="RS378" s="13"/>
      <c r="RV378" s="13"/>
      <c r="SX378" s="12"/>
      <c r="TA378" s="12"/>
      <c r="TZ378" s="13"/>
      <c r="UB378" s="13"/>
      <c r="UC378" s="12"/>
      <c r="UT378" s="12"/>
      <c r="UU378" s="13"/>
      <c r="WQ378" s="13"/>
      <c r="WT378" s="13"/>
    </row>
    <row r="379" spans="34:618" ht="10.75" customHeight="1">
      <c r="AH379" s="12"/>
      <c r="AI379" s="12"/>
      <c r="AQ379" s="13"/>
      <c r="AR379" s="97"/>
      <c r="AS379" s="97"/>
      <c r="AT379" s="97"/>
      <c r="AU379" s="12"/>
      <c r="BI379" s="12"/>
      <c r="CF379" s="13"/>
      <c r="CV379" s="98"/>
      <c r="CW379" s="97"/>
      <c r="CX379" s="98"/>
      <c r="DA379" s="285"/>
      <c r="DB379" s="286"/>
      <c r="DC379" s="286"/>
      <c r="DD379" s="286"/>
      <c r="DE379" s="286"/>
      <c r="DF379" s="286"/>
      <c r="DG379" s="286"/>
      <c r="DH379" s="286"/>
      <c r="DI379" s="286"/>
      <c r="DJ379" s="286"/>
      <c r="DK379" s="286"/>
      <c r="DL379" s="287"/>
      <c r="EV379" s="13"/>
      <c r="EW379" s="97"/>
      <c r="EX379" s="97"/>
      <c r="EY379" s="98"/>
      <c r="HK379" s="12"/>
      <c r="HP379" s="12"/>
      <c r="HQ379" s="12"/>
      <c r="HZ379" s="13"/>
      <c r="IA379" s="18"/>
      <c r="ID379" s="12"/>
      <c r="IF379" s="12"/>
      <c r="IM379" s="13"/>
      <c r="IP379" s="12"/>
      <c r="IW379" s="13"/>
      <c r="JI379" s="13"/>
      <c r="JK379" s="13"/>
      <c r="JL379" s="12"/>
      <c r="KE379" s="12"/>
      <c r="KF379" s="122"/>
      <c r="MF379" s="13"/>
      <c r="MI379" s="13"/>
      <c r="MN379" s="13"/>
      <c r="MO379" s="13"/>
      <c r="MY379" s="13"/>
      <c r="NY379" s="12"/>
      <c r="OA379" s="13"/>
      <c r="PL379" s="12"/>
      <c r="PM379" s="13"/>
      <c r="PN379" s="12"/>
      <c r="QO379" s="13"/>
      <c r="QP379" s="12"/>
      <c r="QR379" s="12"/>
      <c r="QV379" s="12"/>
      <c r="QZ379" s="13"/>
      <c r="RE379" s="13"/>
      <c r="RH379" s="12"/>
      <c r="RS379" s="13"/>
      <c r="RV379" s="13"/>
      <c r="SX379" s="12"/>
      <c r="TA379" s="9"/>
      <c r="TB379" s="11"/>
      <c r="TC379" s="10"/>
      <c r="TD379" s="10"/>
      <c r="TE379" s="10"/>
      <c r="TF379" s="10"/>
      <c r="TG379" s="10"/>
      <c r="TH379" s="10"/>
      <c r="TI379" s="11"/>
      <c r="TZ379" s="13"/>
      <c r="UB379" s="13"/>
      <c r="UC379" s="9"/>
      <c r="UD379" s="11"/>
      <c r="UE379" s="10"/>
      <c r="UF379" s="10"/>
      <c r="UG379" s="10"/>
      <c r="UH379" s="10"/>
      <c r="UI379" s="10"/>
      <c r="UJ379" s="10"/>
      <c r="UK379" s="11"/>
      <c r="UT379" s="12"/>
      <c r="UU379" s="13"/>
      <c r="WQ379" s="13"/>
      <c r="WT379" s="13"/>
    </row>
    <row r="380" spans="34:618" ht="10.75" customHeight="1">
      <c r="AH380" s="12"/>
      <c r="AI380" s="12"/>
      <c r="AQ380" s="13"/>
      <c r="AR380" s="97"/>
      <c r="AS380" s="97"/>
      <c r="AT380" s="97"/>
      <c r="AU380" s="12"/>
      <c r="BI380" s="12"/>
      <c r="CF380" s="13"/>
      <c r="CV380" s="98"/>
      <c r="CW380" s="97"/>
      <c r="CX380" s="98"/>
      <c r="EV380" s="13"/>
      <c r="EW380" s="97"/>
      <c r="EX380" s="97"/>
      <c r="EY380" s="98"/>
      <c r="HK380" s="12"/>
      <c r="HP380" s="12"/>
      <c r="HQ380" s="9"/>
      <c r="HR380" s="10"/>
      <c r="HS380" s="10"/>
      <c r="HT380" s="10"/>
      <c r="HU380" s="10"/>
      <c r="HV380" s="10"/>
      <c r="HW380" s="10"/>
      <c r="HX380" s="10"/>
      <c r="HY380" s="10"/>
      <c r="HZ380" s="11"/>
      <c r="IA380" s="18"/>
      <c r="ID380" s="12"/>
      <c r="IF380" s="12"/>
      <c r="IM380" s="13"/>
      <c r="IP380" s="12"/>
      <c r="IW380" s="13"/>
      <c r="JI380" s="13"/>
      <c r="JK380" s="13"/>
      <c r="JL380" s="12"/>
      <c r="KE380" s="12"/>
      <c r="KF380" s="122"/>
      <c r="MF380" s="13"/>
      <c r="MI380" s="13"/>
      <c r="MN380" s="13"/>
      <c r="MO380" s="13"/>
      <c r="MY380" s="13"/>
      <c r="NY380" s="12"/>
      <c r="OA380" s="13"/>
      <c r="PL380" s="12"/>
      <c r="PM380" s="13"/>
      <c r="PN380" s="9"/>
      <c r="PO380" s="11"/>
      <c r="PP380" s="10"/>
      <c r="PQ380" s="10"/>
      <c r="PR380" s="10"/>
      <c r="PS380" s="10"/>
      <c r="PT380" s="10"/>
      <c r="PU380" s="10"/>
      <c r="PV380" s="11"/>
      <c r="QO380" s="13"/>
      <c r="QP380" s="12"/>
      <c r="QR380" s="12"/>
      <c r="QV380" s="12"/>
      <c r="QZ380" s="13"/>
      <c r="RE380" s="13"/>
      <c r="RH380" s="12"/>
      <c r="RS380" s="13"/>
      <c r="RV380" s="13"/>
      <c r="SX380" s="12"/>
      <c r="TA380" s="12"/>
      <c r="TB380" s="13"/>
      <c r="TI380" s="13"/>
      <c r="TZ380" s="13"/>
      <c r="UB380" s="13"/>
      <c r="UC380" s="12"/>
      <c r="UD380" s="13"/>
      <c r="UK380" s="13"/>
      <c r="UT380" s="12"/>
      <c r="UU380" s="13"/>
      <c r="WQ380" s="13"/>
      <c r="WT380" s="13"/>
    </row>
    <row r="381" spans="34:618" ht="10.75" customHeight="1">
      <c r="AH381" s="12"/>
      <c r="AI381" s="12"/>
      <c r="AQ381" s="13"/>
      <c r="AR381" s="60"/>
      <c r="AS381" s="60"/>
      <c r="AT381" s="60"/>
      <c r="AU381" s="12"/>
      <c r="BI381" s="12"/>
      <c r="CF381" s="13"/>
      <c r="CV381" s="98"/>
      <c r="CW381" s="97"/>
      <c r="CX381" s="98"/>
      <c r="EV381" s="13"/>
      <c r="EW381" s="97"/>
      <c r="EX381" s="97"/>
      <c r="EY381" s="98"/>
      <c r="HK381" s="12"/>
      <c r="HP381" s="12"/>
      <c r="HQ381" s="12"/>
      <c r="HZ381" s="13"/>
      <c r="IA381" s="18"/>
      <c r="ID381" s="12"/>
      <c r="IF381" s="12"/>
      <c r="IM381" s="13"/>
      <c r="IP381" s="14"/>
      <c r="IQ381" s="15"/>
      <c r="IR381" s="15"/>
      <c r="IS381" s="15"/>
      <c r="IT381" s="15"/>
      <c r="IU381" s="15"/>
      <c r="IV381" s="15"/>
      <c r="IW381" s="16"/>
      <c r="JI381" s="13"/>
      <c r="JK381" s="13"/>
      <c r="JL381" s="12"/>
      <c r="KE381" s="12"/>
      <c r="KF381" s="122"/>
      <c r="MF381" s="13"/>
      <c r="MI381" s="13"/>
      <c r="MN381" s="13"/>
      <c r="MO381" s="13"/>
      <c r="MY381" s="13"/>
      <c r="NY381" s="12"/>
      <c r="OA381" s="13"/>
      <c r="PL381" s="12"/>
      <c r="PM381" s="13"/>
      <c r="PN381" s="12"/>
      <c r="PO381" s="13"/>
      <c r="PV381" s="13"/>
      <c r="QO381" s="13"/>
      <c r="QP381" s="12"/>
      <c r="QR381" s="12"/>
      <c r="QV381" s="12"/>
      <c r="QZ381" s="13"/>
      <c r="RE381" s="13"/>
      <c r="RH381" s="12"/>
      <c r="RS381" s="13"/>
      <c r="RV381" s="13"/>
      <c r="SX381" s="12"/>
      <c r="TA381" s="12"/>
      <c r="TB381" s="13"/>
      <c r="TI381" s="13"/>
      <c r="TZ381" s="13"/>
      <c r="UB381" s="13"/>
      <c r="UC381" s="12"/>
      <c r="UD381" s="13"/>
      <c r="UK381" s="13"/>
      <c r="UT381" s="12"/>
      <c r="UU381" s="13"/>
      <c r="WQ381" s="13"/>
      <c r="WT381" s="13"/>
    </row>
    <row r="382" spans="34:618" ht="10.75" customHeight="1">
      <c r="AH382" s="9"/>
      <c r="AI382" s="9"/>
      <c r="AJ382" s="10"/>
      <c r="AK382" s="10"/>
      <c r="AL382" s="10"/>
      <c r="AM382" s="10"/>
      <c r="AN382" s="10"/>
      <c r="AO382" s="10"/>
      <c r="AP382" s="10"/>
      <c r="AQ382" s="11"/>
      <c r="AR382" s="43"/>
      <c r="AS382" s="43"/>
      <c r="AT382" s="43"/>
      <c r="AU382" s="12"/>
      <c r="BI382" s="12"/>
      <c r="CF382" s="13"/>
      <c r="CV382" s="13"/>
      <c r="CX382" s="13"/>
      <c r="EV382" s="13"/>
      <c r="EW382" s="43"/>
      <c r="EX382" s="43"/>
      <c r="EY382" s="45"/>
      <c r="HK382" s="12"/>
      <c r="HP382" s="12"/>
      <c r="HQ382" s="12"/>
      <c r="HZ382" s="13"/>
      <c r="IA382" s="18"/>
      <c r="ID382" s="12"/>
      <c r="IF382" s="12"/>
      <c r="IM382" s="13"/>
      <c r="JI382" s="13"/>
      <c r="JK382" s="13"/>
      <c r="JL382" s="12"/>
      <c r="KE382" s="12"/>
      <c r="KF382" s="122"/>
      <c r="MF382" s="13"/>
      <c r="MI382" s="13"/>
      <c r="MN382" s="13"/>
      <c r="MO382" s="13"/>
      <c r="MY382" s="13"/>
      <c r="NY382" s="12"/>
      <c r="OA382" s="13"/>
      <c r="PL382" s="12"/>
      <c r="PM382" s="13"/>
      <c r="PN382" s="12"/>
      <c r="PO382" s="13"/>
      <c r="PV382" s="13"/>
      <c r="QO382" s="13"/>
      <c r="QP382" s="12"/>
      <c r="QR382" s="12"/>
      <c r="QV382" s="12"/>
      <c r="QZ382" s="13"/>
      <c r="RE382" s="13"/>
      <c r="RH382" s="12"/>
      <c r="RS382" s="13"/>
      <c r="RV382" s="13"/>
      <c r="SX382" s="12"/>
      <c r="TA382" s="12"/>
      <c r="TB382" s="13"/>
      <c r="TI382" s="13"/>
      <c r="TZ382" s="13"/>
      <c r="UB382" s="13"/>
      <c r="UC382" s="12"/>
      <c r="UD382" s="13"/>
      <c r="UK382" s="13"/>
      <c r="UT382" s="12"/>
      <c r="UU382" s="13"/>
      <c r="WQ382" s="13"/>
      <c r="WT382" s="13"/>
    </row>
    <row r="383" spans="34:618" ht="10.75" customHeight="1">
      <c r="AH383" s="12"/>
      <c r="AI383" s="12"/>
      <c r="AQ383" s="13"/>
      <c r="AR383" s="43"/>
      <c r="AS383" s="43"/>
      <c r="AT383" s="43"/>
      <c r="AU383" s="12"/>
      <c r="BI383" s="12"/>
      <c r="CF383" s="13"/>
      <c r="CV383" s="13"/>
      <c r="CX383" s="13"/>
      <c r="EV383" s="13"/>
      <c r="EW383" s="43"/>
      <c r="EX383" s="43"/>
      <c r="EY383" s="45"/>
      <c r="HK383" s="12"/>
      <c r="HP383" s="12"/>
      <c r="HQ383" s="14"/>
      <c r="HR383" s="15"/>
      <c r="HS383" s="15"/>
      <c r="HT383" s="15"/>
      <c r="HU383" s="15"/>
      <c r="HV383" s="15"/>
      <c r="HW383" s="15"/>
      <c r="HX383" s="15"/>
      <c r="HY383" s="15"/>
      <c r="HZ383" s="16"/>
      <c r="IA383" s="18"/>
      <c r="ID383" s="12"/>
      <c r="IF383" s="12"/>
      <c r="IM383" s="13"/>
      <c r="JI383" s="13"/>
      <c r="JK383" s="13"/>
      <c r="JL383" s="12"/>
      <c r="KE383" s="12"/>
      <c r="KF383" s="122"/>
      <c r="MF383" s="13"/>
      <c r="MI383" s="13"/>
      <c r="MN383" s="13"/>
      <c r="MO383" s="13"/>
      <c r="MY383" s="13"/>
      <c r="NY383" s="12"/>
      <c r="OA383" s="13"/>
      <c r="PL383" s="12"/>
      <c r="PM383" s="13"/>
      <c r="PN383" s="12"/>
      <c r="PO383" s="13"/>
      <c r="PV383" s="13"/>
      <c r="QO383" s="13"/>
      <c r="QP383" s="12"/>
      <c r="QR383" s="12"/>
      <c r="QV383" s="12"/>
      <c r="QZ383" s="13"/>
      <c r="RE383" s="13"/>
      <c r="RH383" s="12"/>
      <c r="RS383" s="13"/>
      <c r="RV383" s="13"/>
      <c r="SX383" s="12"/>
      <c r="TA383" s="14"/>
      <c r="TB383" s="16"/>
      <c r="TC383" s="15"/>
      <c r="TD383" s="15"/>
      <c r="TE383" s="15"/>
      <c r="TF383" s="15"/>
      <c r="TG383" s="15"/>
      <c r="TH383" s="15"/>
      <c r="TI383" s="16"/>
      <c r="TZ383" s="13"/>
      <c r="UB383" s="13"/>
      <c r="UC383" s="14"/>
      <c r="UD383" s="16"/>
      <c r="UE383" s="15"/>
      <c r="UF383" s="15"/>
      <c r="UG383" s="15"/>
      <c r="UH383" s="15"/>
      <c r="UI383" s="15"/>
      <c r="UJ383" s="15"/>
      <c r="UK383" s="16"/>
      <c r="UT383" s="12"/>
      <c r="UU383" s="13"/>
      <c r="WQ383" s="13"/>
      <c r="WT383" s="13"/>
    </row>
    <row r="384" spans="34:618" ht="10.75" customHeight="1">
      <c r="AH384" s="12"/>
      <c r="AI384" s="12"/>
      <c r="AQ384" s="13"/>
      <c r="AR384" s="43"/>
      <c r="AS384" s="43"/>
      <c r="AT384" s="43"/>
      <c r="AU384" s="12"/>
      <c r="BI384" s="12"/>
      <c r="CF384" s="13"/>
      <c r="CV384" s="13"/>
      <c r="CX384" s="13"/>
      <c r="EV384" s="13"/>
      <c r="EW384" s="43"/>
      <c r="EX384" s="43"/>
      <c r="EY384" s="45"/>
      <c r="HK384" s="12"/>
      <c r="HP384" s="12"/>
      <c r="HQ384" s="12"/>
      <c r="HZ384" s="13"/>
      <c r="IA384" s="18"/>
      <c r="ID384" s="12"/>
      <c r="IF384" s="12"/>
      <c r="IM384" s="13"/>
      <c r="JI384" s="13"/>
      <c r="JK384" s="13"/>
      <c r="JL384" s="12"/>
      <c r="KE384" s="12"/>
      <c r="KF384" s="122"/>
      <c r="MF384" s="13"/>
      <c r="MI384" s="13"/>
      <c r="MN384" s="13"/>
      <c r="MO384" s="13"/>
      <c r="MY384" s="13"/>
      <c r="NY384" s="12"/>
      <c r="OA384" s="13"/>
      <c r="PL384" s="17"/>
      <c r="PM384" s="13"/>
      <c r="PN384" s="14"/>
      <c r="PO384" s="16"/>
      <c r="PP384" s="15"/>
      <c r="PQ384" s="15"/>
      <c r="PR384" s="15"/>
      <c r="PS384" s="15"/>
      <c r="PT384" s="15"/>
      <c r="PU384" s="15"/>
      <c r="PV384" s="16"/>
      <c r="QO384" s="13"/>
      <c r="QP384" s="12"/>
      <c r="QR384" s="12"/>
      <c r="QV384" s="14"/>
      <c r="QW384" s="15"/>
      <c r="QX384" s="15"/>
      <c r="QY384" s="15"/>
      <c r="QZ384" s="16"/>
      <c r="RE384" s="13"/>
      <c r="RG384" s="17"/>
      <c r="RH384" s="12"/>
      <c r="RS384" s="13"/>
      <c r="RV384" s="13"/>
      <c r="SX384" s="12"/>
      <c r="TA384" s="12"/>
      <c r="TZ384" s="13"/>
      <c r="UB384" s="13"/>
      <c r="UC384" s="12"/>
      <c r="UT384" s="12"/>
      <c r="UU384" s="13"/>
      <c r="WQ384" s="13"/>
      <c r="WT384" s="13"/>
    </row>
    <row r="385" spans="34:618" ht="10.75" customHeight="1">
      <c r="AH385" s="14"/>
      <c r="AI385" s="14"/>
      <c r="AJ385" s="15"/>
      <c r="AK385" s="15"/>
      <c r="AL385" s="15"/>
      <c r="AM385" s="15"/>
      <c r="AN385" s="15"/>
      <c r="AO385" s="15"/>
      <c r="AP385" s="15"/>
      <c r="AQ385" s="16"/>
      <c r="AR385" s="43"/>
      <c r="AS385" s="43"/>
      <c r="AT385" s="43"/>
      <c r="AU385" s="12"/>
      <c r="BI385" s="12"/>
      <c r="CF385" s="13"/>
      <c r="CV385" s="13"/>
      <c r="CX385" s="13"/>
      <c r="EV385" s="13"/>
      <c r="EW385" s="43"/>
      <c r="EX385" s="43"/>
      <c r="EY385" s="45"/>
      <c r="HK385" s="12"/>
      <c r="HO385" s="13"/>
      <c r="HP385" s="12"/>
      <c r="HQ385" s="12"/>
      <c r="HZ385" s="13"/>
      <c r="IA385" s="18"/>
      <c r="ID385" s="12"/>
      <c r="IF385" s="14"/>
      <c r="IG385" s="15"/>
      <c r="IH385" s="15"/>
      <c r="II385" s="15"/>
      <c r="IJ385" s="15"/>
      <c r="IK385" s="15"/>
      <c r="IL385" s="15"/>
      <c r="IM385" s="16"/>
      <c r="JI385" s="13"/>
      <c r="JK385" s="13"/>
      <c r="JL385" s="12"/>
      <c r="KE385" s="12"/>
      <c r="KF385" s="122"/>
      <c r="MF385" s="13"/>
      <c r="MI385" s="13"/>
      <c r="MN385" s="13"/>
      <c r="MO385" s="13"/>
      <c r="MY385" s="13"/>
      <c r="NY385" s="12"/>
      <c r="OA385" s="13"/>
      <c r="PL385" s="18"/>
      <c r="PM385" s="13"/>
      <c r="PN385" s="12"/>
      <c r="QO385" s="13"/>
      <c r="QP385" s="12"/>
      <c r="QR385" s="12"/>
      <c r="RE385" s="13"/>
      <c r="RG385" s="18"/>
      <c r="RH385" s="12"/>
      <c r="RS385" s="13"/>
      <c r="RV385" s="13"/>
      <c r="SX385" s="12"/>
      <c r="TA385" s="12"/>
      <c r="TZ385" s="13"/>
      <c r="UB385" s="13"/>
      <c r="UC385" s="12"/>
      <c r="UT385" s="12"/>
      <c r="UU385" s="13"/>
      <c r="WQ385" s="13"/>
      <c r="WT385" s="13"/>
    </row>
    <row r="386" spans="34:618" ht="10.75" customHeight="1">
      <c r="AH386" s="9"/>
      <c r="AI386" s="9"/>
      <c r="AJ386" s="10"/>
      <c r="AK386" s="10"/>
      <c r="AL386" s="10"/>
      <c r="AM386" s="10"/>
      <c r="AN386" s="10"/>
      <c r="AO386" s="10"/>
      <c r="AP386" s="10"/>
      <c r="AQ386" s="11"/>
      <c r="AR386" s="43"/>
      <c r="AS386" s="43"/>
      <c r="AT386" s="43"/>
      <c r="AU386" s="12"/>
      <c r="BI386" s="12"/>
      <c r="CF386" s="13"/>
      <c r="CV386" s="13"/>
      <c r="CX386" s="13"/>
      <c r="EV386" s="13"/>
      <c r="EW386" s="43"/>
      <c r="EX386" s="43"/>
      <c r="EY386" s="45"/>
      <c r="HK386" s="12"/>
      <c r="HO386" s="13"/>
      <c r="HP386" s="12"/>
      <c r="HQ386" s="12"/>
      <c r="HZ386" s="13"/>
      <c r="IA386" s="18"/>
      <c r="ID386" s="12"/>
      <c r="JI386" s="13"/>
      <c r="JK386" s="13"/>
      <c r="JL386" s="12"/>
      <c r="KE386" s="12"/>
      <c r="KF386" s="122"/>
      <c r="MF386" s="13"/>
      <c r="MI386" s="13"/>
      <c r="MN386" s="13"/>
      <c r="MO386" s="13"/>
      <c r="MY386" s="13"/>
      <c r="NY386" s="12"/>
      <c r="OA386" s="13"/>
      <c r="PL386" s="18"/>
      <c r="PM386" s="13"/>
      <c r="PN386" s="12"/>
      <c r="QO386" s="13"/>
      <c r="QP386" s="12"/>
      <c r="QR386" s="12"/>
      <c r="RE386" s="13"/>
      <c r="RG386" s="18"/>
      <c r="RH386" s="12"/>
      <c r="RS386" s="13"/>
      <c r="RV386" s="13"/>
      <c r="SX386" s="12"/>
      <c r="TA386" s="9"/>
      <c r="TB386" s="11"/>
      <c r="TC386" s="10"/>
      <c r="TD386" s="10"/>
      <c r="TE386" s="10"/>
      <c r="TF386" s="11"/>
      <c r="TZ386" s="13"/>
      <c r="UB386" s="13"/>
      <c r="UC386" s="9"/>
      <c r="UD386" s="11"/>
      <c r="UE386" s="10"/>
      <c r="UF386" s="10"/>
      <c r="UG386" s="10"/>
      <c r="UH386" s="11"/>
      <c r="UT386" s="12"/>
      <c r="UU386" s="13"/>
      <c r="WQ386" s="13"/>
      <c r="WT386" s="13"/>
    </row>
    <row r="387" spans="34:618" ht="10.75" customHeight="1">
      <c r="AH387" s="12"/>
      <c r="AI387" s="12"/>
      <c r="AQ387" s="13"/>
      <c r="AR387" s="43"/>
      <c r="AS387" s="43"/>
      <c r="AT387" s="43"/>
      <c r="AU387" s="14"/>
      <c r="AV387" s="15"/>
      <c r="AW387" s="15"/>
      <c r="AX387" s="15"/>
      <c r="AY387" s="15"/>
      <c r="AZ387" s="15"/>
      <c r="BA387" s="15"/>
      <c r="BB387" s="15"/>
      <c r="BC387" s="15"/>
      <c r="BD387" s="15"/>
      <c r="BE387" s="15"/>
      <c r="BF387" s="15"/>
      <c r="BG387" s="15"/>
      <c r="BH387" s="15"/>
      <c r="BI387" s="14"/>
      <c r="BJ387" s="15"/>
      <c r="BK387" s="15"/>
      <c r="BL387" s="15"/>
      <c r="BM387" s="15"/>
      <c r="BN387" s="15"/>
      <c r="BO387" s="15"/>
      <c r="BP387" s="15"/>
      <c r="BQ387" s="15"/>
      <c r="BR387" s="15"/>
      <c r="BS387" s="15"/>
      <c r="BT387" s="15"/>
      <c r="BU387" s="15"/>
      <c r="BV387" s="15"/>
      <c r="BW387" s="15"/>
      <c r="BX387" s="15"/>
      <c r="BY387" s="15"/>
      <c r="BZ387" s="15"/>
      <c r="CA387" s="15"/>
      <c r="CB387" s="15"/>
      <c r="CC387" s="15"/>
      <c r="CD387" s="15"/>
      <c r="CE387" s="15"/>
      <c r="CF387" s="16"/>
      <c r="CG387" s="15"/>
      <c r="CH387" s="15"/>
      <c r="CI387" s="15"/>
      <c r="CJ387" s="15"/>
      <c r="CK387" s="15"/>
      <c r="CL387" s="15"/>
      <c r="CM387" s="15"/>
      <c r="CN387" s="15"/>
      <c r="CO387" s="15"/>
      <c r="CP387" s="15"/>
      <c r="CQ387" s="15"/>
      <c r="CR387" s="15"/>
      <c r="CS387" s="15"/>
      <c r="CT387" s="15"/>
      <c r="CU387" s="15"/>
      <c r="CV387" s="16"/>
      <c r="CX387" s="13"/>
      <c r="EV387" s="13"/>
      <c r="EW387" s="43"/>
      <c r="EX387" s="43"/>
      <c r="EY387" s="45"/>
      <c r="HK387" s="12"/>
      <c r="HO387" s="13"/>
      <c r="HP387" s="12"/>
      <c r="HQ387" s="12"/>
      <c r="HZ387" s="13"/>
      <c r="IA387" s="18"/>
      <c r="ID387" s="12"/>
      <c r="JI387" s="13"/>
      <c r="JK387" s="13"/>
      <c r="JL387" s="12"/>
      <c r="KE387" s="12"/>
      <c r="KF387" s="122"/>
      <c r="MF387" s="13"/>
      <c r="MI387" s="13"/>
      <c r="MN387" s="13"/>
      <c r="MO387" s="13"/>
      <c r="MY387" s="13"/>
      <c r="NY387" s="12"/>
      <c r="OA387" s="13"/>
      <c r="PL387" s="18"/>
      <c r="PM387" s="13"/>
      <c r="PN387" s="9"/>
      <c r="PO387" s="11"/>
      <c r="PP387" s="10"/>
      <c r="PQ387" s="10"/>
      <c r="PR387" s="10"/>
      <c r="PS387" s="11"/>
      <c r="QO387" s="13"/>
      <c r="QP387" s="12"/>
      <c r="QR387" s="12"/>
      <c r="RE387" s="13"/>
      <c r="RG387" s="18"/>
      <c r="RH387" s="12"/>
      <c r="RS387" s="13"/>
      <c r="RV387" s="13"/>
      <c r="SX387" s="12"/>
      <c r="TA387" s="12"/>
      <c r="TB387" s="13"/>
      <c r="TF387" s="13"/>
      <c r="TZ387" s="13"/>
      <c r="UB387" s="13"/>
      <c r="UC387" s="12"/>
      <c r="UD387" s="13"/>
      <c r="UH387" s="13"/>
      <c r="UT387" s="12"/>
      <c r="UU387" s="13"/>
      <c r="WQ387" s="13"/>
      <c r="WT387" s="13"/>
    </row>
    <row r="388" spans="34:618" ht="10.75" customHeight="1">
      <c r="AH388" s="12"/>
      <c r="AI388" s="12"/>
      <c r="AQ388" s="13"/>
      <c r="AR388" s="43"/>
      <c r="AS388" s="43"/>
      <c r="AT388" s="43"/>
      <c r="AU388" s="9"/>
      <c r="AV388" s="10"/>
      <c r="AW388" s="10"/>
      <c r="AX388" s="10"/>
      <c r="AY388" s="10"/>
      <c r="AZ388" s="10"/>
      <c r="BA388" s="10"/>
      <c r="BB388" s="10"/>
      <c r="BC388" s="10"/>
      <c r="BD388" s="10"/>
      <c r="BE388" s="10"/>
      <c r="BF388" s="10"/>
      <c r="BG388" s="10"/>
      <c r="BH388" s="10"/>
      <c r="BI388" s="10"/>
      <c r="BJ388" s="10"/>
      <c r="BK388" s="10"/>
      <c r="BL388" s="10"/>
      <c r="BM388" s="10"/>
      <c r="BN388" s="10"/>
      <c r="BO388" s="10"/>
      <c r="BP388" s="10"/>
      <c r="BQ388" s="10"/>
      <c r="BR388" s="10"/>
      <c r="BS388" s="10"/>
      <c r="BT388" s="10"/>
      <c r="BU388" s="10"/>
      <c r="BV388" s="10"/>
      <c r="BW388" s="10"/>
      <c r="BX388" s="10"/>
      <c r="BY388" s="10"/>
      <c r="BZ388" s="10"/>
      <c r="CA388" s="10"/>
      <c r="CB388" s="10"/>
      <c r="CC388" s="10"/>
      <c r="CD388" s="10"/>
      <c r="CE388" s="10"/>
      <c r="CF388" s="10"/>
      <c r="CG388" s="10"/>
      <c r="CH388" s="10"/>
      <c r="CI388" s="10"/>
      <c r="CJ388" s="10"/>
      <c r="CK388" s="10"/>
      <c r="CL388" s="10"/>
      <c r="CM388" s="10"/>
      <c r="CN388" s="10"/>
      <c r="CO388" s="10"/>
      <c r="CP388" s="10"/>
      <c r="CQ388" s="10"/>
      <c r="CR388" s="10"/>
      <c r="CS388" s="10"/>
      <c r="CT388" s="10"/>
      <c r="CU388" s="10"/>
      <c r="CV388" s="10"/>
      <c r="CX388" s="13"/>
      <c r="EV388" s="13"/>
      <c r="EW388" s="43"/>
      <c r="EX388" s="43"/>
      <c r="EY388" s="45"/>
      <c r="HK388" s="12"/>
      <c r="HO388" s="13"/>
      <c r="HP388" s="12"/>
      <c r="HQ388" s="9"/>
      <c r="HR388" s="10"/>
      <c r="HS388" s="10"/>
      <c r="HT388" s="10"/>
      <c r="HU388" s="10"/>
      <c r="HV388" s="10"/>
      <c r="HW388" s="10"/>
      <c r="HX388" s="10"/>
      <c r="HY388" s="10"/>
      <c r="HZ388" s="11"/>
      <c r="IA388" s="18"/>
      <c r="ID388" s="12"/>
      <c r="JI388" s="13"/>
      <c r="JK388" s="13"/>
      <c r="JL388" s="12"/>
      <c r="KE388" s="12"/>
      <c r="KF388" s="13"/>
      <c r="MF388" s="13"/>
      <c r="MI388" s="13"/>
      <c r="MN388" s="13"/>
      <c r="MO388" s="13"/>
      <c r="MY388" s="13"/>
      <c r="NY388" s="12"/>
      <c r="OA388" s="13"/>
      <c r="PL388" s="18"/>
      <c r="PM388" s="13"/>
      <c r="PN388" s="12"/>
      <c r="PO388" s="13"/>
      <c r="PS388" s="13"/>
      <c r="QO388" s="13"/>
      <c r="QP388" s="12"/>
      <c r="QR388" s="12"/>
      <c r="RE388" s="13"/>
      <c r="RG388" s="18"/>
      <c r="RH388" s="12"/>
      <c r="RS388" s="13"/>
      <c r="RV388" s="13"/>
      <c r="SX388" s="12"/>
      <c r="TA388" s="12"/>
      <c r="TB388" s="13"/>
      <c r="TF388" s="13"/>
      <c r="TZ388" s="13"/>
      <c r="UB388" s="13"/>
      <c r="UC388" s="12"/>
      <c r="UD388" s="13"/>
      <c r="UH388" s="13"/>
      <c r="UT388" s="12"/>
      <c r="UU388" s="13"/>
      <c r="WQ388" s="13"/>
      <c r="WT388" s="13"/>
    </row>
    <row r="389" spans="34:618" ht="10.75" customHeight="1">
      <c r="AH389" s="14"/>
      <c r="AI389" s="14"/>
      <c r="AJ389" s="15"/>
      <c r="AK389" s="15"/>
      <c r="AL389" s="15"/>
      <c r="AM389" s="15"/>
      <c r="AN389" s="15"/>
      <c r="AO389" s="15"/>
      <c r="AP389" s="15"/>
      <c r="AQ389" s="16"/>
      <c r="AR389" s="43"/>
      <c r="AS389" s="43"/>
      <c r="AT389" s="43"/>
      <c r="AU389" s="14"/>
      <c r="AV389" s="15"/>
      <c r="AW389" s="15"/>
      <c r="AX389" s="15"/>
      <c r="AY389" s="15"/>
      <c r="AZ389" s="15"/>
      <c r="BA389" s="15"/>
      <c r="BB389" s="15"/>
      <c r="BC389" s="15"/>
      <c r="BD389" s="15"/>
      <c r="BE389" s="15"/>
      <c r="BF389" s="15"/>
      <c r="BG389" s="15"/>
      <c r="BH389" s="15"/>
      <c r="BI389" s="15"/>
      <c r="BJ389" s="15"/>
      <c r="BK389" s="15"/>
      <c r="BL389" s="15"/>
      <c r="BM389" s="15"/>
      <c r="BN389" s="15"/>
      <c r="BO389" s="15"/>
      <c r="BP389" s="15"/>
      <c r="BQ389" s="15"/>
      <c r="BR389" s="15"/>
      <c r="BS389" s="15"/>
      <c r="BT389" s="15"/>
      <c r="BU389" s="15"/>
      <c r="BV389" s="15"/>
      <c r="BW389" s="15"/>
      <c r="BX389" s="15"/>
      <c r="BY389" s="15"/>
      <c r="BZ389" s="15"/>
      <c r="CA389" s="15"/>
      <c r="CB389" s="15"/>
      <c r="CC389" s="15"/>
      <c r="CD389" s="15"/>
      <c r="CE389" s="15"/>
      <c r="CF389" s="15"/>
      <c r="CG389" s="15"/>
      <c r="CH389" s="15"/>
      <c r="CI389" s="15"/>
      <c r="CJ389" s="15"/>
      <c r="CL389" s="119"/>
      <c r="CM389" s="119"/>
      <c r="CN389" s="119"/>
      <c r="CO389" s="119"/>
      <c r="CP389" s="119"/>
      <c r="CQ389" s="119"/>
      <c r="CR389" s="119"/>
      <c r="CS389" s="119"/>
      <c r="CT389" s="119"/>
      <c r="CU389" s="119"/>
      <c r="CX389" s="13"/>
      <c r="EV389" s="13"/>
      <c r="EW389" s="43"/>
      <c r="EX389" s="43"/>
      <c r="EY389" s="45"/>
      <c r="HK389" s="12"/>
      <c r="HO389" s="13"/>
      <c r="HP389" s="12"/>
      <c r="HQ389" s="12"/>
      <c r="HZ389" s="13"/>
      <c r="IA389" s="18"/>
      <c r="ID389" s="12"/>
      <c r="JI389" s="13"/>
      <c r="JK389" s="13"/>
      <c r="JL389" s="12"/>
      <c r="KE389" s="12"/>
      <c r="KF389" s="13"/>
      <c r="MF389" s="13"/>
      <c r="MI389" s="13"/>
      <c r="MN389" s="13"/>
      <c r="MO389" s="13"/>
      <c r="MY389" s="13"/>
      <c r="NY389" s="12"/>
      <c r="OA389" s="13"/>
      <c r="PL389" s="18"/>
      <c r="PM389" s="13"/>
      <c r="PN389" s="12"/>
      <c r="PO389" s="13"/>
      <c r="PS389" s="13"/>
      <c r="QO389" s="13"/>
      <c r="QP389" s="12"/>
      <c r="QR389" s="12"/>
      <c r="RE389" s="13"/>
      <c r="RG389" s="18"/>
      <c r="RH389" s="12"/>
      <c r="RS389" s="13"/>
      <c r="RV389" s="13"/>
      <c r="SX389" s="12"/>
      <c r="TA389" s="12"/>
      <c r="TB389" s="13"/>
      <c r="TF389" s="13"/>
      <c r="TZ389" s="13"/>
      <c r="UB389" s="13"/>
      <c r="UC389" s="12"/>
      <c r="UD389" s="13"/>
      <c r="UH389" s="13"/>
      <c r="UT389" s="12"/>
      <c r="UU389" s="13"/>
      <c r="WQ389" s="13"/>
      <c r="WT389" s="13"/>
    </row>
    <row r="390" spans="34:618" ht="10.75" customHeight="1">
      <c r="AH390" s="9"/>
      <c r="AI390" s="9"/>
      <c r="AJ390" s="10"/>
      <c r="AK390" s="10"/>
      <c r="AL390" s="10"/>
      <c r="AM390" s="10"/>
      <c r="AN390" s="10"/>
      <c r="AO390" s="10"/>
      <c r="AP390" s="10"/>
      <c r="AQ390" s="11"/>
      <c r="AR390" s="43"/>
      <c r="AS390" s="43"/>
      <c r="AT390" s="43"/>
      <c r="AU390" s="9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  <c r="BL390" s="10"/>
      <c r="BM390" s="10"/>
      <c r="BN390" s="10"/>
      <c r="BO390" s="10"/>
      <c r="BP390" s="10"/>
      <c r="BQ390" s="10"/>
      <c r="BR390" s="10"/>
      <c r="BS390" s="10"/>
      <c r="BT390" s="10"/>
      <c r="BU390" s="10"/>
      <c r="BV390" s="10"/>
      <c r="BW390" s="10"/>
      <c r="BX390" s="10"/>
      <c r="BY390" s="10"/>
      <c r="BZ390" s="10"/>
      <c r="CA390" s="10"/>
      <c r="CB390" s="10"/>
      <c r="CC390" s="10"/>
      <c r="CD390" s="10"/>
      <c r="CE390" s="9"/>
      <c r="CF390" s="10"/>
      <c r="CG390" s="10"/>
      <c r="CH390" s="10"/>
      <c r="CI390" s="10"/>
      <c r="CJ390" s="10"/>
      <c r="CK390" s="10"/>
      <c r="CL390" s="10"/>
      <c r="CM390" s="10"/>
      <c r="CN390" s="10"/>
      <c r="CO390" s="10"/>
      <c r="CP390" s="10"/>
      <c r="CQ390" s="10"/>
      <c r="CR390" s="10"/>
      <c r="CS390" s="10"/>
      <c r="CT390" s="10"/>
      <c r="CU390" s="10"/>
      <c r="CV390" s="10"/>
      <c r="CW390" s="10"/>
      <c r="CX390" s="10"/>
      <c r="EV390" s="13"/>
      <c r="EW390" s="43"/>
      <c r="EX390" s="43"/>
      <c r="EY390" s="45"/>
      <c r="HK390" s="12"/>
      <c r="HO390" s="13"/>
      <c r="HP390" s="12"/>
      <c r="HQ390" s="12"/>
      <c r="HZ390" s="13"/>
      <c r="IA390" s="18"/>
      <c r="ID390" s="12"/>
      <c r="JI390" s="13"/>
      <c r="JK390" s="13"/>
      <c r="JL390" s="12"/>
      <c r="KE390" s="12"/>
      <c r="KF390" s="13"/>
      <c r="MF390" s="13"/>
      <c r="MI390" s="13"/>
      <c r="MN390" s="13"/>
      <c r="MO390" s="13"/>
      <c r="MY390" s="13"/>
      <c r="NY390" s="12"/>
      <c r="OA390" s="13"/>
      <c r="PL390" s="18"/>
      <c r="PM390" s="13"/>
      <c r="PN390" s="12"/>
      <c r="PO390" s="13"/>
      <c r="PS390" s="13"/>
      <c r="QO390" s="13"/>
      <c r="QP390" s="12"/>
      <c r="QR390" s="12"/>
      <c r="RE390" s="13"/>
      <c r="RG390" s="18"/>
      <c r="RH390" s="12"/>
      <c r="RS390" s="13"/>
      <c r="RV390" s="13"/>
      <c r="SX390" s="12"/>
      <c r="TA390" s="12"/>
      <c r="TB390" s="13"/>
      <c r="TF390" s="13"/>
      <c r="TZ390" s="13"/>
      <c r="UB390" s="13"/>
      <c r="UC390" s="12"/>
      <c r="UD390" s="13"/>
      <c r="UH390" s="13"/>
      <c r="UT390" s="12"/>
      <c r="UU390" s="13"/>
      <c r="WQ390" s="13"/>
      <c r="WT390" s="13"/>
    </row>
    <row r="391" spans="34:618" ht="10.75" customHeight="1">
      <c r="AH391" s="12"/>
      <c r="AI391" s="12"/>
      <c r="AQ391" s="13"/>
      <c r="AR391" s="43"/>
      <c r="AS391" s="43"/>
      <c r="AT391" s="43"/>
      <c r="AU391" s="12"/>
      <c r="CE391" s="12"/>
      <c r="EV391" s="13"/>
      <c r="EW391" s="43"/>
      <c r="EX391" s="43"/>
      <c r="EY391" s="45"/>
      <c r="HK391" s="14"/>
      <c r="HL391" s="15"/>
      <c r="HM391" s="15"/>
      <c r="HN391" s="15"/>
      <c r="HO391" s="16"/>
      <c r="HP391" s="12"/>
      <c r="HQ391" s="14"/>
      <c r="HR391" s="15"/>
      <c r="HS391" s="15"/>
      <c r="HT391" s="15"/>
      <c r="HU391" s="15"/>
      <c r="HV391" s="15"/>
      <c r="HW391" s="15"/>
      <c r="HX391" s="15"/>
      <c r="HY391" s="15"/>
      <c r="HZ391" s="16"/>
      <c r="IA391" s="18"/>
      <c r="ID391" s="12"/>
      <c r="JI391" s="13"/>
      <c r="JK391" s="13"/>
      <c r="JL391" s="12"/>
      <c r="KE391" s="12"/>
      <c r="KF391" s="13"/>
      <c r="MF391" s="13"/>
      <c r="MI391" s="13"/>
      <c r="MN391" s="13"/>
      <c r="MO391" s="13"/>
      <c r="MY391" s="13"/>
      <c r="NY391" s="12"/>
      <c r="OA391" s="13"/>
      <c r="PL391" s="18"/>
      <c r="PM391" s="13"/>
      <c r="PN391" s="12"/>
      <c r="PO391" s="13"/>
      <c r="PS391" s="13"/>
      <c r="QO391" s="13"/>
      <c r="QP391" s="12"/>
      <c r="QR391" s="12"/>
      <c r="RE391" s="13"/>
      <c r="RG391" s="18"/>
      <c r="RH391" s="12"/>
      <c r="RS391" s="13"/>
      <c r="RV391" s="13"/>
      <c r="SX391" s="12"/>
      <c r="TA391" s="12"/>
      <c r="TB391" s="13"/>
      <c r="TF391" s="13"/>
      <c r="TZ391" s="13"/>
      <c r="UB391" s="13"/>
      <c r="UC391" s="12"/>
      <c r="UD391" s="13"/>
      <c r="UH391" s="13"/>
      <c r="UT391" s="12"/>
      <c r="UU391" s="13"/>
      <c r="WQ391" s="13"/>
      <c r="WT391" s="13"/>
    </row>
    <row r="392" spans="34:618" ht="10.75" customHeight="1">
      <c r="AH392" s="12"/>
      <c r="AI392" s="12"/>
      <c r="AQ392" s="13"/>
      <c r="AR392" s="43"/>
      <c r="AS392" s="43"/>
      <c r="AT392" s="43"/>
      <c r="AU392" s="12"/>
      <c r="CE392" s="12"/>
      <c r="EV392" s="13"/>
      <c r="EW392" s="43"/>
      <c r="EX392" s="43"/>
      <c r="EY392" s="45"/>
      <c r="HP392" s="12"/>
      <c r="HQ392" s="12"/>
      <c r="HZ392" s="13"/>
      <c r="IA392" s="18"/>
      <c r="ID392" s="12"/>
      <c r="JI392" s="13"/>
      <c r="JK392" s="13"/>
      <c r="JL392" s="12"/>
      <c r="KE392" s="12"/>
      <c r="KF392" s="13"/>
      <c r="MF392" s="13"/>
      <c r="MI392" s="13"/>
      <c r="MN392" s="13"/>
      <c r="MO392" s="13"/>
      <c r="MY392" s="13"/>
      <c r="NY392" s="12"/>
      <c r="OA392" s="13"/>
      <c r="PL392" s="18"/>
      <c r="PM392" s="13"/>
      <c r="PN392" s="12"/>
      <c r="PO392" s="13"/>
      <c r="PS392" s="13"/>
      <c r="QO392" s="13"/>
      <c r="QP392" s="12"/>
      <c r="QR392" s="12"/>
      <c r="RE392" s="13"/>
      <c r="RG392" s="18"/>
      <c r="RH392" s="12"/>
      <c r="RS392" s="13"/>
      <c r="RV392" s="13"/>
      <c r="SX392" s="12"/>
      <c r="TA392" s="14"/>
      <c r="TB392" s="16"/>
      <c r="TC392" s="15"/>
      <c r="TD392" s="15"/>
      <c r="TE392" s="15"/>
      <c r="TF392" s="16"/>
      <c r="TZ392" s="13"/>
      <c r="UB392" s="13"/>
      <c r="UC392" s="14"/>
      <c r="UD392" s="16"/>
      <c r="UE392" s="15"/>
      <c r="UF392" s="15"/>
      <c r="UG392" s="15"/>
      <c r="UH392" s="16"/>
      <c r="UT392" s="12"/>
      <c r="UU392" s="13"/>
      <c r="WQ392" s="13"/>
      <c r="WT392" s="13"/>
    </row>
    <row r="393" spans="34:618" ht="10.75" customHeight="1">
      <c r="AH393" s="14"/>
      <c r="AI393" s="14"/>
      <c r="AJ393" s="15"/>
      <c r="AK393" s="15"/>
      <c r="AL393" s="15"/>
      <c r="AM393" s="15"/>
      <c r="AN393" s="15"/>
      <c r="AO393" s="15"/>
      <c r="AP393" s="15"/>
      <c r="AQ393" s="16"/>
      <c r="AR393" s="43"/>
      <c r="AS393" s="43"/>
      <c r="AT393" s="43"/>
      <c r="AU393" s="12"/>
      <c r="CE393" s="12"/>
      <c r="EV393" s="13"/>
      <c r="EW393" s="43"/>
      <c r="EX393" s="43"/>
      <c r="EY393" s="45"/>
      <c r="HP393" s="12"/>
      <c r="HQ393" s="12"/>
      <c r="HZ393" s="13"/>
      <c r="IA393" s="18"/>
      <c r="ID393" s="14"/>
      <c r="IE393" s="15"/>
      <c r="IF393" s="15"/>
      <c r="IG393" s="15"/>
      <c r="IH393" s="15"/>
      <c r="II393" s="15"/>
      <c r="IJ393" s="15"/>
      <c r="IK393" s="15"/>
      <c r="IL393" s="15"/>
      <c r="IM393" s="15"/>
      <c r="IN393" s="15"/>
      <c r="IO393" s="15"/>
      <c r="IP393" s="15"/>
      <c r="IQ393" s="15"/>
      <c r="IR393" s="15"/>
      <c r="IS393" s="15"/>
      <c r="IT393" s="15"/>
      <c r="IU393" s="15"/>
      <c r="IV393" s="15"/>
      <c r="IW393" s="15"/>
      <c r="IX393" s="15"/>
      <c r="IY393" s="15"/>
      <c r="IZ393" s="15"/>
      <c r="JA393" s="15"/>
      <c r="JB393" s="15"/>
      <c r="JC393" s="15"/>
      <c r="JD393" s="15"/>
      <c r="JE393" s="15"/>
      <c r="JF393" s="15"/>
      <c r="JG393" s="15"/>
      <c r="JH393" s="15"/>
      <c r="JI393" s="16"/>
      <c r="JK393" s="13"/>
      <c r="JL393" s="14"/>
      <c r="JM393" s="15"/>
      <c r="JN393" s="15"/>
      <c r="JO393" s="15"/>
      <c r="JP393" s="15"/>
      <c r="JQ393" s="15"/>
      <c r="JR393" s="15"/>
      <c r="JS393" s="15"/>
      <c r="JT393" s="15"/>
      <c r="JU393" s="15"/>
      <c r="JV393" s="15"/>
      <c r="JW393" s="15"/>
      <c r="JX393" s="15"/>
      <c r="JY393" s="15"/>
      <c r="JZ393" s="15"/>
      <c r="KA393" s="15"/>
      <c r="KB393" s="15"/>
      <c r="KC393" s="15"/>
      <c r="KD393" s="15"/>
      <c r="KE393" s="12"/>
      <c r="KF393" s="13"/>
      <c r="MF393" s="13"/>
      <c r="MI393" s="13"/>
      <c r="MN393" s="13"/>
      <c r="MO393" s="13"/>
      <c r="MY393" s="13"/>
      <c r="NY393" s="12"/>
      <c r="OA393" s="13"/>
      <c r="PL393" s="19"/>
      <c r="PM393" s="13"/>
      <c r="PN393" s="14"/>
      <c r="PO393" s="16"/>
      <c r="PP393" s="15"/>
      <c r="PQ393" s="15"/>
      <c r="PR393" s="15"/>
      <c r="PS393" s="16"/>
      <c r="QO393" s="13"/>
      <c r="QP393" s="12"/>
      <c r="QR393" s="12"/>
      <c r="RE393" s="13"/>
      <c r="RG393" s="19"/>
      <c r="RH393" s="12"/>
      <c r="RS393" s="13"/>
      <c r="RV393" s="13"/>
      <c r="SX393" s="12"/>
      <c r="TA393" s="12"/>
      <c r="TZ393" s="13"/>
      <c r="UB393" s="13"/>
      <c r="UT393" s="12"/>
      <c r="UU393" s="13"/>
      <c r="WQ393" s="13"/>
      <c r="WT393" s="13"/>
    </row>
    <row r="394" spans="34:618" ht="10.75" customHeight="1">
      <c r="AH394" s="9"/>
      <c r="AI394" s="9"/>
      <c r="AJ394" s="10"/>
      <c r="AK394" s="10"/>
      <c r="AL394" s="10"/>
      <c r="AM394" s="10"/>
      <c r="AN394" s="10"/>
      <c r="AO394" s="10"/>
      <c r="AP394" s="10"/>
      <c r="AQ394" s="11"/>
      <c r="AR394" s="43"/>
      <c r="AS394" s="43"/>
      <c r="AT394" s="43"/>
      <c r="AU394" s="12"/>
      <c r="CE394" s="12"/>
      <c r="EV394" s="13"/>
      <c r="EW394" s="43"/>
      <c r="EX394" s="43"/>
      <c r="EY394" s="45"/>
      <c r="HP394" s="12"/>
      <c r="HQ394" s="12"/>
      <c r="HZ394" s="13"/>
      <c r="IA394" s="18"/>
      <c r="ID394" s="12"/>
      <c r="KD394" s="10"/>
      <c r="KE394" s="12"/>
      <c r="KF394" s="13"/>
      <c r="MF394" s="13"/>
      <c r="MI394" s="13"/>
      <c r="MN394" s="13"/>
      <c r="MO394" s="13"/>
      <c r="MY394" s="13"/>
      <c r="NY394" s="12"/>
      <c r="OA394" s="13"/>
      <c r="PL394" s="12"/>
      <c r="PM394" s="13"/>
      <c r="PN394" s="12"/>
      <c r="QO394" s="13"/>
      <c r="QP394" s="12"/>
      <c r="QR394" s="12"/>
      <c r="RE394" s="13"/>
      <c r="RH394" s="12"/>
      <c r="RS394" s="13"/>
      <c r="RV394" s="13"/>
      <c r="SX394" s="12"/>
      <c r="TA394" s="12"/>
      <c r="TZ394" s="13"/>
      <c r="UB394" s="13"/>
      <c r="UT394" s="12"/>
      <c r="UU394" s="13"/>
      <c r="WQ394" s="13"/>
      <c r="WT394" s="13"/>
    </row>
    <row r="395" spans="34:618" ht="10.75" customHeight="1">
      <c r="AH395" s="12"/>
      <c r="AI395" s="12"/>
      <c r="AQ395" s="13"/>
      <c r="AR395" s="43"/>
      <c r="AS395" s="43"/>
      <c r="AT395" s="43"/>
      <c r="AU395" s="12"/>
      <c r="CE395" s="12"/>
      <c r="EV395" s="13"/>
      <c r="EW395" s="43"/>
      <c r="EX395" s="43"/>
      <c r="EY395" s="45"/>
      <c r="HP395" s="12"/>
      <c r="HQ395" s="12"/>
      <c r="HZ395" s="13"/>
      <c r="IA395" s="18"/>
      <c r="ID395" s="14"/>
      <c r="IE395" s="15"/>
      <c r="IF395" s="120"/>
      <c r="IG395" s="120"/>
      <c r="IH395" s="120"/>
      <c r="II395" s="120"/>
      <c r="IJ395" s="120"/>
      <c r="IK395" s="120"/>
      <c r="IL395" s="120"/>
      <c r="IM395" s="120"/>
      <c r="IN395" s="120"/>
      <c r="IO395" s="120"/>
      <c r="IP395" s="15"/>
      <c r="IQ395" s="15"/>
      <c r="IR395" s="15"/>
      <c r="IS395" s="15"/>
      <c r="IT395" s="15"/>
      <c r="IU395" s="15"/>
      <c r="IV395" s="15"/>
      <c r="IW395" s="15"/>
      <c r="IX395" s="15"/>
      <c r="IY395" s="15"/>
      <c r="IZ395" s="15"/>
      <c r="JA395" s="15"/>
      <c r="JB395" s="15"/>
      <c r="JC395" s="15"/>
      <c r="JD395" s="15"/>
      <c r="JE395" s="15"/>
      <c r="JF395" s="15"/>
      <c r="JG395" s="15"/>
      <c r="JH395" s="15"/>
      <c r="JI395" s="15"/>
      <c r="JJ395" s="15"/>
      <c r="JK395" s="15"/>
      <c r="JL395" s="15"/>
      <c r="JM395" s="15"/>
      <c r="JN395" s="15"/>
      <c r="JO395" s="15"/>
      <c r="JP395" s="15"/>
      <c r="JQ395" s="15"/>
      <c r="JR395" s="15"/>
      <c r="JS395" s="15"/>
      <c r="JT395" s="15"/>
      <c r="JU395" s="15"/>
      <c r="JV395" s="15"/>
      <c r="JW395" s="15"/>
      <c r="JX395" s="15"/>
      <c r="JY395" s="15"/>
      <c r="JZ395" s="15"/>
      <c r="KA395" s="15"/>
      <c r="KB395" s="15"/>
      <c r="KC395" s="15"/>
      <c r="KD395" s="15"/>
      <c r="KE395" s="12"/>
      <c r="KF395" s="13"/>
      <c r="MF395" s="13"/>
      <c r="MI395" s="13"/>
      <c r="MN395" s="13"/>
      <c r="MO395" s="13"/>
      <c r="MY395" s="13"/>
      <c r="NY395" s="12"/>
      <c r="OA395" s="13"/>
      <c r="PL395" s="12"/>
      <c r="PM395" s="13"/>
      <c r="PN395" s="14"/>
      <c r="PO395" s="15"/>
      <c r="PP395" s="15"/>
      <c r="PQ395" s="15"/>
      <c r="PR395" s="15"/>
      <c r="PS395" s="15"/>
      <c r="PT395" s="15"/>
      <c r="PU395" s="15"/>
      <c r="PV395" s="15"/>
      <c r="PW395" s="15"/>
      <c r="PX395" s="15"/>
      <c r="PY395" s="15"/>
      <c r="PZ395" s="15"/>
      <c r="QA395" s="15"/>
      <c r="QB395" s="15"/>
      <c r="QC395" s="15"/>
      <c r="QD395" s="15"/>
      <c r="QE395" s="15"/>
      <c r="QF395" s="15"/>
      <c r="QG395" s="15"/>
      <c r="QH395" s="15"/>
      <c r="QI395" s="15"/>
      <c r="QJ395" s="15"/>
      <c r="QK395" s="15"/>
      <c r="QL395" s="15"/>
      <c r="QM395" s="15"/>
      <c r="QN395" s="15"/>
      <c r="QO395" s="16"/>
      <c r="QP395" s="14"/>
      <c r="QQ395" s="15"/>
      <c r="QR395" s="14"/>
      <c r="QS395" s="15"/>
      <c r="QT395" s="15"/>
      <c r="QU395" s="15"/>
      <c r="QV395" s="15"/>
      <c r="QW395" s="15"/>
      <c r="QX395" s="15"/>
      <c r="QY395" s="15"/>
      <c r="QZ395" s="15"/>
      <c r="RA395" s="15"/>
      <c r="RB395" s="15"/>
      <c r="RC395" s="15"/>
      <c r="RD395" s="15"/>
      <c r="RE395" s="16"/>
      <c r="RF395" s="15"/>
      <c r="RG395" s="15"/>
      <c r="RH395" s="12"/>
      <c r="RS395" s="13"/>
      <c r="RV395" s="13"/>
      <c r="SX395" s="12"/>
      <c r="TA395" s="14"/>
      <c r="TB395" s="15"/>
      <c r="TC395" s="15"/>
      <c r="TD395" s="15"/>
      <c r="TE395" s="15"/>
      <c r="TF395" s="15"/>
      <c r="TG395" s="15"/>
      <c r="TH395" s="15"/>
      <c r="TI395" s="15"/>
      <c r="TJ395" s="15"/>
      <c r="TK395" s="15"/>
      <c r="TL395" s="15"/>
      <c r="TM395" s="15"/>
      <c r="TN395" s="15"/>
      <c r="TO395" s="15"/>
      <c r="TP395" s="15"/>
      <c r="TQ395" s="15"/>
      <c r="TR395" s="15"/>
      <c r="TS395" s="15"/>
      <c r="TT395" s="15"/>
      <c r="TU395" s="15"/>
      <c r="TV395" s="15"/>
      <c r="TW395" s="15"/>
      <c r="TX395" s="15"/>
      <c r="TY395" s="15"/>
      <c r="TZ395" s="16"/>
      <c r="UB395" s="13"/>
      <c r="UC395" s="15"/>
      <c r="UD395" s="15"/>
      <c r="UE395" s="15"/>
      <c r="UF395" s="15"/>
      <c r="UG395" s="15"/>
      <c r="UH395" s="15"/>
      <c r="UI395" s="15"/>
      <c r="UJ395" s="15"/>
      <c r="UK395" s="15"/>
      <c r="UL395" s="15"/>
      <c r="UM395" s="15"/>
      <c r="UN395" s="15"/>
      <c r="UO395" s="15"/>
      <c r="UP395" s="15"/>
      <c r="UQ395" s="15"/>
      <c r="UR395" s="15"/>
      <c r="US395" s="15"/>
      <c r="UT395" s="12"/>
      <c r="UU395" s="13"/>
      <c r="WQ395" s="13"/>
      <c r="WT395" s="13"/>
    </row>
    <row r="396" spans="34:618" ht="10.75" customHeight="1">
      <c r="AH396" s="12"/>
      <c r="AI396" s="12"/>
      <c r="AQ396" s="13"/>
      <c r="AR396" s="43"/>
      <c r="AS396" s="43"/>
      <c r="AT396" s="43"/>
      <c r="AU396" s="12"/>
      <c r="CE396" s="12"/>
      <c r="EV396" s="13"/>
      <c r="EW396" s="43"/>
      <c r="EX396" s="43"/>
      <c r="EY396" s="45"/>
      <c r="HP396" s="12"/>
      <c r="HQ396" s="9"/>
      <c r="HR396" s="10"/>
      <c r="HS396" s="10"/>
      <c r="HT396" s="10"/>
      <c r="HU396" s="10"/>
      <c r="HV396" s="10"/>
      <c r="HW396" s="10"/>
      <c r="HX396" s="10"/>
      <c r="HY396" s="10"/>
      <c r="HZ396" s="11"/>
      <c r="IA396" s="18"/>
      <c r="ID396" s="9"/>
      <c r="IE396" s="10"/>
      <c r="IF396" s="10"/>
      <c r="IG396" s="10"/>
      <c r="IH396" s="10"/>
      <c r="II396" s="10"/>
      <c r="IJ396" s="10"/>
      <c r="IK396" s="10"/>
      <c r="IL396" s="10"/>
      <c r="IM396" s="10"/>
      <c r="IN396" s="10"/>
      <c r="IO396" s="10"/>
      <c r="IP396" s="10"/>
      <c r="IQ396" s="10"/>
      <c r="IR396" s="10"/>
      <c r="IS396" s="10"/>
      <c r="IT396" s="10"/>
      <c r="IU396" s="10"/>
      <c r="IV396" s="10"/>
      <c r="IW396" s="10"/>
      <c r="IX396" s="10"/>
      <c r="IY396" s="10"/>
      <c r="IZ396" s="10"/>
      <c r="JA396" s="10"/>
      <c r="JB396" s="10"/>
      <c r="JC396" s="10"/>
      <c r="JD396" s="10"/>
      <c r="JE396" s="10"/>
      <c r="JF396" s="10"/>
      <c r="JG396" s="10"/>
      <c r="JH396" s="10"/>
      <c r="JI396" s="10"/>
      <c r="JJ396" s="10"/>
      <c r="JK396" s="10"/>
      <c r="JL396" s="10"/>
      <c r="JM396" s="10"/>
      <c r="JN396" s="10"/>
      <c r="JO396" s="10"/>
      <c r="JP396" s="10"/>
      <c r="JQ396" s="10"/>
      <c r="JR396" s="10"/>
      <c r="JS396" s="10"/>
      <c r="JT396" s="10"/>
      <c r="JU396" s="10"/>
      <c r="JV396" s="10"/>
      <c r="JW396" s="10"/>
      <c r="JX396" s="10"/>
      <c r="JY396" s="10"/>
      <c r="JZ396" s="10"/>
      <c r="KA396" s="10"/>
      <c r="KB396" s="10"/>
      <c r="KC396" s="10"/>
      <c r="KD396" s="10"/>
      <c r="KF396" s="13"/>
      <c r="MF396" s="13"/>
      <c r="MI396" s="13"/>
      <c r="MN396" s="13"/>
      <c r="MO396" s="13"/>
      <c r="MY396" s="13"/>
      <c r="NY396" s="12"/>
      <c r="OA396" s="13"/>
      <c r="PL396" s="12"/>
      <c r="PM396" s="13"/>
      <c r="PN396" s="9"/>
      <c r="PO396" s="10"/>
      <c r="PP396" s="10"/>
      <c r="PQ396" s="10"/>
      <c r="PR396" s="10"/>
      <c r="PS396" s="10"/>
      <c r="PT396" s="10"/>
      <c r="PU396" s="10"/>
      <c r="PV396" s="10"/>
      <c r="PW396" s="10"/>
      <c r="PX396" s="10"/>
      <c r="PY396" s="10"/>
      <c r="PZ396" s="10"/>
      <c r="QA396" s="10"/>
      <c r="QB396" s="10"/>
      <c r="QC396" s="10"/>
      <c r="QD396" s="10"/>
      <c r="QE396" s="10"/>
      <c r="QF396" s="10"/>
      <c r="QG396" s="10"/>
      <c r="QH396" s="10"/>
      <c r="QI396" s="10"/>
      <c r="QJ396" s="10"/>
      <c r="QK396" s="10"/>
      <c r="QL396" s="10"/>
      <c r="QM396" s="10"/>
      <c r="QN396" s="10"/>
      <c r="QO396" s="10"/>
      <c r="QP396" s="10"/>
      <c r="QQ396" s="10"/>
      <c r="RF396" s="10"/>
      <c r="RG396" s="11"/>
      <c r="RH396" s="12"/>
      <c r="RS396" s="13"/>
      <c r="RV396" s="13"/>
      <c r="SX396" s="12"/>
      <c r="TA396" s="12"/>
      <c r="US396" s="10"/>
      <c r="UT396" s="12"/>
      <c r="UU396" s="13"/>
      <c r="WQ396" s="13"/>
      <c r="WT396" s="13"/>
    </row>
    <row r="397" spans="34:618" ht="10.75" customHeight="1">
      <c r="AH397" s="14"/>
      <c r="AI397" s="14"/>
      <c r="AJ397" s="15"/>
      <c r="AK397" s="15"/>
      <c r="AL397" s="15"/>
      <c r="AM397" s="15"/>
      <c r="AN397" s="15"/>
      <c r="AO397" s="15"/>
      <c r="AP397" s="15"/>
      <c r="AQ397" s="16"/>
      <c r="AR397" s="43"/>
      <c r="AS397" s="43"/>
      <c r="AT397" s="43"/>
      <c r="AU397" s="12"/>
      <c r="CE397" s="12"/>
      <c r="EV397" s="13"/>
      <c r="EW397" s="43"/>
      <c r="EX397" s="43"/>
      <c r="EY397" s="45"/>
      <c r="HP397" s="12"/>
      <c r="HQ397" s="12"/>
      <c r="HZ397" s="13"/>
      <c r="IA397" s="18"/>
      <c r="ID397" s="12"/>
      <c r="KF397" s="13"/>
      <c r="MF397" s="13"/>
      <c r="MI397" s="13"/>
      <c r="MN397" s="13"/>
      <c r="MO397" s="13"/>
      <c r="MY397" s="13"/>
      <c r="NY397" s="12"/>
      <c r="OA397" s="13"/>
      <c r="PL397" s="12"/>
      <c r="PM397" s="13"/>
      <c r="PN397" s="14"/>
      <c r="PO397" s="15"/>
      <c r="PP397" s="15"/>
      <c r="PQ397" s="15"/>
      <c r="PR397" s="15"/>
      <c r="PS397" s="15"/>
      <c r="PT397" s="15"/>
      <c r="PU397" s="15"/>
      <c r="PV397" s="15"/>
      <c r="PW397" s="15"/>
      <c r="PX397" s="15"/>
      <c r="PY397" s="15"/>
      <c r="PZ397" s="15"/>
      <c r="QA397" s="15"/>
      <c r="QB397" s="15"/>
      <c r="QC397" s="15"/>
      <c r="QD397" s="15"/>
      <c r="QE397" s="15"/>
      <c r="QF397" s="15"/>
      <c r="QG397" s="15"/>
      <c r="QH397" s="15"/>
      <c r="QI397" s="15"/>
      <c r="QJ397" s="15"/>
      <c r="QK397" s="15"/>
      <c r="QL397" s="15"/>
      <c r="QM397" s="15"/>
      <c r="QN397" s="15"/>
      <c r="QO397" s="15"/>
      <c r="QP397" s="15"/>
      <c r="QQ397" s="15"/>
      <c r="QR397" s="15"/>
      <c r="QS397" s="15"/>
      <c r="QT397" s="15"/>
      <c r="QU397" s="15"/>
      <c r="QV397" s="15"/>
      <c r="QW397" s="15"/>
      <c r="QX397" s="15"/>
      <c r="QY397" s="15"/>
      <c r="QZ397" s="15"/>
      <c r="RA397" s="15"/>
      <c r="RB397" s="15"/>
      <c r="RC397" s="15"/>
      <c r="RD397" s="15"/>
      <c r="RE397" s="15"/>
      <c r="RF397" s="15"/>
      <c r="RG397" s="16"/>
      <c r="RH397" s="12"/>
      <c r="RS397" s="13"/>
      <c r="RV397" s="13"/>
      <c r="SX397" s="12"/>
      <c r="TA397" s="14"/>
      <c r="TB397" s="15"/>
      <c r="TC397" s="15"/>
      <c r="TD397" s="15"/>
      <c r="TE397" s="15"/>
      <c r="TF397" s="15"/>
      <c r="TG397" s="15"/>
      <c r="TH397" s="15"/>
      <c r="TI397" s="15"/>
      <c r="TJ397" s="15"/>
      <c r="TK397" s="15"/>
      <c r="TL397" s="15"/>
      <c r="TM397" s="15"/>
      <c r="TN397" s="15"/>
      <c r="TO397" s="15"/>
      <c r="TP397" s="15"/>
      <c r="TQ397" s="15"/>
      <c r="TR397" s="15"/>
      <c r="TS397" s="15"/>
      <c r="TT397" s="15"/>
      <c r="TU397" s="15"/>
      <c r="TV397" s="15"/>
      <c r="TW397" s="15"/>
      <c r="TX397" s="15"/>
      <c r="TY397" s="15"/>
      <c r="TZ397" s="15"/>
      <c r="UA397" s="15"/>
      <c r="UB397" s="15"/>
      <c r="UC397" s="15"/>
      <c r="UD397" s="15"/>
      <c r="UE397" s="15"/>
      <c r="UF397" s="15"/>
      <c r="UG397" s="15"/>
      <c r="UH397" s="15"/>
      <c r="UI397" s="15"/>
      <c r="UJ397" s="15"/>
      <c r="UK397" s="15"/>
      <c r="UL397" s="15"/>
      <c r="UM397" s="15"/>
      <c r="UN397" s="15"/>
      <c r="UO397" s="15"/>
      <c r="UP397" s="15"/>
      <c r="UQ397" s="15"/>
      <c r="UR397" s="15"/>
      <c r="US397" s="15"/>
      <c r="UT397" s="12"/>
      <c r="UU397" s="13"/>
      <c r="WQ397" s="13"/>
      <c r="WT397" s="13"/>
    </row>
    <row r="398" spans="34:618" ht="10.75" customHeight="1">
      <c r="AH398" s="9"/>
      <c r="AI398" s="9"/>
      <c r="AJ398" s="10"/>
      <c r="AK398" s="10"/>
      <c r="AL398" s="10"/>
      <c r="AM398" s="10"/>
      <c r="AN398" s="10"/>
      <c r="AO398" s="10"/>
      <c r="AP398" s="10"/>
      <c r="AQ398" s="11"/>
      <c r="AR398" s="43"/>
      <c r="AS398" s="43"/>
      <c r="AT398" s="43"/>
      <c r="AU398" s="12"/>
      <c r="BB398" s="13"/>
      <c r="BC398" s="9"/>
      <c r="BD398" s="10"/>
      <c r="BE398" s="10"/>
      <c r="BF398" s="10"/>
      <c r="BG398" s="10"/>
      <c r="BH398" s="10"/>
      <c r="BI398" s="10"/>
      <c r="BJ398" s="10"/>
      <c r="BK398" s="10"/>
      <c r="BL398" s="10"/>
      <c r="BM398" s="10"/>
      <c r="BN398" s="10"/>
      <c r="BO398" s="10"/>
      <c r="BP398" s="10"/>
      <c r="BQ398" s="10"/>
      <c r="BR398" s="10"/>
      <c r="BS398" s="10"/>
      <c r="BT398" s="10"/>
      <c r="BU398" s="10"/>
      <c r="BV398" s="10"/>
      <c r="BW398" s="10"/>
      <c r="BX398" s="10"/>
      <c r="BY398" s="10"/>
      <c r="BZ398" s="10"/>
      <c r="CA398" s="10"/>
      <c r="CB398" s="10"/>
      <c r="CC398" s="10"/>
      <c r="CD398" s="10"/>
      <c r="EV398" s="13"/>
      <c r="EW398" s="43"/>
      <c r="EX398" s="43"/>
      <c r="EY398" s="45"/>
      <c r="HP398" s="12"/>
      <c r="HQ398" s="12"/>
      <c r="HZ398" s="13"/>
      <c r="IA398" s="18"/>
      <c r="ID398" s="12"/>
      <c r="KE398" s="12"/>
      <c r="KF398" s="13"/>
      <c r="MF398" s="13"/>
      <c r="MI398" s="13"/>
      <c r="MN398" s="13"/>
      <c r="MO398" s="13"/>
      <c r="MY398" s="13"/>
      <c r="NY398" s="12"/>
      <c r="OA398" s="13"/>
      <c r="PX398" s="12"/>
      <c r="PY398" s="13"/>
      <c r="PZ398" s="9"/>
      <c r="QA398" s="10"/>
      <c r="QB398" s="10"/>
      <c r="QC398" s="10"/>
      <c r="QD398" s="10"/>
      <c r="QE398" s="10"/>
      <c r="QF398" s="10"/>
      <c r="QG398" s="10"/>
      <c r="QH398" s="10"/>
      <c r="QI398" s="10"/>
      <c r="QJ398" s="10"/>
      <c r="QK398" s="10"/>
      <c r="QL398" s="10"/>
      <c r="QM398" s="10"/>
      <c r="QN398" s="10"/>
      <c r="QO398" s="10"/>
      <c r="QP398" s="10"/>
      <c r="QQ398" s="10"/>
      <c r="QR398" s="10"/>
      <c r="QS398" s="10"/>
      <c r="QT398" s="10"/>
      <c r="QU398" s="10"/>
      <c r="QV398" s="10"/>
      <c r="QW398" s="10"/>
      <c r="QX398" s="10"/>
      <c r="QY398" s="10"/>
      <c r="QZ398" s="10"/>
      <c r="RA398" s="10"/>
      <c r="RB398" s="10"/>
      <c r="RC398" s="10"/>
      <c r="RD398" s="10"/>
      <c r="RE398" s="10"/>
      <c r="RF398" s="10"/>
      <c r="RG398" s="10"/>
      <c r="RS398" s="13"/>
      <c r="RV398" s="13"/>
      <c r="SX398" s="12"/>
      <c r="TA398" s="9"/>
      <c r="TB398" s="10"/>
      <c r="TC398" s="10"/>
      <c r="TD398" s="10"/>
      <c r="TE398" s="10"/>
      <c r="TF398" s="9"/>
      <c r="TG398" s="10"/>
      <c r="TH398" s="10"/>
      <c r="TI398" s="10"/>
      <c r="TJ398" s="10"/>
      <c r="TK398" s="10"/>
      <c r="TL398" s="10"/>
      <c r="TM398" s="10"/>
      <c r="TN398" s="10"/>
      <c r="TO398" s="11"/>
      <c r="TP398" s="9"/>
      <c r="TQ398" s="10"/>
      <c r="TR398" s="10"/>
      <c r="TS398" s="10"/>
      <c r="TT398" s="10"/>
      <c r="TU398" s="10"/>
      <c r="TV398" s="10"/>
      <c r="TW398" s="10"/>
      <c r="TX398" s="10"/>
      <c r="TY398" s="10"/>
      <c r="TZ398" s="10"/>
      <c r="UA398" s="10"/>
      <c r="UB398" s="10"/>
      <c r="UC398" s="10"/>
      <c r="UD398" s="10"/>
      <c r="UE398" s="10"/>
      <c r="UF398" s="10"/>
      <c r="UG398" s="11"/>
      <c r="UH398" s="9"/>
      <c r="UI398" s="10"/>
      <c r="UJ398" s="10"/>
      <c r="UK398" s="10"/>
      <c r="UL398" s="10"/>
      <c r="UM398" s="10"/>
      <c r="UN398" s="10"/>
      <c r="UO398" s="10"/>
      <c r="UP398" s="10"/>
      <c r="UQ398" s="10"/>
      <c r="UR398" s="10"/>
      <c r="US398" s="11"/>
      <c r="UU398" s="13"/>
      <c r="WQ398" s="13"/>
      <c r="WT398" s="13"/>
    </row>
    <row r="399" spans="34:618" ht="10.75" customHeight="1">
      <c r="AH399" s="12"/>
      <c r="AI399" s="12"/>
      <c r="AQ399" s="13"/>
      <c r="AR399" s="43"/>
      <c r="AS399" s="43"/>
      <c r="AT399" s="43"/>
      <c r="AU399" s="12"/>
      <c r="BB399" s="13"/>
      <c r="BC399" s="12"/>
      <c r="EV399" s="13"/>
      <c r="EW399" s="43"/>
      <c r="EX399" s="43"/>
      <c r="EY399" s="45"/>
      <c r="HP399" s="12"/>
      <c r="HQ399" s="14"/>
      <c r="HR399" s="15"/>
      <c r="HS399" s="15"/>
      <c r="HT399" s="15"/>
      <c r="HU399" s="15"/>
      <c r="HV399" s="15"/>
      <c r="HW399" s="15"/>
      <c r="HX399" s="15"/>
      <c r="HY399" s="15"/>
      <c r="HZ399" s="16"/>
      <c r="IA399" s="18"/>
      <c r="ID399" s="12"/>
      <c r="KE399" s="12"/>
      <c r="KF399" s="13"/>
      <c r="MF399" s="13"/>
      <c r="MI399" s="13"/>
      <c r="MN399" s="13"/>
      <c r="MO399" s="13"/>
      <c r="MY399" s="13"/>
      <c r="NY399" s="12"/>
      <c r="OA399" s="13"/>
      <c r="PX399" s="12"/>
      <c r="PY399" s="13"/>
      <c r="PZ399" s="12"/>
      <c r="RS399" s="13"/>
      <c r="RV399" s="13"/>
      <c r="SX399" s="12"/>
      <c r="TA399" s="12"/>
      <c r="TF399" s="12"/>
      <c r="TO399" s="13"/>
      <c r="TP399" s="12"/>
      <c r="UG399" s="13"/>
      <c r="UH399" s="12"/>
      <c r="US399" s="13"/>
      <c r="UU399" s="13"/>
      <c r="WQ399" s="13"/>
      <c r="WT399" s="13"/>
    </row>
    <row r="400" spans="34:618" ht="10.75" customHeight="1">
      <c r="AH400" s="12"/>
      <c r="AI400" s="12"/>
      <c r="AQ400" s="13"/>
      <c r="AR400" s="43"/>
      <c r="AS400" s="43"/>
      <c r="AT400" s="43"/>
      <c r="AU400" s="12"/>
      <c r="BB400" s="13"/>
      <c r="BC400" s="12"/>
      <c r="EV400" s="13"/>
      <c r="EW400" s="43"/>
      <c r="EX400" s="43"/>
      <c r="EY400" s="45"/>
      <c r="HP400" s="12"/>
      <c r="HQ400" s="12"/>
      <c r="HZ400" s="13"/>
      <c r="IA400" s="18"/>
      <c r="ID400" s="12"/>
      <c r="KE400" s="12"/>
      <c r="KF400" s="13"/>
      <c r="MF400" s="13"/>
      <c r="MI400" s="13"/>
      <c r="MN400" s="13"/>
      <c r="MO400" s="13"/>
      <c r="MY400" s="13"/>
      <c r="NY400" s="12"/>
      <c r="OA400" s="13"/>
      <c r="PX400" s="12"/>
      <c r="PY400" s="13"/>
      <c r="PZ400" s="12"/>
      <c r="RS400" s="13"/>
      <c r="RV400" s="13"/>
      <c r="SX400" s="12"/>
      <c r="TA400" s="12"/>
      <c r="TF400" s="12"/>
      <c r="TO400" s="13"/>
      <c r="TP400" s="12"/>
      <c r="UG400" s="13"/>
      <c r="UH400" s="12"/>
      <c r="US400" s="13"/>
      <c r="UU400" s="13"/>
      <c r="WQ400" s="13"/>
      <c r="WT400" s="13"/>
    </row>
    <row r="401" spans="34:618" ht="10.75" customHeight="1">
      <c r="AH401" s="14"/>
      <c r="AI401" s="14"/>
      <c r="AJ401" s="15"/>
      <c r="AK401" s="15"/>
      <c r="AL401" s="15"/>
      <c r="AM401" s="15"/>
      <c r="AN401" s="15"/>
      <c r="AO401" s="15"/>
      <c r="AP401" s="15"/>
      <c r="AQ401" s="16"/>
      <c r="AR401" s="43"/>
      <c r="AS401" s="43"/>
      <c r="AT401" s="43"/>
      <c r="AU401" s="12"/>
      <c r="BB401" s="13"/>
      <c r="BC401" s="12"/>
      <c r="EV401" s="13"/>
      <c r="EW401" s="43"/>
      <c r="EX401" s="43"/>
      <c r="EY401" s="45"/>
      <c r="HP401" s="12"/>
      <c r="HQ401" s="12"/>
      <c r="HZ401" s="13"/>
      <c r="IA401" s="18"/>
      <c r="ID401" s="12"/>
      <c r="KE401" s="12"/>
      <c r="KF401" s="13"/>
      <c r="MF401" s="13"/>
      <c r="MI401" s="13"/>
      <c r="MN401" s="13"/>
      <c r="MO401" s="13"/>
      <c r="MY401" s="13"/>
      <c r="NY401" s="12"/>
      <c r="OA401" s="13"/>
      <c r="PX401" s="12"/>
      <c r="PY401" s="13"/>
      <c r="PZ401" s="12"/>
      <c r="RS401" s="13"/>
      <c r="RV401" s="13"/>
      <c r="SX401" s="12"/>
      <c r="TA401" s="12"/>
      <c r="TF401" s="12"/>
      <c r="TO401" s="13"/>
      <c r="TP401" s="12"/>
      <c r="UG401" s="13"/>
      <c r="UH401" s="12"/>
      <c r="US401" s="13"/>
      <c r="UU401" s="13"/>
      <c r="WQ401" s="13"/>
      <c r="WT401" s="13"/>
    </row>
    <row r="402" spans="34:618" ht="10.75" customHeight="1">
      <c r="AH402" s="9"/>
      <c r="AI402" s="9"/>
      <c r="AJ402" s="10"/>
      <c r="AK402" s="10"/>
      <c r="AL402" s="10"/>
      <c r="AM402" s="10"/>
      <c r="AN402" s="10"/>
      <c r="AO402" s="10"/>
      <c r="AP402" s="10"/>
      <c r="AQ402" s="11"/>
      <c r="AR402" s="43"/>
      <c r="AS402" s="43"/>
      <c r="AT402" s="43"/>
      <c r="AU402" s="12"/>
      <c r="BB402" s="13"/>
      <c r="BC402" s="12"/>
      <c r="EV402" s="13"/>
      <c r="EW402" s="43"/>
      <c r="EX402" s="43"/>
      <c r="EY402" s="45"/>
      <c r="HP402" s="12"/>
      <c r="HQ402" s="12"/>
      <c r="HZ402" s="13"/>
      <c r="IA402" s="18"/>
      <c r="ID402" s="12"/>
      <c r="KE402" s="12"/>
      <c r="KF402" s="13"/>
      <c r="MF402" s="13"/>
      <c r="MI402" s="13"/>
      <c r="MN402" s="13"/>
      <c r="MO402" s="13"/>
      <c r="MY402" s="13"/>
      <c r="NY402" s="12"/>
      <c r="OA402" s="13"/>
      <c r="PX402" s="12"/>
      <c r="PY402" s="13"/>
      <c r="PZ402" s="12"/>
      <c r="RS402" s="13"/>
      <c r="RV402" s="13"/>
      <c r="SX402" s="12"/>
      <c r="TA402" s="12"/>
      <c r="TF402" s="12"/>
      <c r="TO402" s="13"/>
      <c r="TP402" s="12"/>
      <c r="UG402" s="13"/>
      <c r="UH402" s="12"/>
      <c r="US402" s="13"/>
      <c r="UU402" s="13"/>
      <c r="WQ402" s="13"/>
      <c r="WT402" s="13"/>
    </row>
    <row r="403" spans="34:618" ht="10.75" customHeight="1">
      <c r="AH403" s="12"/>
      <c r="AI403" s="12"/>
      <c r="AQ403" s="13"/>
      <c r="AR403" s="43"/>
      <c r="AS403" s="43"/>
      <c r="AT403" s="43"/>
      <c r="AU403" s="12"/>
      <c r="BB403" s="13"/>
      <c r="BC403" s="12"/>
      <c r="EV403" s="13"/>
      <c r="EW403" s="43"/>
      <c r="EX403" s="43"/>
      <c r="EY403" s="45"/>
      <c r="HP403" s="12"/>
      <c r="HQ403" s="12"/>
      <c r="HZ403" s="13"/>
      <c r="IA403" s="18"/>
      <c r="ID403" s="12"/>
      <c r="KE403" s="12"/>
      <c r="KF403" s="13"/>
      <c r="MF403" s="13"/>
      <c r="MI403" s="13"/>
      <c r="MN403" s="13"/>
      <c r="MO403" s="13"/>
      <c r="MY403" s="13"/>
      <c r="NY403" s="12"/>
      <c r="OA403" s="13"/>
      <c r="PX403" s="12"/>
      <c r="PY403" s="13"/>
      <c r="PZ403" s="12"/>
      <c r="RS403" s="13"/>
      <c r="RV403" s="13"/>
      <c r="SX403" s="12"/>
      <c r="TA403" s="12"/>
      <c r="TF403" s="12"/>
      <c r="TO403" s="13"/>
      <c r="TP403" s="14"/>
      <c r="TQ403" s="15"/>
      <c r="TR403" s="15"/>
      <c r="TS403" s="15"/>
      <c r="TT403" s="15"/>
      <c r="TU403" s="15"/>
      <c r="TV403" s="15"/>
      <c r="TW403" s="15"/>
      <c r="TX403" s="15"/>
      <c r="TY403" s="15"/>
      <c r="TZ403" s="15"/>
      <c r="UA403" s="15"/>
      <c r="UB403" s="15"/>
      <c r="UC403" s="15"/>
      <c r="UD403" s="15"/>
      <c r="UE403" s="15"/>
      <c r="UF403" s="15"/>
      <c r="UG403" s="16"/>
      <c r="UH403" s="12"/>
      <c r="US403" s="13"/>
      <c r="UU403" s="13"/>
      <c r="WQ403" s="13"/>
      <c r="WT403" s="13"/>
    </row>
    <row r="404" spans="34:618" ht="10.75" customHeight="1">
      <c r="AH404" s="12"/>
      <c r="AI404" s="12"/>
      <c r="AQ404" s="13"/>
      <c r="AR404" s="43"/>
      <c r="AS404" s="43"/>
      <c r="AT404" s="43"/>
      <c r="AU404" s="12"/>
      <c r="BB404" s="13"/>
      <c r="BC404" s="12"/>
      <c r="EV404" s="13"/>
      <c r="EW404" s="43"/>
      <c r="EX404" s="43"/>
      <c r="EY404" s="45"/>
      <c r="HP404" s="12"/>
      <c r="HQ404" s="9"/>
      <c r="HR404" s="10"/>
      <c r="HS404" s="10"/>
      <c r="HT404" s="10"/>
      <c r="HU404" s="10"/>
      <c r="HV404" s="10"/>
      <c r="HW404" s="10"/>
      <c r="HX404" s="10"/>
      <c r="HY404" s="10"/>
      <c r="HZ404" s="11"/>
      <c r="IA404" s="18"/>
      <c r="ID404" s="12"/>
      <c r="KE404" s="12"/>
      <c r="KF404" s="13"/>
      <c r="MF404" s="13"/>
      <c r="MI404" s="13"/>
      <c r="MN404" s="13"/>
      <c r="MO404" s="13"/>
      <c r="MY404" s="13"/>
      <c r="NY404" s="12"/>
      <c r="OA404" s="13"/>
      <c r="PX404" s="12"/>
      <c r="PY404" s="13"/>
      <c r="PZ404" s="12"/>
      <c r="RS404" s="13"/>
      <c r="RV404" s="13"/>
      <c r="SX404" s="12"/>
      <c r="TA404" s="12"/>
      <c r="TF404" s="12"/>
      <c r="TO404" s="13"/>
      <c r="UH404" s="12"/>
      <c r="US404" s="13"/>
      <c r="UU404" s="13"/>
      <c r="WQ404" s="13"/>
      <c r="WT404" s="13"/>
    </row>
    <row r="405" spans="34:618" ht="10.75" customHeight="1">
      <c r="AH405" s="14"/>
      <c r="AI405" s="14"/>
      <c r="AJ405" s="15"/>
      <c r="AK405" s="15"/>
      <c r="AL405" s="15"/>
      <c r="AM405" s="15"/>
      <c r="AN405" s="15"/>
      <c r="AO405" s="15"/>
      <c r="AP405" s="15"/>
      <c r="AQ405" s="16"/>
      <c r="AR405" s="43"/>
      <c r="AS405" s="43"/>
      <c r="AT405" s="43"/>
      <c r="AU405" s="12"/>
      <c r="BB405" s="13"/>
      <c r="BC405" s="12"/>
      <c r="EV405" s="13"/>
      <c r="EW405" s="43"/>
      <c r="EX405" s="43"/>
      <c r="EY405" s="45"/>
      <c r="HP405" s="12"/>
      <c r="HQ405" s="12"/>
      <c r="HZ405" s="13"/>
      <c r="IA405" s="18"/>
      <c r="ID405" s="12"/>
      <c r="KE405" s="12"/>
      <c r="KF405" s="13"/>
      <c r="MF405" s="13"/>
      <c r="MI405" s="13"/>
      <c r="MN405" s="13"/>
      <c r="MO405" s="13"/>
      <c r="MY405" s="13"/>
      <c r="NY405" s="12"/>
      <c r="OA405" s="13"/>
      <c r="PX405" s="12"/>
      <c r="PY405" s="13"/>
      <c r="PZ405" s="12"/>
      <c r="RS405" s="13"/>
      <c r="RV405" s="13"/>
      <c r="SX405" s="12"/>
      <c r="TA405" s="12"/>
      <c r="TF405" s="12"/>
      <c r="TO405" s="13"/>
      <c r="UH405" s="12"/>
      <c r="US405" s="13"/>
      <c r="UU405" s="13"/>
      <c r="WQ405" s="13"/>
      <c r="WT405" s="13"/>
    </row>
    <row r="406" spans="34:618" ht="10.75" customHeight="1">
      <c r="AH406" s="9"/>
      <c r="AI406" s="9"/>
      <c r="AJ406" s="10"/>
      <c r="AK406" s="10"/>
      <c r="AL406" s="10"/>
      <c r="AM406" s="10"/>
      <c r="AN406" s="10"/>
      <c r="AO406" s="10"/>
      <c r="AP406" s="10"/>
      <c r="AQ406" s="11"/>
      <c r="AR406" s="43"/>
      <c r="AS406" s="43"/>
      <c r="AT406" s="43"/>
      <c r="AU406" s="12"/>
      <c r="BB406" s="13"/>
      <c r="BC406" s="12"/>
      <c r="EV406" s="13"/>
      <c r="EW406" s="43"/>
      <c r="EX406" s="43"/>
      <c r="EY406" s="45"/>
      <c r="HP406" s="12"/>
      <c r="HQ406" s="12"/>
      <c r="HZ406" s="13"/>
      <c r="IA406" s="18"/>
      <c r="ID406" s="12"/>
      <c r="KE406" s="12"/>
      <c r="KF406" s="13"/>
      <c r="MF406" s="13"/>
      <c r="MI406" s="13"/>
      <c r="MN406" s="13"/>
      <c r="MO406" s="13"/>
      <c r="MY406" s="13"/>
      <c r="NY406" s="12"/>
      <c r="OA406" s="13"/>
      <c r="PX406" s="12"/>
      <c r="PY406" s="13"/>
      <c r="PZ406" s="12"/>
      <c r="RS406" s="13"/>
      <c r="RV406" s="13"/>
      <c r="SX406" s="12"/>
      <c r="TA406" s="12"/>
      <c r="TF406" s="12"/>
      <c r="TO406" s="13"/>
      <c r="UH406" s="12"/>
      <c r="US406" s="13"/>
      <c r="UU406" s="13"/>
      <c r="WQ406" s="13"/>
      <c r="WT406" s="13"/>
    </row>
    <row r="407" spans="34:618" ht="10.75" customHeight="1">
      <c r="AH407" s="12"/>
      <c r="AI407" s="12"/>
      <c r="AQ407" s="13"/>
      <c r="AR407" s="43"/>
      <c r="AS407" s="43"/>
      <c r="AT407" s="43"/>
      <c r="AU407" s="12"/>
      <c r="BB407" s="13"/>
      <c r="BC407" s="12"/>
      <c r="EV407" s="13"/>
      <c r="EW407" s="43"/>
      <c r="EX407" s="43"/>
      <c r="EY407" s="45"/>
      <c r="HP407" s="12"/>
      <c r="HQ407" s="14"/>
      <c r="HR407" s="15"/>
      <c r="HS407" s="15"/>
      <c r="HT407" s="15"/>
      <c r="HU407" s="15"/>
      <c r="HV407" s="15"/>
      <c r="HW407" s="15"/>
      <c r="HX407" s="15"/>
      <c r="HY407" s="15"/>
      <c r="HZ407" s="16"/>
      <c r="IA407" s="18"/>
      <c r="ID407" s="12"/>
      <c r="KE407" s="12"/>
      <c r="KF407" s="13"/>
      <c r="MF407" s="13"/>
      <c r="MI407" s="13"/>
      <c r="MN407" s="13"/>
      <c r="MO407" s="13"/>
      <c r="MY407" s="13"/>
      <c r="NY407" s="12"/>
      <c r="OA407" s="13"/>
      <c r="PX407" s="12"/>
      <c r="PY407" s="17"/>
      <c r="PZ407" s="12"/>
      <c r="RS407" s="13"/>
      <c r="RV407" s="13"/>
      <c r="SX407" s="12"/>
      <c r="TA407" s="12"/>
      <c r="TF407" s="14"/>
      <c r="TG407" s="15"/>
      <c r="TH407" s="15"/>
      <c r="TI407" s="15"/>
      <c r="TJ407" s="15"/>
      <c r="TK407" s="15"/>
      <c r="TL407" s="15"/>
      <c r="TM407" s="15"/>
      <c r="TN407" s="15"/>
      <c r="TO407" s="16"/>
      <c r="UH407" s="12"/>
      <c r="US407" s="13"/>
      <c r="UU407" s="13"/>
      <c r="WQ407" s="13"/>
      <c r="WT407" s="13"/>
    </row>
    <row r="408" spans="34:618" ht="10.75" customHeight="1">
      <c r="AH408" s="12"/>
      <c r="AI408" s="12"/>
      <c r="AQ408" s="13"/>
      <c r="AR408" s="43"/>
      <c r="AS408" s="43"/>
      <c r="AT408" s="43"/>
      <c r="AU408" s="12"/>
      <c r="BB408" s="13"/>
      <c r="BC408" s="12"/>
      <c r="EV408" s="13"/>
      <c r="EW408" s="43"/>
      <c r="EX408" s="43"/>
      <c r="EY408" s="45"/>
      <c r="HP408" s="12"/>
      <c r="HQ408" s="12"/>
      <c r="HZ408" s="13"/>
      <c r="IA408" s="18"/>
      <c r="ID408" s="12"/>
      <c r="KE408" s="12"/>
      <c r="KF408" s="13"/>
      <c r="MF408" s="13"/>
      <c r="MI408" s="13"/>
      <c r="MN408" s="13"/>
      <c r="MO408" s="13"/>
      <c r="MY408" s="13"/>
      <c r="NY408" s="12"/>
      <c r="OA408" s="13"/>
      <c r="PX408" s="12"/>
      <c r="PY408" s="18"/>
      <c r="PZ408" s="12"/>
      <c r="RS408" s="13"/>
      <c r="RV408" s="13"/>
      <c r="SX408" s="12"/>
      <c r="TA408" s="12"/>
      <c r="UH408" s="12"/>
      <c r="US408" s="13"/>
      <c r="UU408" s="13"/>
      <c r="WQ408" s="13"/>
      <c r="WT408" s="13"/>
    </row>
    <row r="409" spans="34:618" ht="10.75" customHeight="1">
      <c r="AH409" s="14"/>
      <c r="AI409" s="14"/>
      <c r="AJ409" s="15"/>
      <c r="AK409" s="15"/>
      <c r="AL409" s="15"/>
      <c r="AM409" s="15"/>
      <c r="AN409" s="15"/>
      <c r="AO409" s="15"/>
      <c r="AP409" s="15"/>
      <c r="AQ409" s="16"/>
      <c r="AR409" s="43"/>
      <c r="AS409" s="43"/>
      <c r="AT409" s="43"/>
      <c r="AU409" s="12"/>
      <c r="BB409" s="13"/>
      <c r="BC409" s="12"/>
      <c r="EV409" s="13"/>
      <c r="EW409" s="43"/>
      <c r="EX409" s="43"/>
      <c r="EY409" s="45"/>
      <c r="HP409" s="12"/>
      <c r="HQ409" s="12"/>
      <c r="HZ409" s="13"/>
      <c r="IA409" s="18"/>
      <c r="ID409" s="12"/>
      <c r="KE409" s="12"/>
      <c r="KF409" s="13"/>
      <c r="MF409" s="13"/>
      <c r="MI409" s="13"/>
      <c r="MN409" s="13"/>
      <c r="MO409" s="13"/>
      <c r="MY409" s="13"/>
      <c r="NY409" s="12"/>
      <c r="OA409" s="13"/>
      <c r="PX409" s="12"/>
      <c r="PY409" s="18"/>
      <c r="PZ409" s="12"/>
      <c r="RS409" s="13"/>
      <c r="RV409" s="13"/>
      <c r="SX409" s="12"/>
      <c r="TA409" s="12"/>
      <c r="UH409" s="14"/>
      <c r="UI409" s="15"/>
      <c r="UJ409" s="15"/>
      <c r="UK409" s="15"/>
      <c r="UL409" s="15"/>
      <c r="UM409" s="15"/>
      <c r="UN409" s="15"/>
      <c r="UO409" s="15"/>
      <c r="UP409" s="15"/>
      <c r="UQ409" s="15"/>
      <c r="UR409" s="15"/>
      <c r="US409" s="16"/>
      <c r="UU409" s="13"/>
      <c r="WQ409" s="13"/>
      <c r="WT409" s="13"/>
    </row>
    <row r="410" spans="34:618" ht="10.75" customHeight="1">
      <c r="AH410" s="9"/>
      <c r="AI410" s="9"/>
      <c r="AJ410" s="10"/>
      <c r="AK410" s="10"/>
      <c r="AL410" s="10"/>
      <c r="AM410" s="10"/>
      <c r="AN410" s="10"/>
      <c r="AO410" s="10"/>
      <c r="AP410" s="10"/>
      <c r="AQ410" s="11"/>
      <c r="AR410" s="43"/>
      <c r="AS410" s="43"/>
      <c r="AT410" s="43"/>
      <c r="AU410" s="12"/>
      <c r="BB410" s="13"/>
      <c r="BC410" s="12"/>
      <c r="EV410" s="13"/>
      <c r="EW410" s="43"/>
      <c r="EX410" s="43"/>
      <c r="EY410" s="45"/>
      <c r="HP410" s="12"/>
      <c r="HQ410" s="12"/>
      <c r="HZ410" s="13"/>
      <c r="IA410" s="18"/>
      <c r="ID410" s="12"/>
      <c r="KE410" s="12"/>
      <c r="KF410" s="13"/>
      <c r="MF410" s="13"/>
      <c r="MI410" s="13"/>
      <c r="MN410" s="13"/>
      <c r="MO410" s="13"/>
      <c r="MY410" s="13"/>
      <c r="NY410" s="12"/>
      <c r="OA410" s="13"/>
      <c r="PX410" s="12"/>
      <c r="PY410" s="18"/>
      <c r="PZ410" s="12"/>
      <c r="RS410" s="13"/>
      <c r="RV410" s="13"/>
      <c r="SX410" s="12"/>
      <c r="TA410" s="12"/>
      <c r="US410" s="13"/>
      <c r="UU410" s="13"/>
      <c r="WQ410" s="13"/>
      <c r="WT410" s="13"/>
    </row>
    <row r="411" spans="34:618" ht="10.75" customHeight="1">
      <c r="AH411" s="12"/>
      <c r="AI411" s="12"/>
      <c r="AQ411" s="13"/>
      <c r="AR411" s="43"/>
      <c r="AS411" s="43"/>
      <c r="AT411" s="43"/>
      <c r="AU411" s="12"/>
      <c r="BB411" s="13"/>
      <c r="BC411" s="12"/>
      <c r="EV411" s="13"/>
      <c r="EW411" s="43"/>
      <c r="EX411" s="43"/>
      <c r="EY411" s="45"/>
      <c r="HP411" s="12"/>
      <c r="HQ411" s="12"/>
      <c r="HZ411" s="13"/>
      <c r="IA411" s="18"/>
      <c r="ID411" s="12"/>
      <c r="KE411" s="12"/>
      <c r="KF411" s="13"/>
      <c r="MF411" s="13"/>
      <c r="MI411" s="13"/>
      <c r="MN411" s="13"/>
      <c r="MO411" s="13"/>
      <c r="MY411" s="13"/>
      <c r="NY411" s="12"/>
      <c r="OA411" s="13"/>
      <c r="PX411" s="12"/>
      <c r="PY411" s="18"/>
      <c r="PZ411" s="12"/>
      <c r="RS411" s="13"/>
      <c r="RV411" s="13"/>
      <c r="SX411" s="12"/>
      <c r="TA411" s="12"/>
      <c r="US411" s="13"/>
      <c r="UU411" s="13"/>
      <c r="WQ411" s="13"/>
      <c r="WT411" s="13"/>
    </row>
    <row r="412" spans="34:618" ht="10.75" customHeight="1">
      <c r="AH412" s="12"/>
      <c r="AI412" s="12"/>
      <c r="AQ412" s="13"/>
      <c r="AR412" s="43"/>
      <c r="AS412" s="43"/>
      <c r="AT412" s="43"/>
      <c r="AU412" s="12"/>
      <c r="BB412" s="13"/>
      <c r="BC412" s="12"/>
      <c r="EV412" s="13"/>
      <c r="EW412" s="43"/>
      <c r="EX412" s="43"/>
      <c r="EY412" s="45"/>
      <c r="HP412" s="12"/>
      <c r="HQ412" s="9"/>
      <c r="HR412" s="10"/>
      <c r="HS412" s="10"/>
      <c r="HT412" s="10"/>
      <c r="HU412" s="10"/>
      <c r="HV412" s="10"/>
      <c r="HW412" s="10"/>
      <c r="HX412" s="10"/>
      <c r="HY412" s="10"/>
      <c r="HZ412" s="11"/>
      <c r="IA412" s="18"/>
      <c r="ID412" s="12"/>
      <c r="KE412" s="12"/>
      <c r="KF412" s="13"/>
      <c r="MF412" s="13"/>
      <c r="MI412" s="13"/>
      <c r="MN412" s="13"/>
      <c r="MO412" s="13"/>
      <c r="MY412" s="13"/>
      <c r="NY412" s="12"/>
      <c r="OA412" s="13"/>
      <c r="PX412" s="12"/>
      <c r="PY412" s="18"/>
      <c r="PZ412" s="12"/>
      <c r="RS412" s="13"/>
      <c r="RV412" s="13"/>
      <c r="SX412" s="12"/>
      <c r="TA412" s="12"/>
      <c r="US412" s="13"/>
      <c r="UU412" s="13"/>
      <c r="WQ412" s="13"/>
      <c r="WT412" s="13"/>
    </row>
    <row r="413" spans="34:618" ht="10.75" customHeight="1">
      <c r="AH413" s="14"/>
      <c r="AI413" s="14"/>
      <c r="AJ413" s="15"/>
      <c r="AK413" s="15"/>
      <c r="AL413" s="15"/>
      <c r="AM413" s="15"/>
      <c r="AN413" s="15"/>
      <c r="AO413" s="15"/>
      <c r="AP413" s="15"/>
      <c r="AQ413" s="16"/>
      <c r="AR413" s="43"/>
      <c r="AS413" s="43"/>
      <c r="AT413" s="43"/>
      <c r="AU413" s="12"/>
      <c r="BB413" s="13"/>
      <c r="BC413" s="12"/>
      <c r="EV413" s="13"/>
      <c r="EW413" s="43"/>
      <c r="EX413" s="43"/>
      <c r="EY413" s="45"/>
      <c r="HP413" s="12"/>
      <c r="HQ413" s="12"/>
      <c r="HZ413" s="13"/>
      <c r="IA413" s="18"/>
      <c r="ID413" s="12"/>
      <c r="KE413" s="12"/>
      <c r="KF413" s="13"/>
      <c r="MF413" s="13"/>
      <c r="MI413" s="13"/>
      <c r="MN413" s="13"/>
      <c r="MO413" s="13"/>
      <c r="MY413" s="13"/>
      <c r="NY413" s="12"/>
      <c r="OA413" s="13"/>
      <c r="PX413" s="12"/>
      <c r="PY413" s="18"/>
      <c r="PZ413" s="12"/>
      <c r="RS413" s="13"/>
      <c r="RV413" s="13"/>
      <c r="SX413" s="12"/>
      <c r="TA413" s="12"/>
      <c r="US413" s="13"/>
      <c r="UU413" s="13"/>
      <c r="WQ413" s="13"/>
      <c r="WT413" s="13"/>
    </row>
    <row r="414" spans="34:618" ht="10.75" customHeight="1">
      <c r="AH414" s="12"/>
      <c r="AI414" s="12"/>
      <c r="AQ414" s="13"/>
      <c r="AR414" s="43"/>
      <c r="AS414" s="43"/>
      <c r="AT414" s="43"/>
      <c r="AU414" s="12"/>
      <c r="BB414" s="13"/>
      <c r="BC414" s="12"/>
      <c r="EV414" s="13"/>
      <c r="EW414" s="43"/>
      <c r="EX414" s="43"/>
      <c r="EY414" s="45"/>
      <c r="HP414" s="12"/>
      <c r="HQ414" s="12"/>
      <c r="HZ414" s="13"/>
      <c r="IA414" s="18"/>
      <c r="ID414" s="12"/>
      <c r="KE414" s="12"/>
      <c r="KF414" s="13"/>
      <c r="MF414" s="13"/>
      <c r="MI414" s="13"/>
      <c r="MN414" s="13"/>
      <c r="MO414" s="13"/>
      <c r="MY414" s="13"/>
      <c r="NY414" s="12"/>
      <c r="OA414" s="13"/>
      <c r="PX414" s="12"/>
      <c r="PY414" s="18"/>
      <c r="PZ414" s="12"/>
      <c r="RS414" s="13"/>
      <c r="RV414" s="13"/>
      <c r="SX414" s="12"/>
      <c r="TA414" s="12"/>
      <c r="US414" s="13"/>
      <c r="UU414" s="13"/>
      <c r="WQ414" s="13"/>
      <c r="WT414" s="13"/>
    </row>
    <row r="415" spans="34:618" ht="10.75" customHeight="1">
      <c r="AH415" s="12"/>
      <c r="AI415" s="12"/>
      <c r="AQ415" s="13"/>
      <c r="AR415" s="43"/>
      <c r="AS415" s="43"/>
      <c r="AT415" s="43"/>
      <c r="AU415" s="12"/>
      <c r="BB415" s="13"/>
      <c r="BC415" s="12"/>
      <c r="EV415" s="13"/>
      <c r="EW415" s="43"/>
      <c r="EX415" s="43"/>
      <c r="EY415" s="45"/>
      <c r="HP415" s="12"/>
      <c r="HQ415" s="14"/>
      <c r="HR415" s="15"/>
      <c r="HS415" s="15"/>
      <c r="HT415" s="15"/>
      <c r="HU415" s="15"/>
      <c r="HV415" s="15"/>
      <c r="HW415" s="15"/>
      <c r="HX415" s="15"/>
      <c r="HY415" s="15"/>
      <c r="HZ415" s="16"/>
      <c r="IA415" s="18"/>
      <c r="ID415" s="12"/>
      <c r="KE415" s="12"/>
      <c r="KF415" s="13"/>
      <c r="MF415" s="13"/>
      <c r="MI415" s="13"/>
      <c r="MN415" s="13"/>
      <c r="MO415" s="13"/>
      <c r="MY415" s="13"/>
      <c r="NY415" s="12"/>
      <c r="OA415" s="13"/>
      <c r="PX415" s="12"/>
      <c r="PY415" s="18"/>
      <c r="PZ415" s="12"/>
      <c r="RS415" s="13"/>
      <c r="RV415" s="13"/>
      <c r="SX415" s="12"/>
      <c r="TA415" s="12"/>
      <c r="US415" s="13"/>
      <c r="UU415" s="13"/>
      <c r="WQ415" s="13"/>
      <c r="WT415" s="13"/>
    </row>
    <row r="416" spans="34:618" ht="10.75" customHeight="1">
      <c r="AH416" s="12"/>
      <c r="AI416" s="12"/>
      <c r="AQ416" s="13"/>
      <c r="AR416" s="43"/>
      <c r="AS416" s="43"/>
      <c r="AT416" s="43"/>
      <c r="AU416" s="12"/>
      <c r="BB416" s="13"/>
      <c r="BC416" s="12"/>
      <c r="EV416" s="13"/>
      <c r="EW416" s="43"/>
      <c r="EX416" s="43"/>
      <c r="EY416" s="45"/>
      <c r="HP416" s="12"/>
      <c r="HQ416" s="12"/>
      <c r="HZ416" s="13"/>
      <c r="IA416" s="18"/>
      <c r="ID416" s="12"/>
      <c r="KE416" s="12"/>
      <c r="KF416" s="13"/>
      <c r="MF416" s="13"/>
      <c r="MI416" s="13"/>
      <c r="MN416" s="13"/>
      <c r="MO416" s="13"/>
      <c r="MY416" s="13"/>
      <c r="NY416" s="12"/>
      <c r="OA416" s="13"/>
      <c r="PX416" s="12"/>
      <c r="PY416" s="19"/>
      <c r="PZ416" s="12"/>
      <c r="RS416" s="13"/>
      <c r="RV416" s="13"/>
      <c r="SX416" s="12"/>
      <c r="TA416" s="12"/>
      <c r="US416" s="13"/>
      <c r="UU416" s="13"/>
      <c r="WQ416" s="13"/>
      <c r="WT416" s="13"/>
    </row>
    <row r="417" spans="27:618" ht="10.75" customHeight="1">
      <c r="AH417" s="14"/>
      <c r="AI417" s="14"/>
      <c r="AJ417" s="15"/>
      <c r="AK417" s="15"/>
      <c r="AL417" s="15"/>
      <c r="AM417" s="15"/>
      <c r="AN417" s="15"/>
      <c r="AO417" s="15"/>
      <c r="AP417" s="15"/>
      <c r="AQ417" s="16"/>
      <c r="AR417" s="43"/>
      <c r="AS417" s="43"/>
      <c r="AT417" s="43"/>
      <c r="AU417" s="12"/>
      <c r="BB417" s="13"/>
      <c r="BC417" s="12"/>
      <c r="EV417" s="13"/>
      <c r="EW417" s="43"/>
      <c r="EX417" s="43"/>
      <c r="EY417" s="45"/>
      <c r="HP417" s="12"/>
      <c r="HQ417" s="12"/>
      <c r="HZ417" s="13"/>
      <c r="IA417" s="18"/>
      <c r="ID417" s="12"/>
      <c r="KE417" s="12"/>
      <c r="KF417" s="13"/>
      <c r="MF417" s="13"/>
      <c r="MI417" s="13"/>
      <c r="MN417" s="13"/>
      <c r="MO417" s="13"/>
      <c r="MY417" s="13"/>
      <c r="NY417" s="12"/>
      <c r="OA417" s="13"/>
      <c r="PX417" s="12"/>
      <c r="PY417" s="13"/>
      <c r="PZ417" s="12"/>
      <c r="RS417" s="13"/>
      <c r="RV417" s="13"/>
      <c r="SX417" s="12"/>
      <c r="TA417" s="12"/>
      <c r="TH417" s="9"/>
      <c r="TI417" s="10"/>
      <c r="TJ417" s="10"/>
      <c r="TK417" s="10"/>
      <c r="TL417" s="10"/>
      <c r="TM417" s="10"/>
      <c r="TN417" s="10"/>
      <c r="TO417" s="10"/>
      <c r="TP417" s="10"/>
      <c r="TQ417" s="10"/>
      <c r="TR417" s="10"/>
      <c r="TS417" s="10"/>
      <c r="TT417" s="10"/>
      <c r="TU417" s="10"/>
      <c r="TV417" s="10"/>
      <c r="TW417" s="10"/>
      <c r="TX417" s="10"/>
      <c r="TY417" s="10"/>
      <c r="TZ417" s="10"/>
      <c r="UA417" s="11"/>
      <c r="US417" s="13"/>
      <c r="UU417" s="13"/>
      <c r="WQ417" s="13"/>
      <c r="WT417" s="13"/>
    </row>
    <row r="418" spans="27:618" ht="10.75" customHeight="1">
      <c r="AH418" s="12"/>
      <c r="AI418" s="12"/>
      <c r="AQ418" s="13"/>
      <c r="AR418" s="43"/>
      <c r="AS418" s="43"/>
      <c r="AT418" s="43"/>
      <c r="AU418" s="12"/>
      <c r="BB418" s="13"/>
      <c r="BC418" s="12"/>
      <c r="EV418" s="13"/>
      <c r="EW418" s="43"/>
      <c r="EX418" s="43"/>
      <c r="EY418" s="45"/>
      <c r="HP418" s="12"/>
      <c r="HQ418" s="12"/>
      <c r="HZ418" s="13"/>
      <c r="IA418" s="97"/>
      <c r="IB418" s="96"/>
      <c r="IC418" s="97"/>
      <c r="ID418" s="12"/>
      <c r="KD418" s="97"/>
      <c r="KE418" s="96"/>
      <c r="KF418" s="98"/>
      <c r="MF418" s="13"/>
      <c r="MG418" s="97"/>
      <c r="MH418" s="97"/>
      <c r="MI418" s="98"/>
      <c r="MN418" s="13"/>
      <c r="MO418" s="13"/>
      <c r="MY418" s="13"/>
      <c r="NY418" s="12"/>
      <c r="OA418" s="13"/>
      <c r="PW418" s="97"/>
      <c r="PX418" s="96"/>
      <c r="PY418" s="98"/>
      <c r="PZ418" s="12"/>
      <c r="RS418" s="13"/>
      <c r="RV418" s="13"/>
      <c r="SX418" s="12"/>
      <c r="TA418" s="12"/>
      <c r="TH418" s="12"/>
      <c r="UA418" s="13"/>
      <c r="US418" s="13"/>
      <c r="UU418" s="13"/>
      <c r="WQ418" s="13"/>
      <c r="WT418" s="13"/>
    </row>
    <row r="419" spans="27:618" ht="10.75" customHeight="1">
      <c r="AH419" s="12"/>
      <c r="AI419" s="12"/>
      <c r="AQ419" s="13"/>
      <c r="AR419" s="43"/>
      <c r="AS419" s="43"/>
      <c r="AT419" s="43"/>
      <c r="AU419" s="12"/>
      <c r="BB419" s="13"/>
      <c r="BC419" s="12"/>
      <c r="EV419" s="13"/>
      <c r="EW419" s="43"/>
      <c r="EX419" s="43"/>
      <c r="EY419" s="45"/>
      <c r="HP419" s="12"/>
      <c r="HQ419" s="12"/>
      <c r="HZ419" s="13"/>
      <c r="IA419" s="261"/>
      <c r="IB419" s="97"/>
      <c r="IC419" s="97"/>
      <c r="ID419" s="12"/>
      <c r="KD419" s="97"/>
      <c r="KE419" s="96"/>
      <c r="KF419" s="98"/>
      <c r="MF419" s="13"/>
      <c r="MG419" s="97"/>
      <c r="MH419" s="97"/>
      <c r="MI419" s="98"/>
      <c r="MN419" s="13"/>
      <c r="MO419" s="13"/>
      <c r="MY419" s="13"/>
      <c r="NY419" s="12"/>
      <c r="OA419" s="13"/>
      <c r="PW419" s="97"/>
      <c r="PX419" s="96"/>
      <c r="PY419" s="98"/>
      <c r="PZ419" s="12"/>
      <c r="RS419" s="13"/>
      <c r="RV419" s="13"/>
      <c r="SX419" s="12"/>
      <c r="TA419" s="12"/>
      <c r="TH419" s="12"/>
      <c r="UA419" s="13"/>
      <c r="US419" s="13"/>
      <c r="UU419" s="13"/>
      <c r="WQ419" s="13"/>
      <c r="WT419" s="13"/>
    </row>
    <row r="420" spans="27:618" ht="10.75" customHeight="1">
      <c r="AH420" s="12"/>
      <c r="AI420" s="12"/>
      <c r="AQ420" s="13"/>
      <c r="AR420" s="43"/>
      <c r="AS420" s="43"/>
      <c r="AT420" s="43"/>
      <c r="AU420" s="12"/>
      <c r="BB420" s="13"/>
      <c r="BC420" s="12"/>
      <c r="EV420" s="13"/>
      <c r="EW420" s="43"/>
      <c r="EX420" s="43"/>
      <c r="EY420" s="45"/>
      <c r="HP420" s="12"/>
      <c r="HQ420" s="9"/>
      <c r="HR420" s="10"/>
      <c r="HS420" s="10"/>
      <c r="HT420" s="10"/>
      <c r="HU420" s="10"/>
      <c r="HV420" s="10"/>
      <c r="HW420" s="10"/>
      <c r="HX420" s="10"/>
      <c r="HY420" s="10"/>
      <c r="HZ420" s="11"/>
      <c r="IA420" s="288"/>
      <c r="IB420" s="97"/>
      <c r="IC420" s="97"/>
      <c r="ID420" s="12"/>
      <c r="KD420" s="97"/>
      <c r="KE420" s="96"/>
      <c r="KF420" s="98"/>
      <c r="MF420" s="13"/>
      <c r="MG420" s="97"/>
      <c r="MH420" s="97"/>
      <c r="MI420" s="98"/>
      <c r="MN420" s="13"/>
      <c r="MO420" s="13"/>
      <c r="MY420" s="13"/>
      <c r="NY420" s="12"/>
      <c r="OA420" s="13"/>
      <c r="PW420" s="97"/>
      <c r="PX420" s="96"/>
      <c r="PY420" s="98"/>
      <c r="PZ420" s="12"/>
      <c r="RS420" s="13"/>
      <c r="RV420" s="13"/>
      <c r="SX420" s="12"/>
      <c r="TA420" s="12"/>
      <c r="TH420" s="12"/>
      <c r="UA420" s="13"/>
      <c r="US420" s="13"/>
      <c r="UU420" s="13"/>
      <c r="WQ420" s="13"/>
      <c r="WT420" s="13"/>
    </row>
    <row r="421" spans="27:618" ht="10.75" customHeight="1">
      <c r="AH421" s="14"/>
      <c r="AI421" s="14"/>
      <c r="AJ421" s="15"/>
      <c r="AK421" s="15"/>
      <c r="AL421" s="15"/>
      <c r="AM421" s="15"/>
      <c r="AN421" s="15"/>
      <c r="AO421" s="15"/>
      <c r="AP421" s="15"/>
      <c r="AQ421" s="16"/>
      <c r="AR421" s="43"/>
      <c r="AS421" s="43"/>
      <c r="AT421" s="43"/>
      <c r="AU421" s="12"/>
      <c r="BB421" s="13"/>
      <c r="BC421" s="12"/>
      <c r="EV421" s="13"/>
      <c r="EW421" s="43"/>
      <c r="EX421" s="43"/>
      <c r="EY421" s="45"/>
      <c r="HP421" s="12"/>
      <c r="HQ421" s="12"/>
      <c r="HZ421" s="13"/>
      <c r="IA421" s="288"/>
      <c r="IB421" s="97"/>
      <c r="IC421" s="97"/>
      <c r="ID421" s="12"/>
      <c r="KD421" s="97"/>
      <c r="KE421" s="96"/>
      <c r="KF421" s="98"/>
      <c r="MF421" s="13"/>
      <c r="MG421" s="97"/>
      <c r="MH421" s="97"/>
      <c r="MI421" s="98"/>
      <c r="MN421" s="13"/>
      <c r="MO421" s="13"/>
      <c r="MY421" s="13"/>
      <c r="NY421" s="12"/>
      <c r="OA421" s="13"/>
      <c r="PW421" s="97"/>
      <c r="PX421" s="96"/>
      <c r="PY421" s="98"/>
      <c r="PZ421" s="12"/>
      <c r="RS421" s="13"/>
      <c r="RV421" s="13"/>
      <c r="SX421" s="12"/>
      <c r="TA421" s="12"/>
      <c r="TH421" s="12"/>
      <c r="UA421" s="13"/>
      <c r="US421" s="13"/>
      <c r="UU421" s="13"/>
      <c r="WQ421" s="13"/>
      <c r="WT421" s="13"/>
    </row>
    <row r="422" spans="27:618" ht="10.75" customHeight="1">
      <c r="AA422" s="9"/>
      <c r="AB422" s="20"/>
      <c r="AC422" s="21"/>
      <c r="AD422" s="21"/>
      <c r="AE422" s="21"/>
      <c r="AF422" s="21"/>
      <c r="AG422" s="21"/>
      <c r="AH422" s="22"/>
      <c r="AI422" s="10"/>
      <c r="AJ422" s="10"/>
      <c r="AK422" s="10"/>
      <c r="AL422" s="10"/>
      <c r="AM422" s="10"/>
      <c r="AN422" s="10"/>
      <c r="AO422" s="10"/>
      <c r="AP422" s="10"/>
      <c r="AQ422" s="11"/>
      <c r="AR422" s="43"/>
      <c r="AS422" s="43"/>
      <c r="AT422" s="43"/>
      <c r="AU422" s="12"/>
      <c r="BB422" s="13"/>
      <c r="BC422" s="12"/>
      <c r="EV422" s="13"/>
      <c r="EW422" s="43"/>
      <c r="EX422" s="43"/>
      <c r="EY422" s="45"/>
      <c r="HP422" s="12"/>
      <c r="HQ422" s="12"/>
      <c r="HZ422" s="13"/>
      <c r="IA422" s="18"/>
      <c r="ID422" s="12"/>
      <c r="KE422" s="12"/>
      <c r="KF422" s="13"/>
      <c r="MF422" s="13"/>
      <c r="MI422" s="13"/>
      <c r="MN422" s="13"/>
      <c r="MO422" s="13"/>
      <c r="MY422" s="13"/>
      <c r="NY422" s="12"/>
      <c r="OA422" s="13"/>
      <c r="PX422" s="12"/>
      <c r="PY422" s="13"/>
      <c r="PZ422" s="12"/>
      <c r="RS422" s="13"/>
      <c r="RV422" s="13"/>
      <c r="SX422" s="97"/>
      <c r="SY422" s="97"/>
      <c r="SZ422" s="98"/>
      <c r="TA422" s="12"/>
      <c r="TH422" s="12"/>
      <c r="UA422" s="13"/>
      <c r="US422" s="98"/>
      <c r="UT422" s="97"/>
      <c r="UU422" s="98"/>
      <c r="WQ422" s="13"/>
      <c r="WR422" s="97"/>
      <c r="WS422" s="97"/>
      <c r="WT422" s="98"/>
    </row>
    <row r="423" spans="27:618" ht="10.75" customHeight="1">
      <c r="AA423" s="12"/>
      <c r="AB423" s="12"/>
      <c r="AQ423" s="13"/>
      <c r="AR423" s="42"/>
      <c r="AS423" s="43"/>
      <c r="AT423" s="43"/>
      <c r="AU423" s="12"/>
      <c r="BB423" s="13"/>
      <c r="BC423" s="12"/>
      <c r="EV423" s="13"/>
      <c r="EW423" s="43"/>
      <c r="EX423" s="43"/>
      <c r="EY423" s="45"/>
      <c r="HP423" s="12"/>
      <c r="HQ423" s="14"/>
      <c r="HR423" s="15"/>
      <c r="HS423" s="15"/>
      <c r="HT423" s="15"/>
      <c r="HU423" s="15"/>
      <c r="HV423" s="15"/>
      <c r="HW423" s="15"/>
      <c r="HX423" s="15"/>
      <c r="HY423" s="15"/>
      <c r="HZ423" s="16"/>
      <c r="IA423" s="18"/>
      <c r="ID423" s="12"/>
      <c r="KE423" s="12"/>
      <c r="KF423" s="13"/>
      <c r="MF423" s="13"/>
      <c r="MI423" s="13"/>
      <c r="MN423" s="13"/>
      <c r="MO423" s="13"/>
      <c r="MY423" s="13"/>
      <c r="NY423" s="12"/>
      <c r="OA423" s="13"/>
      <c r="PX423" s="12"/>
      <c r="PY423" s="13"/>
      <c r="PZ423" s="12"/>
      <c r="RS423" s="13"/>
      <c r="RV423" s="13"/>
      <c r="SX423" s="97"/>
      <c r="SY423" s="97"/>
      <c r="SZ423" s="98"/>
      <c r="TA423" s="12"/>
      <c r="TH423" s="12"/>
      <c r="UA423" s="13"/>
      <c r="US423" s="98"/>
      <c r="UT423" s="97"/>
      <c r="UU423" s="98"/>
      <c r="WQ423" s="13"/>
      <c r="WR423" s="97"/>
      <c r="WS423" s="97"/>
      <c r="WT423" s="98"/>
    </row>
    <row r="424" spans="27:618" ht="10.75" customHeight="1">
      <c r="AA424" s="12"/>
      <c r="AB424" s="12"/>
      <c r="AQ424" s="13"/>
      <c r="AR424" s="42"/>
      <c r="AS424" s="43"/>
      <c r="AT424" s="43"/>
      <c r="AU424" s="9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1"/>
      <c r="BG424" s="10"/>
      <c r="BH424" s="10"/>
      <c r="BI424" s="10"/>
      <c r="BJ424" s="10"/>
      <c r="BK424" s="9"/>
      <c r="BL424" s="10"/>
      <c r="BM424" s="10"/>
      <c r="BN424" s="11"/>
      <c r="BO424" s="10"/>
      <c r="BP424" s="10"/>
      <c r="BQ424" s="10"/>
      <c r="BR424" s="10"/>
      <c r="BS424" s="9"/>
      <c r="BT424" s="10"/>
      <c r="BU424" s="10"/>
      <c r="BV424" s="11"/>
      <c r="BW424" s="10"/>
      <c r="BX424" s="10"/>
      <c r="BY424" s="10"/>
      <c r="BZ424" s="10"/>
      <c r="CA424" s="9"/>
      <c r="CB424" s="10"/>
      <c r="CC424" s="10"/>
      <c r="CD424" s="11"/>
      <c r="EV424" s="13"/>
      <c r="EW424" s="43"/>
      <c r="EX424" s="43"/>
      <c r="EY424" s="45"/>
      <c r="HP424" s="12"/>
      <c r="HQ424" s="12"/>
      <c r="HU424" s="9"/>
      <c r="HV424" s="10"/>
      <c r="HW424" s="10"/>
      <c r="HX424" s="10"/>
      <c r="HY424" s="10"/>
      <c r="HZ424" s="11"/>
      <c r="IA424" s="19"/>
      <c r="ID424" s="12"/>
      <c r="KE424" s="12"/>
      <c r="KF424" s="13"/>
      <c r="MF424" s="13"/>
      <c r="MI424" s="13"/>
      <c r="MN424" s="13"/>
      <c r="MO424" s="13"/>
      <c r="MY424" s="13"/>
      <c r="NY424" s="12"/>
      <c r="OA424" s="13"/>
      <c r="PX424" s="12"/>
      <c r="PY424" s="13"/>
      <c r="PZ424" s="12"/>
      <c r="RS424" s="13"/>
      <c r="RV424" s="13"/>
      <c r="SX424" s="97"/>
      <c r="SY424" s="97"/>
      <c r="SZ424" s="98"/>
      <c r="TA424" s="12"/>
      <c r="TH424" s="12"/>
      <c r="UA424" s="13"/>
      <c r="US424" s="98"/>
      <c r="UT424" s="97"/>
      <c r="UU424" s="98"/>
      <c r="WQ424" s="13"/>
      <c r="WR424" s="97"/>
      <c r="WS424" s="97"/>
      <c r="WT424" s="98"/>
    </row>
    <row r="425" spans="27:618" ht="10.75" customHeight="1">
      <c r="AA425" s="12"/>
      <c r="AB425" s="12"/>
      <c r="AQ425" s="13"/>
      <c r="AR425" s="40"/>
      <c r="AS425" s="276"/>
      <c r="AT425" s="41"/>
      <c r="AU425" s="9"/>
      <c r="AV425" s="10"/>
      <c r="AW425" s="10"/>
      <c r="AX425" s="10"/>
      <c r="AY425" s="10"/>
      <c r="AZ425" s="10"/>
      <c r="BA425" s="10"/>
      <c r="BB425" s="10"/>
      <c r="BC425" s="10"/>
      <c r="BD425" s="10"/>
      <c r="BE425" s="10"/>
      <c r="BF425" s="11"/>
      <c r="BG425" s="10"/>
      <c r="BH425" s="10"/>
      <c r="BI425" s="10"/>
      <c r="BJ425" s="10"/>
      <c r="BK425" s="9"/>
      <c r="BL425" s="10"/>
      <c r="BM425" s="10"/>
      <c r="BN425" s="11"/>
      <c r="BO425" s="10"/>
      <c r="BP425" s="10"/>
      <c r="BQ425" s="10"/>
      <c r="BR425" s="10"/>
      <c r="BS425" s="9"/>
      <c r="BT425" s="10"/>
      <c r="BU425" s="10"/>
      <c r="BV425" s="11"/>
      <c r="BW425" s="10"/>
      <c r="BX425" s="10"/>
      <c r="BY425" s="10"/>
      <c r="BZ425" s="10"/>
      <c r="CA425" s="9"/>
      <c r="CB425" s="10"/>
      <c r="CC425" s="10"/>
      <c r="CD425" s="11"/>
      <c r="EV425" s="13"/>
      <c r="EW425" s="43"/>
      <c r="EX425" s="43"/>
      <c r="EY425" s="45"/>
      <c r="HP425" s="12"/>
      <c r="HQ425" s="12"/>
      <c r="HU425" s="12"/>
      <c r="HV425" s="9"/>
      <c r="HW425" s="10"/>
      <c r="HX425" s="10"/>
      <c r="HY425" s="10"/>
      <c r="HZ425" s="11"/>
      <c r="ID425" s="12"/>
      <c r="KE425" s="12"/>
      <c r="KF425" s="13"/>
      <c r="MF425" s="13"/>
      <c r="MI425" s="13"/>
      <c r="MN425" s="13"/>
      <c r="MO425" s="13"/>
      <c r="MY425" s="13"/>
      <c r="NY425" s="12"/>
      <c r="OA425" s="13"/>
      <c r="PX425" s="12"/>
      <c r="PY425" s="13"/>
      <c r="PZ425" s="12"/>
      <c r="QB425" s="279"/>
      <c r="QC425" s="280"/>
      <c r="QD425" s="280"/>
      <c r="QE425" s="280"/>
      <c r="QF425" s="280"/>
      <c r="QG425" s="280"/>
      <c r="QH425" s="280"/>
      <c r="QI425" s="280"/>
      <c r="QJ425" s="280"/>
      <c r="QK425" s="280"/>
      <c r="QL425" s="280"/>
      <c r="QM425" s="283"/>
      <c r="RS425" s="13"/>
      <c r="RV425" s="13"/>
      <c r="SX425" s="97"/>
      <c r="SY425" s="97"/>
      <c r="SZ425" s="98"/>
      <c r="TA425" s="12"/>
      <c r="TH425" s="12"/>
      <c r="UA425" s="13"/>
      <c r="US425" s="98"/>
      <c r="UT425" s="97"/>
      <c r="UU425" s="98"/>
      <c r="WQ425" s="13"/>
      <c r="WR425" s="97"/>
      <c r="WS425" s="97"/>
      <c r="WT425" s="98"/>
    </row>
    <row r="426" spans="27:618" ht="10.75" customHeight="1">
      <c r="AA426" s="12"/>
      <c r="AB426" s="12"/>
      <c r="AQ426" s="13"/>
      <c r="AR426" s="42"/>
      <c r="AS426" s="277"/>
      <c r="AT426" s="43"/>
      <c r="AU426" s="12"/>
      <c r="BF426" s="13"/>
      <c r="BK426" s="12"/>
      <c r="BN426" s="13"/>
      <c r="BS426" s="12"/>
      <c r="BV426" s="13"/>
      <c r="CA426" s="12"/>
      <c r="CD426" s="13"/>
      <c r="EV426" s="13"/>
      <c r="EW426" s="43"/>
      <c r="EX426" s="43"/>
      <c r="EY426" s="45"/>
      <c r="HP426" s="12"/>
      <c r="HQ426" s="12"/>
      <c r="HU426" s="12"/>
      <c r="HV426" s="12"/>
      <c r="HZ426" s="13"/>
      <c r="ID426" s="12"/>
      <c r="KE426" s="12"/>
      <c r="KF426" s="13"/>
      <c r="MF426" s="13"/>
      <c r="MI426" s="13"/>
      <c r="MN426" s="13"/>
      <c r="MO426" s="13"/>
      <c r="MY426" s="13"/>
      <c r="NY426" s="12"/>
      <c r="OA426" s="13"/>
      <c r="PX426" s="12"/>
      <c r="PY426" s="13"/>
      <c r="PZ426" s="12"/>
      <c r="QB426" s="281"/>
      <c r="QC426" s="282"/>
      <c r="QD426" s="282"/>
      <c r="QE426" s="282"/>
      <c r="QF426" s="282"/>
      <c r="QG426" s="282"/>
      <c r="QH426" s="282"/>
      <c r="QI426" s="282"/>
      <c r="QJ426" s="282"/>
      <c r="QK426" s="282"/>
      <c r="QL426" s="282"/>
      <c r="QM426" s="284"/>
      <c r="RS426" s="13"/>
      <c r="RV426" s="13"/>
      <c r="SX426" s="12"/>
      <c r="TA426" s="12"/>
      <c r="TH426" s="12"/>
      <c r="UA426" s="13"/>
      <c r="US426" s="13"/>
      <c r="UU426" s="13"/>
      <c r="WQ426" s="13"/>
      <c r="WT426" s="13"/>
    </row>
    <row r="427" spans="27:618" ht="10.75" customHeight="1">
      <c r="AA427" s="12"/>
      <c r="AB427" s="12"/>
      <c r="AQ427" s="13"/>
      <c r="AR427" s="42"/>
      <c r="AS427" s="277"/>
      <c r="AT427" s="43"/>
      <c r="AU427" s="12"/>
      <c r="BF427" s="13"/>
      <c r="BK427" s="12"/>
      <c r="BN427" s="13"/>
      <c r="BS427" s="12"/>
      <c r="BV427" s="13"/>
      <c r="CA427" s="12"/>
      <c r="CD427" s="13"/>
      <c r="EV427" s="13"/>
      <c r="EW427" s="43"/>
      <c r="EX427" s="43"/>
      <c r="EY427" s="45"/>
      <c r="HP427" s="12"/>
      <c r="HQ427" s="12"/>
      <c r="HU427" s="12"/>
      <c r="HV427" s="12"/>
      <c r="HZ427" s="13"/>
      <c r="ID427" s="12"/>
      <c r="KE427" s="12"/>
      <c r="KF427" s="13"/>
      <c r="MF427" s="13"/>
      <c r="MI427" s="13"/>
      <c r="MN427" s="13"/>
      <c r="MO427" s="13"/>
      <c r="MY427" s="13"/>
      <c r="NY427" s="12"/>
      <c r="OA427" s="13"/>
      <c r="PX427" s="12"/>
      <c r="PY427" s="13"/>
      <c r="PZ427" s="12"/>
      <c r="QB427" s="281"/>
      <c r="QC427" s="282"/>
      <c r="QD427" s="9"/>
      <c r="QE427" s="11"/>
      <c r="QF427" s="9"/>
      <c r="QG427" s="10"/>
      <c r="QH427" s="10"/>
      <c r="QI427" s="10"/>
      <c r="QJ427" s="10"/>
      <c r="QK427" s="10"/>
      <c r="QL427" s="10"/>
      <c r="QM427" s="11"/>
      <c r="RS427" s="13"/>
      <c r="RV427" s="13"/>
      <c r="SX427" s="12"/>
      <c r="TA427" s="12"/>
      <c r="TH427" s="12"/>
      <c r="UA427" s="13"/>
      <c r="US427" s="13"/>
      <c r="UU427" s="13"/>
      <c r="WQ427" s="13"/>
      <c r="WT427" s="13"/>
    </row>
    <row r="428" spans="27:618" ht="10.75" customHeight="1">
      <c r="AA428" s="12"/>
      <c r="AB428" s="12"/>
      <c r="AQ428" s="13"/>
      <c r="AR428" s="42"/>
      <c r="AS428" s="277"/>
      <c r="AT428" s="43"/>
      <c r="AU428" s="12"/>
      <c r="BF428" s="13"/>
      <c r="BK428" s="12"/>
      <c r="BN428" s="13"/>
      <c r="BS428" s="12"/>
      <c r="BV428" s="13"/>
      <c r="CA428" s="12"/>
      <c r="CD428" s="13"/>
      <c r="EV428" s="13"/>
      <c r="EW428" s="43"/>
      <c r="EX428" s="43"/>
      <c r="EY428" s="45"/>
      <c r="HP428" s="12"/>
      <c r="HQ428" s="9"/>
      <c r="HR428" s="10"/>
      <c r="HS428" s="10"/>
      <c r="HT428" s="10"/>
      <c r="HU428" s="9"/>
      <c r="HV428" s="9"/>
      <c r="HW428" s="10"/>
      <c r="HX428" s="10"/>
      <c r="HY428" s="10"/>
      <c r="HZ428" s="11"/>
      <c r="ID428" s="12"/>
      <c r="KE428" s="12"/>
      <c r="KF428" s="13"/>
      <c r="MF428" s="13"/>
      <c r="MI428" s="13"/>
      <c r="MN428" s="13"/>
      <c r="MO428" s="13"/>
      <c r="MY428" s="13"/>
      <c r="NY428" s="12"/>
      <c r="OA428" s="13"/>
      <c r="PX428" s="12"/>
      <c r="PY428" s="13"/>
      <c r="PZ428" s="12"/>
      <c r="QB428" s="281"/>
      <c r="QC428" s="282"/>
      <c r="QD428" s="12"/>
      <c r="QE428" s="13"/>
      <c r="QF428" s="12"/>
      <c r="QM428" s="13"/>
      <c r="RS428" s="13"/>
      <c r="RV428" s="13"/>
      <c r="SX428" s="12"/>
      <c r="TA428" s="12"/>
      <c r="TH428" s="12"/>
      <c r="UA428" s="13"/>
      <c r="US428" s="13"/>
      <c r="UU428" s="13"/>
      <c r="WQ428" s="13"/>
      <c r="WT428" s="13"/>
    </row>
    <row r="429" spans="27:618" ht="10.75" customHeight="1">
      <c r="AA429" s="12"/>
      <c r="AB429" s="12"/>
      <c r="AQ429" s="13"/>
      <c r="AR429" s="42"/>
      <c r="AS429" s="277"/>
      <c r="AT429" s="43"/>
      <c r="AU429" s="12"/>
      <c r="BF429" s="13"/>
      <c r="BK429" s="12"/>
      <c r="BN429" s="13"/>
      <c r="BS429" s="12"/>
      <c r="BV429" s="13"/>
      <c r="CA429" s="12"/>
      <c r="CD429" s="13"/>
      <c r="EV429" s="13"/>
      <c r="EW429" s="43"/>
      <c r="EX429" s="43"/>
      <c r="EY429" s="45"/>
      <c r="HP429" s="12"/>
      <c r="HQ429" s="12"/>
      <c r="HU429" s="12"/>
      <c r="HV429" s="12"/>
      <c r="HZ429" s="13"/>
      <c r="ID429" s="12"/>
      <c r="KE429" s="12"/>
      <c r="KF429" s="13"/>
      <c r="MF429" s="13"/>
      <c r="MI429" s="13"/>
      <c r="MN429" s="13"/>
      <c r="MO429" s="13"/>
      <c r="MY429" s="13"/>
      <c r="NY429" s="12"/>
      <c r="OA429" s="13"/>
      <c r="PX429" s="12"/>
      <c r="PY429" s="13"/>
      <c r="PZ429" s="12"/>
      <c r="QB429" s="281"/>
      <c r="QC429" s="282"/>
      <c r="QD429" s="12"/>
      <c r="QE429" s="13"/>
      <c r="QF429" s="12"/>
      <c r="QM429" s="13"/>
      <c r="RK429" s="9"/>
      <c r="RL429" s="10"/>
      <c r="RM429" s="10"/>
      <c r="RN429" s="10"/>
      <c r="RO429" s="10"/>
      <c r="RP429" s="11"/>
      <c r="RS429" s="13"/>
      <c r="RV429" s="13"/>
      <c r="SX429" s="12"/>
      <c r="TA429" s="12"/>
      <c r="TH429" s="12"/>
      <c r="UA429" s="13"/>
      <c r="US429" s="13"/>
      <c r="UU429" s="13"/>
      <c r="WQ429" s="13"/>
      <c r="WT429" s="13"/>
    </row>
    <row r="430" spans="27:618" ht="10.75" customHeight="1">
      <c r="AA430" s="12"/>
      <c r="AB430" s="12"/>
      <c r="AQ430" s="13"/>
      <c r="AR430" s="42"/>
      <c r="AS430" s="277"/>
      <c r="AT430" s="43"/>
      <c r="AU430" s="12"/>
      <c r="BF430" s="13"/>
      <c r="BK430" s="12"/>
      <c r="BN430" s="13"/>
      <c r="BS430" s="12"/>
      <c r="BV430" s="13"/>
      <c r="CA430" s="12"/>
      <c r="CD430" s="13"/>
      <c r="EV430" s="13"/>
      <c r="EW430" s="43"/>
      <c r="EX430" s="43"/>
      <c r="EY430" s="45"/>
      <c r="HP430" s="12"/>
      <c r="HQ430" s="12"/>
      <c r="HU430" s="12"/>
      <c r="HV430" s="12"/>
      <c r="HZ430" s="13"/>
      <c r="ID430" s="12"/>
      <c r="KE430" s="12"/>
      <c r="KF430" s="13"/>
      <c r="MF430" s="13"/>
      <c r="MI430" s="13"/>
      <c r="MN430" s="13"/>
      <c r="MO430" s="13"/>
      <c r="MY430" s="13"/>
      <c r="NY430" s="12"/>
      <c r="OA430" s="13"/>
      <c r="PX430" s="12"/>
      <c r="PY430" s="13"/>
      <c r="PZ430" s="12"/>
      <c r="QB430" s="281"/>
      <c r="QC430" s="282"/>
      <c r="QD430" s="12"/>
      <c r="QE430" s="13"/>
      <c r="QF430" s="12"/>
      <c r="QM430" s="13"/>
      <c r="RK430" s="12"/>
      <c r="RP430" s="13"/>
      <c r="RS430" s="13"/>
      <c r="RV430" s="13"/>
      <c r="SX430" s="12"/>
      <c r="TA430" s="12"/>
      <c r="TH430" s="12"/>
      <c r="UA430" s="13"/>
      <c r="US430" s="13"/>
      <c r="UU430" s="13"/>
      <c r="UX430" s="279"/>
      <c r="UY430" s="280"/>
      <c r="UZ430" s="280"/>
      <c r="VA430" s="280"/>
      <c r="VB430" s="280"/>
      <c r="VC430" s="280"/>
      <c r="VD430" s="280"/>
      <c r="VE430" s="280"/>
      <c r="VF430" s="280"/>
      <c r="VG430" s="280"/>
      <c r="VH430" s="280"/>
      <c r="VI430" s="283"/>
      <c r="WQ430" s="13"/>
      <c r="WT430" s="13"/>
    </row>
    <row r="431" spans="27:618" ht="10.75" customHeight="1">
      <c r="AA431" s="12"/>
      <c r="AB431" s="12"/>
      <c r="AQ431" s="13"/>
      <c r="AR431" s="42"/>
      <c r="AS431" s="277"/>
      <c r="AT431" s="43"/>
      <c r="AU431" s="12"/>
      <c r="BF431" s="13"/>
      <c r="BK431" s="12"/>
      <c r="BN431" s="13"/>
      <c r="BS431" s="12"/>
      <c r="BV431" s="13"/>
      <c r="CA431" s="12"/>
      <c r="CD431" s="13"/>
      <c r="EV431" s="13"/>
      <c r="EW431" s="43"/>
      <c r="EX431" s="43"/>
      <c r="EY431" s="45"/>
      <c r="HP431" s="12"/>
      <c r="HQ431" s="14"/>
      <c r="HR431" s="15"/>
      <c r="HS431" s="15"/>
      <c r="HT431" s="15"/>
      <c r="HU431" s="14"/>
      <c r="HV431" s="14"/>
      <c r="HW431" s="15"/>
      <c r="HX431" s="15"/>
      <c r="HY431" s="15"/>
      <c r="HZ431" s="16"/>
      <c r="ID431" s="12"/>
      <c r="KE431" s="12"/>
      <c r="KF431" s="13"/>
      <c r="MF431" s="13"/>
      <c r="MI431" s="13"/>
      <c r="MN431" s="13"/>
      <c r="MO431" s="13"/>
      <c r="MY431" s="13"/>
      <c r="NY431" s="12"/>
      <c r="OA431" s="13"/>
      <c r="PX431" s="12"/>
      <c r="PY431" s="13"/>
      <c r="PZ431" s="12"/>
      <c r="QB431" s="281"/>
      <c r="QC431" s="282"/>
      <c r="QD431" s="12"/>
      <c r="QE431" s="13"/>
      <c r="QF431" s="12"/>
      <c r="QM431" s="13"/>
      <c r="RK431" s="12"/>
      <c r="RP431" s="13"/>
      <c r="RS431" s="13"/>
      <c r="RV431" s="13"/>
      <c r="SX431" s="12"/>
      <c r="TA431" s="12"/>
      <c r="TH431" s="12"/>
      <c r="UA431" s="13"/>
      <c r="US431" s="13"/>
      <c r="UU431" s="13"/>
      <c r="UX431" s="281"/>
      <c r="UY431" s="282"/>
      <c r="UZ431" s="282"/>
      <c r="VA431" s="282"/>
      <c r="VB431" s="282"/>
      <c r="VC431" s="282"/>
      <c r="VD431" s="282"/>
      <c r="VE431" s="282"/>
      <c r="VF431" s="282"/>
      <c r="VG431" s="282"/>
      <c r="VH431" s="282"/>
      <c r="VI431" s="284"/>
      <c r="WQ431" s="13"/>
      <c r="WT431" s="13"/>
    </row>
    <row r="432" spans="27:618" ht="10.75" customHeight="1">
      <c r="AA432" s="12"/>
      <c r="AB432" s="12"/>
      <c r="AQ432" s="13"/>
      <c r="AR432" s="46"/>
      <c r="AS432" s="278"/>
      <c r="AT432" s="47"/>
      <c r="AU432" s="12"/>
      <c r="BF432" s="13"/>
      <c r="BK432" s="12"/>
      <c r="BN432" s="13"/>
      <c r="BS432" s="12"/>
      <c r="BV432" s="13"/>
      <c r="CA432" s="12"/>
      <c r="CD432" s="13"/>
      <c r="EV432" s="13"/>
      <c r="EW432" s="43"/>
      <c r="EX432" s="43"/>
      <c r="EY432" s="45"/>
      <c r="HP432" s="12"/>
      <c r="HQ432" s="12"/>
      <c r="HU432" s="12"/>
      <c r="HV432" s="12"/>
      <c r="HZ432" s="13"/>
      <c r="ID432" s="12"/>
      <c r="KE432" s="12"/>
      <c r="KF432" s="13"/>
      <c r="MF432" s="13"/>
      <c r="MI432" s="13"/>
      <c r="MN432" s="13"/>
      <c r="MO432" s="13"/>
      <c r="MY432" s="13"/>
      <c r="NY432" s="12"/>
      <c r="OA432" s="13"/>
      <c r="OB432" s="9"/>
      <c r="OC432" s="10"/>
      <c r="OD432" s="10"/>
      <c r="OE432" s="10"/>
      <c r="OF432" s="10"/>
      <c r="OG432" s="10"/>
      <c r="OH432" s="10"/>
      <c r="OI432" s="10"/>
      <c r="OJ432" s="10"/>
      <c r="OK432" s="10"/>
      <c r="OL432" s="10"/>
      <c r="OM432" s="10"/>
      <c r="ON432" s="10"/>
      <c r="OO432" s="10"/>
      <c r="OP432" s="10"/>
      <c r="OQ432" s="10"/>
      <c r="OR432" s="10"/>
      <c r="OS432" s="10"/>
      <c r="OT432" s="10"/>
      <c r="OU432" s="10"/>
      <c r="OV432" s="10"/>
      <c r="OW432" s="10"/>
      <c r="OX432" s="10"/>
      <c r="OY432" s="10"/>
      <c r="OZ432" s="10"/>
      <c r="PA432" s="10"/>
      <c r="PB432" s="10"/>
      <c r="PC432" s="10"/>
      <c r="PD432" s="10"/>
      <c r="PE432" s="10"/>
      <c r="PF432" s="10"/>
      <c r="PG432" s="10"/>
      <c r="PH432" s="10"/>
      <c r="PI432" s="10"/>
      <c r="PJ432" s="10"/>
      <c r="PK432" s="10"/>
      <c r="PL432" s="10"/>
      <c r="PM432" s="10"/>
      <c r="PN432" s="10"/>
      <c r="PO432" s="10"/>
      <c r="PP432" s="10"/>
      <c r="PQ432" s="10"/>
      <c r="PR432" s="10"/>
      <c r="PS432" s="10"/>
      <c r="PT432" s="10"/>
      <c r="PU432" s="10"/>
      <c r="PV432" s="10"/>
      <c r="PW432" s="10"/>
      <c r="PX432" s="9"/>
      <c r="PY432" s="11"/>
      <c r="PZ432" s="12"/>
      <c r="QB432" s="281"/>
      <c r="QC432" s="282"/>
      <c r="QD432" s="12"/>
      <c r="QE432" s="13"/>
      <c r="QF432" s="12"/>
      <c r="QM432" s="13"/>
      <c r="RK432" s="12"/>
      <c r="RP432" s="13"/>
      <c r="RS432" s="13"/>
      <c r="RV432" s="13"/>
      <c r="SX432" s="12"/>
      <c r="TA432" s="12"/>
      <c r="TH432" s="12"/>
      <c r="UA432" s="13"/>
      <c r="US432" s="13"/>
      <c r="UU432" s="13"/>
      <c r="UX432" s="281"/>
      <c r="UY432" s="282"/>
      <c r="UZ432" s="9"/>
      <c r="VA432" s="11"/>
      <c r="VB432" s="9"/>
      <c r="VC432" s="10"/>
      <c r="VD432" s="10"/>
      <c r="VE432" s="10"/>
      <c r="VF432" s="10"/>
      <c r="VG432" s="10"/>
      <c r="VH432" s="10"/>
      <c r="VI432" s="11"/>
      <c r="WQ432" s="13"/>
      <c r="WT432" s="13"/>
    </row>
    <row r="433" spans="27:618" ht="10.75" customHeight="1">
      <c r="AA433" s="12"/>
      <c r="AB433" s="12"/>
      <c r="AQ433" s="13"/>
      <c r="AR433" s="42"/>
      <c r="AS433" s="43"/>
      <c r="AT433" s="43"/>
      <c r="AU433" s="14"/>
      <c r="AV433" s="15"/>
      <c r="AW433" s="15"/>
      <c r="AX433" s="15"/>
      <c r="AY433" s="15"/>
      <c r="AZ433" s="15"/>
      <c r="BA433" s="15"/>
      <c r="BB433" s="15"/>
      <c r="BC433" s="15"/>
      <c r="BD433" s="15"/>
      <c r="BE433" s="15"/>
      <c r="BF433" s="16"/>
      <c r="BG433" s="15"/>
      <c r="BH433" s="15"/>
      <c r="BI433" s="15"/>
      <c r="BJ433" s="15"/>
      <c r="BK433" s="14"/>
      <c r="BL433" s="15"/>
      <c r="BM433" s="15"/>
      <c r="BN433" s="16"/>
      <c r="BO433" s="15"/>
      <c r="BP433" s="15"/>
      <c r="BQ433" s="15"/>
      <c r="BR433" s="15"/>
      <c r="BS433" s="14"/>
      <c r="BT433" s="15"/>
      <c r="BU433" s="15"/>
      <c r="BV433" s="16"/>
      <c r="BW433" s="15"/>
      <c r="BX433" s="15"/>
      <c r="BY433" s="15"/>
      <c r="BZ433" s="15"/>
      <c r="CA433" s="14"/>
      <c r="CB433" s="15"/>
      <c r="CC433" s="15"/>
      <c r="CD433" s="16"/>
      <c r="CE433" s="15"/>
      <c r="CF433" s="15"/>
      <c r="CG433" s="15"/>
      <c r="CH433" s="15"/>
      <c r="CI433" s="15"/>
      <c r="CJ433" s="15"/>
      <c r="CK433" s="15"/>
      <c r="CL433" s="15"/>
      <c r="CM433" s="15"/>
      <c r="CN433" s="15"/>
      <c r="CO433" s="15"/>
      <c r="CP433" s="15"/>
      <c r="CQ433" s="15"/>
      <c r="CR433" s="15"/>
      <c r="CS433" s="15"/>
      <c r="CT433" s="15"/>
      <c r="CU433" s="15"/>
      <c r="CV433" s="15"/>
      <c r="CW433" s="15"/>
      <c r="CX433" s="15"/>
      <c r="CY433" s="15"/>
      <c r="CZ433" s="15"/>
      <c r="DA433" s="15"/>
      <c r="DB433" s="15"/>
      <c r="DC433" s="15"/>
      <c r="DD433" s="15"/>
      <c r="DE433" s="15"/>
      <c r="DF433" s="15"/>
      <c r="DG433" s="15"/>
      <c r="DH433" s="15"/>
      <c r="DI433" s="15"/>
      <c r="DJ433" s="15"/>
      <c r="DK433" s="15"/>
      <c r="DL433" s="15"/>
      <c r="DM433" s="15"/>
      <c r="DN433" s="15"/>
      <c r="DO433" s="15"/>
      <c r="DP433" s="15"/>
      <c r="DQ433" s="15"/>
      <c r="DR433" s="15"/>
      <c r="DS433" s="15"/>
      <c r="DT433" s="15"/>
      <c r="DU433" s="15"/>
      <c r="DV433" s="15"/>
      <c r="DW433" s="15"/>
      <c r="DX433" s="15"/>
      <c r="DY433" s="15"/>
      <c r="DZ433" s="15"/>
      <c r="EA433" s="15"/>
      <c r="EB433" s="15"/>
      <c r="EC433" s="15"/>
      <c r="ED433" s="15"/>
      <c r="EE433" s="15"/>
      <c r="EF433" s="15"/>
      <c r="EG433" s="15"/>
      <c r="EH433" s="15"/>
      <c r="EI433" s="15"/>
      <c r="EJ433" s="15"/>
      <c r="EK433" s="15"/>
      <c r="EL433" s="15"/>
      <c r="EM433" s="15"/>
      <c r="EN433" s="15"/>
      <c r="EO433" s="15"/>
      <c r="EP433" s="15"/>
      <c r="EQ433" s="15"/>
      <c r="ER433" s="15"/>
      <c r="ES433" s="15"/>
      <c r="ET433" s="15"/>
      <c r="EU433" s="15"/>
      <c r="EV433" s="16"/>
      <c r="EW433" s="97"/>
      <c r="EX433" s="97"/>
      <c r="EY433" s="98"/>
      <c r="HP433" s="12"/>
      <c r="HQ433" s="12"/>
      <c r="HU433" s="12"/>
      <c r="HV433" s="12"/>
      <c r="HZ433" s="13"/>
      <c r="ID433" s="12"/>
      <c r="KE433" s="12"/>
      <c r="KF433" s="13"/>
      <c r="MF433" s="13"/>
      <c r="MI433" s="13"/>
      <c r="MN433" s="13"/>
      <c r="MO433" s="13"/>
      <c r="MY433" s="13"/>
      <c r="NY433" s="12"/>
      <c r="OA433" s="13"/>
      <c r="OB433" s="14"/>
      <c r="OC433" s="15"/>
      <c r="OD433" s="15"/>
      <c r="OE433" s="15"/>
      <c r="OF433" s="15"/>
      <c r="OG433" s="15"/>
      <c r="OH433" s="15"/>
      <c r="OI433" s="15"/>
      <c r="OJ433" s="15"/>
      <c r="OK433" s="15"/>
      <c r="OL433" s="15"/>
      <c r="OM433" s="15"/>
      <c r="ON433" s="15"/>
      <c r="OO433" s="15"/>
      <c r="OP433" s="15"/>
      <c r="OQ433" s="15"/>
      <c r="OR433" s="15"/>
      <c r="OS433" s="15"/>
      <c r="OT433" s="15"/>
      <c r="OU433" s="15"/>
      <c r="OV433" s="15"/>
      <c r="OW433" s="15"/>
      <c r="OX433" s="15"/>
      <c r="OY433" s="15"/>
      <c r="OZ433" s="15"/>
      <c r="PA433" s="15"/>
      <c r="PB433" s="15"/>
      <c r="PC433" s="15"/>
      <c r="PD433" s="15"/>
      <c r="PE433" s="15"/>
      <c r="PF433" s="15"/>
      <c r="PG433" s="15"/>
      <c r="PH433" s="15"/>
      <c r="PI433" s="15"/>
      <c r="PJ433" s="15"/>
      <c r="PK433" s="15"/>
      <c r="PL433" s="15"/>
      <c r="PM433" s="15"/>
      <c r="PN433" s="15"/>
      <c r="PO433" s="15"/>
      <c r="PP433" s="15"/>
      <c r="PQ433" s="15"/>
      <c r="PR433" s="15"/>
      <c r="PS433" s="15"/>
      <c r="PT433" s="15"/>
      <c r="PU433" s="15"/>
      <c r="PV433" s="15"/>
      <c r="PW433" s="15"/>
      <c r="PX433" s="14"/>
      <c r="PY433" s="16"/>
      <c r="PZ433" s="12"/>
      <c r="QB433" s="281"/>
      <c r="QC433" s="282"/>
      <c r="QD433" s="12"/>
      <c r="QE433" s="13"/>
      <c r="QF433" s="12"/>
      <c r="QM433" s="13"/>
      <c r="RK433" s="12"/>
      <c r="RP433" s="13"/>
      <c r="RS433" s="13"/>
      <c r="RV433" s="13"/>
      <c r="SX433" s="12"/>
      <c r="TA433" s="12"/>
      <c r="TH433" s="12"/>
      <c r="UA433" s="13"/>
      <c r="US433" s="13"/>
      <c r="UU433" s="13"/>
      <c r="UX433" s="281"/>
      <c r="UY433" s="282"/>
      <c r="UZ433" s="12"/>
      <c r="VA433" s="13"/>
      <c r="VB433" s="12"/>
      <c r="VI433" s="13"/>
      <c r="WQ433" s="13"/>
      <c r="WT433" s="13"/>
    </row>
    <row r="434" spans="27:618" ht="10.75" customHeight="1">
      <c r="AA434" s="12"/>
      <c r="AB434" s="12"/>
      <c r="AQ434" s="13"/>
      <c r="AR434" s="96"/>
      <c r="AS434" s="97"/>
      <c r="AT434" s="97"/>
      <c r="AU434" s="97"/>
      <c r="AV434" s="43"/>
      <c r="AW434" s="43"/>
      <c r="AX434" s="43"/>
      <c r="AY434" s="43"/>
      <c r="AZ434" s="43"/>
      <c r="BA434" s="43"/>
      <c r="BB434" s="45"/>
      <c r="BC434" s="43"/>
      <c r="BD434" s="43"/>
      <c r="BE434" s="43"/>
      <c r="BF434" s="43"/>
      <c r="BG434" s="43"/>
      <c r="BH434" s="43"/>
      <c r="BI434" s="43"/>
      <c r="BJ434" s="43"/>
      <c r="BK434" s="43"/>
      <c r="BL434" s="43"/>
      <c r="BM434" s="43"/>
      <c r="BN434" s="43"/>
      <c r="BO434" s="43"/>
      <c r="BP434" s="43"/>
      <c r="BQ434" s="43"/>
      <c r="BR434" s="43"/>
      <c r="BS434" s="43"/>
      <c r="BT434" s="43"/>
      <c r="BU434" s="43"/>
      <c r="BV434" s="43"/>
      <c r="BW434" s="43"/>
      <c r="BX434" s="43"/>
      <c r="BY434" s="43"/>
      <c r="BZ434" s="43"/>
      <c r="CA434" s="43"/>
      <c r="CB434" s="43"/>
      <c r="CC434" s="43"/>
      <c r="CD434" s="43"/>
      <c r="CE434" s="43"/>
      <c r="CF434" s="43"/>
      <c r="CG434" s="43"/>
      <c r="CH434" s="43"/>
      <c r="CI434" s="43"/>
      <c r="CJ434" s="43"/>
      <c r="CK434" s="43"/>
      <c r="CL434" s="43"/>
      <c r="CM434" s="43"/>
      <c r="CN434" s="43"/>
      <c r="CO434" s="43"/>
      <c r="CP434" s="43"/>
      <c r="CQ434" s="43"/>
      <c r="CR434" s="43"/>
      <c r="CS434" s="43"/>
      <c r="CT434" s="43"/>
      <c r="CU434" s="97"/>
      <c r="CV434" s="97"/>
      <c r="CW434" s="97"/>
      <c r="CX434" s="97"/>
      <c r="CY434" s="43"/>
      <c r="CZ434" s="43"/>
      <c r="DA434" s="43"/>
      <c r="DB434" s="43"/>
      <c r="DC434" s="43"/>
      <c r="DD434" s="43"/>
      <c r="DE434" s="43"/>
      <c r="DF434" s="43"/>
      <c r="DG434" s="43"/>
      <c r="DH434" s="43"/>
      <c r="DI434" s="43"/>
      <c r="DJ434" s="43"/>
      <c r="DK434" s="43"/>
      <c r="DL434" s="43"/>
      <c r="DM434" s="43"/>
      <c r="DN434" s="43"/>
      <c r="DO434" s="43"/>
      <c r="DP434" s="43"/>
      <c r="DQ434" s="43"/>
      <c r="DR434" s="43"/>
      <c r="DS434" s="43"/>
      <c r="DT434" s="43"/>
      <c r="DU434" s="43"/>
      <c r="DV434" s="43"/>
      <c r="DW434" s="43"/>
      <c r="DX434" s="43"/>
      <c r="DY434" s="43"/>
      <c r="DZ434" s="43"/>
      <c r="EA434" s="43"/>
      <c r="EB434" s="43"/>
      <c r="EC434" s="43"/>
      <c r="ED434" s="43"/>
      <c r="EE434" s="43"/>
      <c r="EF434" s="43"/>
      <c r="EG434" s="43"/>
      <c r="EH434" s="43"/>
      <c r="EI434" s="43"/>
      <c r="EJ434" s="43"/>
      <c r="EK434" s="123"/>
      <c r="EL434" s="109"/>
      <c r="EM434" s="109"/>
      <c r="EN434" s="109"/>
      <c r="EO434" s="109"/>
      <c r="EP434" s="109"/>
      <c r="EQ434" s="109"/>
      <c r="ER434" s="109"/>
      <c r="ES434" s="109"/>
      <c r="ET434" s="124"/>
      <c r="EU434" s="43"/>
      <c r="EV434" s="43"/>
      <c r="EW434" s="97"/>
      <c r="EX434" s="97"/>
      <c r="EY434" s="98"/>
      <c r="HP434" s="12"/>
      <c r="HQ434" s="12"/>
      <c r="HU434" s="12"/>
      <c r="HV434" s="12"/>
      <c r="HZ434" s="13"/>
      <c r="ID434" s="12"/>
      <c r="KE434" s="12"/>
      <c r="KF434" s="13"/>
      <c r="MF434" s="13"/>
      <c r="MI434" s="13"/>
      <c r="MN434" s="13"/>
      <c r="MO434" s="13"/>
      <c r="MY434" s="13"/>
      <c r="NY434" s="12"/>
      <c r="OA434" s="13"/>
      <c r="OB434" s="12"/>
      <c r="OI434" s="13"/>
      <c r="PP434" s="12"/>
      <c r="PW434" s="13"/>
      <c r="PX434" s="12"/>
      <c r="PY434" s="13"/>
      <c r="PZ434" s="12"/>
      <c r="QB434" s="281"/>
      <c r="QC434" s="282"/>
      <c r="QD434" s="12"/>
      <c r="QE434" s="13"/>
      <c r="QF434" s="12"/>
      <c r="QM434" s="13"/>
      <c r="RK434" s="12"/>
      <c r="RP434" s="13"/>
      <c r="RS434" s="13"/>
      <c r="RV434" s="13"/>
      <c r="SX434" s="12"/>
      <c r="TA434" s="12"/>
      <c r="TH434" s="12"/>
      <c r="UA434" s="13"/>
      <c r="US434" s="13"/>
      <c r="UU434" s="13"/>
      <c r="UX434" s="281"/>
      <c r="UY434" s="282"/>
      <c r="UZ434" s="12"/>
      <c r="VA434" s="13"/>
      <c r="VB434" s="12"/>
      <c r="VI434" s="13"/>
      <c r="WI434" s="9"/>
      <c r="WJ434" s="10"/>
      <c r="WK434" s="10"/>
      <c r="WL434" s="10"/>
      <c r="WM434" s="10"/>
      <c r="WN434" s="11"/>
      <c r="WQ434" s="13"/>
      <c r="WT434" s="13"/>
    </row>
    <row r="435" spans="27:618" ht="10.75" customHeight="1">
      <c r="AA435" s="12"/>
      <c r="AB435" s="12"/>
      <c r="AQ435" s="13"/>
      <c r="AR435" s="96"/>
      <c r="AS435" s="97"/>
      <c r="AT435" s="97"/>
      <c r="AU435" s="97"/>
      <c r="AV435" s="43"/>
      <c r="AW435" s="43"/>
      <c r="AX435" s="43"/>
      <c r="AY435" s="43"/>
      <c r="AZ435" s="43"/>
      <c r="BA435" s="43"/>
      <c r="BB435" s="45"/>
      <c r="BC435" s="43"/>
      <c r="BD435" s="43"/>
      <c r="BE435" s="43"/>
      <c r="BF435" s="43"/>
      <c r="BG435" s="43"/>
      <c r="BH435" s="43"/>
      <c r="BI435" s="43"/>
      <c r="BJ435" s="43"/>
      <c r="BK435" s="43"/>
      <c r="BL435" s="43"/>
      <c r="BM435" s="43"/>
      <c r="BN435" s="43"/>
      <c r="BO435" s="43"/>
      <c r="BP435" s="43"/>
      <c r="BQ435" s="43"/>
      <c r="BR435" s="43"/>
      <c r="BS435" s="43"/>
      <c r="BT435" s="43"/>
      <c r="BU435" s="43"/>
      <c r="BV435" s="43"/>
      <c r="BW435" s="43"/>
      <c r="BX435" s="43"/>
      <c r="BY435" s="43"/>
      <c r="BZ435" s="43"/>
      <c r="CA435" s="43"/>
      <c r="CB435" s="43"/>
      <c r="CC435" s="43"/>
      <c r="CD435" s="43"/>
      <c r="CE435" s="43"/>
      <c r="CF435" s="43"/>
      <c r="CG435" s="43"/>
      <c r="CH435" s="43"/>
      <c r="CI435" s="43"/>
      <c r="CJ435" s="43"/>
      <c r="CK435" s="43"/>
      <c r="CL435" s="43"/>
      <c r="CM435" s="43"/>
      <c r="CN435" s="43"/>
      <c r="CO435" s="43"/>
      <c r="CP435" s="43"/>
      <c r="CQ435" s="43"/>
      <c r="CR435" s="43"/>
      <c r="CS435" s="43"/>
      <c r="CT435" s="43"/>
      <c r="CU435" s="97"/>
      <c r="CV435" s="97"/>
      <c r="CW435" s="97"/>
      <c r="CX435" s="97"/>
      <c r="CY435" s="43"/>
      <c r="CZ435" s="43"/>
      <c r="DA435" s="43"/>
      <c r="DB435" s="43"/>
      <c r="DC435" s="43"/>
      <c r="DD435" s="43"/>
      <c r="DE435" s="43"/>
      <c r="DF435" s="43"/>
      <c r="DG435" s="43"/>
      <c r="DH435" s="43"/>
      <c r="DI435" s="43"/>
      <c r="DJ435" s="43"/>
      <c r="DK435" s="43"/>
      <c r="DL435" s="43"/>
      <c r="DM435" s="43"/>
      <c r="DN435" s="43"/>
      <c r="DO435" s="43"/>
      <c r="DP435" s="43"/>
      <c r="DQ435" s="43"/>
      <c r="DR435" s="43"/>
      <c r="DS435" s="43"/>
      <c r="DT435" s="43"/>
      <c r="DU435" s="43"/>
      <c r="DV435" s="43"/>
      <c r="DW435" s="43"/>
      <c r="DX435" s="43"/>
      <c r="DY435" s="43"/>
      <c r="DZ435" s="43"/>
      <c r="EA435" s="43"/>
      <c r="EB435" s="43"/>
      <c r="EC435" s="43"/>
      <c r="ED435" s="43"/>
      <c r="EE435" s="43"/>
      <c r="EF435" s="43"/>
      <c r="EG435" s="43"/>
      <c r="EH435" s="43"/>
      <c r="EI435" s="43"/>
      <c r="EJ435" s="43"/>
      <c r="EK435" s="121"/>
      <c r="EL435" s="119"/>
      <c r="EM435" s="119"/>
      <c r="EN435" s="119"/>
      <c r="EO435" s="119"/>
      <c r="EP435" s="119"/>
      <c r="EQ435" s="119"/>
      <c r="ER435" s="119"/>
      <c r="ES435" s="119"/>
      <c r="ET435" s="122"/>
      <c r="EU435" s="43"/>
      <c r="EV435" s="43"/>
      <c r="EW435" s="97"/>
      <c r="EX435" s="97"/>
      <c r="EY435" s="98"/>
      <c r="HP435" s="12"/>
      <c r="HQ435" s="12"/>
      <c r="HU435" s="12"/>
      <c r="HV435" s="12"/>
      <c r="HZ435" s="13"/>
      <c r="ID435" s="12"/>
      <c r="KE435" s="12"/>
      <c r="KF435" s="13"/>
      <c r="MF435" s="13"/>
      <c r="MI435" s="13"/>
      <c r="MN435" s="13"/>
      <c r="MO435" s="13"/>
      <c r="MY435" s="13"/>
      <c r="NY435" s="12"/>
      <c r="OA435" s="13"/>
      <c r="OB435" s="12"/>
      <c r="OI435" s="13"/>
      <c r="PP435" s="12"/>
      <c r="PW435" s="13"/>
      <c r="PX435" s="12"/>
      <c r="PY435" s="13"/>
      <c r="PZ435" s="12"/>
      <c r="QB435" s="281"/>
      <c r="QC435" s="282"/>
      <c r="QD435" s="12"/>
      <c r="QE435" s="13"/>
      <c r="QF435" s="12"/>
      <c r="QM435" s="13"/>
      <c r="RK435" s="12"/>
      <c r="RP435" s="13"/>
      <c r="RS435" s="13"/>
      <c r="RV435" s="13"/>
      <c r="SX435" s="12"/>
      <c r="TA435" s="12"/>
      <c r="TH435" s="12"/>
      <c r="UA435" s="13"/>
      <c r="US435" s="13"/>
      <c r="UU435" s="13"/>
      <c r="UX435" s="281"/>
      <c r="UY435" s="282"/>
      <c r="UZ435" s="12"/>
      <c r="VA435" s="13"/>
      <c r="VB435" s="12"/>
      <c r="VI435" s="13"/>
      <c r="WI435" s="12"/>
      <c r="WN435" s="13"/>
      <c r="WQ435" s="13"/>
      <c r="WT435" s="13"/>
    </row>
    <row r="436" spans="27:618" ht="10.75" customHeight="1">
      <c r="AA436" s="12"/>
      <c r="AB436" s="12"/>
      <c r="AQ436" s="13"/>
      <c r="AR436" s="59"/>
      <c r="AS436" s="60"/>
      <c r="AT436" s="60"/>
      <c r="AU436" s="60"/>
      <c r="AV436" s="47"/>
      <c r="AW436" s="47"/>
      <c r="AX436" s="47"/>
      <c r="AY436" s="47"/>
      <c r="AZ436" s="47"/>
      <c r="BA436" s="47"/>
      <c r="BB436" s="48"/>
      <c r="BC436" s="47"/>
      <c r="BD436" s="47"/>
      <c r="BE436" s="47"/>
      <c r="BF436" s="47"/>
      <c r="BG436" s="47"/>
      <c r="BH436" s="47"/>
      <c r="BI436" s="47"/>
      <c r="BJ436" s="47"/>
      <c r="BK436" s="47"/>
      <c r="BL436" s="47"/>
      <c r="BM436" s="47"/>
      <c r="BN436" s="47"/>
      <c r="BO436" s="47"/>
      <c r="BP436" s="47"/>
      <c r="BQ436" s="47"/>
      <c r="BR436" s="47"/>
      <c r="BS436" s="47"/>
      <c r="BT436" s="47"/>
      <c r="BU436" s="47"/>
      <c r="BV436" s="47"/>
      <c r="BW436" s="47"/>
      <c r="BX436" s="47"/>
      <c r="BY436" s="47"/>
      <c r="BZ436" s="47"/>
      <c r="CA436" s="47"/>
      <c r="CB436" s="47"/>
      <c r="CC436" s="47"/>
      <c r="CD436" s="47"/>
      <c r="CE436" s="47"/>
      <c r="CF436" s="47"/>
      <c r="CG436" s="47"/>
      <c r="CH436" s="47"/>
      <c r="CI436" s="47"/>
      <c r="CJ436" s="47"/>
      <c r="CK436" s="47"/>
      <c r="CL436" s="47"/>
      <c r="CM436" s="47"/>
      <c r="CN436" s="47"/>
      <c r="CO436" s="47"/>
      <c r="CP436" s="47"/>
      <c r="CQ436" s="47"/>
      <c r="CR436" s="47"/>
      <c r="CS436" s="47"/>
      <c r="CT436" s="47"/>
      <c r="CU436" s="60"/>
      <c r="CV436" s="60"/>
      <c r="CW436" s="60"/>
      <c r="CX436" s="60"/>
      <c r="CY436" s="47"/>
      <c r="CZ436" s="47"/>
      <c r="DA436" s="47"/>
      <c r="DB436" s="47"/>
      <c r="DC436" s="47"/>
      <c r="DD436" s="47"/>
      <c r="DE436" s="47"/>
      <c r="DF436" s="47"/>
      <c r="DG436" s="47"/>
      <c r="DH436" s="47"/>
      <c r="DI436" s="47"/>
      <c r="DJ436" s="47"/>
      <c r="DK436" s="47"/>
      <c r="DL436" s="47"/>
      <c r="DM436" s="47"/>
      <c r="DN436" s="47"/>
      <c r="DO436" s="47"/>
      <c r="DP436" s="47"/>
      <c r="DQ436" s="47"/>
      <c r="DR436" s="47"/>
      <c r="DS436" s="47"/>
      <c r="DT436" s="47"/>
      <c r="DU436" s="47"/>
      <c r="DV436" s="47"/>
      <c r="DW436" s="47"/>
      <c r="DX436" s="47"/>
      <c r="DY436" s="47"/>
      <c r="DZ436" s="47"/>
      <c r="EA436" s="47"/>
      <c r="EB436" s="47"/>
      <c r="EC436" s="47"/>
      <c r="ED436" s="47"/>
      <c r="EE436" s="47"/>
      <c r="EF436" s="47"/>
      <c r="EG436" s="47"/>
      <c r="EH436" s="47"/>
      <c r="EI436" s="47"/>
      <c r="EJ436" s="47"/>
      <c r="EK436" s="123"/>
      <c r="EL436" s="109"/>
      <c r="EM436" s="109"/>
      <c r="EN436" s="109"/>
      <c r="EO436" s="109"/>
      <c r="EP436" s="109"/>
      <c r="EQ436" s="109"/>
      <c r="ER436" s="109"/>
      <c r="ES436" s="109"/>
      <c r="ET436" s="124"/>
      <c r="EU436" s="47"/>
      <c r="EV436" s="47"/>
      <c r="EW436" s="60"/>
      <c r="EX436" s="60"/>
      <c r="EY436" s="61"/>
      <c r="HP436" s="12"/>
      <c r="HQ436" s="9"/>
      <c r="HR436" s="10"/>
      <c r="HS436" s="10"/>
      <c r="HT436" s="10"/>
      <c r="HU436" s="9"/>
      <c r="HV436" s="9"/>
      <c r="HW436" s="10"/>
      <c r="HX436" s="10"/>
      <c r="HY436" s="10"/>
      <c r="HZ436" s="11"/>
      <c r="ID436" s="12"/>
      <c r="KE436" s="12"/>
      <c r="KF436" s="13"/>
      <c r="MF436" s="13"/>
      <c r="MI436" s="13"/>
      <c r="MN436" s="13"/>
      <c r="MO436" s="13"/>
      <c r="MY436" s="13"/>
      <c r="NY436" s="12"/>
      <c r="OA436" s="13"/>
      <c r="OB436" s="12"/>
      <c r="OI436" s="13"/>
      <c r="PP436" s="12"/>
      <c r="PW436" s="13"/>
      <c r="PX436" s="12"/>
      <c r="PY436" s="13"/>
      <c r="PZ436" s="12"/>
      <c r="QB436" s="281"/>
      <c r="QC436" s="282"/>
      <c r="QD436" s="12"/>
      <c r="QE436" s="13"/>
      <c r="QF436" s="12"/>
      <c r="QM436" s="13"/>
      <c r="RK436" s="12"/>
      <c r="RP436" s="13"/>
      <c r="RS436" s="13"/>
      <c r="RV436" s="13"/>
      <c r="SX436" s="12"/>
      <c r="TA436" s="12"/>
      <c r="TH436" s="12"/>
      <c r="UA436" s="13"/>
      <c r="US436" s="13"/>
      <c r="UU436" s="13"/>
      <c r="UX436" s="281"/>
      <c r="UY436" s="282"/>
      <c r="UZ436" s="12"/>
      <c r="VA436" s="13"/>
      <c r="VB436" s="12"/>
      <c r="VI436" s="13"/>
      <c r="WI436" s="12"/>
      <c r="WN436" s="13"/>
      <c r="WQ436" s="13"/>
      <c r="WT436" s="13"/>
    </row>
    <row r="437" spans="27:618" ht="10.75" customHeight="1">
      <c r="AA437" s="12"/>
      <c r="AB437" s="12"/>
      <c r="AY437" s="13"/>
      <c r="AZ437" s="17"/>
      <c r="HP437" s="12"/>
      <c r="HQ437" s="12"/>
      <c r="HU437" s="12"/>
      <c r="HV437" s="12"/>
      <c r="HZ437" s="13"/>
      <c r="ID437" s="12"/>
      <c r="KE437" s="12"/>
      <c r="KF437" s="13"/>
      <c r="MF437" s="13"/>
      <c r="MI437" s="13"/>
      <c r="MN437" s="13"/>
      <c r="MO437" s="13"/>
      <c r="MY437" s="13"/>
      <c r="NY437" s="12"/>
      <c r="OA437" s="13"/>
      <c r="OB437" s="12"/>
      <c r="OI437" s="13"/>
      <c r="PP437" s="12"/>
      <c r="PW437" s="13"/>
      <c r="PX437" s="12"/>
      <c r="PY437" s="13"/>
      <c r="PZ437" s="12"/>
      <c r="QB437" s="281"/>
      <c r="QC437" s="282"/>
      <c r="QD437" s="14"/>
      <c r="QE437" s="16"/>
      <c r="QF437" s="14"/>
      <c r="QG437" s="15"/>
      <c r="QH437" s="15"/>
      <c r="QI437" s="15"/>
      <c r="QJ437" s="15"/>
      <c r="QK437" s="15"/>
      <c r="QL437" s="15"/>
      <c r="QM437" s="16"/>
      <c r="RK437" s="12"/>
      <c r="RP437" s="13"/>
      <c r="RS437" s="13"/>
      <c r="RV437" s="13"/>
      <c r="SX437" s="12"/>
      <c r="TA437" s="12"/>
      <c r="TH437" s="12"/>
      <c r="UA437" s="13"/>
      <c r="US437" s="13"/>
      <c r="UU437" s="13"/>
      <c r="UX437" s="281"/>
      <c r="UY437" s="282"/>
      <c r="UZ437" s="12"/>
      <c r="VA437" s="13"/>
      <c r="VB437" s="12"/>
      <c r="VI437" s="13"/>
      <c r="WI437" s="12"/>
      <c r="WN437" s="13"/>
      <c r="WQ437" s="13"/>
      <c r="WT437" s="13"/>
    </row>
    <row r="438" spans="27:618" ht="10.75" customHeight="1">
      <c r="AA438" s="12"/>
      <c r="AB438" s="12"/>
      <c r="AY438" s="13"/>
      <c r="AZ438" s="18"/>
      <c r="GH438" t="s">
        <v>6</v>
      </c>
      <c r="HP438" s="12"/>
      <c r="HQ438" s="12"/>
      <c r="HU438" s="12"/>
      <c r="HV438" s="12"/>
      <c r="HZ438" s="13"/>
      <c r="ID438" s="12"/>
      <c r="KE438" s="12"/>
      <c r="KF438" s="13"/>
      <c r="MF438" s="13"/>
      <c r="MI438" s="13"/>
      <c r="MN438" s="13"/>
      <c r="MO438" s="13"/>
      <c r="MY438" s="13"/>
      <c r="NY438" s="12"/>
      <c r="OA438" s="13"/>
      <c r="OB438" s="12"/>
      <c r="OI438" s="13"/>
      <c r="PP438" s="12"/>
      <c r="PW438" s="13"/>
      <c r="PX438" s="12"/>
      <c r="PY438" s="13"/>
      <c r="PZ438" s="12"/>
      <c r="QB438" s="281"/>
      <c r="QC438" s="282"/>
      <c r="QD438" s="12"/>
      <c r="QE438" s="13"/>
      <c r="QF438" s="12"/>
      <c r="QM438" s="13"/>
      <c r="RK438" s="12"/>
      <c r="RP438" s="13"/>
      <c r="RS438" s="13"/>
      <c r="RV438" s="13"/>
      <c r="SX438" s="12"/>
      <c r="TA438" s="12"/>
      <c r="TH438" s="12"/>
      <c r="UA438" s="13"/>
      <c r="US438" s="13"/>
      <c r="UU438" s="13"/>
      <c r="UX438" s="281"/>
      <c r="UY438" s="282"/>
      <c r="UZ438" s="12"/>
      <c r="VA438" s="13"/>
      <c r="VB438" s="12"/>
      <c r="VI438" s="13"/>
      <c r="WI438" s="12"/>
      <c r="WN438" s="13"/>
      <c r="WQ438" s="13"/>
      <c r="WT438" s="13"/>
    </row>
    <row r="439" spans="27:618" ht="10.75" customHeight="1">
      <c r="AA439" s="12"/>
      <c r="AB439" s="12"/>
      <c r="AY439" s="13"/>
      <c r="AZ439" s="18"/>
      <c r="HP439" s="12"/>
      <c r="HQ439" s="14"/>
      <c r="HR439" s="15"/>
      <c r="HS439" s="15"/>
      <c r="HT439" s="15"/>
      <c r="HU439" s="14"/>
      <c r="HV439" s="14"/>
      <c r="HW439" s="15"/>
      <c r="HX439" s="15"/>
      <c r="HY439" s="15"/>
      <c r="HZ439" s="16"/>
      <c r="ID439" s="12"/>
      <c r="KE439" s="12"/>
      <c r="KF439" s="13"/>
      <c r="MF439" s="13"/>
      <c r="MI439" s="13"/>
      <c r="MN439" s="13"/>
      <c r="MO439" s="13"/>
      <c r="MY439" s="13"/>
      <c r="NY439" s="12"/>
      <c r="OA439" s="13"/>
      <c r="OB439" s="12"/>
      <c r="OI439" s="13"/>
      <c r="PP439" s="12"/>
      <c r="PW439" s="13"/>
      <c r="PX439" s="12"/>
      <c r="PY439" s="13"/>
      <c r="PZ439" s="12"/>
      <c r="QB439" s="281"/>
      <c r="QC439" s="282"/>
      <c r="QD439" s="12"/>
      <c r="QE439" s="13"/>
      <c r="QF439" s="12"/>
      <c r="QM439" s="13"/>
      <c r="RK439" s="12"/>
      <c r="RP439" s="13"/>
      <c r="RS439" s="13"/>
      <c r="RV439" s="13"/>
      <c r="SX439" s="12"/>
      <c r="TA439" s="12"/>
      <c r="TH439" s="12"/>
      <c r="UA439" s="13"/>
      <c r="US439" s="13"/>
      <c r="UU439" s="13"/>
      <c r="UX439" s="281"/>
      <c r="UY439" s="282"/>
      <c r="UZ439" s="12"/>
      <c r="VA439" s="13"/>
      <c r="VB439" s="12"/>
      <c r="VI439" s="13"/>
      <c r="WI439" s="12"/>
      <c r="WN439" s="13"/>
      <c r="WQ439" s="13"/>
      <c r="WT439" s="13"/>
    </row>
    <row r="440" spans="27:618" ht="10.75" customHeight="1">
      <c r="AA440" s="12"/>
      <c r="AB440" s="12"/>
      <c r="AY440" s="13"/>
      <c r="AZ440" s="18"/>
      <c r="HP440" s="12"/>
      <c r="HQ440" s="12"/>
      <c r="HU440" s="12"/>
      <c r="HV440" s="12"/>
      <c r="HZ440" s="13"/>
      <c r="ID440" s="12"/>
      <c r="KE440" s="12"/>
      <c r="KF440" s="13"/>
      <c r="MF440" s="13"/>
      <c r="MI440" s="13"/>
      <c r="MN440" s="13"/>
      <c r="MO440" s="13"/>
      <c r="MY440" s="13"/>
      <c r="NY440" s="12"/>
      <c r="OA440" s="13"/>
      <c r="OB440" s="12"/>
      <c r="OI440" s="13"/>
      <c r="PP440" s="12"/>
      <c r="PW440" s="13"/>
      <c r="PX440" s="12"/>
      <c r="PY440" s="13"/>
      <c r="PZ440" s="12"/>
      <c r="QB440" s="281"/>
      <c r="QC440" s="282"/>
      <c r="QD440" s="12"/>
      <c r="QE440" s="13"/>
      <c r="QF440" s="12"/>
      <c r="QM440" s="13"/>
      <c r="RK440" s="12"/>
      <c r="RP440" s="13"/>
      <c r="RS440" s="13"/>
      <c r="RV440" s="13"/>
      <c r="SX440" s="12"/>
      <c r="TA440" s="12"/>
      <c r="TH440" s="14"/>
      <c r="TI440" s="15"/>
      <c r="TJ440" s="15"/>
      <c r="TK440" s="15"/>
      <c r="TL440" s="15"/>
      <c r="TM440" s="15"/>
      <c r="TN440" s="15"/>
      <c r="TO440" s="15"/>
      <c r="TP440" s="15"/>
      <c r="TQ440" s="15"/>
      <c r="TR440" s="15"/>
      <c r="TS440" s="15"/>
      <c r="TT440" s="15"/>
      <c r="TU440" s="15"/>
      <c r="TV440" s="15"/>
      <c r="TW440" s="15"/>
      <c r="TX440" s="15"/>
      <c r="TY440" s="15"/>
      <c r="TZ440" s="15"/>
      <c r="UA440" s="16"/>
      <c r="US440" s="13"/>
      <c r="UU440" s="13"/>
      <c r="UX440" s="281"/>
      <c r="UY440" s="282"/>
      <c r="UZ440" s="12"/>
      <c r="VA440" s="13"/>
      <c r="VB440" s="12"/>
      <c r="VI440" s="13"/>
      <c r="WI440" s="12"/>
      <c r="WN440" s="13"/>
      <c r="WQ440" s="13"/>
      <c r="WT440" s="13"/>
    </row>
    <row r="441" spans="27:618" ht="10.75" customHeight="1">
      <c r="AA441" s="12"/>
      <c r="AB441" s="12"/>
      <c r="AY441" s="13"/>
      <c r="AZ441" s="18"/>
      <c r="HP441" s="12"/>
      <c r="HQ441" s="12"/>
      <c r="HU441" s="12"/>
      <c r="HV441" s="12"/>
      <c r="HZ441" s="13"/>
      <c r="ID441" s="14"/>
      <c r="IE441" s="15"/>
      <c r="IF441" s="15"/>
      <c r="IG441" s="15"/>
      <c r="IH441" s="15"/>
      <c r="II441" s="15"/>
      <c r="IJ441" s="15"/>
      <c r="IK441" s="15"/>
      <c r="IL441" s="15"/>
      <c r="IM441" s="15"/>
      <c r="IN441" s="15"/>
      <c r="IO441" s="15"/>
      <c r="IP441" s="15"/>
      <c r="IQ441" s="15"/>
      <c r="IR441" s="15"/>
      <c r="IS441" s="15"/>
      <c r="IT441" s="15"/>
      <c r="IU441" s="15"/>
      <c r="IV441" s="15"/>
      <c r="IW441" s="15"/>
      <c r="IX441" s="15"/>
      <c r="IY441" s="15"/>
      <c r="IZ441" s="15"/>
      <c r="JA441" s="15"/>
      <c r="JB441" s="15"/>
      <c r="JC441" s="15"/>
      <c r="JD441" s="15"/>
      <c r="JE441" s="15"/>
      <c r="JF441" s="15"/>
      <c r="JG441" s="15"/>
      <c r="JH441" s="15"/>
      <c r="JI441" s="15"/>
      <c r="JJ441" s="15"/>
      <c r="JK441" s="15"/>
      <c r="JL441" s="15"/>
      <c r="JM441" s="15"/>
      <c r="JN441" s="15"/>
      <c r="JO441" s="15"/>
      <c r="JP441" s="15"/>
      <c r="JQ441" s="15"/>
      <c r="JR441" s="15"/>
      <c r="JS441" s="15"/>
      <c r="JT441" s="15"/>
      <c r="JU441" s="15"/>
      <c r="JV441" s="15"/>
      <c r="JW441" s="15"/>
      <c r="JX441" s="15"/>
      <c r="JY441" s="15"/>
      <c r="JZ441" s="15"/>
      <c r="KA441" s="15"/>
      <c r="KB441" s="15"/>
      <c r="KC441" s="15"/>
      <c r="KD441" s="15"/>
      <c r="KE441" s="12"/>
      <c r="KF441" s="13"/>
      <c r="MF441" s="13"/>
      <c r="MI441" s="13"/>
      <c r="MN441" s="13"/>
      <c r="MO441" s="13"/>
      <c r="MY441" s="13"/>
      <c r="NY441" s="12"/>
      <c r="OA441" s="13"/>
      <c r="OB441" s="14"/>
      <c r="OC441" s="15"/>
      <c r="OD441" s="15"/>
      <c r="OE441" s="15"/>
      <c r="OF441" s="15"/>
      <c r="OG441" s="15"/>
      <c r="OH441" s="15"/>
      <c r="OI441" s="16"/>
      <c r="OJ441" s="15"/>
      <c r="OK441" s="15"/>
      <c r="OL441" s="15"/>
      <c r="OM441" s="15"/>
      <c r="ON441" s="15"/>
      <c r="OO441" s="15"/>
      <c r="OP441" s="15"/>
      <c r="OQ441" s="15"/>
      <c r="OR441" s="15"/>
      <c r="OS441" s="15"/>
      <c r="OT441" s="15"/>
      <c r="OU441" s="15"/>
      <c r="OV441" s="15"/>
      <c r="OW441" s="15"/>
      <c r="OX441" s="15"/>
      <c r="OY441" s="15"/>
      <c r="OZ441" s="15"/>
      <c r="PA441" s="15"/>
      <c r="PB441" s="15"/>
      <c r="PC441" s="15"/>
      <c r="PD441" s="15"/>
      <c r="PE441" s="15"/>
      <c r="PF441" s="15"/>
      <c r="PG441" s="15"/>
      <c r="PH441" s="15"/>
      <c r="PI441" s="15"/>
      <c r="PJ441" s="15"/>
      <c r="PK441" s="15"/>
      <c r="PL441" s="15"/>
      <c r="PM441" s="15"/>
      <c r="PN441" s="15"/>
      <c r="PO441" s="15"/>
      <c r="PP441" s="14"/>
      <c r="PQ441" s="15"/>
      <c r="PR441" s="15"/>
      <c r="PS441" s="15"/>
      <c r="PT441" s="15"/>
      <c r="PU441" s="15"/>
      <c r="PV441" s="15"/>
      <c r="PW441" s="16"/>
      <c r="PX441" s="12"/>
      <c r="PY441" s="13"/>
      <c r="PZ441" s="12"/>
      <c r="QB441" s="281"/>
      <c r="QC441" s="282"/>
      <c r="QD441" s="12"/>
      <c r="QE441" s="13"/>
      <c r="QF441" s="12"/>
      <c r="QM441" s="13"/>
      <c r="RK441" s="12"/>
      <c r="RP441" s="13"/>
      <c r="RS441" s="13"/>
      <c r="RV441" s="13"/>
      <c r="SX441" s="12"/>
      <c r="TA441" s="14"/>
      <c r="TB441" s="15"/>
      <c r="TC441" s="15"/>
      <c r="TD441" s="15"/>
      <c r="TE441" s="15"/>
      <c r="TF441" s="15"/>
      <c r="TG441" s="15"/>
      <c r="TH441" s="15"/>
      <c r="TI441" s="15"/>
      <c r="TJ441" s="15"/>
      <c r="TK441" s="15"/>
      <c r="TL441" s="15"/>
      <c r="TM441" s="15"/>
      <c r="TN441" s="15"/>
      <c r="TO441" s="15"/>
      <c r="TP441" s="15"/>
      <c r="TQ441" s="15"/>
      <c r="TR441" s="15"/>
      <c r="TS441" s="15"/>
      <c r="TT441" s="15"/>
      <c r="TU441" s="15"/>
      <c r="TV441" s="15"/>
      <c r="TW441" s="15"/>
      <c r="TX441" s="15"/>
      <c r="TY441" s="15"/>
      <c r="TZ441" s="15"/>
      <c r="UA441" s="15"/>
      <c r="UB441" s="15"/>
      <c r="UC441" s="15"/>
      <c r="UD441" s="15"/>
      <c r="UE441" s="15"/>
      <c r="UF441" s="15"/>
      <c r="UG441" s="15"/>
      <c r="UH441" s="15"/>
      <c r="UI441" s="15"/>
      <c r="UJ441" s="15"/>
      <c r="UK441" s="15"/>
      <c r="UL441" s="15"/>
      <c r="UM441" s="15"/>
      <c r="UN441" s="15"/>
      <c r="UO441" s="15"/>
      <c r="UP441" s="15"/>
      <c r="UQ441" s="15"/>
      <c r="UR441" s="15"/>
      <c r="US441" s="16"/>
      <c r="UU441" s="13"/>
      <c r="UX441" s="281"/>
      <c r="UY441" s="282"/>
      <c r="UZ441" s="12"/>
      <c r="VA441" s="13"/>
      <c r="VB441" s="12"/>
      <c r="VI441" s="13"/>
      <c r="WI441" s="12"/>
      <c r="WN441" s="13"/>
      <c r="WQ441" s="13"/>
      <c r="WT441" s="13"/>
    </row>
    <row r="442" spans="27:618" ht="10.75" customHeight="1">
      <c r="AA442" s="12"/>
      <c r="AB442" s="12"/>
      <c r="AY442" s="13"/>
      <c r="AZ442" s="18"/>
      <c r="HP442" s="12"/>
      <c r="HQ442" s="12"/>
      <c r="HU442" s="12"/>
      <c r="HV442" s="12"/>
      <c r="HZ442" s="13"/>
      <c r="ID442" s="12"/>
      <c r="KD442" s="10"/>
      <c r="KF442" s="13"/>
      <c r="MF442" s="13"/>
      <c r="MI442" s="13"/>
      <c r="MN442" s="13"/>
      <c r="MO442" s="13"/>
      <c r="MY442" s="13"/>
      <c r="NY442" s="12"/>
      <c r="OA442" s="13"/>
      <c r="OB442" s="12"/>
      <c r="OI442" s="13"/>
      <c r="PP442" s="12"/>
      <c r="PW442" s="13"/>
      <c r="PX442" s="12"/>
      <c r="PY442" s="13"/>
      <c r="PZ442" s="12"/>
      <c r="QB442" s="281"/>
      <c r="QC442" s="282"/>
      <c r="QD442" s="12"/>
      <c r="QE442" s="13"/>
      <c r="QF442" s="12"/>
      <c r="QM442" s="13"/>
      <c r="RK442" s="12"/>
      <c r="RP442" s="13"/>
      <c r="RS442" s="13"/>
      <c r="RV442" s="13"/>
      <c r="SX442" s="12"/>
      <c r="TA442" s="12"/>
      <c r="US442" s="10"/>
      <c r="UU442" s="13"/>
      <c r="UX442" s="281"/>
      <c r="UY442" s="282"/>
      <c r="UZ442" s="14"/>
      <c r="VA442" s="16"/>
      <c r="VB442" s="14"/>
      <c r="VC442" s="15"/>
      <c r="VD442" s="15"/>
      <c r="VE442" s="15"/>
      <c r="VF442" s="15"/>
      <c r="VG442" s="15"/>
      <c r="VH442" s="15"/>
      <c r="VI442" s="16"/>
      <c r="WI442" s="12"/>
      <c r="WN442" s="13"/>
      <c r="WQ442" s="13"/>
      <c r="WT442" s="13"/>
    </row>
    <row r="443" spans="27:618" ht="10.75" customHeight="1">
      <c r="AA443" s="12"/>
      <c r="AB443" s="12"/>
      <c r="AY443" s="13"/>
      <c r="AZ443" s="18"/>
      <c r="HP443" s="12"/>
      <c r="HQ443" s="14"/>
      <c r="HR443" s="15"/>
      <c r="HS443" s="15"/>
      <c r="HT443" s="15"/>
      <c r="HU443" s="14"/>
      <c r="HV443" s="14"/>
      <c r="HW443" s="15"/>
      <c r="HX443" s="15"/>
      <c r="HY443" s="15"/>
      <c r="HZ443" s="16"/>
      <c r="ID443" s="14"/>
      <c r="IE443" s="15"/>
      <c r="IF443" s="15"/>
      <c r="IG443" s="15"/>
      <c r="IH443" s="15"/>
      <c r="II443" s="15"/>
      <c r="IJ443" s="15"/>
      <c r="IK443" s="15"/>
      <c r="IL443" s="15"/>
      <c r="IM443" s="15"/>
      <c r="IN443" s="15"/>
      <c r="IO443" s="15"/>
      <c r="IP443" s="15"/>
      <c r="IQ443" s="15"/>
      <c r="IR443" s="15"/>
      <c r="IS443" s="15"/>
      <c r="IT443" s="15"/>
      <c r="IU443" s="15"/>
      <c r="IV443" s="15"/>
      <c r="IW443" s="15"/>
      <c r="IX443" s="15"/>
      <c r="IY443" s="15"/>
      <c r="IZ443" s="15"/>
      <c r="JA443" s="15"/>
      <c r="JB443" s="15"/>
      <c r="JC443" s="15"/>
      <c r="JD443" s="15"/>
      <c r="JE443" s="15"/>
      <c r="JF443" s="15"/>
      <c r="JG443" s="15"/>
      <c r="JH443" s="15"/>
      <c r="JI443" s="15"/>
      <c r="JJ443" s="15"/>
      <c r="JK443" s="15"/>
      <c r="JL443" s="15"/>
      <c r="JM443" s="15"/>
      <c r="JN443" s="15"/>
      <c r="JO443" s="15"/>
      <c r="JP443" s="15"/>
      <c r="JQ443" s="15"/>
      <c r="JR443" s="120"/>
      <c r="JS443" s="120"/>
      <c r="JT443" s="120"/>
      <c r="JU443" s="120"/>
      <c r="JV443" s="120"/>
      <c r="JW443" s="120"/>
      <c r="JX443" s="120"/>
      <c r="JY443" s="120"/>
      <c r="JZ443" s="120"/>
      <c r="KA443" s="120"/>
      <c r="KB443" s="120"/>
      <c r="KC443" s="120"/>
      <c r="KD443" s="15"/>
      <c r="KF443" s="13"/>
      <c r="MF443" s="13"/>
      <c r="MI443" s="13"/>
      <c r="MN443" s="13"/>
      <c r="MO443" s="13"/>
      <c r="MY443" s="13"/>
      <c r="NY443" s="12"/>
      <c r="OA443" s="13"/>
      <c r="OB443" s="12"/>
      <c r="OI443" s="13"/>
      <c r="PP443" s="12"/>
      <c r="PW443" s="13"/>
      <c r="PX443" s="12"/>
      <c r="PY443" s="13"/>
      <c r="PZ443" s="12"/>
      <c r="QB443" s="281"/>
      <c r="QC443" s="282"/>
      <c r="QD443" s="12"/>
      <c r="QE443" s="13"/>
      <c r="QF443" s="12"/>
      <c r="QM443" s="13"/>
      <c r="RK443" s="12"/>
      <c r="RP443" s="13"/>
      <c r="RS443" s="13"/>
      <c r="RV443" s="13"/>
      <c r="SX443" s="12"/>
      <c r="TA443" s="14"/>
      <c r="TB443" s="15"/>
      <c r="TC443" s="15"/>
      <c r="TD443" s="15"/>
      <c r="TE443" s="15"/>
      <c r="TF443" s="15"/>
      <c r="TG443" s="15"/>
      <c r="TH443" s="15"/>
      <c r="TI443" s="15"/>
      <c r="TJ443" s="15"/>
      <c r="TK443" s="15"/>
      <c r="TL443" s="15"/>
      <c r="TM443" s="15"/>
      <c r="TN443" s="15"/>
      <c r="TO443" s="15"/>
      <c r="TP443" s="15"/>
      <c r="TQ443" s="15"/>
      <c r="TR443" s="15"/>
      <c r="TS443" s="15"/>
      <c r="TT443" s="15"/>
      <c r="TU443" s="15"/>
      <c r="TV443" s="15"/>
      <c r="TW443" s="15"/>
      <c r="TX443" s="15"/>
      <c r="TY443" s="15"/>
      <c r="TZ443" s="15"/>
      <c r="UA443" s="15"/>
      <c r="UB443" s="15"/>
      <c r="UC443" s="15"/>
      <c r="UD443" s="15"/>
      <c r="UE443" s="15"/>
      <c r="UF443" s="15"/>
      <c r="UG443" s="15"/>
      <c r="UH443" s="15"/>
      <c r="UI443" s="15"/>
      <c r="UJ443" s="15"/>
      <c r="UK443" s="15"/>
      <c r="UL443" s="15"/>
      <c r="UM443" s="15"/>
      <c r="UN443" s="15"/>
      <c r="UO443" s="15"/>
      <c r="UP443" s="15"/>
      <c r="UQ443" s="15"/>
      <c r="UR443" s="15"/>
      <c r="US443" s="15"/>
      <c r="UU443" s="13"/>
      <c r="UX443" s="281"/>
      <c r="UY443" s="282"/>
      <c r="UZ443" s="12"/>
      <c r="VA443" s="13"/>
      <c r="VB443" s="12"/>
      <c r="VI443" s="13"/>
      <c r="WI443" s="12"/>
      <c r="WN443" s="13"/>
      <c r="WQ443" s="13"/>
      <c r="WT443" s="13"/>
    </row>
    <row r="444" spans="27:618" ht="10.75" customHeight="1">
      <c r="AA444" s="12"/>
      <c r="AB444" s="12"/>
      <c r="AY444" s="13"/>
      <c r="AZ444" s="18"/>
      <c r="HK444" s="9"/>
      <c r="HL444" s="10"/>
      <c r="HM444" s="10"/>
      <c r="HN444" s="10"/>
      <c r="HO444" s="11"/>
      <c r="HP444" s="12"/>
      <c r="HQ444" s="9"/>
      <c r="HR444" s="10"/>
      <c r="HS444" s="10"/>
      <c r="HT444" s="10"/>
      <c r="HU444" s="9"/>
      <c r="HV444" s="9"/>
      <c r="HW444" s="10"/>
      <c r="HX444" s="10"/>
      <c r="HY444" s="10"/>
      <c r="HZ444" s="11"/>
      <c r="ID444" s="9"/>
      <c r="IE444" s="10"/>
      <c r="IF444" s="10"/>
      <c r="IG444" s="10"/>
      <c r="IH444" s="10"/>
      <c r="II444" s="10"/>
      <c r="IJ444" s="10"/>
      <c r="IK444" s="10"/>
      <c r="IL444" s="10"/>
      <c r="IM444" s="10"/>
      <c r="IN444" s="10"/>
      <c r="IO444" s="10"/>
      <c r="IP444" s="10"/>
      <c r="IQ444" s="10"/>
      <c r="IR444" s="10"/>
      <c r="IS444" s="10"/>
      <c r="IT444" s="10"/>
      <c r="IU444" s="10"/>
      <c r="IV444" s="10"/>
      <c r="IW444" s="10"/>
      <c r="IX444" s="10"/>
      <c r="IY444" s="10"/>
      <c r="IZ444" s="10"/>
      <c r="JA444" s="10"/>
      <c r="JB444" s="10"/>
      <c r="JC444" s="10"/>
      <c r="JD444" s="10"/>
      <c r="JE444" s="10"/>
      <c r="JF444" s="10"/>
      <c r="JG444" s="10"/>
      <c r="JH444" s="10"/>
      <c r="JI444" s="10"/>
      <c r="JJ444" s="10"/>
      <c r="JK444" s="10"/>
      <c r="JL444" s="10"/>
      <c r="JM444" s="10"/>
      <c r="JN444" s="10"/>
      <c r="JO444" s="10"/>
      <c r="JP444" s="10"/>
      <c r="JQ444" s="10"/>
      <c r="JR444" s="10"/>
      <c r="JS444" s="10"/>
      <c r="JT444" s="10"/>
      <c r="JU444" s="10"/>
      <c r="JV444" s="10"/>
      <c r="JW444" s="10"/>
      <c r="JX444" s="10"/>
      <c r="JY444" s="10"/>
      <c r="JZ444" s="10"/>
      <c r="KA444" s="10"/>
      <c r="KB444" s="10"/>
      <c r="KC444" s="10"/>
      <c r="KD444" s="10"/>
      <c r="KE444" s="9"/>
      <c r="KF444" s="11"/>
      <c r="MF444" s="13"/>
      <c r="MI444" s="13"/>
      <c r="MN444" s="13"/>
      <c r="MO444" s="13"/>
      <c r="MY444" s="13"/>
      <c r="NY444" s="12"/>
      <c r="OA444" s="13"/>
      <c r="OB444" s="12"/>
      <c r="OI444" s="13"/>
      <c r="PP444" s="12"/>
      <c r="PW444" s="13"/>
      <c r="PX444" s="12"/>
      <c r="PY444" s="13"/>
      <c r="PZ444" s="12"/>
      <c r="QB444" s="281"/>
      <c r="QC444" s="282"/>
      <c r="QD444" s="12"/>
      <c r="QE444" s="13"/>
      <c r="QF444" s="12"/>
      <c r="QM444" s="13"/>
      <c r="RK444" s="14"/>
      <c r="RL444" s="15"/>
      <c r="RM444" s="15"/>
      <c r="RN444" s="15"/>
      <c r="RO444" s="15"/>
      <c r="RP444" s="16"/>
      <c r="RS444" s="13"/>
      <c r="RV444" s="13"/>
      <c r="SX444" s="12"/>
      <c r="TA444" s="9"/>
      <c r="TB444" s="10"/>
      <c r="TC444" s="10"/>
      <c r="TD444" s="10"/>
      <c r="TE444" s="10"/>
      <c r="TF444" s="10"/>
      <c r="TG444" s="10"/>
      <c r="TH444" s="10"/>
      <c r="TI444" s="10"/>
      <c r="TJ444" s="10"/>
      <c r="TK444" s="10"/>
      <c r="TL444" s="10"/>
      <c r="TM444" s="10"/>
      <c r="TN444" s="10"/>
      <c r="TO444" s="10"/>
      <c r="TP444" s="10"/>
      <c r="TQ444" s="10"/>
      <c r="TR444" s="10"/>
      <c r="TS444" s="10"/>
      <c r="TT444" s="10"/>
      <c r="TU444" s="10"/>
      <c r="TV444" s="10"/>
      <c r="TW444" s="10"/>
      <c r="TX444" s="10"/>
      <c r="TY444" s="10"/>
      <c r="TZ444" s="10"/>
      <c r="UA444" s="10"/>
      <c r="UB444" s="10"/>
      <c r="UC444" s="10"/>
      <c r="UD444" s="10"/>
      <c r="UE444" s="10"/>
      <c r="UF444" s="10"/>
      <c r="UG444" s="10"/>
      <c r="UH444" s="10"/>
      <c r="UI444" s="10"/>
      <c r="UJ444" s="10"/>
      <c r="UK444" s="10"/>
      <c r="UL444" s="10"/>
      <c r="UM444" s="10"/>
      <c r="UN444" s="10"/>
      <c r="UO444" s="10"/>
      <c r="UP444" s="10"/>
      <c r="UQ444" s="10"/>
      <c r="UR444" s="10"/>
      <c r="US444" s="11"/>
      <c r="UU444" s="13"/>
      <c r="UX444" s="281"/>
      <c r="UY444" s="282"/>
      <c r="UZ444" s="12"/>
      <c r="VA444" s="13"/>
      <c r="VB444" s="12"/>
      <c r="VI444" s="13"/>
      <c r="WI444" s="12"/>
      <c r="WN444" s="13"/>
      <c r="WQ444" s="13"/>
      <c r="WT444" s="13"/>
    </row>
    <row r="445" spans="27:618" ht="10.75" customHeight="1">
      <c r="AA445" s="12"/>
      <c r="AB445" s="12"/>
      <c r="AY445" s="13"/>
      <c r="AZ445" s="18"/>
      <c r="HK445" s="12"/>
      <c r="HO445" s="13"/>
      <c r="HP445" s="12"/>
      <c r="HQ445" s="12"/>
      <c r="HU445" s="12"/>
      <c r="HV445" s="12"/>
      <c r="HZ445" s="13"/>
      <c r="IB445" s="119"/>
      <c r="ID445" s="12"/>
      <c r="JC445" s="9"/>
      <c r="JD445" s="10"/>
      <c r="JE445" s="10"/>
      <c r="JF445" s="10"/>
      <c r="JG445" s="10"/>
      <c r="JH445" s="10"/>
      <c r="JI445" s="10"/>
      <c r="JJ445" s="11"/>
      <c r="KE445" s="12"/>
      <c r="KF445" s="13"/>
      <c r="MF445" s="13"/>
      <c r="MI445" s="13"/>
      <c r="MN445" s="13"/>
      <c r="MO445" s="13"/>
      <c r="MY445" s="13"/>
      <c r="NY445" s="12"/>
      <c r="OA445" s="13"/>
      <c r="OB445" s="12"/>
      <c r="OI445" s="13"/>
      <c r="PP445" s="12"/>
      <c r="PW445" s="13"/>
      <c r="PX445" s="12"/>
      <c r="PY445" s="13"/>
      <c r="PZ445" s="12"/>
      <c r="QB445" s="281"/>
      <c r="QC445" s="282"/>
      <c r="QD445" s="12"/>
      <c r="QE445" s="13"/>
      <c r="QF445" s="12"/>
      <c r="QM445" s="13"/>
      <c r="RS445" s="13"/>
      <c r="RV445" s="13"/>
      <c r="SX445" s="12"/>
      <c r="TA445" s="12"/>
      <c r="US445" s="13"/>
      <c r="UU445" s="13"/>
      <c r="UX445" s="281"/>
      <c r="UY445" s="282"/>
      <c r="UZ445" s="12"/>
      <c r="VA445" s="13"/>
      <c r="VB445" s="12"/>
      <c r="VI445" s="13"/>
      <c r="WI445" s="12"/>
      <c r="WN445" s="13"/>
      <c r="WQ445" s="13"/>
      <c r="WT445" s="13"/>
    </row>
    <row r="446" spans="27:618" ht="10.75" customHeight="1">
      <c r="AA446" s="12"/>
      <c r="AB446" s="14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16"/>
      <c r="AZ446" s="18"/>
      <c r="HK446" s="12"/>
      <c r="HO446" s="13"/>
      <c r="HP446" s="12"/>
      <c r="HQ446" s="12"/>
      <c r="HU446" s="12"/>
      <c r="HV446" s="12"/>
      <c r="HZ446" s="13"/>
      <c r="IB446" s="119"/>
      <c r="ID446" s="12"/>
      <c r="JC446" s="12"/>
      <c r="JJ446" s="13"/>
      <c r="KE446" s="12"/>
      <c r="KF446" s="13"/>
      <c r="MF446" s="13"/>
      <c r="MI446" s="13"/>
      <c r="MN446" s="13"/>
      <c r="MO446" s="13"/>
      <c r="MY446" s="13"/>
      <c r="NY446" s="12"/>
      <c r="OA446" s="13"/>
      <c r="OB446" s="12"/>
      <c r="OI446" s="13"/>
      <c r="PP446" s="12"/>
      <c r="PW446" s="13"/>
      <c r="PX446" s="12"/>
      <c r="PY446" s="13"/>
      <c r="PZ446" s="12"/>
      <c r="QB446" s="281"/>
      <c r="QC446" s="282"/>
      <c r="QD446" s="12"/>
      <c r="QE446" s="13"/>
      <c r="QF446" s="12"/>
      <c r="QM446" s="13"/>
      <c r="RS446" s="13"/>
      <c r="RV446" s="13"/>
      <c r="SX446" s="12"/>
      <c r="TA446" s="12"/>
      <c r="US446" s="13"/>
      <c r="UU446" s="13"/>
      <c r="UX446" s="281"/>
      <c r="UY446" s="282"/>
      <c r="UZ446" s="12"/>
      <c r="VA446" s="13"/>
      <c r="VB446" s="12"/>
      <c r="VI446" s="13"/>
      <c r="WI446" s="12"/>
      <c r="WN446" s="13"/>
      <c r="WQ446" s="13"/>
      <c r="WT446" s="13"/>
    </row>
    <row r="447" spans="27:618" ht="10.75" customHeight="1">
      <c r="AA447" s="14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16"/>
      <c r="AZ447" s="19"/>
      <c r="HK447" s="12"/>
      <c r="HO447" s="13"/>
      <c r="HP447" s="12"/>
      <c r="HQ447" s="12"/>
      <c r="HU447" s="12"/>
      <c r="HV447" s="12"/>
      <c r="HZ447" s="13"/>
      <c r="IB447" s="119"/>
      <c r="ID447" s="12"/>
      <c r="JC447" s="12"/>
      <c r="JJ447" s="13"/>
      <c r="KE447" s="12"/>
      <c r="KF447" s="13"/>
      <c r="MF447" s="13"/>
      <c r="MI447" s="13"/>
      <c r="MN447" s="13"/>
      <c r="MO447" s="13"/>
      <c r="MY447" s="13"/>
      <c r="NY447" s="12"/>
      <c r="OA447" s="13"/>
      <c r="OB447" s="12"/>
      <c r="OI447" s="13"/>
      <c r="PP447" s="12"/>
      <c r="PW447" s="13"/>
      <c r="PX447" s="12"/>
      <c r="PY447" s="13"/>
      <c r="PZ447" s="12"/>
      <c r="QB447" s="281"/>
      <c r="QC447" s="282"/>
      <c r="QD447" s="12"/>
      <c r="QE447" s="13"/>
      <c r="QF447" s="12"/>
      <c r="QM447" s="13"/>
      <c r="RS447" s="13"/>
      <c r="RV447" s="13"/>
      <c r="SX447" s="12"/>
      <c r="TA447" s="12"/>
      <c r="US447" s="13"/>
      <c r="UU447" s="13"/>
      <c r="UX447" s="281"/>
      <c r="UY447" s="282"/>
      <c r="UZ447" s="12"/>
      <c r="VA447" s="13"/>
      <c r="VB447" s="12"/>
      <c r="VI447" s="13"/>
      <c r="WI447" s="12"/>
      <c r="WN447" s="13"/>
      <c r="WQ447" s="13"/>
      <c r="WT447" s="13"/>
    </row>
    <row r="448" spans="27:618" ht="10.75" customHeight="1">
      <c r="HK448" s="12"/>
      <c r="HO448" s="13"/>
      <c r="HP448" s="12"/>
      <c r="HQ448" s="12"/>
      <c r="HU448" s="12"/>
      <c r="HV448" s="12"/>
      <c r="HZ448" s="13"/>
      <c r="IB448" s="119"/>
      <c r="ID448" s="12"/>
      <c r="JC448" s="12"/>
      <c r="JJ448" s="13"/>
      <c r="KE448" s="12"/>
      <c r="KF448" s="13"/>
      <c r="MF448" s="13"/>
      <c r="MI448" s="13"/>
      <c r="MN448" s="13"/>
      <c r="MO448" s="13"/>
      <c r="MY448" s="13"/>
      <c r="NY448" s="12"/>
      <c r="OA448" s="13"/>
      <c r="OB448" s="12"/>
      <c r="OI448" s="13"/>
      <c r="PP448" s="12"/>
      <c r="PW448" s="13"/>
      <c r="PX448" s="12"/>
      <c r="PY448" s="13"/>
      <c r="PZ448" s="12"/>
      <c r="QB448" s="281"/>
      <c r="QC448" s="282"/>
      <c r="QD448" s="14"/>
      <c r="QE448" s="16"/>
      <c r="QF448" s="14"/>
      <c r="QG448" s="15"/>
      <c r="QH448" s="15"/>
      <c r="QI448" s="15"/>
      <c r="QJ448" s="15"/>
      <c r="QK448" s="15"/>
      <c r="QL448" s="15"/>
      <c r="QM448" s="16"/>
      <c r="RS448" s="13"/>
      <c r="RV448" s="13"/>
      <c r="SX448" s="12"/>
      <c r="TA448" s="12"/>
      <c r="US448" s="13"/>
      <c r="UU448" s="13"/>
      <c r="UX448" s="281"/>
      <c r="UY448" s="282"/>
      <c r="UZ448" s="12"/>
      <c r="VA448" s="13"/>
      <c r="VB448" s="12"/>
      <c r="VI448" s="13"/>
      <c r="WI448" s="12"/>
      <c r="WN448" s="13"/>
      <c r="WQ448" s="13"/>
      <c r="WT448" s="13"/>
    </row>
    <row r="449" spans="219:618" ht="10.75" customHeight="1">
      <c r="HK449" s="12"/>
      <c r="HP449" s="12"/>
      <c r="HQ449" s="12"/>
      <c r="HU449" s="12"/>
      <c r="HV449" s="12"/>
      <c r="HZ449" s="13"/>
      <c r="IB449" s="119"/>
      <c r="ID449" s="12"/>
      <c r="JC449" s="12"/>
      <c r="JJ449" s="13"/>
      <c r="KE449" s="12"/>
      <c r="KF449" s="13"/>
      <c r="MF449" s="13"/>
      <c r="MI449" s="13"/>
      <c r="MN449" s="13"/>
      <c r="MO449" s="13"/>
      <c r="MY449" s="13"/>
      <c r="NY449" s="12"/>
      <c r="OA449" s="13"/>
      <c r="OB449" s="12"/>
      <c r="OI449" s="13"/>
      <c r="PP449" s="12"/>
      <c r="PW449" s="13"/>
      <c r="PX449" s="12"/>
      <c r="PY449" s="13"/>
      <c r="PZ449" s="12"/>
      <c r="QB449" s="281"/>
      <c r="QC449" s="282"/>
      <c r="QD449" s="282"/>
      <c r="QE449" s="282"/>
      <c r="QF449" s="282"/>
      <c r="QG449" s="282"/>
      <c r="QH449" s="282"/>
      <c r="QI449" s="282"/>
      <c r="QJ449" s="282"/>
      <c r="QK449" s="282"/>
      <c r="QL449" s="282"/>
      <c r="QM449" s="284"/>
      <c r="RS449" s="13"/>
      <c r="RV449" s="13"/>
      <c r="SX449" s="12"/>
      <c r="TA449" s="12"/>
      <c r="US449" s="13"/>
      <c r="UU449" s="13"/>
      <c r="UX449" s="281"/>
      <c r="UY449" s="282"/>
      <c r="UZ449" s="12"/>
      <c r="VA449" s="13"/>
      <c r="VB449" s="12"/>
      <c r="VI449" s="13"/>
      <c r="WI449" s="14"/>
      <c r="WJ449" s="15"/>
      <c r="WK449" s="15"/>
      <c r="WL449" s="15"/>
      <c r="WM449" s="15"/>
      <c r="WN449" s="16"/>
      <c r="WQ449" s="13"/>
      <c r="WT449" s="13"/>
    </row>
    <row r="450" spans="219:618" ht="10.75" customHeight="1">
      <c r="HK450" s="12"/>
      <c r="HP450" s="12"/>
      <c r="HQ450" s="12"/>
      <c r="HU450" s="12"/>
      <c r="HV450" s="12"/>
      <c r="HZ450" s="13"/>
      <c r="IB450" s="119"/>
      <c r="ID450" s="12"/>
      <c r="JC450" s="12"/>
      <c r="JJ450" s="13"/>
      <c r="KE450" s="12"/>
      <c r="KF450" s="13"/>
      <c r="MF450" s="13"/>
      <c r="MI450" s="13"/>
      <c r="MN450" s="13"/>
      <c r="MO450" s="13"/>
      <c r="MY450" s="13"/>
      <c r="NY450" s="12"/>
      <c r="OA450" s="13"/>
      <c r="OB450" s="12"/>
      <c r="OI450" s="13"/>
      <c r="PP450" s="12"/>
      <c r="PW450" s="13"/>
      <c r="PX450" s="12"/>
      <c r="PY450" s="13"/>
      <c r="PZ450" s="12"/>
      <c r="QB450" s="285"/>
      <c r="QC450" s="286"/>
      <c r="QD450" s="286"/>
      <c r="QE450" s="286"/>
      <c r="QF450" s="286"/>
      <c r="QG450" s="286"/>
      <c r="QH450" s="286"/>
      <c r="QI450" s="286"/>
      <c r="QJ450" s="286"/>
      <c r="QK450" s="286"/>
      <c r="QL450" s="286"/>
      <c r="QM450" s="287"/>
      <c r="RS450" s="13"/>
      <c r="RV450" s="13"/>
      <c r="SX450" s="12"/>
      <c r="TA450" s="12"/>
      <c r="US450" s="13"/>
      <c r="UU450" s="13"/>
      <c r="UX450" s="281"/>
      <c r="UY450" s="282"/>
      <c r="UZ450" s="12"/>
      <c r="VA450" s="13"/>
      <c r="VB450" s="12"/>
      <c r="VI450" s="13"/>
      <c r="WQ450" s="13"/>
      <c r="WT450" s="13"/>
    </row>
    <row r="451" spans="219:618" ht="10.75" customHeight="1">
      <c r="HK451" s="12"/>
      <c r="HP451" s="12"/>
      <c r="HQ451" s="12"/>
      <c r="HU451" s="12"/>
      <c r="HV451" s="12"/>
      <c r="HZ451" s="13"/>
      <c r="IB451" s="119"/>
      <c r="ID451" s="12"/>
      <c r="JC451" s="12"/>
      <c r="JJ451" s="13"/>
      <c r="KE451" s="12"/>
      <c r="KF451" s="13"/>
      <c r="MF451" s="13"/>
      <c r="MI451" s="13"/>
      <c r="MN451" s="13"/>
      <c r="MO451" s="13"/>
      <c r="MY451" s="13"/>
      <c r="NY451" s="12"/>
      <c r="OA451" s="13"/>
      <c r="OB451" s="12"/>
      <c r="OI451" s="13"/>
      <c r="PP451" s="12"/>
      <c r="PW451" s="13"/>
      <c r="PX451" s="12"/>
      <c r="PY451" s="13"/>
      <c r="PZ451" s="12"/>
      <c r="RS451" s="13"/>
      <c r="RV451" s="13"/>
      <c r="SX451" s="12"/>
      <c r="TA451" s="12"/>
      <c r="US451" s="13"/>
      <c r="UU451" s="13"/>
      <c r="UX451" s="281"/>
      <c r="UY451" s="282"/>
      <c r="UZ451" s="12"/>
      <c r="VA451" s="13"/>
      <c r="VB451" s="12"/>
      <c r="VI451" s="13"/>
      <c r="WQ451" s="13"/>
      <c r="WT451" s="13"/>
    </row>
    <row r="452" spans="219:618" ht="10.75" customHeight="1">
      <c r="HK452" s="12"/>
      <c r="HP452" s="12"/>
      <c r="HQ452" s="12"/>
      <c r="HU452" s="12"/>
      <c r="HV452" s="12"/>
      <c r="HZ452" s="13"/>
      <c r="IB452" s="119"/>
      <c r="ID452" s="12"/>
      <c r="JC452" s="20"/>
      <c r="JD452" s="21"/>
      <c r="JE452" s="21"/>
      <c r="JF452" s="21"/>
      <c r="JG452" s="21"/>
      <c r="JH452" s="21"/>
      <c r="JI452" s="21"/>
      <c r="JJ452" s="22"/>
      <c r="KE452" s="12"/>
      <c r="KF452" s="13"/>
      <c r="MF452" s="13"/>
      <c r="MI452" s="13"/>
      <c r="MN452" s="13"/>
      <c r="MO452" s="13"/>
      <c r="MY452" s="13"/>
      <c r="NY452" s="12"/>
      <c r="OA452" s="13"/>
      <c r="OB452" s="12"/>
      <c r="OI452" s="13"/>
      <c r="PP452" s="12"/>
      <c r="PW452" s="13"/>
      <c r="PX452" s="12"/>
      <c r="PY452" s="13"/>
      <c r="PZ452" s="12"/>
      <c r="RS452" s="13"/>
      <c r="RV452" s="13"/>
      <c r="SX452" s="12"/>
      <c r="TA452" s="12"/>
      <c r="TI452" s="9"/>
      <c r="TJ452" s="10"/>
      <c r="TK452" s="10"/>
      <c r="TL452" s="10"/>
      <c r="TM452" s="10"/>
      <c r="TN452" s="10"/>
      <c r="TO452" s="10"/>
      <c r="TP452" s="10"/>
      <c r="TQ452" s="10"/>
      <c r="TR452" s="10"/>
      <c r="TS452" s="10"/>
      <c r="TT452" s="10"/>
      <c r="TU452" s="10"/>
      <c r="TV452" s="10"/>
      <c r="TW452" s="10"/>
      <c r="TX452" s="10"/>
      <c r="TY452" s="10"/>
      <c r="TZ452" s="10"/>
      <c r="UA452" s="10"/>
      <c r="UB452" s="10"/>
      <c r="UC452" s="10"/>
      <c r="UD452" s="10"/>
      <c r="UE452" s="10"/>
      <c r="UF452" s="10"/>
      <c r="UG452" s="10"/>
      <c r="UH452" s="10"/>
      <c r="UI452" s="10"/>
      <c r="UJ452" s="10"/>
      <c r="UK452" s="11"/>
      <c r="US452" s="13"/>
      <c r="UU452" s="13"/>
      <c r="UX452" s="281"/>
      <c r="UY452" s="282"/>
      <c r="UZ452" s="12"/>
      <c r="VA452" s="13"/>
      <c r="VB452" s="12"/>
      <c r="VI452" s="13"/>
      <c r="WQ452" s="13"/>
      <c r="WT452" s="13"/>
    </row>
    <row r="453" spans="219:618" ht="10.75" customHeight="1">
      <c r="HK453" s="12"/>
      <c r="HP453" s="12"/>
      <c r="HQ453" s="12"/>
      <c r="HU453" s="12"/>
      <c r="HV453" s="12"/>
      <c r="HZ453" s="13"/>
      <c r="IB453" s="119"/>
      <c r="ID453" s="12"/>
      <c r="JJ453" s="131"/>
      <c r="KE453" s="12"/>
      <c r="KF453" s="13"/>
      <c r="MF453" s="13"/>
      <c r="MI453" s="13"/>
      <c r="MN453" s="13"/>
      <c r="MO453" s="13"/>
      <c r="MY453" s="13"/>
      <c r="NY453" s="12"/>
      <c r="OA453" s="13"/>
      <c r="OB453" s="12"/>
      <c r="OI453" s="13"/>
      <c r="PP453" s="12"/>
      <c r="PW453" s="13"/>
      <c r="PX453" s="12"/>
      <c r="PY453" s="13"/>
      <c r="PZ453" s="12"/>
      <c r="RS453" s="13"/>
      <c r="RV453" s="13"/>
      <c r="SX453" s="12"/>
      <c r="TA453" s="12"/>
      <c r="TI453" s="12"/>
      <c r="UK453" s="13"/>
      <c r="US453" s="13"/>
      <c r="UU453" s="13"/>
      <c r="UX453" s="281"/>
      <c r="UY453" s="282"/>
      <c r="UZ453" s="14"/>
      <c r="VA453" s="16"/>
      <c r="VB453" s="14"/>
      <c r="VC453" s="15"/>
      <c r="VD453" s="15"/>
      <c r="VE453" s="15"/>
      <c r="VF453" s="15"/>
      <c r="VG453" s="15"/>
      <c r="VH453" s="15"/>
      <c r="VI453" s="16"/>
      <c r="WQ453" s="13"/>
      <c r="WT453" s="13"/>
    </row>
    <row r="454" spans="219:618" ht="10.75" customHeight="1">
      <c r="HK454" s="12"/>
      <c r="HP454" s="12"/>
      <c r="HQ454" s="12"/>
      <c r="HU454" s="12"/>
      <c r="HV454" s="12"/>
      <c r="HZ454" s="13"/>
      <c r="IB454" s="119"/>
      <c r="ID454" s="12"/>
      <c r="KE454" s="14"/>
      <c r="KF454" s="16"/>
      <c r="MF454" s="13"/>
      <c r="MI454" s="13"/>
      <c r="MN454" s="13"/>
      <c r="MO454" s="13"/>
      <c r="MY454" s="13"/>
      <c r="NY454" s="12"/>
      <c r="OA454" s="13"/>
      <c r="OB454" s="12"/>
      <c r="OI454" s="13"/>
      <c r="PP454" s="12"/>
      <c r="PW454" s="13"/>
      <c r="PX454" s="12"/>
      <c r="PY454" s="13"/>
      <c r="PZ454" s="12"/>
      <c r="RS454" s="13"/>
      <c r="RV454" s="13"/>
      <c r="SX454" s="12"/>
      <c r="TA454" s="12"/>
      <c r="TI454" s="12"/>
      <c r="UK454" s="13"/>
      <c r="US454" s="13"/>
      <c r="UU454" s="13"/>
      <c r="UX454" s="281"/>
      <c r="UY454" s="282"/>
      <c r="UZ454" s="282"/>
      <c r="VA454" s="282"/>
      <c r="VB454" s="282"/>
      <c r="VC454" s="282"/>
      <c r="VD454" s="282"/>
      <c r="VE454" s="282"/>
      <c r="VF454" s="282"/>
      <c r="VG454" s="282"/>
      <c r="VH454" s="282"/>
      <c r="VI454" s="284"/>
      <c r="WQ454" s="13"/>
      <c r="WT454" s="13"/>
    </row>
    <row r="455" spans="219:618" ht="10.75" customHeight="1">
      <c r="HK455" s="12"/>
      <c r="HP455" s="12"/>
      <c r="HQ455" s="14"/>
      <c r="HR455" s="15"/>
      <c r="HS455" s="15"/>
      <c r="HT455" s="15"/>
      <c r="HU455" s="14"/>
      <c r="HV455" s="14"/>
      <c r="HW455" s="15"/>
      <c r="HX455" s="15"/>
      <c r="HY455" s="15"/>
      <c r="HZ455" s="16"/>
      <c r="ID455" s="12"/>
      <c r="MF455" s="13"/>
      <c r="MI455" s="13"/>
      <c r="MN455" s="13"/>
      <c r="MO455" s="13"/>
      <c r="MY455" s="13"/>
      <c r="NY455" s="12"/>
      <c r="OA455" s="13"/>
      <c r="OB455" s="12"/>
      <c r="OI455" s="13"/>
      <c r="PP455" s="12"/>
      <c r="PW455" s="13"/>
      <c r="PX455" s="12"/>
      <c r="PY455" s="13"/>
      <c r="PZ455" s="12"/>
      <c r="RS455" s="13"/>
      <c r="RV455" s="13"/>
      <c r="SX455" s="12"/>
      <c r="TA455" s="12"/>
      <c r="TI455" s="12"/>
      <c r="UK455" s="13"/>
      <c r="US455" s="13"/>
      <c r="UU455" s="13"/>
      <c r="UX455" s="285"/>
      <c r="UY455" s="286"/>
      <c r="UZ455" s="286"/>
      <c r="VA455" s="286"/>
      <c r="VB455" s="286"/>
      <c r="VC455" s="286"/>
      <c r="VD455" s="286"/>
      <c r="VE455" s="286"/>
      <c r="VF455" s="286"/>
      <c r="VG455" s="286"/>
      <c r="VH455" s="286"/>
      <c r="VI455" s="287"/>
      <c r="WQ455" s="13"/>
      <c r="WT455" s="13"/>
    </row>
    <row r="456" spans="219:618" ht="10.75" customHeight="1">
      <c r="HK456" s="12"/>
      <c r="HP456" s="14"/>
      <c r="HQ456" s="15"/>
      <c r="HR456" s="15"/>
      <c r="HS456" s="15"/>
      <c r="HT456" s="15"/>
      <c r="HU456" s="14"/>
      <c r="HV456" s="14"/>
      <c r="HW456" s="15"/>
      <c r="HX456" s="15"/>
      <c r="HY456" s="15"/>
      <c r="HZ456" s="16"/>
      <c r="ID456" s="9"/>
      <c r="IE456" s="10"/>
      <c r="IF456" s="10"/>
      <c r="IG456" s="10"/>
      <c r="IH456" s="10"/>
      <c r="II456" s="10"/>
      <c r="IJ456" s="10"/>
      <c r="IK456" s="11"/>
      <c r="IL456" s="12"/>
      <c r="MF456" s="13"/>
      <c r="MI456" s="13"/>
      <c r="MN456" s="13"/>
      <c r="MO456" s="13"/>
      <c r="MY456" s="13"/>
      <c r="NY456" s="12"/>
      <c r="OA456" s="13"/>
      <c r="OB456" s="12"/>
      <c r="OI456" s="13"/>
      <c r="PP456" s="12"/>
      <c r="PW456" s="13"/>
      <c r="PX456" s="12"/>
      <c r="PY456" s="13"/>
      <c r="PZ456" s="12"/>
      <c r="RS456" s="13"/>
      <c r="RV456" s="13"/>
      <c r="SX456" s="12"/>
      <c r="TA456" s="12"/>
      <c r="TI456" s="12"/>
      <c r="UK456" s="13"/>
      <c r="US456" s="13"/>
      <c r="UU456" s="13"/>
      <c r="WQ456" s="13"/>
      <c r="WT456" s="13"/>
    </row>
    <row r="457" spans="219:618" ht="10.75" customHeight="1">
      <c r="HK457" s="12"/>
      <c r="HU457" s="12"/>
      <c r="HV457" s="12"/>
      <c r="HZ457" s="13"/>
      <c r="IA457" s="12"/>
      <c r="ID457" s="12"/>
      <c r="IK457" s="13"/>
      <c r="IL457" s="12"/>
      <c r="MF457" s="13"/>
      <c r="MI457" s="13"/>
      <c r="MN457" s="13"/>
      <c r="MO457" s="13"/>
      <c r="MY457" s="13"/>
      <c r="NY457" s="12"/>
      <c r="OA457" s="13"/>
      <c r="OB457" s="14"/>
      <c r="OC457" s="15"/>
      <c r="OD457" s="15"/>
      <c r="OE457" s="15"/>
      <c r="OF457" s="15"/>
      <c r="OG457" s="15"/>
      <c r="OH457" s="15"/>
      <c r="OI457" s="16"/>
      <c r="PP457" s="12"/>
      <c r="PW457" s="13"/>
      <c r="PX457" s="12"/>
      <c r="PY457" s="13"/>
      <c r="PZ457" s="12"/>
      <c r="RS457" s="13"/>
      <c r="RV457" s="13"/>
      <c r="SX457" s="12"/>
      <c r="TA457" s="12"/>
      <c r="TI457" s="12"/>
      <c r="UK457" s="13"/>
      <c r="US457" s="13"/>
      <c r="UU457" s="13"/>
      <c r="WQ457" s="13"/>
      <c r="WT457" s="13"/>
    </row>
    <row r="458" spans="219:618" ht="10.75" customHeight="1">
      <c r="HK458" s="12"/>
      <c r="HU458" s="12"/>
      <c r="HV458" s="12"/>
      <c r="HZ458" s="13"/>
      <c r="IA458" s="12"/>
      <c r="ID458" s="12"/>
      <c r="IL458" s="12"/>
      <c r="MF458" s="13"/>
      <c r="MI458" s="13"/>
      <c r="MN458" s="13"/>
      <c r="MO458" s="13"/>
      <c r="MY458" s="13"/>
      <c r="NY458" s="12"/>
      <c r="OA458" s="13"/>
      <c r="PP458" s="10"/>
      <c r="PQ458" s="10"/>
      <c r="PR458" s="10"/>
      <c r="PS458" s="10"/>
      <c r="PT458" s="10"/>
      <c r="PU458" s="10"/>
      <c r="PV458" s="10"/>
      <c r="PW458" s="11"/>
      <c r="PX458" s="12"/>
      <c r="PY458" s="13"/>
      <c r="PZ458" s="12"/>
      <c r="RS458" s="13"/>
      <c r="RV458" s="13"/>
      <c r="SX458" s="12"/>
      <c r="TA458" s="12"/>
      <c r="TI458" s="12"/>
      <c r="UK458" s="13"/>
      <c r="US458" s="13"/>
      <c r="UU458" s="13"/>
      <c r="WQ458" s="13"/>
      <c r="WT458" s="13"/>
    </row>
    <row r="459" spans="219:618" ht="10.75" customHeight="1">
      <c r="HK459" s="12"/>
      <c r="HU459" s="12"/>
      <c r="HV459" s="12"/>
      <c r="HZ459" s="13"/>
      <c r="IA459" s="12"/>
      <c r="ID459" s="12"/>
      <c r="IK459" s="13"/>
      <c r="IL459" s="12"/>
      <c r="MF459" s="13"/>
      <c r="MI459" s="13"/>
      <c r="MN459" s="13"/>
      <c r="MO459" s="13"/>
      <c r="MY459" s="13"/>
      <c r="NY459" s="12"/>
      <c r="OA459" s="13"/>
      <c r="PW459" s="13"/>
      <c r="PX459" s="12"/>
      <c r="PY459" s="13"/>
      <c r="PZ459" s="12"/>
      <c r="RS459" s="13"/>
      <c r="RV459" s="13"/>
      <c r="SX459" s="12"/>
      <c r="TA459" s="12"/>
      <c r="TI459" s="12"/>
      <c r="UK459" s="13"/>
      <c r="US459" s="13"/>
      <c r="UU459" s="13"/>
      <c r="WQ459" s="13"/>
      <c r="WT459" s="13"/>
    </row>
    <row r="460" spans="219:618" ht="10.75" customHeight="1">
      <c r="HK460" s="12"/>
      <c r="HU460" s="12"/>
      <c r="HV460" s="12"/>
      <c r="HZ460" s="13"/>
      <c r="IA460" s="12"/>
      <c r="ID460" s="12"/>
      <c r="IK460" s="13"/>
      <c r="IL460" s="12"/>
      <c r="MF460" s="13"/>
      <c r="MI460" s="13"/>
      <c r="MN460" s="13"/>
      <c r="MO460" s="13"/>
      <c r="MY460" s="13"/>
      <c r="NY460" s="12"/>
      <c r="OA460" s="13"/>
      <c r="PW460" s="13"/>
      <c r="PX460" s="12"/>
      <c r="PY460" s="13"/>
      <c r="PZ460" s="12"/>
      <c r="RS460" s="13"/>
      <c r="RV460" s="13"/>
      <c r="SX460" s="12"/>
      <c r="TA460" s="12"/>
      <c r="TI460" s="12"/>
      <c r="UK460" s="13"/>
      <c r="US460" s="13"/>
      <c r="UU460" s="13"/>
      <c r="WQ460" s="13"/>
      <c r="WT460" s="13"/>
    </row>
    <row r="461" spans="219:618" ht="10.75" customHeight="1">
      <c r="HK461" s="12"/>
      <c r="HU461" s="12"/>
      <c r="HV461" s="12"/>
      <c r="HZ461" s="13"/>
      <c r="IA461" s="12"/>
      <c r="ID461" s="12"/>
      <c r="IK461" s="13"/>
      <c r="IL461" s="12"/>
      <c r="MF461" s="13"/>
      <c r="MI461" s="13"/>
      <c r="MN461" s="13"/>
      <c r="MO461" s="13"/>
      <c r="MY461" s="13"/>
      <c r="NY461" s="12"/>
      <c r="OA461" s="13"/>
      <c r="PW461" s="13"/>
      <c r="PX461" s="14"/>
      <c r="PY461" s="16"/>
      <c r="PZ461" s="12"/>
      <c r="RS461" s="13"/>
      <c r="RV461" s="13"/>
      <c r="SX461" s="12"/>
      <c r="TA461" s="12"/>
      <c r="TI461" s="12"/>
      <c r="UK461" s="13"/>
      <c r="US461" s="13"/>
      <c r="UU461" s="13"/>
      <c r="WQ461" s="13"/>
      <c r="WT461" s="13"/>
    </row>
    <row r="462" spans="219:618" ht="10.75" customHeight="1">
      <c r="HK462" s="12"/>
      <c r="HU462" s="12"/>
      <c r="HV462" s="12"/>
      <c r="HZ462" s="13"/>
      <c r="IA462" s="12"/>
      <c r="ID462" s="12"/>
      <c r="IK462" s="13"/>
      <c r="IL462" s="12"/>
      <c r="MF462" s="13"/>
      <c r="MI462" s="13"/>
      <c r="MN462" s="13"/>
      <c r="MO462" s="13"/>
      <c r="MY462" s="13"/>
      <c r="NY462" s="12"/>
      <c r="OA462" s="13"/>
      <c r="RS462" s="13"/>
      <c r="RV462" s="13"/>
      <c r="SX462" s="12"/>
      <c r="TA462" s="12"/>
      <c r="TI462" s="12"/>
      <c r="UK462" s="13"/>
      <c r="US462" s="13"/>
      <c r="UU462" s="13"/>
      <c r="WQ462" s="13"/>
      <c r="WT462" s="13"/>
    </row>
    <row r="463" spans="219:618" ht="10.75" customHeight="1">
      <c r="HK463" s="12"/>
      <c r="HU463" s="12"/>
      <c r="HV463" s="12"/>
      <c r="HZ463" s="13"/>
      <c r="IA463" s="12"/>
      <c r="ID463" s="12"/>
      <c r="IK463" s="13"/>
      <c r="IL463" s="12"/>
      <c r="MF463" s="13"/>
      <c r="MI463" s="13"/>
      <c r="MN463" s="13"/>
      <c r="MO463" s="13"/>
      <c r="MY463" s="13"/>
      <c r="NY463" s="12"/>
      <c r="NZ463" s="17"/>
      <c r="OA463" s="13"/>
      <c r="RS463" s="13"/>
      <c r="RV463" s="13"/>
      <c r="SX463" s="12"/>
      <c r="TA463" s="12"/>
      <c r="TI463" s="12"/>
      <c r="UK463" s="13"/>
      <c r="US463" s="13"/>
      <c r="UU463" s="13"/>
      <c r="WQ463" s="13"/>
      <c r="WT463" s="13"/>
    </row>
    <row r="464" spans="219:618" ht="10.75" customHeight="1">
      <c r="HK464" s="12"/>
      <c r="HU464" s="12"/>
      <c r="HV464" s="12"/>
      <c r="HZ464" s="13"/>
      <c r="IA464" s="12"/>
      <c r="ID464" s="12"/>
      <c r="IK464" s="13"/>
      <c r="IL464" s="12"/>
      <c r="MF464" s="13"/>
      <c r="MI464" s="13"/>
      <c r="MN464" s="13"/>
      <c r="MO464" s="13"/>
      <c r="MY464" s="13"/>
      <c r="NY464" s="12"/>
      <c r="NZ464" s="18"/>
      <c r="OA464" s="13"/>
      <c r="RS464" s="13"/>
      <c r="RV464" s="13"/>
      <c r="SX464" s="12"/>
      <c r="TA464" s="12"/>
      <c r="TI464" s="12"/>
      <c r="UK464" s="13"/>
      <c r="US464" s="13"/>
      <c r="UU464" s="13"/>
      <c r="WQ464" s="13"/>
      <c r="WT464" s="13"/>
    </row>
    <row r="465" spans="219:618" ht="10.75" customHeight="1">
      <c r="HK465" s="12"/>
      <c r="HU465" s="12"/>
      <c r="HV465" s="12"/>
      <c r="HZ465" s="13"/>
      <c r="IA465" s="12"/>
      <c r="ID465" s="12"/>
      <c r="IK465" s="13"/>
      <c r="IL465" s="12"/>
      <c r="MF465" s="13"/>
      <c r="MI465" s="13"/>
      <c r="MN465" s="13"/>
      <c r="MO465" s="13"/>
      <c r="MY465" s="13"/>
      <c r="NY465" s="12"/>
      <c r="NZ465" s="18"/>
      <c r="OA465" s="13"/>
      <c r="OU465" s="20"/>
      <c r="OV465" s="21"/>
      <c r="OW465" s="21"/>
      <c r="OX465" s="21"/>
      <c r="OY465" s="21"/>
      <c r="OZ465" s="21"/>
      <c r="PA465" s="21"/>
      <c r="PB465" s="22"/>
      <c r="RS465" s="13"/>
      <c r="RV465" s="13"/>
      <c r="SX465" s="12"/>
      <c r="TA465" s="12"/>
      <c r="TI465" s="12"/>
      <c r="UK465" s="13"/>
      <c r="US465" s="13"/>
      <c r="UU465" s="13"/>
      <c r="WQ465" s="13"/>
      <c r="WT465" s="13"/>
    </row>
    <row r="466" spans="219:618" ht="10.75" customHeight="1">
      <c r="HK466" s="12"/>
      <c r="HU466" s="12"/>
      <c r="HV466" s="12"/>
      <c r="HZ466" s="13"/>
      <c r="IA466" s="12"/>
      <c r="ID466" s="12"/>
      <c r="IK466" s="13"/>
      <c r="IL466" s="12"/>
      <c r="MF466" s="13"/>
      <c r="MI466" s="13"/>
      <c r="MN466" s="13"/>
      <c r="MO466" s="13"/>
      <c r="MY466" s="13"/>
      <c r="NY466" s="12"/>
      <c r="NZ466" s="18"/>
      <c r="OA466" s="13"/>
      <c r="OU466" s="12"/>
      <c r="PB466" s="13"/>
      <c r="RS466" s="13"/>
      <c r="RV466" s="13"/>
      <c r="SX466" s="12"/>
      <c r="TA466" s="12"/>
      <c r="TI466" s="12"/>
      <c r="UK466" s="13"/>
      <c r="US466" s="13"/>
      <c r="UU466" s="13"/>
      <c r="WQ466" s="13"/>
      <c r="WT466" s="13"/>
    </row>
    <row r="467" spans="219:618" ht="10.75" customHeight="1">
      <c r="HK467" s="12"/>
      <c r="HU467" s="12"/>
      <c r="HV467" s="12"/>
      <c r="HZ467" s="13"/>
      <c r="IA467" s="12"/>
      <c r="ID467" s="14"/>
      <c r="IE467" s="15"/>
      <c r="IF467" s="15"/>
      <c r="IG467" s="15"/>
      <c r="IH467" s="15"/>
      <c r="II467" s="15"/>
      <c r="IJ467" s="15"/>
      <c r="IK467" s="16"/>
      <c r="IL467" s="14"/>
      <c r="IM467" s="15"/>
      <c r="IN467" s="15"/>
      <c r="IO467" s="15"/>
      <c r="IP467" s="15"/>
      <c r="IQ467" s="15"/>
      <c r="IR467" s="15"/>
      <c r="IS467" s="15"/>
      <c r="IT467" s="15"/>
      <c r="IU467" s="15"/>
      <c r="IV467" s="15"/>
      <c r="IW467" s="15"/>
      <c r="IX467" s="15"/>
      <c r="IY467" s="15"/>
      <c r="IZ467" s="15"/>
      <c r="JA467" s="15"/>
      <c r="JB467" s="15"/>
      <c r="JC467" s="15"/>
      <c r="JD467" s="15"/>
      <c r="JE467" s="15"/>
      <c r="JF467" s="15"/>
      <c r="JG467" s="15"/>
      <c r="JH467" s="15"/>
      <c r="JI467" s="15"/>
      <c r="JJ467" s="15"/>
      <c r="JK467" s="15"/>
      <c r="JL467" s="15"/>
      <c r="JM467" s="15"/>
      <c r="JN467" s="15"/>
      <c r="JO467" s="15"/>
      <c r="JP467" s="15"/>
      <c r="JQ467" s="15"/>
      <c r="JR467" s="15"/>
      <c r="JS467" s="15"/>
      <c r="JT467" s="15"/>
      <c r="JU467" s="15"/>
      <c r="JV467" s="15"/>
      <c r="JW467" s="15"/>
      <c r="JX467" s="15"/>
      <c r="JY467" s="15"/>
      <c r="JZ467" s="15"/>
      <c r="KA467" s="15"/>
      <c r="KB467" s="15"/>
      <c r="KC467" s="15"/>
      <c r="KD467" s="15"/>
      <c r="KE467" s="15"/>
      <c r="MF467" s="13"/>
      <c r="MI467" s="13"/>
      <c r="MN467" s="13"/>
      <c r="MO467" s="13"/>
      <c r="MY467" s="13"/>
      <c r="NY467" s="12"/>
      <c r="NZ467" s="18"/>
      <c r="OA467" s="13"/>
      <c r="OU467" s="12"/>
      <c r="PB467" s="13"/>
      <c r="RS467" s="13"/>
      <c r="RV467" s="13"/>
      <c r="SX467" s="12"/>
      <c r="TA467" s="12"/>
      <c r="TI467" s="12"/>
      <c r="UK467" s="13"/>
      <c r="US467" s="13"/>
      <c r="UT467" s="15"/>
      <c r="UU467" s="16"/>
      <c r="WQ467" s="13"/>
      <c r="WT467" s="13"/>
    </row>
    <row r="468" spans="219:618" ht="10.75" customHeight="1">
      <c r="HK468" s="12"/>
      <c r="HU468" s="12"/>
      <c r="HV468" s="12"/>
      <c r="HZ468" s="13"/>
      <c r="IA468" s="12"/>
      <c r="ID468" s="12"/>
      <c r="IL468" s="9"/>
      <c r="IM468" s="10"/>
      <c r="IN468" s="10"/>
      <c r="IO468" s="10"/>
      <c r="IP468" s="10"/>
      <c r="IQ468" s="10"/>
      <c r="IR468" s="10"/>
      <c r="IS468" s="10"/>
      <c r="IT468" s="10"/>
      <c r="IU468" s="10"/>
      <c r="IV468" s="10"/>
      <c r="IW468" s="10"/>
      <c r="IX468" s="10"/>
      <c r="IY468" s="10"/>
      <c r="IZ468" s="10"/>
      <c r="JA468" s="10"/>
      <c r="JB468" s="10"/>
      <c r="JC468" s="10"/>
      <c r="JD468" s="10"/>
      <c r="JE468" s="10"/>
      <c r="JF468" s="10"/>
      <c r="JG468" s="10"/>
      <c r="JH468" s="10"/>
      <c r="JI468" s="10"/>
      <c r="JJ468" s="10"/>
      <c r="JK468" s="10"/>
      <c r="JP468" s="9"/>
      <c r="JQ468" s="10"/>
      <c r="JR468" s="10"/>
      <c r="JS468" s="10"/>
      <c r="JT468" s="10"/>
      <c r="JU468" s="10"/>
      <c r="JV468" s="10"/>
      <c r="JW468" s="11"/>
      <c r="KF468" s="17"/>
      <c r="MF468" s="13"/>
      <c r="MI468" s="13"/>
      <c r="MN468" s="13"/>
      <c r="MO468" s="13"/>
      <c r="MY468" s="13"/>
      <c r="NY468" s="12"/>
      <c r="NZ468" s="18"/>
      <c r="OA468" s="13"/>
      <c r="OU468" s="12"/>
      <c r="PB468" s="13"/>
      <c r="RS468" s="13"/>
      <c r="RV468" s="13"/>
      <c r="SX468" s="12"/>
      <c r="TA468" s="9"/>
      <c r="TB468" s="10"/>
      <c r="TC468" s="10"/>
      <c r="TD468" s="10"/>
      <c r="TE468" s="10"/>
      <c r="TF468" s="10"/>
      <c r="TG468" s="10"/>
      <c r="TH468" s="10"/>
      <c r="UL468" s="10"/>
      <c r="UM468" s="10"/>
      <c r="UN468" s="10"/>
      <c r="UO468" s="10"/>
      <c r="UP468" s="10"/>
      <c r="UQ468" s="10"/>
      <c r="UR468" s="10"/>
      <c r="US468" s="10"/>
      <c r="UT468" s="10"/>
      <c r="WQ468" s="13"/>
      <c r="WT468" s="13"/>
    </row>
    <row r="469" spans="219:618" ht="10.75" customHeight="1">
      <c r="HK469" s="12"/>
      <c r="HU469" s="12"/>
      <c r="HV469" s="12"/>
      <c r="HZ469" s="13"/>
      <c r="IA469" s="12"/>
      <c r="ID469" s="12"/>
      <c r="IL469" s="12"/>
      <c r="JP469" s="12"/>
      <c r="JW469" s="13"/>
      <c r="KF469" s="18"/>
      <c r="MF469" s="13"/>
      <c r="MI469" s="13"/>
      <c r="MN469" s="13"/>
      <c r="MO469" s="13"/>
      <c r="MY469" s="13"/>
      <c r="NY469" s="12"/>
      <c r="NZ469" s="18"/>
      <c r="OA469" s="13"/>
      <c r="OU469" s="12"/>
      <c r="PB469" s="13"/>
      <c r="RS469" s="13"/>
      <c r="RV469" s="13"/>
      <c r="SX469" s="12"/>
      <c r="TA469" s="12"/>
      <c r="WQ469" s="13"/>
      <c r="WT469" s="13"/>
    </row>
    <row r="470" spans="219:618" ht="10.75" customHeight="1">
      <c r="HK470" s="12"/>
      <c r="HU470" s="12"/>
      <c r="HV470" s="12"/>
      <c r="HZ470" s="13"/>
      <c r="IA470" s="12"/>
      <c r="ID470" s="12"/>
      <c r="IL470" s="12"/>
      <c r="JP470" s="12"/>
      <c r="JR470" s="37"/>
      <c r="JS470" s="38"/>
      <c r="JT470" s="38"/>
      <c r="JU470" s="39"/>
      <c r="JW470" s="13"/>
      <c r="KF470" s="18"/>
      <c r="MF470" s="13"/>
      <c r="MI470" s="13"/>
      <c r="MN470" s="13"/>
      <c r="MO470" s="13"/>
      <c r="MY470" s="13"/>
      <c r="NY470" s="12"/>
      <c r="NZ470" s="18"/>
      <c r="OA470" s="13"/>
      <c r="OU470" s="12"/>
      <c r="PB470" s="13"/>
      <c r="RS470" s="13"/>
      <c r="RV470" s="13"/>
      <c r="SX470" s="12"/>
      <c r="TA470" s="12"/>
      <c r="WQ470" s="13"/>
      <c r="WT470" s="13"/>
    </row>
    <row r="471" spans="219:618" ht="10.75" customHeight="1">
      <c r="HK471" s="12"/>
      <c r="HU471" s="12"/>
      <c r="HV471" s="12"/>
      <c r="HZ471" s="13"/>
      <c r="IA471" s="12"/>
      <c r="ID471" s="12"/>
      <c r="IL471" s="12"/>
      <c r="JP471" s="12"/>
      <c r="JR471" s="36"/>
      <c r="JS471" s="32"/>
      <c r="JT471" s="32"/>
      <c r="JU471" s="33"/>
      <c r="JW471" s="13"/>
      <c r="KF471" s="18"/>
      <c r="MF471" s="13"/>
      <c r="MI471" s="13"/>
      <c r="MN471" s="13"/>
      <c r="MO471" s="13"/>
      <c r="MY471" s="13"/>
      <c r="NY471" s="12"/>
      <c r="NZ471" s="18"/>
      <c r="OA471" s="13"/>
      <c r="OU471" s="12"/>
      <c r="PB471" s="13"/>
      <c r="RS471" s="13"/>
      <c r="RV471" s="13"/>
      <c r="SX471" s="12"/>
      <c r="TA471" s="12"/>
      <c r="TQ471" s="20"/>
      <c r="TR471" s="21"/>
      <c r="TS471" s="21"/>
      <c r="TT471" s="21"/>
      <c r="TU471" s="21"/>
      <c r="TV471" s="21"/>
      <c r="TW471" s="21"/>
      <c r="TX471" s="22"/>
      <c r="WQ471" s="13"/>
      <c r="WT471" s="13"/>
    </row>
    <row r="472" spans="219:618" ht="10.75" customHeight="1">
      <c r="HK472" s="12"/>
      <c r="HU472" s="12"/>
      <c r="HV472" s="12"/>
      <c r="HZ472" s="13"/>
      <c r="IA472" s="12"/>
      <c r="ID472" s="12"/>
      <c r="IL472" s="12"/>
      <c r="JP472" s="12"/>
      <c r="JR472" s="78"/>
      <c r="JS472" s="34"/>
      <c r="JT472" s="34"/>
      <c r="JU472" s="35"/>
      <c r="JW472" s="13"/>
      <c r="KF472" s="18"/>
      <c r="MF472" s="13"/>
      <c r="MI472" s="13"/>
      <c r="MN472" s="13"/>
      <c r="MO472" s="13"/>
      <c r="MY472" s="13"/>
      <c r="NY472" s="12"/>
      <c r="NZ472" s="19"/>
      <c r="OA472" s="13"/>
      <c r="OU472" s="14"/>
      <c r="OV472" s="15"/>
      <c r="OW472" s="15"/>
      <c r="OX472" s="15"/>
      <c r="OY472" s="15"/>
      <c r="OZ472" s="15"/>
      <c r="PA472" s="15"/>
      <c r="PB472" s="16"/>
      <c r="RS472" s="13"/>
      <c r="RV472" s="13"/>
      <c r="SX472" s="12"/>
      <c r="TA472" s="12"/>
      <c r="TQ472" s="12"/>
      <c r="TX472" s="13"/>
      <c r="WQ472" s="13"/>
      <c r="WT472" s="13"/>
    </row>
    <row r="473" spans="219:618" ht="10.75" customHeight="1">
      <c r="HK473" s="12"/>
      <c r="HU473" s="12"/>
      <c r="HV473" s="12"/>
      <c r="HZ473" s="13"/>
      <c r="IA473" s="12"/>
      <c r="ID473" s="12"/>
      <c r="IL473" s="12"/>
      <c r="JP473" s="12"/>
      <c r="JW473" s="13"/>
      <c r="KF473" s="18"/>
      <c r="MF473" s="13"/>
      <c r="MI473" s="13"/>
      <c r="MN473" s="13"/>
      <c r="MO473" s="13"/>
      <c r="MY473" s="13"/>
      <c r="NY473" s="12"/>
      <c r="OA473" s="13"/>
      <c r="OB473" s="15"/>
      <c r="OC473" s="15"/>
      <c r="OD473" s="15"/>
      <c r="OE473" s="15"/>
      <c r="OF473" s="15"/>
      <c r="OG473" s="15"/>
      <c r="OH473" s="15"/>
      <c r="OI473" s="15"/>
      <c r="OJ473" s="15"/>
      <c r="OK473" s="15"/>
      <c r="OL473" s="15"/>
      <c r="OM473" s="15"/>
      <c r="ON473" s="15"/>
      <c r="OO473" s="15"/>
      <c r="OP473" s="15"/>
      <c r="OQ473" s="15"/>
      <c r="OR473" s="15"/>
      <c r="OS473" s="15"/>
      <c r="OT473" s="15"/>
      <c r="OU473" s="15"/>
      <c r="OV473" s="15"/>
      <c r="OW473" s="15"/>
      <c r="OX473" s="15"/>
      <c r="OY473" s="15"/>
      <c r="OZ473" s="15"/>
      <c r="PA473" s="15"/>
      <c r="PB473" s="15"/>
      <c r="PC473" s="15"/>
      <c r="PD473" s="15"/>
      <c r="PE473" s="15"/>
      <c r="PF473" s="15"/>
      <c r="PG473" s="15"/>
      <c r="PH473" s="15"/>
      <c r="PI473" s="15"/>
      <c r="PJ473" s="15"/>
      <c r="PK473" s="15"/>
      <c r="PL473" s="15"/>
      <c r="PM473" s="15"/>
      <c r="PN473" s="15"/>
      <c r="PO473" s="15"/>
      <c r="PP473" s="15"/>
      <c r="PQ473" s="15"/>
      <c r="PR473" s="15"/>
      <c r="PS473" s="15"/>
      <c r="PT473" s="15"/>
      <c r="PU473" s="15"/>
      <c r="PV473" s="15"/>
      <c r="PW473" s="15"/>
      <c r="PX473" s="15"/>
      <c r="PY473" s="15"/>
      <c r="PZ473" s="15"/>
      <c r="QA473" s="15"/>
      <c r="QB473" s="15"/>
      <c r="QC473" s="15"/>
      <c r="QD473" s="15"/>
      <c r="QE473" s="15"/>
      <c r="QF473" s="15"/>
      <c r="QG473" s="15"/>
      <c r="QH473" s="15"/>
      <c r="QI473" s="15"/>
      <c r="QJ473" s="15"/>
      <c r="QK473" s="15"/>
      <c r="QL473" s="15"/>
      <c r="QM473" s="15"/>
      <c r="QN473" s="15"/>
      <c r="QO473" s="15"/>
      <c r="QP473" s="15"/>
      <c r="QQ473" s="15"/>
      <c r="QR473" s="15"/>
      <c r="QS473" s="15"/>
      <c r="QT473" s="15"/>
      <c r="QU473" s="15"/>
      <c r="QV473" s="15"/>
      <c r="QW473" s="15"/>
      <c r="QX473" s="15"/>
      <c r="QY473" s="15"/>
      <c r="QZ473" s="15"/>
      <c r="RA473" s="15"/>
      <c r="RB473" s="15"/>
      <c r="RC473" s="15"/>
      <c r="RD473" s="15"/>
      <c r="RE473" s="15"/>
      <c r="RF473" s="15"/>
      <c r="RG473" s="15"/>
      <c r="RH473" s="15"/>
      <c r="RI473" s="15"/>
      <c r="RJ473" s="15"/>
      <c r="RK473" s="15"/>
      <c r="RL473" s="15"/>
      <c r="RM473" s="15"/>
      <c r="RN473" s="15"/>
      <c r="RO473" s="15"/>
      <c r="RP473" s="15"/>
      <c r="RQ473" s="15"/>
      <c r="RR473" s="15"/>
      <c r="RS473" s="16"/>
      <c r="RT473" s="97"/>
      <c r="RU473" s="97"/>
      <c r="RV473" s="98"/>
      <c r="SX473" s="12"/>
      <c r="TA473" s="12"/>
      <c r="TQ473" s="12"/>
      <c r="TX473" s="13"/>
      <c r="WQ473" s="13"/>
      <c r="WT473" s="13"/>
    </row>
    <row r="474" spans="219:618" ht="10.75" customHeight="1">
      <c r="HK474" s="12"/>
      <c r="HU474" s="12"/>
      <c r="HV474" s="12"/>
      <c r="HZ474" s="13"/>
      <c r="IA474" s="12"/>
      <c r="ID474" s="12"/>
      <c r="IL474" s="12"/>
      <c r="JP474" s="12"/>
      <c r="JW474" s="13"/>
      <c r="KF474" s="18"/>
      <c r="MF474" s="13"/>
      <c r="MI474" s="13"/>
      <c r="MN474" s="13"/>
      <c r="MO474" s="13"/>
      <c r="MY474" s="13"/>
      <c r="NY474" s="96"/>
      <c r="NZ474" s="97"/>
      <c r="OA474" s="98"/>
      <c r="OB474" s="97"/>
      <c r="PW474" s="97"/>
      <c r="PX474" s="97"/>
      <c r="PY474" s="97"/>
      <c r="PZ474" s="97"/>
      <c r="RT474" s="97"/>
      <c r="RU474" s="97"/>
      <c r="RV474" s="98"/>
      <c r="SX474" s="12"/>
      <c r="TA474" s="12"/>
      <c r="TQ474" s="12"/>
      <c r="TX474" s="13"/>
      <c r="WQ474" s="13"/>
      <c r="WT474" s="13"/>
    </row>
    <row r="475" spans="219:618" ht="10.75" customHeight="1">
      <c r="HK475" s="12"/>
      <c r="HU475" s="12"/>
      <c r="HV475" s="12"/>
      <c r="HZ475" s="13"/>
      <c r="IA475" s="12"/>
      <c r="ID475" s="14"/>
      <c r="IE475" s="15"/>
      <c r="IF475" s="15"/>
      <c r="IG475" s="15"/>
      <c r="IH475" s="15"/>
      <c r="II475" s="15"/>
      <c r="IJ475" s="15"/>
      <c r="IK475" s="15"/>
      <c r="IL475" s="14"/>
      <c r="IM475" s="15"/>
      <c r="IN475" s="15"/>
      <c r="IO475" s="15"/>
      <c r="IP475" s="15"/>
      <c r="IQ475" s="15"/>
      <c r="IR475" s="15"/>
      <c r="IS475" s="15"/>
      <c r="IT475" s="15"/>
      <c r="IU475" s="15"/>
      <c r="IV475" s="15"/>
      <c r="IW475" s="15"/>
      <c r="IX475" s="15"/>
      <c r="IY475" s="15"/>
      <c r="IZ475" s="15"/>
      <c r="JA475" s="15"/>
      <c r="JB475" s="15"/>
      <c r="JC475" s="15"/>
      <c r="JD475" s="15"/>
      <c r="JE475" s="15"/>
      <c r="JF475" s="15"/>
      <c r="JG475" s="15"/>
      <c r="JH475" s="15"/>
      <c r="JI475" s="15"/>
      <c r="JJ475" s="15"/>
      <c r="JK475" s="15"/>
      <c r="JL475" s="15"/>
      <c r="JM475" s="15"/>
      <c r="JN475" s="15"/>
      <c r="JO475" s="15"/>
      <c r="JP475" s="14"/>
      <c r="JQ475" s="15"/>
      <c r="JR475" s="15"/>
      <c r="JS475" s="15"/>
      <c r="JT475" s="15"/>
      <c r="JU475" s="15"/>
      <c r="JV475" s="15"/>
      <c r="JW475" s="16"/>
      <c r="JX475" s="15"/>
      <c r="JY475" s="15"/>
      <c r="JZ475" s="15"/>
      <c r="KA475" s="15"/>
      <c r="KB475" s="15"/>
      <c r="KC475" s="15"/>
      <c r="KD475" s="15"/>
      <c r="KE475" s="15"/>
      <c r="KF475" s="19"/>
      <c r="KG475" s="15"/>
      <c r="KH475" s="15"/>
      <c r="KI475" s="15"/>
      <c r="KJ475" s="15"/>
      <c r="KK475" s="15"/>
      <c r="KL475" s="15"/>
      <c r="KM475" s="15"/>
      <c r="KN475" s="15"/>
      <c r="KO475" s="15"/>
      <c r="KP475" s="15"/>
      <c r="KQ475" s="15"/>
      <c r="KR475" s="15"/>
      <c r="KS475" s="15"/>
      <c r="KT475" s="15"/>
      <c r="KU475" s="15"/>
      <c r="KV475" s="15"/>
      <c r="KW475" s="15"/>
      <c r="KX475" s="15"/>
      <c r="KY475" s="15"/>
      <c r="KZ475" s="15"/>
      <c r="LA475" s="15"/>
      <c r="LB475" s="15"/>
      <c r="LC475" s="15"/>
      <c r="LD475" s="15"/>
      <c r="LE475" s="15"/>
      <c r="LF475" s="15"/>
      <c r="LG475" s="15"/>
      <c r="LH475" s="15"/>
      <c r="LI475" s="15"/>
      <c r="LJ475" s="15"/>
      <c r="LK475" s="15"/>
      <c r="LL475" s="15"/>
      <c r="LM475" s="15"/>
      <c r="LN475" s="15"/>
      <c r="LO475" s="15"/>
      <c r="LP475" s="15"/>
      <c r="LQ475" s="15"/>
      <c r="LR475" s="15"/>
      <c r="LS475" s="15"/>
      <c r="LT475" s="15"/>
      <c r="LU475" s="15"/>
      <c r="LV475" s="15"/>
      <c r="LW475" s="15"/>
      <c r="LX475" s="15"/>
      <c r="LY475" s="15"/>
      <c r="LZ475" s="15"/>
      <c r="MA475" s="15"/>
      <c r="MB475" s="15"/>
      <c r="MC475" s="15"/>
      <c r="MD475" s="15"/>
      <c r="ME475" s="15"/>
      <c r="MF475" s="16"/>
      <c r="MG475" s="97"/>
      <c r="MH475" s="97"/>
      <c r="MI475" s="98"/>
      <c r="MN475" s="13"/>
      <c r="MO475" s="13"/>
      <c r="MY475" s="13"/>
      <c r="NY475" s="96"/>
      <c r="NZ475" s="97"/>
      <c r="OA475" s="98"/>
      <c r="OB475" s="97"/>
      <c r="PW475" s="97"/>
      <c r="PX475" s="97"/>
      <c r="PY475" s="97"/>
      <c r="PZ475" s="97"/>
      <c r="RI475" s="21"/>
      <c r="RJ475" s="21"/>
      <c r="RK475" s="21"/>
      <c r="RL475" s="21"/>
      <c r="RM475" s="21"/>
      <c r="RN475" s="21"/>
      <c r="RO475" s="21"/>
      <c r="RP475" s="21"/>
      <c r="RQ475" s="22"/>
      <c r="RT475" s="97"/>
      <c r="RU475" s="97"/>
      <c r="RV475" s="98"/>
      <c r="SX475" s="12"/>
      <c r="TA475" s="12"/>
      <c r="TQ475" s="12"/>
      <c r="TX475" s="13"/>
      <c r="WQ475" s="13"/>
      <c r="WT475" s="13"/>
    </row>
    <row r="476" spans="219:618" ht="10.75" customHeight="1">
      <c r="HK476" s="12"/>
      <c r="HU476" s="12"/>
      <c r="HV476" s="12"/>
      <c r="HZ476" s="13"/>
      <c r="IA476" s="96"/>
      <c r="IB476" s="97"/>
      <c r="IC476" s="97"/>
      <c r="ID476" s="97"/>
      <c r="KD476" s="97"/>
      <c r="KE476" s="97"/>
      <c r="KF476" s="97"/>
      <c r="KG476" s="97"/>
      <c r="MG476" s="97"/>
      <c r="MH476" s="97"/>
      <c r="MI476" s="98"/>
      <c r="MN476" s="13"/>
      <c r="MO476" s="13"/>
      <c r="MY476" s="13"/>
      <c r="NY476" s="59"/>
      <c r="NZ476" s="60"/>
      <c r="OA476" s="61"/>
      <c r="OB476" s="60"/>
      <c r="OC476" s="15"/>
      <c r="OD476" s="15"/>
      <c r="OE476" s="15"/>
      <c r="OF476" s="15"/>
      <c r="OG476" s="15"/>
      <c r="OH476" s="15"/>
      <c r="OI476" s="15"/>
      <c r="OJ476" s="15"/>
      <c r="OK476" s="15"/>
      <c r="OL476" s="15"/>
      <c r="OM476" s="15"/>
      <c r="ON476" s="15"/>
      <c r="OO476" s="15"/>
      <c r="OP476" s="15"/>
      <c r="OQ476" s="15"/>
      <c r="OR476" s="15"/>
      <c r="OS476" s="15"/>
      <c r="OT476" s="15"/>
      <c r="OU476" s="15"/>
      <c r="OV476" s="15"/>
      <c r="OW476" s="15"/>
      <c r="OX476" s="15"/>
      <c r="OY476" s="15"/>
      <c r="OZ476" s="15"/>
      <c r="PA476" s="15"/>
      <c r="PB476" s="15"/>
      <c r="PC476" s="15"/>
      <c r="PD476" s="15"/>
      <c r="PE476" s="15"/>
      <c r="PF476" s="15"/>
      <c r="PG476" s="15"/>
      <c r="PH476" s="15"/>
      <c r="PI476" s="15"/>
      <c r="PJ476" s="15"/>
      <c r="PK476" s="15"/>
      <c r="PL476" s="15"/>
      <c r="PM476" s="15"/>
      <c r="PN476" s="15"/>
      <c r="PO476" s="15"/>
      <c r="PP476" s="15"/>
      <c r="PQ476" s="15"/>
      <c r="PR476" s="15"/>
      <c r="PS476" s="15"/>
      <c r="PT476" s="15"/>
      <c r="PU476" s="15"/>
      <c r="PV476" s="15"/>
      <c r="PW476" s="60"/>
      <c r="PX476" s="60"/>
      <c r="PY476" s="60"/>
      <c r="PZ476" s="60"/>
      <c r="QA476" s="15"/>
      <c r="QB476" s="15"/>
      <c r="QC476" s="15"/>
      <c r="QD476" s="15"/>
      <c r="QE476" s="15"/>
      <c r="QF476" s="15"/>
      <c r="QG476" s="15"/>
      <c r="QH476" s="15"/>
      <c r="QI476" s="15"/>
      <c r="QJ476" s="15"/>
      <c r="QK476" s="15"/>
      <c r="QL476" s="15"/>
      <c r="QM476" s="15"/>
      <c r="QN476" s="15"/>
      <c r="QO476" s="15"/>
      <c r="QP476" s="15"/>
      <c r="QQ476" s="15"/>
      <c r="QR476" s="15"/>
      <c r="QS476" s="15"/>
      <c r="QT476" s="15"/>
      <c r="QU476" s="15"/>
      <c r="QV476" s="15"/>
      <c r="QW476" s="15"/>
      <c r="QX476" s="15"/>
      <c r="QY476" s="15"/>
      <c r="QZ476" s="15"/>
      <c r="RA476" s="15"/>
      <c r="RB476" s="15"/>
      <c r="RC476" s="15"/>
      <c r="RD476" s="15"/>
      <c r="RE476" s="15"/>
      <c r="RF476" s="15"/>
      <c r="RG476" s="15"/>
      <c r="RH476" s="15"/>
      <c r="RI476" s="15"/>
      <c r="RJ476" s="15"/>
      <c r="RK476" s="15"/>
      <c r="RL476" s="15"/>
      <c r="RM476" s="15"/>
      <c r="RN476" s="15"/>
      <c r="RO476" s="15"/>
      <c r="RP476" s="15"/>
      <c r="RQ476" s="15"/>
      <c r="RR476" s="15"/>
      <c r="RS476" s="15"/>
      <c r="RT476" s="60"/>
      <c r="RU476" s="60"/>
      <c r="RV476" s="61"/>
      <c r="SX476" s="12"/>
      <c r="TA476" s="12"/>
      <c r="TQ476" s="12"/>
      <c r="TX476" s="13"/>
      <c r="WQ476" s="13"/>
      <c r="WT476" s="13"/>
    </row>
    <row r="477" spans="219:618" ht="10.75" customHeight="1">
      <c r="HK477" s="12"/>
      <c r="HU477" s="12"/>
      <c r="HV477" s="12"/>
      <c r="HZ477" s="13"/>
      <c r="IA477" s="96"/>
      <c r="IB477" s="97"/>
      <c r="IC477" s="97"/>
      <c r="ID477" s="97"/>
      <c r="KD477" s="97"/>
      <c r="KE477" s="97"/>
      <c r="KF477" s="97"/>
      <c r="KG477" s="97"/>
      <c r="LQ477" s="119"/>
      <c r="LR477" s="119"/>
      <c r="LS477" s="119"/>
      <c r="LT477" s="119"/>
      <c r="LU477" s="119"/>
      <c r="LV477" s="119"/>
      <c r="LW477" s="119"/>
      <c r="LX477" s="119"/>
      <c r="LY477" s="119"/>
      <c r="LZ477" s="119"/>
      <c r="MA477" s="119"/>
      <c r="MB477" s="119"/>
      <c r="MC477" s="119"/>
      <c r="MD477" s="119"/>
      <c r="MG477" s="97"/>
      <c r="MH477" s="97"/>
      <c r="MI477" s="98"/>
      <c r="MN477" s="13"/>
      <c r="MO477" s="13"/>
      <c r="MY477" s="13"/>
      <c r="SX477" s="12"/>
      <c r="TA477" s="12"/>
      <c r="TQ477" s="12"/>
      <c r="TX477" s="13"/>
      <c r="WQ477" s="13"/>
      <c r="WT477" s="13"/>
    </row>
    <row r="478" spans="219:618" ht="10.75" customHeight="1">
      <c r="HK478" s="12"/>
      <c r="HU478" s="12"/>
      <c r="HV478" s="12"/>
      <c r="HZ478" s="13"/>
      <c r="IA478" s="96"/>
      <c r="IB478" s="97"/>
      <c r="IC478" s="97"/>
      <c r="ID478" s="97"/>
      <c r="KD478" s="97"/>
      <c r="KE478" s="97"/>
      <c r="KF478" s="97"/>
      <c r="KG478" s="97"/>
      <c r="MG478" s="97"/>
      <c r="MH478" s="97"/>
      <c r="MI478" s="98"/>
      <c r="MN478" s="13"/>
      <c r="MO478" s="13"/>
      <c r="MY478" s="13"/>
      <c r="SX478" s="12"/>
      <c r="TA478" s="12"/>
      <c r="TQ478" s="14"/>
      <c r="TR478" s="15"/>
      <c r="TS478" s="15"/>
      <c r="TT478" s="15"/>
      <c r="TU478" s="15"/>
      <c r="TV478" s="15"/>
      <c r="TW478" s="15"/>
      <c r="TX478" s="16"/>
      <c r="WQ478" s="13"/>
      <c r="WT478" s="13"/>
    </row>
    <row r="479" spans="219:618" ht="10.75" customHeight="1">
      <c r="HK479" s="12"/>
      <c r="HU479" s="12"/>
      <c r="HV479" s="12"/>
      <c r="HZ479" s="13"/>
      <c r="IA479" s="9"/>
      <c r="IB479" s="10"/>
      <c r="IC479" s="10"/>
      <c r="ID479" s="10"/>
      <c r="IE479" s="10"/>
      <c r="IF479" s="10"/>
      <c r="IG479" s="10"/>
      <c r="IH479" s="10"/>
      <c r="II479" s="10"/>
      <c r="IJ479" s="10"/>
      <c r="IK479" s="10"/>
      <c r="IL479" s="10"/>
      <c r="IM479" s="10"/>
      <c r="IN479" s="10"/>
      <c r="IO479" s="10"/>
      <c r="IP479" s="10"/>
      <c r="IQ479" s="10"/>
      <c r="IR479" s="10"/>
      <c r="IS479" s="10"/>
      <c r="IT479" s="10"/>
      <c r="IU479" s="10"/>
      <c r="IV479" s="10"/>
      <c r="IW479" s="10"/>
      <c r="IX479" s="10"/>
      <c r="IY479" s="10"/>
      <c r="IZ479" s="10"/>
      <c r="JA479" s="10"/>
      <c r="JB479" s="10"/>
      <c r="JC479" s="10"/>
      <c r="JD479" s="10"/>
      <c r="JE479" s="10"/>
      <c r="JF479" s="10"/>
      <c r="JG479" s="10"/>
      <c r="JH479" s="10"/>
      <c r="JI479" s="10"/>
      <c r="JJ479" s="10"/>
      <c r="JK479" s="10"/>
      <c r="JL479" s="10"/>
      <c r="JM479" s="10"/>
      <c r="JN479" s="10"/>
      <c r="JO479" s="10"/>
      <c r="JP479" s="10"/>
      <c r="JQ479" s="10"/>
      <c r="JR479" s="10"/>
      <c r="JS479" s="10"/>
      <c r="JT479" s="10"/>
      <c r="JU479" s="10"/>
      <c r="JV479" s="10"/>
      <c r="JW479" s="10"/>
      <c r="JX479" s="10"/>
      <c r="JY479" s="10"/>
      <c r="JZ479" s="10"/>
      <c r="KA479" s="10"/>
      <c r="KB479" s="10"/>
      <c r="KC479" s="10"/>
      <c r="KD479" s="10"/>
      <c r="KE479" s="10"/>
      <c r="KF479" s="10"/>
      <c r="KG479" s="10"/>
      <c r="KH479" s="10"/>
      <c r="KI479" s="10"/>
      <c r="KJ479" s="10"/>
      <c r="KK479" s="10"/>
      <c r="KL479" s="10"/>
      <c r="KM479" s="10"/>
      <c r="KN479" s="10"/>
      <c r="KO479" s="10"/>
      <c r="KP479" s="10"/>
      <c r="KQ479" s="10"/>
      <c r="KR479" s="10"/>
      <c r="KS479" s="10"/>
      <c r="KT479" s="10"/>
      <c r="KU479" s="10"/>
      <c r="KV479" s="10"/>
      <c r="KW479" s="10"/>
      <c r="KX479" s="10"/>
      <c r="KY479" s="10"/>
      <c r="KZ479" s="10"/>
      <c r="LA479" s="10"/>
      <c r="LB479" s="10"/>
      <c r="LC479" s="10"/>
      <c r="LD479" s="10"/>
      <c r="LE479" s="10"/>
      <c r="LF479" s="10"/>
      <c r="LG479" s="10"/>
      <c r="LH479" s="10"/>
      <c r="LI479" s="10"/>
      <c r="LJ479" s="10"/>
      <c r="LK479" s="10"/>
      <c r="LL479" s="9"/>
      <c r="LM479" s="10"/>
      <c r="LN479" s="10"/>
      <c r="LO479" s="10"/>
      <c r="LP479" s="10"/>
      <c r="LQ479" s="10"/>
      <c r="LR479" s="10"/>
      <c r="LS479" s="10"/>
      <c r="LT479" s="10"/>
      <c r="LU479" s="10"/>
      <c r="LV479" s="10"/>
      <c r="LW479" s="10"/>
      <c r="LX479" s="10"/>
      <c r="LY479" s="10"/>
      <c r="LZ479" s="10"/>
      <c r="MA479" s="10"/>
      <c r="MB479" s="10"/>
      <c r="MC479" s="10"/>
      <c r="MD479" s="10"/>
      <c r="ME479" s="10"/>
      <c r="MF479" s="10"/>
      <c r="MG479" s="10"/>
      <c r="MH479" s="10"/>
      <c r="MI479" s="11"/>
      <c r="MN479" s="13"/>
      <c r="MO479" s="13"/>
      <c r="MY479" s="13"/>
      <c r="SX479" s="12"/>
      <c r="TA479" s="14"/>
      <c r="TB479" s="15"/>
      <c r="TC479" s="15"/>
      <c r="TD479" s="15"/>
      <c r="TE479" s="15"/>
      <c r="TF479" s="15"/>
      <c r="TG479" s="15"/>
      <c r="TH479" s="15"/>
      <c r="TI479" s="15"/>
      <c r="TJ479" s="15"/>
      <c r="TK479" s="15"/>
      <c r="TL479" s="15"/>
      <c r="TM479" s="15"/>
      <c r="TN479" s="15"/>
      <c r="TO479" s="15"/>
      <c r="TP479" s="15"/>
      <c r="TQ479" s="15"/>
      <c r="TR479" s="15"/>
      <c r="TS479" s="15"/>
      <c r="TT479" s="15"/>
      <c r="TU479" s="15"/>
      <c r="TV479" s="15"/>
      <c r="TW479" s="15"/>
      <c r="TX479" s="15"/>
      <c r="TY479" s="15"/>
      <c r="TZ479" s="15"/>
      <c r="UA479" s="15"/>
      <c r="UB479" s="15"/>
      <c r="UC479" s="15"/>
      <c r="UD479" s="15"/>
      <c r="UE479" s="15"/>
      <c r="UF479" s="15"/>
      <c r="UG479" s="15"/>
      <c r="UH479" s="15"/>
      <c r="UI479" s="15"/>
      <c r="UJ479" s="15"/>
      <c r="UK479" s="15"/>
      <c r="UL479" s="15"/>
      <c r="UM479" s="15"/>
      <c r="UN479" s="15"/>
      <c r="UO479" s="15"/>
      <c r="UP479" s="15"/>
      <c r="UQ479" s="15"/>
      <c r="UR479" s="15"/>
      <c r="US479" s="15"/>
      <c r="UT479" s="15"/>
      <c r="UU479" s="15"/>
      <c r="UV479" s="15"/>
      <c r="UW479" s="15"/>
      <c r="UX479" s="15"/>
      <c r="UY479" s="15"/>
      <c r="UZ479" s="15"/>
      <c r="VA479" s="15"/>
      <c r="VB479" s="15"/>
      <c r="VC479" s="15"/>
      <c r="VD479" s="15"/>
      <c r="VE479" s="15"/>
      <c r="VF479" s="15"/>
      <c r="VG479" s="15"/>
      <c r="VH479" s="15"/>
      <c r="VI479" s="15"/>
      <c r="VJ479" s="15"/>
      <c r="VK479" s="15"/>
      <c r="VL479" s="15"/>
      <c r="VM479" s="15"/>
      <c r="VN479" s="15"/>
      <c r="VO479" s="15"/>
      <c r="VP479" s="15"/>
      <c r="VQ479" s="15"/>
      <c r="VR479" s="15"/>
      <c r="VS479" s="15"/>
      <c r="VT479" s="15"/>
      <c r="VU479" s="15"/>
      <c r="VV479" s="15"/>
      <c r="VW479" s="15"/>
      <c r="VX479" s="15"/>
      <c r="VY479" s="15"/>
      <c r="VZ479" s="15"/>
      <c r="WA479" s="15"/>
      <c r="WB479" s="15"/>
      <c r="WC479" s="15"/>
      <c r="WD479" s="15"/>
      <c r="WE479" s="15"/>
      <c r="WF479" s="15"/>
      <c r="WG479" s="15"/>
      <c r="WH479" s="15"/>
      <c r="WI479" s="15"/>
      <c r="WJ479" s="15"/>
      <c r="WK479" s="15"/>
      <c r="WL479" s="15"/>
      <c r="WM479" s="15"/>
      <c r="WN479" s="15"/>
      <c r="WO479" s="15"/>
      <c r="WP479" s="15"/>
      <c r="WQ479" s="16"/>
      <c r="WR479" s="97"/>
      <c r="WS479" s="97"/>
      <c r="WT479" s="98"/>
    </row>
    <row r="480" spans="219:618" ht="10.75" customHeight="1">
      <c r="HK480" s="12"/>
      <c r="HU480" s="12"/>
      <c r="HV480" s="12"/>
      <c r="HZ480" s="13"/>
      <c r="IA480" s="12"/>
      <c r="LL480" s="12"/>
      <c r="MI480" s="13"/>
      <c r="MN480" s="13"/>
      <c r="MO480" s="13"/>
      <c r="MY480" s="13"/>
      <c r="SX480" s="96"/>
      <c r="SY480" s="97"/>
      <c r="SZ480" s="97"/>
      <c r="TA480" s="97"/>
      <c r="US480" s="97"/>
      <c r="UT480" s="97"/>
      <c r="UU480" s="97"/>
      <c r="UV480" s="97"/>
      <c r="WR480" s="97"/>
      <c r="WS480" s="97"/>
      <c r="WT480" s="98"/>
    </row>
    <row r="481" spans="47:618" ht="10.75" customHeight="1">
      <c r="HK481" s="12"/>
      <c r="HU481" s="12"/>
      <c r="HV481" s="12"/>
      <c r="HZ481" s="13"/>
      <c r="IA481" s="12"/>
      <c r="LL481" s="12"/>
      <c r="MI481" s="13"/>
      <c r="MN481" s="13"/>
      <c r="MO481" s="13"/>
      <c r="MY481" s="13"/>
      <c r="SX481" s="96"/>
      <c r="SY481" s="97"/>
      <c r="SZ481" s="97"/>
      <c r="TA481" s="97"/>
      <c r="US481" s="97"/>
      <c r="UT481" s="97"/>
      <c r="UU481" s="97"/>
      <c r="UV481" s="97"/>
      <c r="WR481" s="97"/>
      <c r="WS481" s="97"/>
      <c r="WT481" s="98"/>
    </row>
    <row r="482" spans="47:618" ht="10.75" customHeight="1">
      <c r="HK482" s="12"/>
      <c r="HU482" s="12"/>
      <c r="HV482" s="12"/>
      <c r="HZ482" s="13"/>
      <c r="IA482" s="12"/>
      <c r="LL482" s="12"/>
      <c r="MI482" s="13"/>
      <c r="MN482" s="13"/>
      <c r="MO482" s="13"/>
      <c r="MY482" s="13"/>
      <c r="SX482" s="59"/>
      <c r="SY482" s="60"/>
      <c r="SZ482" s="60"/>
      <c r="TA482" s="60"/>
      <c r="TB482" s="15"/>
      <c r="TC482" s="15"/>
      <c r="TD482" s="15"/>
      <c r="TE482" s="15"/>
      <c r="TF482" s="15"/>
      <c r="TG482" s="15"/>
      <c r="TH482" s="15"/>
      <c r="TI482" s="15"/>
      <c r="TJ482" s="15"/>
      <c r="TK482" s="15"/>
      <c r="TL482" s="15"/>
      <c r="TM482" s="15"/>
      <c r="TN482" s="15"/>
      <c r="TO482" s="15"/>
      <c r="TP482" s="15"/>
      <c r="TQ482" s="15"/>
      <c r="TR482" s="15"/>
      <c r="TS482" s="15"/>
      <c r="TT482" s="15"/>
      <c r="TU482" s="15"/>
      <c r="TV482" s="15"/>
      <c r="TW482" s="15"/>
      <c r="TX482" s="15"/>
      <c r="TY482" s="15"/>
      <c r="TZ482" s="15"/>
      <c r="UA482" s="15"/>
      <c r="UB482" s="15"/>
      <c r="UC482" s="15"/>
      <c r="UD482" s="15"/>
      <c r="UE482" s="15"/>
      <c r="UF482" s="15"/>
      <c r="UG482" s="15"/>
      <c r="UH482" s="15"/>
      <c r="UI482" s="15"/>
      <c r="UJ482" s="15"/>
      <c r="UK482" s="15"/>
      <c r="UL482" s="15"/>
      <c r="UM482" s="15"/>
      <c r="UN482" s="15"/>
      <c r="UO482" s="15"/>
      <c r="UP482" s="15"/>
      <c r="UQ482" s="15"/>
      <c r="UR482" s="15"/>
      <c r="US482" s="60"/>
      <c r="UT482" s="60"/>
      <c r="UU482" s="60"/>
      <c r="UV482" s="60"/>
      <c r="UW482" s="15"/>
      <c r="UX482" s="15"/>
      <c r="UY482" s="15"/>
      <c r="UZ482" s="15"/>
      <c r="VA482" s="15"/>
      <c r="VB482" s="15"/>
      <c r="VC482" s="15"/>
      <c r="VD482" s="15"/>
      <c r="VE482" s="15"/>
      <c r="VF482" s="15"/>
      <c r="VG482" s="15"/>
      <c r="VH482" s="15"/>
      <c r="VI482" s="15"/>
      <c r="VJ482" s="15"/>
      <c r="VK482" s="15"/>
      <c r="VL482" s="15"/>
      <c r="VM482" s="15"/>
      <c r="VN482" s="15"/>
      <c r="VO482" s="15"/>
      <c r="VP482" s="15"/>
      <c r="VQ482" s="15"/>
      <c r="VR482" s="15"/>
      <c r="VS482" s="15"/>
      <c r="VT482" s="15"/>
      <c r="VU482" s="15"/>
      <c r="VV482" s="15"/>
      <c r="VW482" s="15"/>
      <c r="VX482" s="15"/>
      <c r="VY482" s="15"/>
      <c r="VZ482" s="15"/>
      <c r="WA482" s="15"/>
      <c r="WB482" s="15"/>
      <c r="WC482" s="15"/>
      <c r="WD482" s="15"/>
      <c r="WE482" s="15"/>
      <c r="WF482" s="15"/>
      <c r="WG482" s="15"/>
      <c r="WH482" s="15"/>
      <c r="WI482" s="15"/>
      <c r="WJ482" s="15"/>
      <c r="WK482" s="15"/>
      <c r="WL482" s="15"/>
      <c r="WM482" s="15"/>
      <c r="WN482" s="15"/>
      <c r="WO482" s="15"/>
      <c r="WP482" s="15"/>
      <c r="WQ482" s="15"/>
      <c r="WR482" s="60"/>
      <c r="WS482" s="60"/>
      <c r="WT482" s="61"/>
    </row>
    <row r="483" spans="47:618" ht="10.75" customHeight="1">
      <c r="HK483" s="12"/>
      <c r="HU483" s="12"/>
      <c r="HV483" s="14"/>
      <c r="HW483" s="15"/>
      <c r="HX483" s="15"/>
      <c r="HY483" s="15"/>
      <c r="HZ483" s="16"/>
      <c r="IA483" s="14"/>
      <c r="IB483" s="15"/>
      <c r="IC483" s="15"/>
      <c r="ID483" s="15"/>
      <c r="IE483" s="15"/>
      <c r="IF483" s="15"/>
      <c r="IG483" s="15"/>
      <c r="IH483" s="15"/>
      <c r="II483" s="15"/>
      <c r="IJ483" s="15"/>
      <c r="IK483" s="15"/>
      <c r="IL483" s="15"/>
      <c r="IM483" s="15"/>
      <c r="IN483" s="15"/>
      <c r="IO483" s="15"/>
      <c r="IP483" s="15"/>
      <c r="IQ483" s="15"/>
      <c r="IR483" s="15"/>
      <c r="IS483" s="15"/>
      <c r="IT483" s="15"/>
      <c r="IU483" s="15"/>
      <c r="IV483" s="15"/>
      <c r="IW483" s="15"/>
      <c r="IX483" s="15"/>
      <c r="IY483" s="15"/>
      <c r="IZ483" s="15"/>
      <c r="JA483" s="15"/>
      <c r="JB483" s="15"/>
      <c r="JC483" s="15"/>
      <c r="JD483" s="15"/>
      <c r="JE483" s="15"/>
      <c r="JF483" s="15"/>
      <c r="JG483" s="15"/>
      <c r="JH483" s="15"/>
      <c r="JI483" s="15"/>
      <c r="JJ483" s="15"/>
      <c r="JK483" s="15"/>
      <c r="JL483" s="15"/>
      <c r="JM483" s="15"/>
      <c r="JN483" s="15"/>
      <c r="JO483" s="15"/>
      <c r="JP483" s="15"/>
      <c r="JQ483" s="15"/>
      <c r="JR483" s="15"/>
      <c r="JS483" s="15"/>
      <c r="JT483" s="15"/>
      <c r="JU483" s="15"/>
      <c r="JV483" s="15"/>
      <c r="JW483" s="15"/>
      <c r="JX483" s="15"/>
      <c r="JY483" s="15"/>
      <c r="JZ483" s="15"/>
      <c r="KA483" s="15"/>
      <c r="KB483" s="15"/>
      <c r="KC483" s="15"/>
      <c r="KD483" s="15"/>
      <c r="KE483" s="15"/>
      <c r="KF483" s="15"/>
      <c r="KG483" s="15"/>
      <c r="KH483" s="15"/>
      <c r="KI483" s="15"/>
      <c r="KJ483" s="15"/>
      <c r="KK483" s="15"/>
      <c r="KL483" s="15"/>
      <c r="KM483" s="15"/>
      <c r="KN483" s="15"/>
      <c r="KO483" s="15"/>
      <c r="KP483" s="15"/>
      <c r="KQ483" s="15"/>
      <c r="KR483" s="15"/>
      <c r="KS483" s="15"/>
      <c r="KT483" s="15"/>
      <c r="KU483" s="15"/>
      <c r="KV483" s="15"/>
      <c r="KW483" s="15"/>
      <c r="KX483" s="15"/>
      <c r="KY483" s="15"/>
      <c r="KZ483" s="15"/>
      <c r="LA483" s="15"/>
      <c r="LB483" s="15"/>
      <c r="LC483" s="15"/>
      <c r="LD483" s="15"/>
      <c r="LE483" s="15"/>
      <c r="LF483" s="15"/>
      <c r="LG483" s="15"/>
      <c r="LH483" s="15"/>
      <c r="LI483" s="15"/>
      <c r="LJ483" s="15"/>
      <c r="LK483" s="15"/>
      <c r="LL483" s="14"/>
      <c r="LM483" s="15"/>
      <c r="LN483" s="15"/>
      <c r="LO483" s="15"/>
      <c r="LP483" s="15"/>
      <c r="LQ483" s="15"/>
      <c r="LR483" s="15"/>
      <c r="LS483" s="15"/>
      <c r="LT483" s="15"/>
      <c r="LU483" s="15"/>
      <c r="LV483" s="15"/>
      <c r="LW483" s="15"/>
      <c r="LX483" s="15"/>
      <c r="LY483" s="15"/>
      <c r="LZ483" s="15"/>
      <c r="MA483" s="15"/>
      <c r="MB483" s="15"/>
      <c r="MC483" s="15"/>
      <c r="MD483" s="15"/>
      <c r="ME483" s="15"/>
      <c r="MF483" s="15"/>
      <c r="MG483" s="15"/>
      <c r="MH483" s="15"/>
      <c r="MI483" s="16"/>
      <c r="MJ483" s="15"/>
      <c r="MK483" s="15"/>
      <c r="ML483" s="15"/>
      <c r="MM483" s="15"/>
      <c r="MN483" s="16"/>
      <c r="MO483" s="13"/>
      <c r="MY483" s="13"/>
    </row>
    <row r="484" spans="47:618" ht="10.75" customHeight="1">
      <c r="HK484" s="12"/>
      <c r="HU484" s="14"/>
      <c r="HV484" s="15"/>
      <c r="HW484" s="15"/>
      <c r="HX484" s="15"/>
      <c r="HY484" s="15"/>
      <c r="HZ484" s="16"/>
      <c r="IA484" s="14"/>
      <c r="IB484" s="15"/>
      <c r="IC484" s="15"/>
      <c r="ID484" s="15"/>
      <c r="IE484" s="15"/>
      <c r="IF484" s="15"/>
      <c r="IG484" s="15"/>
      <c r="IH484" s="15"/>
      <c r="II484" s="15"/>
      <c r="IJ484" s="15"/>
      <c r="IK484" s="15"/>
      <c r="IL484" s="15"/>
      <c r="IM484" s="15"/>
      <c r="IN484" s="15"/>
      <c r="IO484" s="15"/>
      <c r="IP484" s="15"/>
      <c r="IQ484" s="15"/>
      <c r="IR484" s="15"/>
      <c r="IS484" s="15"/>
      <c r="IT484" s="15"/>
      <c r="IU484" s="15"/>
      <c r="IV484" s="15"/>
      <c r="IW484" s="15"/>
      <c r="IX484" s="15"/>
      <c r="IY484" s="15"/>
      <c r="IZ484" s="15"/>
      <c r="JA484" s="15"/>
      <c r="JB484" s="15"/>
      <c r="JC484" s="15"/>
      <c r="JD484" s="15"/>
      <c r="JE484" s="15"/>
      <c r="JF484" s="15"/>
      <c r="JG484" s="15"/>
      <c r="JH484" s="15"/>
      <c r="JI484" s="15"/>
      <c r="JJ484" s="15"/>
      <c r="JK484" s="15"/>
      <c r="JL484" s="15"/>
      <c r="JM484" s="15"/>
      <c r="JN484" s="15"/>
      <c r="JO484" s="15"/>
      <c r="JP484" s="15"/>
      <c r="JQ484" s="15"/>
      <c r="JR484" s="15"/>
      <c r="JS484" s="15"/>
      <c r="JT484" s="15"/>
      <c r="JU484" s="15"/>
      <c r="JV484" s="15"/>
      <c r="JW484" s="15"/>
      <c r="JX484" s="15"/>
      <c r="JY484" s="15"/>
      <c r="JZ484" s="15"/>
      <c r="KA484" s="15"/>
      <c r="KB484" s="15"/>
      <c r="KC484" s="15"/>
      <c r="KD484" s="15"/>
      <c r="KE484" s="15"/>
      <c r="KF484" s="15"/>
      <c r="KG484" s="15"/>
      <c r="KH484" s="15"/>
      <c r="KI484" s="15"/>
      <c r="KJ484" s="15"/>
      <c r="KK484" s="15"/>
      <c r="KL484" s="15"/>
      <c r="KM484" s="15"/>
      <c r="KN484" s="15"/>
      <c r="KO484" s="15"/>
      <c r="KP484" s="15"/>
      <c r="KQ484" s="15"/>
      <c r="KR484" s="15"/>
      <c r="KS484" s="15"/>
      <c r="KT484" s="15"/>
      <c r="KU484" s="15"/>
      <c r="KV484" s="15"/>
      <c r="KW484" s="15"/>
      <c r="KX484" s="15"/>
      <c r="KY484" s="15"/>
      <c r="KZ484" s="15"/>
      <c r="LA484" s="15"/>
      <c r="LB484" s="15"/>
      <c r="LC484" s="15"/>
      <c r="LD484" s="15"/>
      <c r="LE484" s="15"/>
      <c r="LF484" s="15"/>
      <c r="LG484" s="15"/>
      <c r="LH484" s="15"/>
      <c r="LI484" s="15"/>
      <c r="LJ484" s="15"/>
      <c r="LK484" s="15"/>
      <c r="LL484" s="14"/>
      <c r="LM484" s="15"/>
      <c r="LN484" s="15"/>
      <c r="LO484" s="15"/>
      <c r="LP484" s="15"/>
      <c r="LQ484" s="15"/>
      <c r="LR484" s="15"/>
      <c r="LS484" s="15"/>
      <c r="LT484" s="15"/>
      <c r="LU484" s="15"/>
      <c r="LV484" s="15"/>
      <c r="LW484" s="15"/>
      <c r="LX484" s="15"/>
      <c r="LY484" s="15"/>
      <c r="LZ484" s="15"/>
      <c r="MA484" s="15"/>
      <c r="MB484" s="15"/>
      <c r="MC484" s="15"/>
      <c r="MD484" s="15"/>
      <c r="ME484" s="15"/>
      <c r="MF484" s="15"/>
      <c r="MG484" s="15"/>
      <c r="MH484" s="15"/>
      <c r="MI484" s="16"/>
      <c r="MJ484" s="15"/>
      <c r="MK484" s="15"/>
      <c r="ML484" s="15"/>
      <c r="MM484" s="15"/>
      <c r="MN484" s="15"/>
      <c r="MO484" s="16"/>
      <c r="MY484" s="13"/>
    </row>
    <row r="485" spans="47:618" ht="10.75" customHeight="1">
      <c r="DD485" s="9"/>
      <c r="DE485" s="10"/>
      <c r="DF485" s="10"/>
      <c r="DG485" s="10"/>
      <c r="DH485" s="10"/>
      <c r="DI485" s="10"/>
      <c r="DJ485" s="10"/>
      <c r="DK485" s="10"/>
      <c r="DL485" s="10"/>
      <c r="DM485" s="10"/>
      <c r="DN485" s="10"/>
      <c r="DO485" s="11"/>
      <c r="HK485" s="12"/>
      <c r="IA485" s="12"/>
      <c r="MI485" s="13"/>
      <c r="MY485" s="13"/>
    </row>
    <row r="486" spans="47:618" ht="10.75" customHeight="1">
      <c r="DD486" s="12"/>
      <c r="DO486" s="13"/>
      <c r="HK486" s="12"/>
      <c r="IA486" s="12"/>
      <c r="MI486" s="13"/>
      <c r="MY486" s="13"/>
    </row>
    <row r="487" spans="47:618" ht="10.75" customHeight="1">
      <c r="AU487" s="9"/>
      <c r="AV487" s="10"/>
      <c r="AW487" s="10"/>
      <c r="AX487" s="10"/>
      <c r="AY487" s="10"/>
      <c r="AZ487" s="10"/>
      <c r="BA487" s="10"/>
      <c r="BB487" s="10"/>
      <c r="BC487" s="10"/>
      <c r="BD487" s="10"/>
      <c r="BE487" s="10"/>
      <c r="BF487" s="10"/>
      <c r="BG487" s="10"/>
      <c r="BH487" s="10"/>
      <c r="BI487" s="10"/>
      <c r="BJ487" s="10"/>
      <c r="BK487" s="10"/>
      <c r="BL487" s="10"/>
      <c r="BM487" s="10"/>
      <c r="BN487" s="10"/>
      <c r="BO487" s="10"/>
      <c r="BP487" s="10"/>
      <c r="BQ487" s="10"/>
      <c r="BR487" s="10"/>
      <c r="BS487" s="10"/>
      <c r="BT487" s="10"/>
      <c r="BU487" s="10"/>
      <c r="BV487" s="10"/>
      <c r="BW487" s="10"/>
      <c r="BX487" s="10"/>
      <c r="BY487" s="10"/>
      <c r="BZ487" s="10"/>
      <c r="CA487" s="10"/>
      <c r="CB487" s="10"/>
      <c r="CC487" s="10"/>
      <c r="CD487" s="10"/>
      <c r="CE487" s="10"/>
      <c r="CF487" s="10"/>
      <c r="CG487" s="10"/>
      <c r="CH487" s="10"/>
      <c r="CI487" s="10"/>
      <c r="CJ487" s="10"/>
      <c r="CK487" s="10"/>
      <c r="CL487" s="10"/>
      <c r="CM487" s="10"/>
      <c r="CN487" s="10"/>
      <c r="CO487" s="10"/>
      <c r="CP487" s="10"/>
      <c r="CQ487" s="10"/>
      <c r="CR487" s="10"/>
      <c r="CS487" s="10"/>
      <c r="CT487" s="10"/>
      <c r="CU487" s="10"/>
      <c r="CV487" s="10"/>
      <c r="CW487" s="10"/>
      <c r="CX487" s="10"/>
      <c r="CY487" s="10"/>
      <c r="CZ487" s="10"/>
      <c r="DA487" s="10"/>
      <c r="DB487" s="10"/>
      <c r="DC487" s="10"/>
      <c r="DD487" s="9"/>
      <c r="DE487" s="10"/>
      <c r="DF487" s="10"/>
      <c r="DG487" s="10"/>
      <c r="DH487" s="10"/>
      <c r="DI487" s="10"/>
      <c r="DJ487" s="10"/>
      <c r="DK487" s="10"/>
      <c r="DL487" s="10"/>
      <c r="DM487" s="10"/>
      <c r="DN487" s="10"/>
      <c r="DO487" s="11"/>
      <c r="DP487" s="10"/>
      <c r="DQ487" s="10"/>
      <c r="DR487" s="10"/>
      <c r="DS487" s="10"/>
      <c r="DT487" s="10"/>
      <c r="DU487" s="10"/>
      <c r="DV487" s="10"/>
      <c r="DW487" s="10"/>
      <c r="DX487" s="10"/>
      <c r="DY487" s="10"/>
      <c r="DZ487" s="10"/>
      <c r="EA487" s="10"/>
      <c r="EB487" s="10"/>
      <c r="EC487" s="10"/>
      <c r="ED487" s="10"/>
      <c r="EE487" s="10"/>
      <c r="EF487" s="10"/>
      <c r="EG487" s="10"/>
      <c r="EH487" s="10"/>
      <c r="EI487" s="10"/>
      <c r="EJ487" s="10"/>
      <c r="EK487" s="10"/>
      <c r="EL487" s="10"/>
      <c r="EM487" s="10"/>
      <c r="EN487" s="10"/>
      <c r="EO487" s="10"/>
      <c r="EP487" s="10"/>
      <c r="EQ487" s="10"/>
      <c r="ER487" s="10"/>
      <c r="ES487" s="10"/>
      <c r="ET487" s="10"/>
      <c r="EU487" s="10"/>
      <c r="EV487" s="10"/>
      <c r="EW487" s="10"/>
      <c r="EX487" s="10"/>
      <c r="EY487" s="10"/>
      <c r="EZ487" s="10"/>
      <c r="FA487" s="10"/>
      <c r="FB487" s="10"/>
      <c r="FC487" s="10"/>
      <c r="FD487" s="10"/>
      <c r="FE487" s="10"/>
      <c r="FF487" s="10"/>
      <c r="FG487" s="10"/>
      <c r="FH487" s="10"/>
      <c r="FI487" s="10"/>
      <c r="FJ487" s="10"/>
      <c r="FK487" s="10"/>
      <c r="FL487" s="10"/>
      <c r="FM487" s="10"/>
      <c r="FN487" s="10"/>
      <c r="FO487" s="10"/>
      <c r="FP487" s="10"/>
      <c r="FQ487" s="10"/>
      <c r="FR487" s="11"/>
      <c r="HK487" s="12"/>
      <c r="IA487" s="12"/>
      <c r="MI487" s="13"/>
      <c r="MY487" s="13"/>
    </row>
    <row r="488" spans="47:618" ht="10.75" customHeight="1">
      <c r="AU488" s="14"/>
      <c r="AV488" s="15"/>
      <c r="AW488" s="15"/>
      <c r="AX488" s="15"/>
      <c r="AY488" s="15"/>
      <c r="AZ488" s="15"/>
      <c r="BA488" s="15"/>
      <c r="BB488" s="15"/>
      <c r="BC488" s="15"/>
      <c r="BD488" s="15"/>
      <c r="BE488" s="15"/>
      <c r="BF488" s="15"/>
      <c r="BG488" s="15"/>
      <c r="BH488" s="15"/>
      <c r="BI488" s="15"/>
      <c r="BJ488" s="15"/>
      <c r="BK488" s="15"/>
      <c r="BL488" s="15"/>
      <c r="BM488" s="15"/>
      <c r="BN488" s="15"/>
      <c r="BO488" s="15"/>
      <c r="BP488" s="15"/>
      <c r="BQ488" s="15"/>
      <c r="BR488" s="15"/>
      <c r="BS488" s="15"/>
      <c r="BT488" s="15"/>
      <c r="BU488" s="15"/>
      <c r="BV488" s="15"/>
      <c r="BW488" s="15"/>
      <c r="BX488" s="15"/>
      <c r="BY488" s="15"/>
      <c r="BZ488" s="15"/>
      <c r="CA488" s="15"/>
      <c r="CB488" s="15"/>
      <c r="CC488" s="15"/>
      <c r="CD488" s="15"/>
      <c r="CE488" s="15"/>
      <c r="CF488" s="15"/>
      <c r="CG488" s="15"/>
      <c r="CH488" s="15"/>
      <c r="CI488" s="15"/>
      <c r="CJ488" s="15"/>
      <c r="CK488" s="15"/>
      <c r="CL488" s="15"/>
      <c r="CM488" s="15"/>
      <c r="CN488" s="15"/>
      <c r="CO488" s="15"/>
      <c r="CP488" s="15"/>
      <c r="CQ488" s="15"/>
      <c r="CR488" s="15"/>
      <c r="CS488" s="15"/>
      <c r="CT488" s="15"/>
      <c r="CU488" s="15"/>
      <c r="CV488" s="15"/>
      <c r="CW488" s="15"/>
      <c r="CX488" s="15"/>
      <c r="CY488" s="15"/>
      <c r="CZ488" s="15"/>
      <c r="DA488" s="15"/>
      <c r="DB488" s="15"/>
      <c r="DC488" s="15"/>
      <c r="DD488" s="14"/>
      <c r="DE488" s="15"/>
      <c r="DF488" s="15"/>
      <c r="DG488" s="15"/>
      <c r="DH488" s="15"/>
      <c r="DI488" s="15"/>
      <c r="DJ488" s="15"/>
      <c r="DK488" s="15"/>
      <c r="DL488" s="15"/>
      <c r="DM488" s="15"/>
      <c r="DN488" s="15"/>
      <c r="DO488" s="16"/>
      <c r="DP488" s="15"/>
      <c r="DQ488" s="15"/>
      <c r="DR488" s="15"/>
      <c r="DS488" s="15"/>
      <c r="DT488" s="15"/>
      <c r="DU488" s="15"/>
      <c r="DV488" s="15"/>
      <c r="DW488" s="15"/>
      <c r="DX488" s="15"/>
      <c r="DY488" s="15"/>
      <c r="DZ488" s="15"/>
      <c r="EA488" s="15"/>
      <c r="EB488" s="15"/>
      <c r="EC488" s="15"/>
      <c r="ED488" s="15"/>
      <c r="EE488" s="15"/>
      <c r="EF488" s="15"/>
      <c r="EG488" s="15"/>
      <c r="EH488" s="15"/>
      <c r="EI488" s="15"/>
      <c r="EJ488" s="15"/>
      <c r="EK488" s="15"/>
      <c r="EL488" s="15"/>
      <c r="EM488" s="15"/>
      <c r="EN488" s="15"/>
      <c r="EO488" s="15"/>
      <c r="EP488" s="15"/>
      <c r="EQ488" s="15"/>
      <c r="ER488" s="15"/>
      <c r="ES488" s="15"/>
      <c r="ET488" s="15"/>
      <c r="EU488" s="15"/>
      <c r="EV488" s="15"/>
      <c r="EW488" s="15"/>
      <c r="EX488" s="15"/>
      <c r="EY488" s="15"/>
      <c r="EZ488" s="15"/>
      <c r="FA488" s="15"/>
      <c r="FB488" s="15"/>
      <c r="FC488" s="15"/>
      <c r="FD488" s="15"/>
      <c r="FE488" s="15"/>
      <c r="FF488" s="15"/>
      <c r="FG488" s="15"/>
      <c r="FH488" s="15"/>
      <c r="FI488" s="15"/>
      <c r="FJ488" s="15"/>
      <c r="FK488" s="15"/>
      <c r="FL488" s="15"/>
      <c r="FM488" s="15"/>
      <c r="FN488" s="15"/>
      <c r="FO488" s="15"/>
      <c r="FP488" s="15"/>
      <c r="FQ488" s="15"/>
      <c r="FR488" s="16"/>
      <c r="HK488" s="12"/>
      <c r="IA488" s="12"/>
      <c r="MI488" s="13"/>
      <c r="MY488" s="13"/>
    </row>
    <row r="489" spans="47:618" ht="10.75" customHeight="1">
      <c r="AU489" s="56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7"/>
      <c r="CC489" s="57"/>
      <c r="CD489" s="57"/>
      <c r="CE489" s="57"/>
      <c r="CF489" s="57"/>
      <c r="CG489" s="57"/>
      <c r="CH489" s="57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6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8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  <c r="EB489" s="57"/>
      <c r="EC489" s="57"/>
      <c r="ED489" s="57"/>
      <c r="EE489" s="57"/>
      <c r="EF489" s="57"/>
      <c r="EG489" s="57"/>
      <c r="EH489" s="57"/>
      <c r="EI489" s="57"/>
      <c r="EJ489" s="57"/>
      <c r="EK489" s="57"/>
      <c r="EL489" s="57"/>
      <c r="EM489" s="57"/>
      <c r="EN489" s="57"/>
      <c r="EO489" s="57"/>
      <c r="EP489" s="57"/>
      <c r="EQ489" s="57"/>
      <c r="ER489" s="57"/>
      <c r="ES489" s="57"/>
      <c r="ET489" s="57"/>
      <c r="EU489" s="57"/>
      <c r="EV489" s="57"/>
      <c r="EW489" s="57"/>
      <c r="EX489" s="57"/>
      <c r="EY489" s="57"/>
      <c r="EZ489" s="57"/>
      <c r="FA489" s="57"/>
      <c r="FB489" s="57"/>
      <c r="FC489" s="57"/>
      <c r="FD489" s="57"/>
      <c r="FE489" s="57"/>
      <c r="FF489" s="57"/>
      <c r="FG489" s="57"/>
      <c r="FH489" s="57"/>
      <c r="FI489" s="57"/>
      <c r="FJ489" s="57"/>
      <c r="FK489" s="57"/>
      <c r="FL489" s="57"/>
      <c r="FM489" s="57"/>
      <c r="FN489" s="57"/>
      <c r="FO489" s="57"/>
      <c r="FP489" s="57"/>
      <c r="FQ489" s="57"/>
      <c r="FR489" s="58"/>
      <c r="HK489" s="12"/>
      <c r="IA489" s="12"/>
      <c r="MI489" s="13"/>
      <c r="MY489" s="13"/>
    </row>
    <row r="490" spans="47:618" ht="10.75" customHeight="1">
      <c r="AU490" s="96"/>
      <c r="AV490" s="97"/>
      <c r="AW490" s="97"/>
      <c r="AX490" s="97"/>
      <c r="AY490" s="97"/>
      <c r="AZ490" s="97"/>
      <c r="BA490" s="97"/>
      <c r="BB490" s="97"/>
      <c r="BC490" s="97"/>
      <c r="BD490" s="97"/>
      <c r="BE490" s="97"/>
      <c r="BF490" s="97"/>
      <c r="BG490" s="97"/>
      <c r="BH490" s="97"/>
      <c r="BI490" s="97"/>
      <c r="BJ490" s="97"/>
      <c r="BK490" s="97"/>
      <c r="BL490" s="97"/>
      <c r="BM490" s="97"/>
      <c r="BN490" s="97"/>
      <c r="BO490" s="97"/>
      <c r="BP490" s="97"/>
      <c r="BQ490" s="97"/>
      <c r="BR490" s="97"/>
      <c r="BS490" s="97"/>
      <c r="BT490" s="97"/>
      <c r="BU490" s="97"/>
      <c r="BV490" s="97"/>
      <c r="BW490" s="97"/>
      <c r="BX490" s="97"/>
      <c r="BY490" s="97"/>
      <c r="BZ490" s="97"/>
      <c r="CA490" s="97"/>
      <c r="CB490" s="97"/>
      <c r="CC490" s="97"/>
      <c r="CD490" s="97"/>
      <c r="CE490" s="97"/>
      <c r="CF490" s="97"/>
      <c r="CG490" s="97"/>
      <c r="CH490" s="97"/>
      <c r="CI490" s="97"/>
      <c r="CJ490" s="97"/>
      <c r="CK490" s="97"/>
      <c r="CL490" s="97"/>
      <c r="CM490" s="97"/>
      <c r="CN490" s="97"/>
      <c r="CO490" s="97"/>
      <c r="CP490" s="97"/>
      <c r="CQ490" s="97"/>
      <c r="CR490" s="97"/>
      <c r="CS490" s="97"/>
      <c r="CT490" s="97"/>
      <c r="CU490" s="97"/>
      <c r="CV490" s="97"/>
      <c r="CW490" s="97"/>
      <c r="CX490" s="97"/>
      <c r="CY490" s="97"/>
      <c r="CZ490" s="97"/>
      <c r="DA490" s="97"/>
      <c r="DB490" s="97"/>
      <c r="DC490" s="97"/>
      <c r="DD490" s="96"/>
      <c r="DE490" s="97"/>
      <c r="DF490" s="97"/>
      <c r="DG490" s="97"/>
      <c r="DH490" s="97"/>
      <c r="DI490" s="97"/>
      <c r="DJ490" s="97"/>
      <c r="DK490" s="97"/>
      <c r="DL490" s="97"/>
      <c r="DM490" s="97"/>
      <c r="DN490" s="97"/>
      <c r="DO490" s="98"/>
      <c r="DP490" s="97"/>
      <c r="DQ490" s="97"/>
      <c r="DR490" s="97"/>
      <c r="DS490" s="97"/>
      <c r="DT490" s="97"/>
      <c r="DU490" s="97"/>
      <c r="DV490" s="97"/>
      <c r="DW490" s="97"/>
      <c r="DX490" s="97"/>
      <c r="DY490" s="97"/>
      <c r="DZ490" s="97"/>
      <c r="EA490" s="97"/>
      <c r="EB490" s="97"/>
      <c r="EC490" s="97"/>
      <c r="ED490" s="97"/>
      <c r="EE490" s="97"/>
      <c r="EF490" s="97"/>
      <c r="EG490" s="97"/>
      <c r="EH490" s="97"/>
      <c r="EI490" s="97"/>
      <c r="EJ490" s="97"/>
      <c r="EK490" s="97"/>
      <c r="EL490" s="97"/>
      <c r="EM490" s="97"/>
      <c r="EN490" s="97"/>
      <c r="EO490" s="97"/>
      <c r="EP490" s="97"/>
      <c r="EQ490" s="97"/>
      <c r="ER490" s="97"/>
      <c r="ES490" s="97"/>
      <c r="ET490" s="97"/>
      <c r="EU490" s="97"/>
      <c r="EV490" s="97"/>
      <c r="EW490" s="97"/>
      <c r="EX490" s="97"/>
      <c r="EY490" s="97"/>
      <c r="EZ490" s="97"/>
      <c r="FA490" s="97"/>
      <c r="FB490" s="97"/>
      <c r="FC490" s="97"/>
      <c r="FD490" s="97"/>
      <c r="FE490" s="97"/>
      <c r="FF490" s="97"/>
      <c r="FG490" s="97"/>
      <c r="FH490" s="97"/>
      <c r="FI490" s="97"/>
      <c r="FJ490" s="97"/>
      <c r="FK490" s="97"/>
      <c r="FL490" s="97"/>
      <c r="FM490" s="97"/>
      <c r="FN490" s="97"/>
      <c r="FO490" s="97"/>
      <c r="FP490" s="97"/>
      <c r="FQ490" s="97"/>
      <c r="FR490" s="98"/>
      <c r="HK490" s="12"/>
      <c r="IA490" s="12"/>
      <c r="MI490" s="13"/>
      <c r="MY490" s="13"/>
    </row>
    <row r="491" spans="47:618" ht="10.75" customHeight="1">
      <c r="AU491" s="59"/>
      <c r="AV491" s="60"/>
      <c r="AW491" s="60"/>
      <c r="AX491" s="60"/>
      <c r="AY491" s="60"/>
      <c r="AZ491" s="60"/>
      <c r="BA491" s="60"/>
      <c r="BB491" s="60"/>
      <c r="BC491" s="60"/>
      <c r="BD491" s="60"/>
      <c r="BE491" s="60"/>
      <c r="BF491" s="60"/>
      <c r="BG491" s="60"/>
      <c r="BH491" s="60"/>
      <c r="BI491" s="60"/>
      <c r="BJ491" s="60"/>
      <c r="BK491" s="60"/>
      <c r="BL491" s="60"/>
      <c r="BM491" s="60"/>
      <c r="BN491" s="60"/>
      <c r="BO491" s="60"/>
      <c r="BP491" s="60"/>
      <c r="BQ491" s="60"/>
      <c r="BR491" s="60"/>
      <c r="BS491" s="60"/>
      <c r="BT491" s="60"/>
      <c r="BU491" s="60"/>
      <c r="BV491" s="60"/>
      <c r="BW491" s="60"/>
      <c r="BX491" s="60"/>
      <c r="BY491" s="60"/>
      <c r="BZ491" s="60"/>
      <c r="CA491" s="60"/>
      <c r="CB491" s="60"/>
      <c r="CC491" s="60"/>
      <c r="CD491" s="60"/>
      <c r="CE491" s="60"/>
      <c r="CF491" s="60"/>
      <c r="CG491" s="60"/>
      <c r="CH491" s="60"/>
      <c r="CI491" s="60"/>
      <c r="CJ491" s="60"/>
      <c r="CK491" s="60"/>
      <c r="CL491" s="60"/>
      <c r="CM491" s="60"/>
      <c r="CN491" s="60"/>
      <c r="CO491" s="60"/>
      <c r="CP491" s="60"/>
      <c r="CQ491" s="60"/>
      <c r="CR491" s="60"/>
      <c r="CS491" s="60"/>
      <c r="CT491" s="60"/>
      <c r="CU491" s="60"/>
      <c r="CV491" s="60"/>
      <c r="CW491" s="60"/>
      <c r="CX491" s="60"/>
      <c r="CY491" s="60"/>
      <c r="CZ491" s="60"/>
      <c r="DA491" s="60"/>
      <c r="DB491" s="60"/>
      <c r="DC491" s="60"/>
      <c r="DD491" s="59"/>
      <c r="DE491" s="60"/>
      <c r="DF491" s="60"/>
      <c r="DG491" s="60"/>
      <c r="DH491" s="60"/>
      <c r="DI491" s="60"/>
      <c r="DJ491" s="60"/>
      <c r="DK491" s="60"/>
      <c r="DL491" s="60"/>
      <c r="DM491" s="60"/>
      <c r="DN491" s="60"/>
      <c r="DO491" s="61"/>
      <c r="DP491" s="60"/>
      <c r="DQ491" s="60"/>
      <c r="DR491" s="60"/>
      <c r="DS491" s="60"/>
      <c r="DT491" s="60"/>
      <c r="DU491" s="60"/>
      <c r="DV491" s="60"/>
      <c r="DW491" s="60"/>
      <c r="DX491" s="60"/>
      <c r="DY491" s="60"/>
      <c r="DZ491" s="60"/>
      <c r="EA491" s="60"/>
      <c r="EB491" s="60"/>
      <c r="EC491" s="60"/>
      <c r="ED491" s="60"/>
      <c r="EE491" s="60"/>
      <c r="EF491" s="60"/>
      <c r="EG491" s="60"/>
      <c r="EH491" s="60"/>
      <c r="EI491" s="60"/>
      <c r="EJ491" s="60"/>
      <c r="EK491" s="60"/>
      <c r="EL491" s="60"/>
      <c r="EM491" s="60"/>
      <c r="EN491" s="60"/>
      <c r="EO491" s="60"/>
      <c r="EP491" s="60"/>
      <c r="EQ491" s="60"/>
      <c r="ER491" s="60"/>
      <c r="ES491" s="60"/>
      <c r="ET491" s="60"/>
      <c r="EU491" s="60"/>
      <c r="EV491" s="60"/>
      <c r="EW491" s="60"/>
      <c r="EX491" s="60"/>
      <c r="EY491" s="60"/>
      <c r="EZ491" s="60"/>
      <c r="FA491" s="60"/>
      <c r="FB491" s="60"/>
      <c r="FC491" s="60"/>
      <c r="FD491" s="60"/>
      <c r="FE491" s="60"/>
      <c r="FF491" s="60"/>
      <c r="FG491" s="60"/>
      <c r="FH491" s="60"/>
      <c r="FI491" s="60"/>
      <c r="FJ491" s="60"/>
      <c r="FK491" s="60"/>
      <c r="FL491" s="60"/>
      <c r="FM491" s="60"/>
      <c r="FN491" s="60"/>
      <c r="FO491" s="60"/>
      <c r="FP491" s="60"/>
      <c r="FQ491" s="60"/>
      <c r="FR491" s="61"/>
      <c r="HK491" s="12"/>
      <c r="IA491" s="12"/>
      <c r="MI491" s="13"/>
      <c r="MY491" s="13"/>
    </row>
    <row r="492" spans="47:618" ht="10.75" customHeight="1">
      <c r="AY492" s="264"/>
      <c r="AZ492" s="265"/>
      <c r="BA492" s="265"/>
      <c r="BB492" s="266"/>
      <c r="DD492" s="274"/>
      <c r="DE492" s="263"/>
      <c r="DF492" s="263"/>
      <c r="DG492" s="275"/>
      <c r="DH492" s="20"/>
      <c r="DI492" s="21"/>
      <c r="DJ492" s="21"/>
      <c r="DK492" s="21"/>
      <c r="DL492" s="21"/>
      <c r="DM492" s="21"/>
      <c r="DN492" s="21"/>
      <c r="DO492" s="22"/>
      <c r="DP492" s="10"/>
      <c r="DQ492" s="10"/>
      <c r="DR492" s="10"/>
      <c r="DS492" s="10"/>
      <c r="DT492" s="10"/>
      <c r="DU492" s="10"/>
      <c r="DV492" s="10"/>
      <c r="DW492" s="10"/>
      <c r="DX492" s="10"/>
      <c r="DY492" s="10"/>
      <c r="DZ492" s="10"/>
      <c r="EA492" s="10"/>
      <c r="EB492" s="10"/>
      <c r="EC492" s="10"/>
      <c r="ED492" s="10"/>
      <c r="EE492" s="10"/>
      <c r="EF492" s="10"/>
      <c r="EG492" s="10"/>
      <c r="EH492" s="10"/>
      <c r="EI492" s="10"/>
      <c r="EJ492" s="10"/>
      <c r="EK492" s="10"/>
      <c r="EL492" s="10"/>
      <c r="EM492" s="10"/>
      <c r="EN492" s="10"/>
      <c r="EO492" s="10"/>
      <c r="EP492" s="10"/>
      <c r="EQ492" s="10"/>
      <c r="ER492" s="10"/>
      <c r="ES492" s="10"/>
      <c r="ET492" s="10"/>
      <c r="EU492" s="10"/>
      <c r="EV492" s="10"/>
      <c r="EW492" s="10"/>
      <c r="EX492" s="10"/>
      <c r="EY492" s="10"/>
      <c r="EZ492" s="10"/>
      <c r="FA492" s="20"/>
      <c r="FB492" s="21"/>
      <c r="FC492" s="21"/>
      <c r="FD492" s="21"/>
      <c r="FE492" s="21"/>
      <c r="FF492" s="21"/>
      <c r="FG492" s="21"/>
      <c r="FH492" s="21"/>
      <c r="FI492" s="21"/>
      <c r="FJ492" s="22"/>
      <c r="FK492" s="11"/>
      <c r="FL492" s="264"/>
      <c r="FM492" s="265"/>
      <c r="FN492" s="266"/>
      <c r="HK492" s="12"/>
      <c r="IA492" s="12"/>
      <c r="MI492" s="13"/>
      <c r="MY492" s="13"/>
    </row>
    <row r="493" spans="47:618" ht="10.75" customHeight="1">
      <c r="AY493" s="270"/>
      <c r="AZ493" s="271"/>
      <c r="BA493" s="271"/>
      <c r="BB493" s="272"/>
      <c r="DD493" s="270"/>
      <c r="DE493" s="271"/>
      <c r="DF493" s="271"/>
      <c r="DG493" s="272"/>
      <c r="DH493" s="12"/>
      <c r="DP493" s="9"/>
      <c r="DQ493" s="10"/>
      <c r="DR493" s="10"/>
      <c r="DS493" s="10"/>
      <c r="DT493" s="10"/>
      <c r="DU493" s="10"/>
      <c r="DV493" s="10"/>
      <c r="DW493" s="10"/>
      <c r="DX493" s="10"/>
      <c r="DY493" s="10"/>
      <c r="DZ493" s="10"/>
      <c r="EA493" s="11"/>
      <c r="FA493" s="12"/>
      <c r="FB493" s="9"/>
      <c r="FC493" s="10"/>
      <c r="FD493" s="10"/>
      <c r="FE493" s="10"/>
      <c r="FF493" s="10"/>
      <c r="FG493" s="10"/>
      <c r="FH493" s="10"/>
      <c r="FI493" s="11"/>
      <c r="FJ493" s="13"/>
      <c r="FK493" s="13"/>
      <c r="FL493" s="270"/>
      <c r="FM493" s="271"/>
      <c r="FN493" s="272"/>
      <c r="HK493" s="12"/>
      <c r="IA493" s="12"/>
      <c r="MI493" s="13"/>
      <c r="MY493" s="13"/>
    </row>
    <row r="494" spans="47:618" ht="10.75" customHeight="1">
      <c r="AY494" s="270"/>
      <c r="AZ494" s="271"/>
      <c r="BA494" s="271"/>
      <c r="BB494" s="272"/>
      <c r="DD494" s="270"/>
      <c r="DE494" s="271"/>
      <c r="DF494" s="271"/>
      <c r="DG494" s="272"/>
      <c r="DH494" s="12"/>
      <c r="DP494" s="12"/>
      <c r="EA494" s="13"/>
      <c r="FA494" s="12"/>
      <c r="FB494" s="12"/>
      <c r="FI494" s="13"/>
      <c r="FJ494" s="13"/>
      <c r="FK494" s="13"/>
      <c r="FL494" s="270"/>
      <c r="FM494" s="271"/>
      <c r="FN494" s="272"/>
      <c r="HK494" s="12"/>
      <c r="IA494" s="12"/>
      <c r="MI494" s="13"/>
      <c r="MY494" s="13"/>
    </row>
    <row r="495" spans="47:618" ht="10.75" customHeight="1">
      <c r="AY495" s="270"/>
      <c r="AZ495" s="271"/>
      <c r="BA495" s="271"/>
      <c r="BB495" s="272"/>
      <c r="DD495" s="270"/>
      <c r="DE495" s="271"/>
      <c r="DF495" s="271"/>
      <c r="DG495" s="272"/>
      <c r="DH495" s="12"/>
      <c r="DP495" s="12"/>
      <c r="EA495" s="13"/>
      <c r="FA495" s="12"/>
      <c r="FB495" s="12"/>
      <c r="FI495" s="13"/>
      <c r="FJ495" s="13"/>
      <c r="FK495" s="13"/>
      <c r="FL495" s="270"/>
      <c r="FM495" s="271"/>
      <c r="FN495" s="272"/>
      <c r="HK495" s="12"/>
      <c r="IA495" s="12"/>
      <c r="MI495" s="13"/>
      <c r="MY495" s="13"/>
    </row>
    <row r="496" spans="47:618" ht="10.75" customHeight="1">
      <c r="AY496" s="270"/>
      <c r="AZ496" s="271"/>
      <c r="BA496" s="271"/>
      <c r="BB496" s="272"/>
      <c r="DD496" s="270"/>
      <c r="DE496" s="271"/>
      <c r="DF496" s="271"/>
      <c r="DG496" s="272"/>
      <c r="DH496" s="12"/>
      <c r="DP496" s="12"/>
      <c r="EA496" s="13"/>
      <c r="FA496" s="12"/>
      <c r="FB496" s="12"/>
      <c r="FI496" s="13"/>
      <c r="FJ496" s="13"/>
      <c r="FK496" s="13"/>
      <c r="FL496" s="270"/>
      <c r="FM496" s="271"/>
      <c r="FN496" s="272"/>
      <c r="GH496" s="245"/>
      <c r="GI496" s="245"/>
      <c r="GJ496" s="245"/>
      <c r="HK496" s="12"/>
      <c r="IA496" s="12"/>
      <c r="MI496" s="13"/>
      <c r="MY496" s="13"/>
    </row>
    <row r="497" spans="51:363" ht="10.75" customHeight="1">
      <c r="AY497" s="270"/>
      <c r="AZ497" s="271"/>
      <c r="BA497" s="271"/>
      <c r="BB497" s="272"/>
      <c r="DD497" s="270"/>
      <c r="DE497" s="271"/>
      <c r="DF497" s="271"/>
      <c r="DG497" s="272"/>
      <c r="DH497" s="12"/>
      <c r="DP497" s="12"/>
      <c r="EA497" s="13"/>
      <c r="FA497" s="12"/>
      <c r="FB497" s="12"/>
      <c r="FI497" s="13"/>
      <c r="FJ497" s="13"/>
      <c r="FK497" s="13"/>
      <c r="FL497" s="270"/>
      <c r="FM497" s="271"/>
      <c r="FN497" s="272"/>
      <c r="GH497" s="245"/>
      <c r="GI497" s="245"/>
      <c r="GJ497" s="245"/>
      <c r="GK497" s="245"/>
      <c r="GL497" s="245"/>
      <c r="GM497" s="245"/>
      <c r="HK497" s="12"/>
      <c r="IA497" s="12"/>
      <c r="MI497" s="13"/>
      <c r="MY497" s="13"/>
    </row>
    <row r="498" spans="51:363" ht="10.75" customHeight="1">
      <c r="AY498" s="270"/>
      <c r="AZ498" s="271"/>
      <c r="BA498" s="271"/>
      <c r="BB498" s="272"/>
      <c r="DD498" s="270"/>
      <c r="DE498" s="271"/>
      <c r="DF498" s="271"/>
      <c r="DG498" s="272"/>
      <c r="DH498" s="12"/>
      <c r="DP498" s="12"/>
      <c r="EA498" s="13"/>
      <c r="FA498" s="12"/>
      <c r="FB498" s="12"/>
      <c r="FI498" s="13"/>
      <c r="FJ498" s="13"/>
      <c r="FK498" s="13"/>
      <c r="FL498" s="270"/>
      <c r="FM498" s="271"/>
      <c r="FN498" s="272"/>
      <c r="GH498" s="245"/>
      <c r="GI498" s="245"/>
      <c r="GJ498" s="245"/>
      <c r="GK498" s="245"/>
      <c r="GL498" s="245"/>
      <c r="GM498" s="245"/>
      <c r="HK498" s="12"/>
      <c r="IA498" s="12"/>
      <c r="MI498" s="13"/>
      <c r="MY498" s="13"/>
    </row>
    <row r="499" spans="51:363" ht="10.75" customHeight="1">
      <c r="AY499" s="270"/>
      <c r="AZ499" s="271"/>
      <c r="BA499" s="271"/>
      <c r="BB499" s="272"/>
      <c r="DD499" s="270"/>
      <c r="DE499" s="271"/>
      <c r="DF499" s="271"/>
      <c r="DG499" s="272"/>
      <c r="DH499" s="12"/>
      <c r="DP499" s="12"/>
      <c r="EA499" s="13"/>
      <c r="FA499" s="12"/>
      <c r="FB499" s="12"/>
      <c r="FI499" s="13"/>
      <c r="FJ499" s="13"/>
      <c r="FK499" s="13"/>
      <c r="FL499" s="270"/>
      <c r="FM499" s="271"/>
      <c r="FN499" s="272"/>
      <c r="GH499" s="245"/>
      <c r="GI499" s="245"/>
      <c r="GJ499" s="245"/>
      <c r="GK499" s="245"/>
      <c r="GL499" s="245"/>
      <c r="GM499" s="245"/>
      <c r="HK499" s="12"/>
      <c r="IA499" s="12"/>
      <c r="MI499" s="13"/>
      <c r="MY499" s="13"/>
    </row>
    <row r="500" spans="51:363" ht="10.75" customHeight="1">
      <c r="AY500" s="270"/>
      <c r="AZ500" s="271"/>
      <c r="BA500" s="271"/>
      <c r="BB500" s="272"/>
      <c r="DD500" s="270"/>
      <c r="DE500" s="271"/>
      <c r="DF500" s="271"/>
      <c r="DG500" s="272"/>
      <c r="DH500" s="12"/>
      <c r="DP500" s="14"/>
      <c r="DQ500" s="15"/>
      <c r="DR500" s="15"/>
      <c r="DS500" s="15"/>
      <c r="DT500" s="15"/>
      <c r="DU500" s="15"/>
      <c r="DV500" s="15"/>
      <c r="DW500" s="15"/>
      <c r="DX500" s="15"/>
      <c r="DY500" s="15"/>
      <c r="DZ500" s="15"/>
      <c r="EA500" s="16"/>
      <c r="FA500" s="12"/>
      <c r="FB500" s="12"/>
      <c r="FI500" s="13"/>
      <c r="FJ500" s="13"/>
      <c r="FK500" s="13"/>
      <c r="FL500" s="270"/>
      <c r="FM500" s="271"/>
      <c r="FN500" s="272"/>
      <c r="GN500" s="245"/>
      <c r="GO500" s="245"/>
      <c r="GP500" s="245"/>
      <c r="GQ500" s="245"/>
      <c r="GR500" s="245"/>
      <c r="GS500" s="245"/>
      <c r="HK500" s="12"/>
      <c r="IA500" s="12"/>
      <c r="MI500" s="13"/>
      <c r="MY500" s="13"/>
    </row>
    <row r="501" spans="51:363" ht="10.75" customHeight="1">
      <c r="AY501" s="270"/>
      <c r="AZ501" s="271"/>
      <c r="BA501" s="271"/>
      <c r="BB501" s="272"/>
      <c r="DD501" s="270"/>
      <c r="DE501" s="271"/>
      <c r="DF501" s="271"/>
      <c r="DG501" s="272"/>
      <c r="DH501" s="12"/>
      <c r="EB501" s="9"/>
      <c r="EC501" s="10"/>
      <c r="ED501" s="10"/>
      <c r="EE501" s="10"/>
      <c r="EF501" s="10"/>
      <c r="EG501" s="10"/>
      <c r="EH501" s="10"/>
      <c r="EI501" s="10"/>
      <c r="EJ501" s="10"/>
      <c r="EK501" s="10"/>
      <c r="EL501" s="10"/>
      <c r="EM501" s="11"/>
      <c r="FA501" s="12"/>
      <c r="FB501" s="12"/>
      <c r="FI501" s="13"/>
      <c r="FJ501" s="13"/>
      <c r="FK501" s="13"/>
      <c r="FL501" s="270"/>
      <c r="FM501" s="271"/>
      <c r="FN501" s="272"/>
      <c r="GN501" s="245"/>
      <c r="GO501" s="245"/>
      <c r="GP501" s="245"/>
      <c r="GQ501" s="245"/>
      <c r="GR501" s="245"/>
      <c r="GS501" s="245"/>
      <c r="HK501" s="12"/>
      <c r="IA501" s="12"/>
      <c r="MI501" s="13"/>
      <c r="MY501" s="13"/>
    </row>
    <row r="502" spans="51:363" ht="10.75" customHeight="1">
      <c r="AY502" s="270"/>
      <c r="AZ502" s="271"/>
      <c r="BA502" s="271"/>
      <c r="BB502" s="272"/>
      <c r="DD502" s="270"/>
      <c r="DE502" s="271"/>
      <c r="DF502" s="271"/>
      <c r="DG502" s="272"/>
      <c r="DH502" s="12"/>
      <c r="EB502" s="12"/>
      <c r="EM502" s="13"/>
      <c r="FA502" s="12"/>
      <c r="FB502" s="12"/>
      <c r="FI502" s="13"/>
      <c r="FJ502" s="13"/>
      <c r="FK502" s="13"/>
      <c r="FL502" s="270"/>
      <c r="FM502" s="271"/>
      <c r="FN502" s="272"/>
      <c r="GN502" s="245"/>
      <c r="GO502" s="245"/>
      <c r="GP502" s="245"/>
      <c r="GQ502" s="245"/>
      <c r="GR502" s="245"/>
      <c r="GS502" s="245"/>
      <c r="HK502" s="12"/>
      <c r="IA502" s="12"/>
      <c r="MI502" s="13"/>
      <c r="MY502" s="13"/>
    </row>
    <row r="503" spans="51:363" ht="10.75" customHeight="1">
      <c r="AY503" s="270"/>
      <c r="AZ503" s="271"/>
      <c r="BA503" s="271"/>
      <c r="BB503" s="272"/>
      <c r="DD503" s="270"/>
      <c r="DE503" s="271"/>
      <c r="DF503" s="271"/>
      <c r="DG503" s="272"/>
      <c r="DH503" s="12"/>
      <c r="EB503" s="12"/>
      <c r="EM503" s="13"/>
      <c r="FA503" s="12"/>
      <c r="FB503" s="12"/>
      <c r="FI503" s="13"/>
      <c r="FJ503" s="13"/>
      <c r="FK503" s="13"/>
      <c r="FL503" s="270"/>
      <c r="FM503" s="271"/>
      <c r="FN503" s="272"/>
      <c r="GN503" s="245"/>
      <c r="GO503" s="245"/>
      <c r="GP503" s="245"/>
      <c r="GQ503" s="245"/>
      <c r="GR503" s="245"/>
      <c r="GS503" s="245"/>
      <c r="HK503" s="12"/>
      <c r="IA503" s="12"/>
      <c r="MI503" s="13"/>
      <c r="MY503" s="13"/>
    </row>
    <row r="504" spans="51:363" ht="10.75" customHeight="1">
      <c r="AY504" s="270"/>
      <c r="AZ504" s="271"/>
      <c r="BA504" s="271"/>
      <c r="BB504" s="272"/>
      <c r="DD504" s="270"/>
      <c r="DE504" s="271"/>
      <c r="DF504" s="271"/>
      <c r="DG504" s="272"/>
      <c r="DH504" s="12"/>
      <c r="EB504" s="12"/>
      <c r="EM504" s="13"/>
      <c r="FA504" s="12"/>
      <c r="FB504" s="12"/>
      <c r="FI504" s="13"/>
      <c r="FJ504" s="13"/>
      <c r="FK504" s="13"/>
      <c r="FL504" s="270"/>
      <c r="FM504" s="271"/>
      <c r="FN504" s="272"/>
      <c r="GT504" s="245"/>
      <c r="GU504" s="245"/>
      <c r="GV504" s="245"/>
      <c r="GW504" s="245"/>
      <c r="GX504" s="245"/>
      <c r="GY504" s="245"/>
      <c r="HK504" s="12"/>
      <c r="IA504" s="12"/>
      <c r="MI504" s="13"/>
      <c r="MY504" s="13"/>
    </row>
    <row r="505" spans="51:363" ht="10.75" customHeight="1">
      <c r="AY505" s="270"/>
      <c r="AZ505" s="271"/>
      <c r="BA505" s="271"/>
      <c r="BB505" s="272"/>
      <c r="DD505" s="270"/>
      <c r="DE505" s="271"/>
      <c r="DF505" s="271"/>
      <c r="DG505" s="272"/>
      <c r="DH505" s="12"/>
      <c r="EB505" s="12"/>
      <c r="EM505" s="13"/>
      <c r="FA505" s="12"/>
      <c r="FB505" s="12"/>
      <c r="FI505" s="13"/>
      <c r="FJ505" s="13"/>
      <c r="FK505" s="13"/>
      <c r="FL505" s="270"/>
      <c r="FM505" s="271"/>
      <c r="FN505" s="272"/>
      <c r="GT505" s="245"/>
      <c r="GU505" s="245"/>
      <c r="GV505" s="245"/>
      <c r="GW505" s="245"/>
      <c r="GX505" s="245"/>
      <c r="GY505" s="245"/>
      <c r="HK505" s="12"/>
      <c r="IA505" s="12"/>
      <c r="MI505" s="13"/>
      <c r="MY505" s="13"/>
    </row>
    <row r="506" spans="51:363" ht="10.75" customHeight="1">
      <c r="AY506" s="270"/>
      <c r="AZ506" s="271"/>
      <c r="BA506" s="271"/>
      <c r="BB506" s="272"/>
      <c r="DD506" s="270"/>
      <c r="DE506" s="271"/>
      <c r="DF506" s="271"/>
      <c r="DG506" s="272"/>
      <c r="DH506" s="12"/>
      <c r="EB506" s="12"/>
      <c r="EM506" s="13"/>
      <c r="FA506" s="12"/>
      <c r="FB506" s="12"/>
      <c r="FI506" s="13"/>
      <c r="FJ506" s="13"/>
      <c r="FK506" s="13"/>
      <c r="FL506" s="270"/>
      <c r="FM506" s="271"/>
      <c r="FN506" s="272"/>
      <c r="GT506" s="245"/>
      <c r="GU506" s="245"/>
      <c r="GV506" s="245"/>
      <c r="GW506" s="245"/>
      <c r="GX506" s="245"/>
      <c r="GY506" s="245"/>
      <c r="HK506" s="12"/>
      <c r="IA506" s="12"/>
      <c r="MI506" s="13"/>
      <c r="MY506" s="13"/>
    </row>
    <row r="507" spans="51:363" ht="10.75" customHeight="1">
      <c r="AY507" s="270"/>
      <c r="AZ507" s="271"/>
      <c r="BA507" s="271"/>
      <c r="BB507" s="272"/>
      <c r="DD507" s="270"/>
      <c r="DE507" s="271"/>
      <c r="DF507" s="271"/>
      <c r="DG507" s="272"/>
      <c r="DH507" s="12"/>
      <c r="EB507" s="12"/>
      <c r="EM507" s="13"/>
      <c r="FA507" s="12"/>
      <c r="FB507" s="12"/>
      <c r="FI507" s="13"/>
      <c r="FJ507" s="13"/>
      <c r="FK507" s="13"/>
      <c r="FL507" s="270"/>
      <c r="FM507" s="271"/>
      <c r="FN507" s="272"/>
      <c r="GT507" s="245"/>
      <c r="GU507" s="245"/>
      <c r="GV507" s="245"/>
      <c r="GW507" s="245"/>
      <c r="GX507" s="245"/>
      <c r="GY507" s="245"/>
      <c r="HK507" s="12"/>
      <c r="IA507" s="12"/>
      <c r="MI507" s="13"/>
      <c r="MY507" s="13"/>
    </row>
    <row r="508" spans="51:363" ht="10.75" customHeight="1">
      <c r="AY508" s="270"/>
      <c r="AZ508" s="271"/>
      <c r="BA508" s="271"/>
      <c r="BB508" s="272"/>
      <c r="DD508" s="270"/>
      <c r="DE508" s="271"/>
      <c r="DF508" s="271"/>
      <c r="DG508" s="272"/>
      <c r="DH508" s="12"/>
      <c r="EB508" s="14"/>
      <c r="EC508" s="15"/>
      <c r="ED508" s="15"/>
      <c r="EE508" s="15"/>
      <c r="EF508" s="15"/>
      <c r="EG508" s="15"/>
      <c r="EH508" s="15"/>
      <c r="EI508" s="15"/>
      <c r="EJ508" s="15"/>
      <c r="EK508" s="15"/>
      <c r="EL508" s="15"/>
      <c r="EM508" s="16"/>
      <c r="FA508" s="12"/>
      <c r="FB508" s="12"/>
      <c r="FI508" s="13"/>
      <c r="FJ508" s="13"/>
      <c r="FK508" s="13"/>
      <c r="FL508" s="270"/>
      <c r="FM508" s="271"/>
      <c r="FN508" s="272"/>
      <c r="HK508" s="12"/>
      <c r="IA508" s="12"/>
      <c r="MI508" s="13"/>
      <c r="MY508" s="13"/>
    </row>
    <row r="509" spans="51:363" ht="10.75" customHeight="1">
      <c r="AY509" s="270"/>
      <c r="AZ509" s="271"/>
      <c r="BA509" s="271"/>
      <c r="BB509" s="272"/>
      <c r="DD509" s="270"/>
      <c r="DE509" s="271"/>
      <c r="DF509" s="271"/>
      <c r="DG509" s="272"/>
      <c r="DH509" s="12"/>
      <c r="EN509" s="9"/>
      <c r="EO509" s="10"/>
      <c r="EP509" s="10"/>
      <c r="EQ509" s="10"/>
      <c r="ER509" s="10"/>
      <c r="ES509" s="10"/>
      <c r="ET509" s="10"/>
      <c r="EU509" s="10"/>
      <c r="EV509" s="10"/>
      <c r="EW509" s="10"/>
      <c r="EX509" s="10"/>
      <c r="EY509" s="11"/>
      <c r="FA509" s="12"/>
      <c r="FB509" s="12"/>
      <c r="FI509" s="13"/>
      <c r="FJ509" s="13"/>
      <c r="FK509" s="13"/>
      <c r="FL509" s="270"/>
      <c r="FM509" s="271"/>
      <c r="FN509" s="272"/>
      <c r="HK509" s="12"/>
      <c r="IA509" s="12"/>
      <c r="MI509" s="13"/>
      <c r="MY509" s="13"/>
    </row>
    <row r="510" spans="51:363" ht="10.75" customHeight="1">
      <c r="AY510" s="270"/>
      <c r="AZ510" s="271"/>
      <c r="BA510" s="271"/>
      <c r="BB510" s="272"/>
      <c r="DD510" s="270"/>
      <c r="DE510" s="271"/>
      <c r="DF510" s="271"/>
      <c r="DG510" s="272"/>
      <c r="DH510" s="12"/>
      <c r="EN510" s="12"/>
      <c r="EY510" s="13"/>
      <c r="FA510" s="12"/>
      <c r="FB510" s="12"/>
      <c r="FI510" s="13"/>
      <c r="FJ510" s="13"/>
      <c r="FK510" s="13"/>
      <c r="FL510" s="270"/>
      <c r="FM510" s="271"/>
      <c r="FN510" s="272"/>
      <c r="HK510" s="12"/>
      <c r="IA510" s="12"/>
      <c r="MI510" s="13"/>
      <c r="MY510" s="13"/>
    </row>
    <row r="511" spans="51:363" ht="10.75" customHeight="1">
      <c r="AY511" s="270"/>
      <c r="AZ511" s="271"/>
      <c r="BA511" s="271"/>
      <c r="BB511" s="272"/>
      <c r="DD511" s="270"/>
      <c r="DE511" s="271"/>
      <c r="DF511" s="271"/>
      <c r="DG511" s="272"/>
      <c r="DH511" s="12"/>
      <c r="EN511" s="12"/>
      <c r="EY511" s="13"/>
      <c r="FA511" s="12"/>
      <c r="FB511" s="12"/>
      <c r="FI511" s="13"/>
      <c r="FJ511" s="13"/>
      <c r="FK511" s="13"/>
      <c r="FL511" s="270"/>
      <c r="FM511" s="271"/>
      <c r="FN511" s="272"/>
      <c r="HK511" s="12"/>
      <c r="IA511" s="12"/>
      <c r="MI511" s="13"/>
      <c r="MY511" s="13"/>
    </row>
    <row r="512" spans="51:363" ht="10.75" customHeight="1">
      <c r="AY512" s="270"/>
      <c r="AZ512" s="271"/>
      <c r="BA512" s="271"/>
      <c r="BB512" s="272"/>
      <c r="DD512" s="270"/>
      <c r="DE512" s="271"/>
      <c r="DF512" s="271"/>
      <c r="DG512" s="272"/>
      <c r="DH512" s="12"/>
      <c r="EN512" s="12"/>
      <c r="EY512" s="13"/>
      <c r="FA512" s="12"/>
      <c r="FB512" s="12"/>
      <c r="FI512" s="13"/>
      <c r="FJ512" s="13"/>
      <c r="FK512" s="13"/>
      <c r="FL512" s="270"/>
      <c r="FM512" s="271"/>
      <c r="FN512" s="272"/>
      <c r="HK512" s="12"/>
      <c r="IA512" s="12"/>
      <c r="MI512" s="13"/>
      <c r="MY512" s="13"/>
    </row>
    <row r="513" spans="51:363" ht="10.75" customHeight="1">
      <c r="AY513" s="270"/>
      <c r="AZ513" s="271"/>
      <c r="BA513" s="271"/>
      <c r="BB513" s="272"/>
      <c r="DD513" s="270"/>
      <c r="DE513" s="271"/>
      <c r="DF513" s="271"/>
      <c r="DG513" s="272"/>
      <c r="DH513" s="12"/>
      <c r="EN513" s="12"/>
      <c r="EY513" s="13"/>
      <c r="FA513" s="12"/>
      <c r="FB513" s="12"/>
      <c r="FI513" s="13"/>
      <c r="FJ513" s="13"/>
      <c r="FK513" s="13"/>
      <c r="FL513" s="270"/>
      <c r="FM513" s="271"/>
      <c r="FN513" s="272"/>
      <c r="HK513" s="12"/>
      <c r="IA513" s="12"/>
      <c r="MI513" s="13"/>
      <c r="MY513" s="13"/>
    </row>
    <row r="514" spans="51:363" ht="10.75" customHeight="1">
      <c r="AY514" s="270"/>
      <c r="AZ514" s="271"/>
      <c r="BA514" s="271"/>
      <c r="BB514" s="272"/>
      <c r="DD514" s="270"/>
      <c r="DE514" s="271"/>
      <c r="DF514" s="271"/>
      <c r="DG514" s="272"/>
      <c r="DH514" s="12"/>
      <c r="EN514" s="12"/>
      <c r="EY514" s="13"/>
      <c r="FA514" s="14"/>
      <c r="FB514" s="14"/>
      <c r="FC514" s="15"/>
      <c r="FD514" s="15"/>
      <c r="FE514" s="15"/>
      <c r="FF514" s="15"/>
      <c r="FG514" s="15"/>
      <c r="FH514" s="15"/>
      <c r="FI514" s="16"/>
      <c r="FJ514" s="16"/>
      <c r="FK514" s="13"/>
      <c r="FL514" s="270"/>
      <c r="FM514" s="271"/>
      <c r="FN514" s="272"/>
      <c r="HK514" s="12"/>
      <c r="HZ514" s="13"/>
      <c r="IA514" s="14"/>
      <c r="IB514" s="15"/>
      <c r="IC514" s="15"/>
      <c r="ID514" s="15"/>
      <c r="IE514" s="15"/>
      <c r="IF514" s="15"/>
      <c r="IG514" s="15"/>
      <c r="IH514" s="15"/>
      <c r="II514" s="15"/>
      <c r="IJ514" s="15"/>
      <c r="IK514" s="15"/>
      <c r="IL514" s="15"/>
      <c r="IM514" s="15"/>
      <c r="IN514" s="15"/>
      <c r="IO514" s="15"/>
      <c r="IP514" s="15"/>
      <c r="IQ514" s="15"/>
      <c r="IR514" s="15"/>
      <c r="IS514" s="15"/>
      <c r="IT514" s="15"/>
      <c r="IU514" s="15"/>
      <c r="IV514" s="15"/>
      <c r="IW514" s="15"/>
      <c r="IX514" s="15"/>
      <c r="IY514" s="15"/>
      <c r="IZ514" s="15"/>
      <c r="JA514" s="15"/>
      <c r="JB514" s="15"/>
      <c r="JC514" s="15"/>
      <c r="JD514" s="15"/>
      <c r="JE514" s="15"/>
      <c r="JF514" s="15"/>
      <c r="JG514" s="15"/>
      <c r="JH514" s="15"/>
      <c r="JI514" s="15"/>
      <c r="JJ514" s="15"/>
      <c r="JK514" s="15"/>
      <c r="JL514" s="15"/>
      <c r="JM514" s="15"/>
      <c r="JN514" s="15"/>
      <c r="JO514" s="15"/>
      <c r="JP514" s="15"/>
      <c r="JQ514" s="15"/>
      <c r="JR514" s="15"/>
      <c r="JS514" s="15"/>
      <c r="JT514" s="15"/>
      <c r="JU514" s="15"/>
      <c r="JV514" s="15"/>
      <c r="JW514" s="15"/>
      <c r="JX514" s="15"/>
      <c r="JY514" s="15"/>
      <c r="JZ514" s="15"/>
      <c r="KA514" s="15"/>
      <c r="KB514" s="15"/>
      <c r="KC514" s="15"/>
      <c r="KD514" s="15"/>
      <c r="KE514" s="15"/>
      <c r="KF514" s="15"/>
      <c r="KG514" s="15"/>
      <c r="KH514" s="15"/>
      <c r="KI514" s="15"/>
      <c r="KJ514" s="15"/>
      <c r="KK514" s="15"/>
      <c r="KL514" s="15"/>
      <c r="KM514" s="15"/>
      <c r="KN514" s="15"/>
      <c r="KO514" s="15"/>
      <c r="KP514" s="15"/>
      <c r="KQ514" s="15"/>
      <c r="KR514" s="15"/>
      <c r="KS514" s="15"/>
      <c r="KT514" s="15"/>
      <c r="KU514" s="15"/>
      <c r="KV514" s="15"/>
      <c r="KW514" s="15"/>
      <c r="KX514" s="15"/>
      <c r="KY514" s="15"/>
      <c r="KZ514" s="15"/>
      <c r="LA514" s="15"/>
      <c r="LB514" s="15"/>
      <c r="LC514" s="15"/>
      <c r="LD514" s="15"/>
      <c r="LE514" s="15"/>
      <c r="LF514" s="15"/>
      <c r="LG514" s="15"/>
      <c r="LH514" s="15"/>
      <c r="LI514" s="15"/>
      <c r="LJ514" s="15"/>
      <c r="LK514" s="15"/>
      <c r="LL514" s="15"/>
      <c r="LM514" s="15"/>
      <c r="LN514" s="15"/>
      <c r="LO514" s="15"/>
      <c r="LP514" s="15"/>
      <c r="LQ514" s="15"/>
      <c r="LR514" s="15"/>
      <c r="LS514" s="15"/>
      <c r="LT514" s="15"/>
      <c r="LU514" s="15"/>
      <c r="LV514" s="15"/>
      <c r="LW514" s="15"/>
      <c r="LX514" s="15"/>
      <c r="LY514" s="15"/>
      <c r="LZ514" s="15"/>
      <c r="MA514" s="15"/>
      <c r="MB514" s="15"/>
      <c r="MC514" s="15"/>
      <c r="MD514" s="15"/>
      <c r="ME514" s="15"/>
      <c r="MF514" s="15"/>
      <c r="MG514" s="15"/>
      <c r="MH514" s="15"/>
      <c r="MI514" s="16"/>
      <c r="MY514" s="13"/>
    </row>
    <row r="515" spans="51:363" ht="10.75" customHeight="1">
      <c r="AY515" s="270"/>
      <c r="AZ515" s="271"/>
      <c r="BA515" s="271"/>
      <c r="BB515" s="272"/>
      <c r="DD515" s="270"/>
      <c r="DE515" s="271"/>
      <c r="DF515" s="271"/>
      <c r="DG515" s="272"/>
      <c r="DH515" s="12"/>
      <c r="EN515" s="12"/>
      <c r="EY515" s="13"/>
      <c r="FA515" s="9"/>
      <c r="FB515" s="10"/>
      <c r="FC515" s="10"/>
      <c r="FD515" s="10"/>
      <c r="FE515" s="10"/>
      <c r="FF515" s="10"/>
      <c r="FG515" s="10"/>
      <c r="FH515" s="10"/>
      <c r="FI515" s="10"/>
      <c r="FJ515" s="11"/>
      <c r="FK515" s="13"/>
      <c r="FL515" s="270"/>
      <c r="FM515" s="271"/>
      <c r="FN515" s="272"/>
      <c r="HK515" s="12"/>
      <c r="IA515" s="10"/>
      <c r="IB515" s="10"/>
      <c r="IC515" s="10"/>
      <c r="ID515" s="10"/>
      <c r="IE515" s="10"/>
      <c r="IF515" s="10"/>
      <c r="IG515" s="10"/>
      <c r="IH515" s="10"/>
      <c r="II515" s="10"/>
      <c r="IJ515" s="10"/>
      <c r="IK515" s="10"/>
      <c r="IL515" s="10"/>
      <c r="IM515" s="10"/>
      <c r="IN515" s="10"/>
      <c r="IO515" s="10"/>
      <c r="IP515" s="10"/>
      <c r="IQ515" s="10"/>
      <c r="IR515" s="10"/>
      <c r="IS515" s="10"/>
      <c r="IT515" s="10"/>
      <c r="IU515" s="10"/>
      <c r="IV515" s="10"/>
      <c r="IW515" s="10"/>
      <c r="IX515" s="10"/>
      <c r="IY515" s="10"/>
      <c r="IZ515" s="10"/>
      <c r="JA515" s="10"/>
      <c r="JB515" s="10"/>
      <c r="JC515" s="10"/>
      <c r="JD515" s="10"/>
      <c r="JE515" s="10"/>
      <c r="JF515" s="10"/>
      <c r="JG515" s="10"/>
      <c r="JH515" s="10"/>
      <c r="JI515" s="10"/>
      <c r="JJ515" s="10"/>
      <c r="JK515" s="10"/>
      <c r="JL515" s="10"/>
      <c r="JM515" s="10"/>
      <c r="JN515" s="10"/>
      <c r="JO515" s="10"/>
      <c r="JP515" s="10"/>
      <c r="JQ515" s="10"/>
      <c r="JR515" s="10"/>
      <c r="JS515" s="10"/>
      <c r="JT515" s="10"/>
      <c r="JU515" s="10"/>
      <c r="JV515" s="10"/>
      <c r="JW515" s="10"/>
      <c r="JX515" s="10"/>
      <c r="JY515" s="10"/>
      <c r="JZ515" s="10"/>
      <c r="KA515" s="10"/>
      <c r="KB515" s="10"/>
      <c r="KC515" s="10"/>
      <c r="KD515" s="10"/>
      <c r="KE515" s="10"/>
      <c r="KF515" s="10"/>
      <c r="KG515" s="10"/>
      <c r="KH515" s="10"/>
      <c r="KI515" s="10"/>
      <c r="KJ515" s="10"/>
      <c r="KK515" s="10"/>
      <c r="KL515" s="10"/>
      <c r="KM515" s="10"/>
      <c r="KN515" s="10"/>
      <c r="KO515" s="10"/>
      <c r="KP515" s="10"/>
      <c r="KQ515" s="10"/>
      <c r="KR515" s="10"/>
      <c r="KS515" s="10"/>
      <c r="KT515" s="10"/>
      <c r="KU515" s="10"/>
      <c r="KV515" s="10"/>
      <c r="KW515" s="10"/>
      <c r="KX515" s="10"/>
      <c r="KY515" s="10"/>
      <c r="KZ515" s="10"/>
      <c r="LA515" s="10"/>
      <c r="LB515" s="10"/>
      <c r="LC515" s="10"/>
      <c r="LD515" s="10"/>
      <c r="LE515" s="10"/>
      <c r="LF515" s="10"/>
      <c r="LG515" s="10"/>
      <c r="LH515" s="10"/>
      <c r="LI515" s="10"/>
      <c r="LJ515" s="10"/>
      <c r="LK515" s="10"/>
      <c r="LL515" s="10"/>
      <c r="LM515" s="10"/>
      <c r="LN515" s="10"/>
      <c r="LO515" s="10"/>
      <c r="LP515" s="10"/>
      <c r="LQ515" s="10"/>
      <c r="LR515" s="10"/>
      <c r="LS515" s="10"/>
      <c r="LT515" s="10"/>
      <c r="LU515" s="10"/>
      <c r="LV515" s="10"/>
      <c r="LW515" s="10"/>
      <c r="LX515" s="10"/>
      <c r="LY515" s="10"/>
      <c r="LZ515" s="10"/>
      <c r="MA515" s="10"/>
      <c r="MB515" s="10"/>
      <c r="MC515" s="10"/>
      <c r="MD515" s="10"/>
      <c r="ME515" s="10"/>
      <c r="MF515" s="10"/>
      <c r="MG515" s="10"/>
      <c r="MH515" s="10"/>
      <c r="MI515" s="10"/>
      <c r="MY515" s="13"/>
    </row>
    <row r="516" spans="51:363" ht="10.75" customHeight="1">
      <c r="AY516" s="270"/>
      <c r="AZ516" s="271"/>
      <c r="BA516" s="271"/>
      <c r="BB516" s="272"/>
      <c r="DD516" s="270"/>
      <c r="DE516" s="271"/>
      <c r="DF516" s="271"/>
      <c r="DG516" s="272"/>
      <c r="DH516" s="12"/>
      <c r="EN516" s="14"/>
      <c r="EO516" s="15"/>
      <c r="EP516" s="15"/>
      <c r="EQ516" s="15"/>
      <c r="ER516" s="15"/>
      <c r="ES516" s="15"/>
      <c r="ET516" s="15"/>
      <c r="EU516" s="15"/>
      <c r="EV516" s="15"/>
      <c r="EW516" s="15"/>
      <c r="EX516" s="15"/>
      <c r="EY516" s="16"/>
      <c r="FA516" s="12"/>
      <c r="FJ516" s="13"/>
      <c r="FK516" s="13"/>
      <c r="FL516" s="270"/>
      <c r="FM516" s="271"/>
      <c r="FN516" s="272"/>
      <c r="HK516" s="12"/>
      <c r="MY516" s="13"/>
    </row>
    <row r="517" spans="51:363" ht="10.75" customHeight="1">
      <c r="AY517" s="270"/>
      <c r="AZ517" s="271"/>
      <c r="BA517" s="271"/>
      <c r="BB517" s="272"/>
      <c r="DD517" s="270"/>
      <c r="DE517" s="271"/>
      <c r="DF517" s="271"/>
      <c r="DG517" s="272"/>
      <c r="DH517" s="12"/>
      <c r="EZ517" s="264"/>
      <c r="FA517" s="265"/>
      <c r="FB517" s="265"/>
      <c r="FC517" s="265"/>
      <c r="FD517" s="265"/>
      <c r="FE517" s="265"/>
      <c r="FF517" s="265"/>
      <c r="FG517" s="265"/>
      <c r="FH517" s="265"/>
      <c r="FI517" s="265"/>
      <c r="FJ517" s="265"/>
      <c r="FK517" s="266"/>
      <c r="FL517" s="270"/>
      <c r="FM517" s="271"/>
      <c r="FN517" s="272"/>
      <c r="HK517" s="12"/>
      <c r="MY517" s="13"/>
    </row>
    <row r="518" spans="51:363" ht="10.75" customHeight="1">
      <c r="AY518" s="270"/>
      <c r="AZ518" s="271"/>
      <c r="BA518" s="271"/>
      <c r="BB518" s="272"/>
      <c r="DD518" s="270"/>
      <c r="DE518" s="271"/>
      <c r="DF518" s="271"/>
      <c r="DG518" s="272"/>
      <c r="DH518" s="12"/>
      <c r="EZ518" s="267"/>
      <c r="FA518" s="268"/>
      <c r="FB518" s="268"/>
      <c r="FC518" s="268"/>
      <c r="FD518" s="268"/>
      <c r="FE518" s="268"/>
      <c r="FF518" s="268"/>
      <c r="FG518" s="268"/>
      <c r="FH518" s="268"/>
      <c r="FI518" s="268"/>
      <c r="FJ518" s="268"/>
      <c r="FK518" s="269"/>
      <c r="FL518" s="270"/>
      <c r="FM518" s="271"/>
      <c r="FN518" s="272"/>
      <c r="HK518" s="12"/>
      <c r="MY518" s="13"/>
    </row>
    <row r="519" spans="51:363" ht="10.75" customHeight="1">
      <c r="AY519" s="270"/>
      <c r="AZ519" s="271"/>
      <c r="BA519" s="271"/>
      <c r="BB519" s="272"/>
      <c r="DD519" s="270"/>
      <c r="DE519" s="271"/>
      <c r="DF519" s="271"/>
      <c r="DG519" s="272"/>
      <c r="DH519" s="12"/>
      <c r="FK519" s="13"/>
      <c r="FL519" s="270"/>
      <c r="FM519" s="271"/>
      <c r="FN519" s="272"/>
      <c r="HK519" s="12"/>
      <c r="MY519" s="13"/>
    </row>
    <row r="520" spans="51:363" ht="10.75" customHeight="1">
      <c r="AY520" s="270"/>
      <c r="AZ520" s="271"/>
      <c r="BA520" s="271"/>
      <c r="BB520" s="272"/>
      <c r="DD520" s="270"/>
      <c r="DE520" s="271"/>
      <c r="DF520" s="271"/>
      <c r="DG520" s="272"/>
      <c r="DH520" s="12"/>
      <c r="FK520" s="13"/>
      <c r="FL520" s="270"/>
      <c r="FM520" s="271"/>
      <c r="FN520" s="272"/>
      <c r="HK520" s="14"/>
      <c r="HL520" s="15"/>
      <c r="HM520" s="15"/>
      <c r="HN520" s="15"/>
      <c r="HO520" s="15"/>
      <c r="HP520" s="15"/>
      <c r="HQ520" s="15"/>
      <c r="HR520" s="15"/>
      <c r="HS520" s="15"/>
      <c r="HT520" s="15"/>
      <c r="HU520" s="15"/>
      <c r="HV520" s="15"/>
      <c r="HW520" s="15"/>
      <c r="HX520" s="15"/>
      <c r="HY520" s="15"/>
      <c r="HZ520" s="15"/>
      <c r="IA520" s="15"/>
      <c r="IB520" s="15"/>
      <c r="IC520" s="15"/>
      <c r="ID520" s="15"/>
      <c r="IE520" s="15"/>
      <c r="IF520" s="15"/>
      <c r="IG520" s="15"/>
      <c r="IH520" s="15"/>
      <c r="II520" s="15"/>
      <c r="IJ520" s="15"/>
      <c r="IK520" s="15"/>
      <c r="IL520" s="15"/>
      <c r="IM520" s="15"/>
      <c r="IN520" s="15"/>
      <c r="IO520" s="15"/>
      <c r="IP520" s="15"/>
      <c r="IQ520" s="15"/>
      <c r="IR520" s="15"/>
      <c r="IS520" s="15"/>
      <c r="IT520" s="15"/>
      <c r="IU520" s="15"/>
      <c r="IV520" s="15"/>
      <c r="IW520" s="15"/>
      <c r="IX520" s="15"/>
      <c r="IY520" s="15"/>
      <c r="IZ520" s="15"/>
      <c r="JA520" s="15"/>
      <c r="JB520" s="15"/>
      <c r="JC520" s="15"/>
      <c r="JD520" s="15"/>
      <c r="JE520" s="15"/>
      <c r="JF520" s="15"/>
      <c r="JG520" s="15"/>
      <c r="JH520" s="15"/>
      <c r="JI520" s="15"/>
      <c r="JJ520" s="15"/>
      <c r="JK520" s="15"/>
      <c r="JL520" s="15"/>
      <c r="JM520" s="15"/>
      <c r="JN520" s="15"/>
      <c r="JO520" s="15"/>
      <c r="JP520" s="15"/>
      <c r="JQ520" s="15"/>
      <c r="JR520" s="15"/>
      <c r="JS520" s="15"/>
      <c r="JT520" s="15"/>
      <c r="JU520" s="15"/>
      <c r="JV520" s="15"/>
      <c r="JW520" s="15"/>
      <c r="JX520" s="15"/>
      <c r="JY520" s="15"/>
      <c r="JZ520" s="15"/>
      <c r="KA520" s="15"/>
      <c r="KB520" s="15"/>
      <c r="KC520" s="15"/>
      <c r="KD520" s="15"/>
      <c r="KE520" s="15"/>
      <c r="KF520" s="15"/>
      <c r="KG520" s="15"/>
      <c r="KH520" s="15"/>
      <c r="KI520" s="15"/>
      <c r="KJ520" s="15"/>
      <c r="KK520" s="15"/>
      <c r="KL520" s="15"/>
      <c r="KM520" s="15"/>
      <c r="KN520" s="15"/>
      <c r="KO520" s="15"/>
      <c r="KP520" s="15"/>
      <c r="KQ520" s="15"/>
      <c r="KR520" s="15"/>
      <c r="KS520" s="15"/>
      <c r="KT520" s="15"/>
      <c r="KU520" s="15"/>
      <c r="KV520" s="15"/>
      <c r="KW520" s="15"/>
      <c r="KX520" s="15"/>
      <c r="KY520" s="15"/>
      <c r="KZ520" s="15"/>
      <c r="LA520" s="15"/>
      <c r="LB520" s="15"/>
      <c r="LC520" s="15"/>
      <c r="LD520" s="15"/>
      <c r="LE520" s="15"/>
      <c r="LF520" s="15"/>
      <c r="LG520" s="15"/>
      <c r="LH520" s="15"/>
      <c r="LI520" s="15"/>
      <c r="LJ520" s="15"/>
      <c r="LK520" s="15"/>
      <c r="LL520" s="15"/>
      <c r="LM520" s="15"/>
      <c r="LN520" s="15"/>
      <c r="LO520" s="15"/>
      <c r="LP520" s="15"/>
      <c r="LQ520" s="15"/>
      <c r="LR520" s="15"/>
      <c r="LS520" s="15"/>
      <c r="LT520" s="15"/>
      <c r="LU520" s="15"/>
      <c r="LV520" s="15"/>
      <c r="LW520" s="15"/>
      <c r="LX520" s="15"/>
      <c r="LY520" s="15"/>
      <c r="LZ520" s="15"/>
      <c r="MA520" s="15"/>
      <c r="MB520" s="15"/>
      <c r="MC520" s="15"/>
      <c r="MD520" s="15"/>
      <c r="ME520" s="15"/>
      <c r="MF520" s="15"/>
      <c r="MG520" s="15"/>
      <c r="MH520" s="15"/>
      <c r="MI520" s="15"/>
      <c r="MJ520" s="15"/>
      <c r="MK520" s="15"/>
      <c r="ML520" s="15"/>
      <c r="MM520" s="15"/>
      <c r="MN520" s="15"/>
      <c r="MO520" s="15"/>
      <c r="MP520" s="15"/>
      <c r="MQ520" s="15"/>
      <c r="MR520" s="15"/>
      <c r="MS520" s="15"/>
      <c r="MT520" s="15"/>
      <c r="MU520" s="15"/>
      <c r="MV520" s="15"/>
      <c r="MW520" s="15"/>
      <c r="MX520" s="15"/>
      <c r="MY520" s="16"/>
    </row>
    <row r="521" spans="51:363" ht="10.75" customHeight="1">
      <c r="AY521" s="270"/>
      <c r="AZ521" s="271"/>
      <c r="BA521" s="271"/>
      <c r="BB521" s="272"/>
      <c r="DD521" s="270"/>
      <c r="DE521" s="271"/>
      <c r="DF521" s="271"/>
      <c r="DG521" s="272"/>
      <c r="DH521" s="12"/>
      <c r="FK521" s="13"/>
      <c r="FL521" s="270"/>
      <c r="FM521" s="271"/>
      <c r="FN521" s="272"/>
    </row>
    <row r="522" spans="51:363" ht="10.75" customHeight="1">
      <c r="AY522" s="270"/>
      <c r="AZ522" s="271"/>
      <c r="BA522" s="271"/>
      <c r="BB522" s="272"/>
      <c r="DD522" s="270"/>
      <c r="DE522" s="271"/>
      <c r="DF522" s="271"/>
      <c r="DG522" s="272"/>
      <c r="DH522" s="12"/>
      <c r="FK522" s="13"/>
      <c r="FL522" s="270"/>
      <c r="FM522" s="271"/>
      <c r="FN522" s="272"/>
    </row>
    <row r="523" spans="51:363" ht="10.75" customHeight="1">
      <c r="AY523" s="270"/>
      <c r="AZ523" s="271"/>
      <c r="BA523" s="271"/>
      <c r="BB523" s="272"/>
      <c r="DD523" s="270"/>
      <c r="DE523" s="271"/>
      <c r="DF523" s="271"/>
      <c r="DG523" s="272"/>
      <c r="DH523" s="12"/>
      <c r="FK523" s="13"/>
      <c r="FL523" s="270"/>
      <c r="FM523" s="271"/>
      <c r="FN523" s="272"/>
    </row>
    <row r="524" spans="51:363" ht="10.75" customHeight="1">
      <c r="AY524" s="270"/>
      <c r="AZ524" s="271"/>
      <c r="BA524" s="271"/>
      <c r="BB524" s="272"/>
      <c r="DD524" s="270"/>
      <c r="DE524" s="271"/>
      <c r="DF524" s="271"/>
      <c r="DG524" s="272"/>
      <c r="DH524" s="12"/>
      <c r="FK524" s="13"/>
      <c r="FL524" s="270"/>
      <c r="FM524" s="271"/>
      <c r="FN524" s="272"/>
    </row>
    <row r="525" spans="51:363" ht="10.75" customHeight="1">
      <c r="AY525" s="270"/>
      <c r="AZ525" s="271"/>
      <c r="BA525" s="271"/>
      <c r="BB525" s="272"/>
      <c r="DD525" s="270"/>
      <c r="DE525" s="271"/>
      <c r="DF525" s="271"/>
      <c r="DG525" s="272"/>
      <c r="DH525" s="12"/>
      <c r="FK525" s="13"/>
      <c r="FL525" s="270"/>
      <c r="FM525" s="271"/>
      <c r="FN525" s="272"/>
    </row>
    <row r="526" spans="51:363" ht="10.75" customHeight="1">
      <c r="AY526" s="270"/>
      <c r="AZ526" s="271"/>
      <c r="BA526" s="271"/>
      <c r="BB526" s="272"/>
      <c r="DD526" s="270"/>
      <c r="DE526" s="271"/>
      <c r="DF526" s="271"/>
      <c r="DG526" s="272"/>
      <c r="DH526" s="12"/>
      <c r="FK526" s="13"/>
      <c r="FL526" s="270"/>
      <c r="FM526" s="271"/>
      <c r="FN526" s="272"/>
    </row>
    <row r="527" spans="51:363" ht="10.75" customHeight="1">
      <c r="AY527" s="270"/>
      <c r="AZ527" s="271"/>
      <c r="BA527" s="271"/>
      <c r="BB527" s="272"/>
      <c r="DD527" s="270"/>
      <c r="DE527" s="271"/>
      <c r="DF527" s="271"/>
      <c r="DG527" s="272"/>
      <c r="DH527" s="12"/>
      <c r="FK527" s="13"/>
      <c r="FL527" s="270"/>
      <c r="FM527" s="271"/>
      <c r="FN527" s="272"/>
    </row>
    <row r="528" spans="51:363" ht="10.75" customHeight="1">
      <c r="AY528" s="270"/>
      <c r="AZ528" s="271"/>
      <c r="BA528" s="271"/>
      <c r="BB528" s="272"/>
      <c r="DD528" s="270"/>
      <c r="DE528" s="271"/>
      <c r="DF528" s="271"/>
      <c r="DG528" s="272"/>
      <c r="DH528" s="12"/>
      <c r="FK528" s="13"/>
      <c r="FL528" s="270"/>
      <c r="FM528" s="271"/>
      <c r="FN528" s="272"/>
    </row>
    <row r="529" spans="43:398" ht="10.75" customHeight="1">
      <c r="AY529" s="270"/>
      <c r="AZ529" s="271"/>
      <c r="BA529" s="271"/>
      <c r="BB529" s="272"/>
      <c r="DD529" s="270"/>
      <c r="DE529" s="271"/>
      <c r="DF529" s="271"/>
      <c r="DG529" s="272"/>
      <c r="DH529" s="12"/>
      <c r="FK529" s="13"/>
      <c r="FL529" s="270"/>
      <c r="FM529" s="271"/>
      <c r="FN529" s="272"/>
    </row>
    <row r="530" spans="43:398" ht="10.75" customHeight="1">
      <c r="AY530" s="270"/>
      <c r="AZ530" s="271"/>
      <c r="BA530" s="271"/>
      <c r="BB530" s="272"/>
      <c r="DD530" s="270"/>
      <c r="DE530" s="271"/>
      <c r="DF530" s="271"/>
      <c r="DG530" s="272"/>
      <c r="DH530" s="12"/>
      <c r="FK530" s="13"/>
      <c r="FL530" s="270"/>
      <c r="FM530" s="271"/>
      <c r="FN530" s="272"/>
    </row>
    <row r="531" spans="43:398" ht="10.75" customHeight="1">
      <c r="AY531" s="270"/>
      <c r="AZ531" s="271"/>
      <c r="BA531" s="271"/>
      <c r="BB531" s="272"/>
      <c r="DD531" s="270"/>
      <c r="DE531" s="271"/>
      <c r="DF531" s="271"/>
      <c r="DG531" s="272"/>
      <c r="DH531" s="12"/>
      <c r="FK531" s="13"/>
      <c r="FL531" s="270"/>
      <c r="FM531" s="271"/>
      <c r="FN531" s="272"/>
    </row>
    <row r="532" spans="43:398" ht="10.75" customHeight="1">
      <c r="AY532" s="270"/>
      <c r="AZ532" s="271"/>
      <c r="BA532" s="271"/>
      <c r="BB532" s="272"/>
      <c r="DD532" s="270"/>
      <c r="DE532" s="271"/>
      <c r="DF532" s="271"/>
      <c r="DG532" s="272"/>
      <c r="DH532" s="12"/>
      <c r="FK532" s="13"/>
      <c r="FL532" s="270"/>
      <c r="FM532" s="271"/>
      <c r="FN532" s="272"/>
    </row>
    <row r="533" spans="43:398" ht="10.75" customHeight="1">
      <c r="AY533" s="270"/>
      <c r="AZ533" s="271"/>
      <c r="BA533" s="271"/>
      <c r="BB533" s="272"/>
      <c r="DD533" s="270"/>
      <c r="DE533" s="271"/>
      <c r="DF533" s="271"/>
      <c r="DG533" s="272"/>
      <c r="DH533" s="12"/>
      <c r="FK533" s="13"/>
      <c r="FL533" s="270"/>
      <c r="FM533" s="271"/>
      <c r="FN533" s="272"/>
    </row>
    <row r="534" spans="43:398" ht="10.75" customHeight="1">
      <c r="AY534" s="270"/>
      <c r="AZ534" s="271"/>
      <c r="BA534" s="271"/>
      <c r="BB534" s="272"/>
      <c r="DD534" s="270"/>
      <c r="DE534" s="271"/>
      <c r="DF534" s="271"/>
      <c r="DG534" s="272"/>
      <c r="DH534" s="12"/>
      <c r="FK534" s="13"/>
      <c r="FL534" s="270"/>
      <c r="FM534" s="271"/>
      <c r="FN534" s="272"/>
    </row>
    <row r="535" spans="43:398" ht="10.75" customHeight="1">
      <c r="AY535" s="270"/>
      <c r="AZ535" s="271"/>
      <c r="BA535" s="271"/>
      <c r="BB535" s="272"/>
      <c r="DD535" s="270"/>
      <c r="DE535" s="271"/>
      <c r="DF535" s="271"/>
      <c r="DG535" s="272"/>
      <c r="DH535" s="12"/>
      <c r="FK535" s="13"/>
      <c r="FL535" s="270"/>
      <c r="FM535" s="271"/>
      <c r="FN535" s="272"/>
    </row>
    <row r="536" spans="43:398" ht="10.75" customHeight="1">
      <c r="AY536" s="267"/>
      <c r="AZ536" s="268"/>
      <c r="BA536" s="268"/>
      <c r="BB536" s="269"/>
      <c r="DD536" s="267"/>
      <c r="DE536" s="268"/>
      <c r="DF536" s="268"/>
      <c r="DG536" s="269"/>
      <c r="DH536" s="14"/>
      <c r="DI536" s="15"/>
      <c r="DJ536" s="15"/>
      <c r="DK536" s="15"/>
      <c r="DL536" s="15"/>
      <c r="DM536" s="15"/>
      <c r="DN536" s="15"/>
      <c r="DO536" s="15"/>
      <c r="DP536" s="15"/>
      <c r="DQ536" s="15"/>
      <c r="DR536" s="15"/>
      <c r="DS536" s="15"/>
      <c r="DT536" s="15"/>
      <c r="DU536" s="15"/>
      <c r="DV536" s="15"/>
      <c r="DW536" s="15"/>
      <c r="DX536" s="15"/>
      <c r="DY536" s="15"/>
      <c r="DZ536" s="15"/>
      <c r="EA536" s="15"/>
      <c r="EB536" s="15"/>
      <c r="EC536" s="15"/>
      <c r="ED536" s="15"/>
      <c r="EE536" s="15"/>
      <c r="EF536" s="15"/>
      <c r="EG536" s="15"/>
      <c r="EH536" s="15"/>
      <c r="EI536" s="15"/>
      <c r="EJ536" s="15"/>
      <c r="EK536" s="15"/>
      <c r="EL536" s="15"/>
      <c r="EM536" s="15"/>
      <c r="EN536" s="15"/>
      <c r="EO536" s="15"/>
      <c r="EP536" s="15"/>
      <c r="EQ536" s="15"/>
      <c r="ER536" s="15"/>
      <c r="ES536" s="15"/>
      <c r="ET536" s="15"/>
      <c r="EU536" s="15"/>
      <c r="EV536" s="15"/>
      <c r="EW536" s="15"/>
      <c r="EX536" s="15"/>
      <c r="EY536" s="15"/>
      <c r="EZ536" s="15"/>
      <c r="FA536" s="15"/>
      <c r="FB536" s="15"/>
      <c r="FC536" s="15"/>
      <c r="FD536" s="15"/>
      <c r="FE536" s="15"/>
      <c r="FF536" s="15"/>
      <c r="FG536" s="15"/>
      <c r="FH536" s="15"/>
      <c r="FI536" s="15"/>
      <c r="FJ536" s="15"/>
      <c r="FK536" s="16"/>
      <c r="FL536" s="267"/>
      <c r="FM536" s="268"/>
      <c r="FN536" s="269"/>
    </row>
    <row r="537" spans="43:398" ht="10.75" customHeight="1"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  <c r="BB537" s="10"/>
      <c r="BC537" s="10"/>
      <c r="BD537" s="10"/>
      <c r="BE537" s="10"/>
      <c r="BF537" s="10"/>
      <c r="BG537" s="10"/>
      <c r="BH537" s="10"/>
      <c r="BI537" s="10"/>
      <c r="BJ537" s="10"/>
      <c r="BK537" s="10"/>
      <c r="BL537" s="10"/>
      <c r="BM537" s="10"/>
      <c r="BN537" s="10"/>
      <c r="BO537" s="10"/>
      <c r="BP537" s="10"/>
      <c r="BQ537" s="10"/>
      <c r="BR537" s="10"/>
      <c r="BS537" s="10"/>
      <c r="BT537" s="10"/>
      <c r="BU537" s="10"/>
      <c r="BV537" s="10"/>
      <c r="BW537" s="10"/>
      <c r="BX537" s="10"/>
      <c r="BY537" s="10"/>
      <c r="BZ537" s="10"/>
      <c r="CA537" s="10"/>
      <c r="CB537" s="10"/>
      <c r="CC537" s="10"/>
      <c r="CD537" s="10"/>
      <c r="CE537" s="10"/>
      <c r="CF537" s="10"/>
      <c r="CG537" s="10"/>
      <c r="CH537" s="10"/>
      <c r="CI537" s="10"/>
      <c r="CJ537" s="10"/>
      <c r="CK537" s="10"/>
      <c r="CL537" s="10"/>
      <c r="CM537" s="10"/>
      <c r="CN537" s="10"/>
      <c r="CO537" s="10"/>
      <c r="CP537" s="10"/>
      <c r="CQ537" s="10"/>
      <c r="CR537" s="10"/>
      <c r="CS537" s="10"/>
      <c r="CT537" s="10"/>
      <c r="CU537" s="10"/>
      <c r="CV537" s="10"/>
      <c r="CW537" s="10"/>
      <c r="CX537" s="10"/>
      <c r="CY537" s="10"/>
      <c r="CZ537" s="10"/>
      <c r="DA537" s="10"/>
      <c r="DB537" s="10"/>
      <c r="DC537" s="10"/>
      <c r="DD537" s="10"/>
      <c r="DE537" s="10"/>
      <c r="DF537" s="10"/>
      <c r="DG537" s="10"/>
      <c r="DH537" s="10"/>
      <c r="DI537" s="10"/>
      <c r="DJ537" s="10"/>
      <c r="DK537" s="10"/>
      <c r="DL537" s="10"/>
      <c r="DM537" s="10"/>
      <c r="DN537" s="10"/>
      <c r="DO537" s="10"/>
      <c r="DP537" s="10"/>
      <c r="DQ537" s="10"/>
      <c r="DR537" s="10"/>
      <c r="DS537" s="10"/>
      <c r="DT537" s="10"/>
      <c r="DU537" s="10"/>
      <c r="DV537" s="10"/>
      <c r="DW537" s="10"/>
      <c r="DX537" s="10"/>
      <c r="DY537" s="10"/>
      <c r="DZ537" s="10"/>
      <c r="EA537" s="10"/>
      <c r="EB537" s="10"/>
      <c r="EC537" s="10"/>
      <c r="ED537" s="10"/>
      <c r="EE537" s="10"/>
      <c r="EF537" s="10"/>
      <c r="EG537" s="10"/>
      <c r="EH537" s="10"/>
      <c r="EI537" s="10"/>
      <c r="EJ537" s="10"/>
      <c r="EK537" s="10"/>
      <c r="EL537" s="10"/>
      <c r="EM537" s="10"/>
      <c r="EN537" s="10"/>
      <c r="EO537" s="10"/>
      <c r="EP537" s="10"/>
      <c r="EQ537" s="10"/>
      <c r="ER537" s="10"/>
      <c r="ES537" s="10"/>
      <c r="ET537" s="10"/>
      <c r="EU537" s="10"/>
      <c r="EV537" s="10"/>
      <c r="EW537" s="10"/>
      <c r="EX537" s="10"/>
      <c r="EY537" s="10"/>
      <c r="EZ537" s="10"/>
      <c r="FA537" s="10"/>
      <c r="FB537" s="10"/>
      <c r="FC537" s="10"/>
      <c r="FD537" s="10"/>
      <c r="FE537" s="10"/>
      <c r="FF537" s="10"/>
      <c r="FG537" s="10"/>
      <c r="FH537" s="10"/>
      <c r="FI537" s="10"/>
      <c r="FJ537" s="10"/>
      <c r="FK537" s="10"/>
      <c r="FL537" s="10"/>
      <c r="FM537" s="10"/>
      <c r="FN537" s="10"/>
      <c r="FO537" s="10"/>
      <c r="FP537" s="10"/>
      <c r="FQ537" s="10"/>
      <c r="FR537" s="10"/>
      <c r="FS537" s="10"/>
      <c r="FT537" s="10"/>
      <c r="FU537" s="10"/>
      <c r="FV537" s="10"/>
      <c r="FW537" s="10"/>
      <c r="FX537" s="10"/>
      <c r="FY537" s="10"/>
      <c r="FZ537" s="10"/>
      <c r="GA537" s="10"/>
      <c r="GB537" s="10"/>
      <c r="GC537" s="10"/>
      <c r="GD537" s="10"/>
    </row>
    <row r="543" spans="43:398" ht="10.75" customHeight="1">
      <c r="NL543" s="245"/>
      <c r="NM543" s="245"/>
      <c r="NN543" s="245"/>
      <c r="NO543" s="245"/>
      <c r="NP543" s="245"/>
      <c r="NQ543" s="245"/>
      <c r="NR543" s="245"/>
      <c r="NS543" s="245"/>
      <c r="NT543" s="245"/>
      <c r="NU543" s="245"/>
      <c r="NV543" s="245"/>
      <c r="NW543" s="245"/>
      <c r="NX543" s="245"/>
      <c r="NY543" s="245"/>
      <c r="NZ543" s="245"/>
      <c r="OA543" s="245"/>
      <c r="OB543" s="245"/>
      <c r="OC543" s="245"/>
      <c r="OD543" s="245"/>
      <c r="OE543" s="245"/>
      <c r="OF543" s="245"/>
      <c r="OG543" s="245"/>
      <c r="OH543" s="245"/>
    </row>
    <row r="544" spans="43:398" ht="10.75" customHeight="1">
      <c r="AQ544" s="15"/>
      <c r="AR544" s="15"/>
      <c r="AS544" s="15"/>
      <c r="AT544" s="15"/>
      <c r="AU544" s="15"/>
      <c r="AV544" s="15"/>
      <c r="AW544" s="15"/>
      <c r="AX544" s="15"/>
      <c r="AY544" s="15"/>
      <c r="AZ544" s="15"/>
      <c r="BA544" s="15"/>
      <c r="BB544" s="15"/>
      <c r="BC544" s="15"/>
      <c r="BD544" s="15"/>
      <c r="BE544" s="15"/>
      <c r="BF544" s="15"/>
      <c r="BG544" s="15"/>
      <c r="BH544" s="15"/>
      <c r="BI544" s="15"/>
      <c r="BJ544" s="15"/>
      <c r="BK544" s="15"/>
      <c r="BL544" s="15"/>
      <c r="BM544" s="15"/>
      <c r="BN544" s="15"/>
      <c r="BO544" s="15"/>
      <c r="BP544" s="15"/>
      <c r="BQ544" s="15"/>
      <c r="BR544" s="15"/>
      <c r="BS544" s="15"/>
      <c r="BT544" s="15"/>
      <c r="BU544" s="15"/>
      <c r="BV544" s="15"/>
      <c r="BW544" s="15"/>
      <c r="BX544" s="15"/>
      <c r="BY544" s="15"/>
      <c r="BZ544" s="15"/>
      <c r="CA544" s="15"/>
      <c r="CB544" s="15"/>
      <c r="CC544" s="15"/>
      <c r="CD544" s="15"/>
      <c r="CE544" s="15"/>
      <c r="CF544" s="15"/>
      <c r="CG544" s="15"/>
      <c r="CH544" s="15"/>
      <c r="CI544" s="15"/>
      <c r="CJ544" s="15"/>
      <c r="CK544" s="15"/>
      <c r="CL544" s="15"/>
      <c r="CM544" s="15"/>
      <c r="CN544" s="15"/>
      <c r="CO544" s="15"/>
      <c r="CP544" s="15"/>
      <c r="CQ544" s="15"/>
      <c r="CR544" s="15"/>
      <c r="CS544" s="15"/>
      <c r="CT544" s="15"/>
      <c r="CU544" s="15"/>
      <c r="CV544" s="15"/>
      <c r="CW544" s="15"/>
      <c r="CX544" s="15"/>
      <c r="CY544" s="15"/>
      <c r="CZ544" s="15"/>
      <c r="DA544" s="15"/>
      <c r="DB544" s="15"/>
      <c r="DC544" s="15"/>
      <c r="DD544" s="15"/>
      <c r="DE544" s="15"/>
      <c r="DF544" s="15"/>
      <c r="DG544" s="15"/>
      <c r="DH544" s="15"/>
      <c r="DI544" s="15"/>
      <c r="DJ544" s="15"/>
      <c r="DK544" s="15"/>
      <c r="DL544" s="15"/>
      <c r="DM544" s="15"/>
      <c r="DN544" s="15"/>
      <c r="DO544" s="15"/>
      <c r="DP544" s="15"/>
      <c r="DQ544" s="15"/>
      <c r="DR544" s="15"/>
      <c r="DS544" s="15"/>
      <c r="DT544" s="15"/>
      <c r="DU544" s="15"/>
      <c r="DV544" s="15"/>
      <c r="DW544" s="15"/>
      <c r="DX544" s="15"/>
      <c r="DY544" s="15"/>
      <c r="DZ544" s="15"/>
      <c r="EA544" s="15"/>
      <c r="EB544" s="15"/>
      <c r="EC544" s="15"/>
      <c r="ED544" s="15"/>
      <c r="EE544" s="15"/>
      <c r="EF544" s="15"/>
      <c r="EG544" s="15"/>
      <c r="EH544" s="15"/>
      <c r="EI544" s="15"/>
      <c r="EJ544" s="15"/>
      <c r="EK544" s="15"/>
      <c r="EL544" s="15"/>
      <c r="EM544" s="15"/>
      <c r="EN544" s="15"/>
      <c r="EO544" s="15"/>
      <c r="EP544" s="15"/>
      <c r="EQ544" s="15"/>
      <c r="ER544" s="15"/>
      <c r="ES544" s="15"/>
      <c r="ET544" s="15"/>
      <c r="EU544" s="15"/>
      <c r="EV544" s="15"/>
      <c r="EW544" s="15"/>
      <c r="EX544" s="15"/>
      <c r="EY544" s="15"/>
      <c r="EZ544" s="15"/>
      <c r="FA544" s="15"/>
      <c r="FB544" s="15"/>
      <c r="FC544" s="15"/>
      <c r="FD544" s="15"/>
      <c r="FE544" s="15"/>
      <c r="FF544" s="15"/>
      <c r="FG544" s="15"/>
      <c r="FH544" s="15"/>
      <c r="FI544" s="15"/>
      <c r="FJ544" s="15"/>
      <c r="FK544" s="15"/>
      <c r="FL544" s="15"/>
      <c r="FM544" s="15"/>
      <c r="FN544" s="15"/>
      <c r="FO544" s="15"/>
      <c r="FP544" s="15"/>
      <c r="FQ544" s="15"/>
      <c r="FR544" s="15"/>
      <c r="FS544" s="15"/>
      <c r="FT544" s="15"/>
      <c r="FU544" s="15"/>
      <c r="FV544" s="15"/>
      <c r="FW544" s="15"/>
      <c r="FX544" s="15"/>
      <c r="FY544" s="15"/>
      <c r="FZ544" s="15"/>
      <c r="GA544" s="15"/>
      <c r="GB544" s="15"/>
      <c r="GC544" s="15"/>
      <c r="GD544" s="15"/>
      <c r="NL544" s="245"/>
      <c r="NM544" s="245"/>
      <c r="NN544" s="245"/>
      <c r="NO544" s="245"/>
      <c r="NP544" s="245"/>
      <c r="NQ544" s="245"/>
      <c r="NR544" s="245"/>
      <c r="NS544" s="245"/>
      <c r="NT544" s="245"/>
      <c r="NU544" s="245"/>
      <c r="NV544" s="245"/>
      <c r="NW544" s="245"/>
      <c r="NX544" s="245"/>
      <c r="NY544" s="245"/>
      <c r="NZ544" s="245"/>
      <c r="OA544" s="245"/>
      <c r="OB544" s="245"/>
      <c r="OC544" s="245"/>
      <c r="OD544" s="245"/>
      <c r="OE544" s="245"/>
      <c r="OF544" s="245"/>
      <c r="OG544" s="245"/>
      <c r="OH544" s="245"/>
    </row>
    <row r="545" spans="376:398" ht="10.75" customHeight="1">
      <c r="NL545" s="245"/>
      <c r="NM545" s="245"/>
      <c r="NN545" s="245"/>
      <c r="NO545" s="245"/>
      <c r="NP545" s="245"/>
      <c r="NQ545" s="245"/>
      <c r="NR545" s="245"/>
      <c r="NS545" s="245"/>
      <c r="NT545" s="245"/>
      <c r="NU545" s="245"/>
      <c r="NV545" s="245"/>
      <c r="NW545" s="245"/>
      <c r="NX545" s="245"/>
      <c r="NY545" s="245"/>
      <c r="NZ545" s="245"/>
      <c r="OA545" s="245"/>
      <c r="OB545" s="245"/>
      <c r="OC545" s="245"/>
      <c r="OD545" s="245"/>
      <c r="OE545" s="245"/>
      <c r="OF545" s="245"/>
      <c r="OG545" s="245"/>
      <c r="OH545" s="245"/>
    </row>
    <row r="546" spans="376:398" ht="10.75" customHeight="1">
      <c r="NL546" s="245"/>
      <c r="NM546" s="245"/>
      <c r="NN546" s="245"/>
      <c r="NO546" s="245"/>
      <c r="NP546" s="245"/>
      <c r="NQ546" s="245"/>
      <c r="NR546" s="245"/>
      <c r="NS546" s="245"/>
      <c r="NT546" s="245"/>
      <c r="NU546" s="245"/>
      <c r="NV546" s="245"/>
      <c r="NW546" s="245"/>
      <c r="NX546" s="245"/>
      <c r="NY546" s="245"/>
      <c r="NZ546" s="245"/>
      <c r="OA546" s="245"/>
      <c r="OB546" s="245"/>
      <c r="OC546" s="245"/>
      <c r="OD546" s="245"/>
      <c r="OE546" s="245"/>
      <c r="OF546" s="245"/>
      <c r="OG546" s="245"/>
      <c r="OH546" s="245"/>
    </row>
    <row r="547" spans="376:398" ht="10.75" customHeight="1">
      <c r="NL547" s="245"/>
      <c r="NM547" s="245"/>
      <c r="NN547" s="245"/>
      <c r="NO547" s="245"/>
      <c r="NP547" s="245"/>
      <c r="NQ547" s="245"/>
      <c r="NR547" s="245"/>
      <c r="NS547" s="245"/>
      <c r="NT547" s="245"/>
      <c r="NU547" s="245"/>
      <c r="NV547" s="245"/>
      <c r="NW547" s="245"/>
      <c r="NX547" s="245"/>
      <c r="NY547" s="245"/>
      <c r="NZ547" s="245"/>
      <c r="OA547" s="245"/>
      <c r="OB547" s="245"/>
      <c r="OC547" s="245"/>
      <c r="OD547" s="245"/>
      <c r="OE547" s="245"/>
      <c r="OF547" s="245"/>
      <c r="OG547" s="245"/>
      <c r="OH547" s="245"/>
    </row>
    <row r="548" spans="376:398" ht="10.75" customHeight="1">
      <c r="NL548" s="245"/>
      <c r="NM548" s="245"/>
      <c r="NN548" s="245"/>
      <c r="NO548" s="245"/>
      <c r="NP548" s="245"/>
      <c r="NQ548" s="245"/>
      <c r="NR548" s="245"/>
      <c r="NS548" s="245"/>
      <c r="NT548" s="245"/>
      <c r="NU548" s="245"/>
      <c r="NV548" s="245"/>
      <c r="NW548" s="245"/>
      <c r="NX548" s="245"/>
      <c r="NY548" s="245"/>
      <c r="NZ548" s="245"/>
      <c r="OA548" s="245"/>
      <c r="OB548" s="245"/>
      <c r="OC548" s="245"/>
      <c r="OD548" s="245"/>
      <c r="OE548" s="245"/>
      <c r="OF548" s="245"/>
      <c r="OG548" s="245"/>
      <c r="OH548" s="245"/>
    </row>
    <row r="549" spans="376:398" ht="10.75" customHeight="1">
      <c r="NL549" s="245"/>
      <c r="NM549" s="245"/>
      <c r="NN549" s="245"/>
      <c r="NO549" s="245"/>
      <c r="NP549" s="245"/>
      <c r="NQ549" s="245"/>
      <c r="NR549" s="245"/>
      <c r="NS549" s="245"/>
      <c r="NT549" s="245"/>
      <c r="NU549" s="245"/>
      <c r="NV549" s="245"/>
      <c r="NW549" s="245"/>
      <c r="NX549" s="245"/>
      <c r="NY549" s="245"/>
      <c r="NZ549" s="245"/>
      <c r="OA549" s="245"/>
      <c r="OB549" s="245"/>
      <c r="OC549" s="245"/>
      <c r="OD549" s="245"/>
      <c r="OE549" s="245"/>
      <c r="OF549" s="245"/>
      <c r="OG549" s="245"/>
      <c r="OH549" s="245"/>
    </row>
    <row r="550" spans="376:398" ht="10.75" customHeight="1">
      <c r="NL550" s="245"/>
      <c r="NM550" s="245"/>
      <c r="NN550" s="245"/>
      <c r="NO550" s="245"/>
      <c r="NP550" s="245"/>
      <c r="NQ550" s="245"/>
      <c r="NR550" s="245"/>
      <c r="NS550" s="245"/>
      <c r="NT550" s="245"/>
      <c r="NU550" s="245"/>
      <c r="NV550" s="245"/>
      <c r="NW550" s="245"/>
      <c r="NX550" s="245"/>
      <c r="NY550" s="245"/>
      <c r="NZ550" s="245"/>
      <c r="OA550" s="245"/>
      <c r="OB550" s="245"/>
      <c r="OC550" s="245"/>
      <c r="OD550" s="245"/>
      <c r="OE550" s="245"/>
      <c r="OF550" s="245"/>
      <c r="OG550" s="245"/>
      <c r="OH550" s="245"/>
    </row>
    <row r="551" spans="376:398" ht="10.75" customHeight="1">
      <c r="NL551" s="245"/>
      <c r="NM551" s="245"/>
      <c r="NN551" s="245"/>
      <c r="NO551" s="245"/>
      <c r="NP551" s="245"/>
      <c r="NQ551" s="245"/>
      <c r="NR551" s="245"/>
      <c r="NS551" s="245"/>
      <c r="NT551" s="245"/>
      <c r="NU551" s="245"/>
      <c r="NV551" s="245"/>
      <c r="NW551" s="245"/>
      <c r="NX551" s="245"/>
      <c r="NY551" s="245"/>
      <c r="NZ551" s="245"/>
      <c r="OA551" s="245"/>
      <c r="OB551" s="245"/>
      <c r="OC551" s="245"/>
      <c r="OD551" s="245"/>
      <c r="OE551" s="245"/>
      <c r="OF551" s="245"/>
      <c r="OG551" s="245"/>
      <c r="OH551" s="245"/>
    </row>
    <row r="552" spans="376:398" ht="10.75" customHeight="1">
      <c r="NL552" s="245"/>
      <c r="NM552" s="245"/>
      <c r="NN552" s="245"/>
      <c r="NO552" s="245"/>
      <c r="NP552" s="245"/>
      <c r="NQ552" s="245"/>
      <c r="NR552" s="245"/>
      <c r="NS552" s="245"/>
      <c r="NT552" s="245"/>
      <c r="NU552" s="245"/>
      <c r="NV552" s="245"/>
      <c r="NW552" s="245"/>
      <c r="NX552" s="245"/>
      <c r="NY552" s="245"/>
      <c r="NZ552" s="245"/>
      <c r="OA552" s="245"/>
      <c r="OB552" s="245"/>
      <c r="OC552" s="245"/>
      <c r="OD552" s="245"/>
      <c r="OE552" s="245"/>
      <c r="OF552" s="245"/>
      <c r="OG552" s="245"/>
      <c r="OH552" s="245"/>
    </row>
    <row r="576" spans="214:312" ht="10.75" customHeight="1">
      <c r="HF576" s="291"/>
      <c r="JB576" s="291"/>
      <c r="JD576" s="291"/>
      <c r="KZ576" s="291"/>
    </row>
    <row r="577" spans="34:326" ht="10.75" customHeight="1">
      <c r="HF577" s="293"/>
      <c r="HG577" s="294"/>
      <c r="HH577" s="294"/>
      <c r="HI577" s="294"/>
      <c r="HJ577" s="294"/>
      <c r="HK577" s="294"/>
      <c r="HL577" s="294"/>
      <c r="HM577" s="294"/>
      <c r="HN577" s="294"/>
      <c r="HO577" s="294"/>
      <c r="HP577" s="294"/>
      <c r="HQ577" s="294"/>
      <c r="HR577" s="294"/>
      <c r="HS577" s="294"/>
      <c r="HT577" s="294"/>
      <c r="HU577" s="294"/>
      <c r="HV577" s="294"/>
      <c r="HW577" s="294"/>
      <c r="HX577" s="294"/>
      <c r="HY577" s="294"/>
      <c r="HZ577" s="294"/>
      <c r="IA577" s="294"/>
      <c r="IB577" s="294"/>
      <c r="IC577" s="294"/>
      <c r="ID577" s="294"/>
      <c r="IE577" s="294"/>
      <c r="IF577" s="294"/>
      <c r="IG577" s="294"/>
      <c r="IH577" s="294"/>
      <c r="II577" s="294"/>
      <c r="IJ577" s="294"/>
      <c r="IK577" s="294"/>
      <c r="IL577" s="294"/>
      <c r="IM577" s="294"/>
      <c r="IN577" s="294"/>
      <c r="IO577" s="294"/>
      <c r="IP577" s="294"/>
      <c r="IQ577" s="294"/>
      <c r="IR577" s="294"/>
      <c r="IS577" s="294"/>
      <c r="IT577" s="294"/>
      <c r="IU577" s="294"/>
      <c r="IV577" s="294"/>
      <c r="IW577" s="294"/>
      <c r="IX577" s="294"/>
      <c r="IY577" s="294"/>
      <c r="IZ577" s="294"/>
      <c r="JA577" s="294"/>
      <c r="JB577" s="291"/>
      <c r="JD577" s="293"/>
      <c r="JE577" s="294"/>
      <c r="JF577" s="294"/>
      <c r="JG577" s="294"/>
      <c r="JH577" s="294"/>
      <c r="JI577" s="294"/>
      <c r="JJ577" s="294"/>
      <c r="JK577" s="294"/>
      <c r="JL577" s="294"/>
      <c r="JM577" s="294"/>
      <c r="JN577" s="294"/>
      <c r="JO577" s="294"/>
      <c r="JP577" s="294"/>
      <c r="JQ577" s="294"/>
      <c r="JR577" s="294"/>
      <c r="JS577" s="294"/>
      <c r="JT577" s="294"/>
      <c r="JU577" s="294"/>
      <c r="JV577" s="294"/>
      <c r="JW577" s="294"/>
      <c r="JX577" s="294"/>
      <c r="JY577" s="294"/>
      <c r="JZ577" s="294"/>
      <c r="KA577" s="294"/>
      <c r="KB577" s="294"/>
      <c r="KC577" s="294"/>
      <c r="KD577" s="294"/>
      <c r="KE577" s="294"/>
      <c r="KF577" s="294"/>
      <c r="KG577" s="294"/>
      <c r="KH577" s="294"/>
      <c r="KI577" s="294"/>
      <c r="KJ577" s="294"/>
      <c r="KK577" s="294"/>
      <c r="KL577" s="294"/>
      <c r="KM577" s="294"/>
      <c r="KN577" s="294"/>
      <c r="KO577" s="294"/>
      <c r="KP577" s="294"/>
      <c r="KQ577" s="294"/>
      <c r="KR577" s="294"/>
      <c r="KS577" s="294"/>
      <c r="KT577" s="294"/>
      <c r="KU577" s="294"/>
      <c r="KV577" s="294"/>
      <c r="KW577" s="294"/>
      <c r="KX577" s="294"/>
      <c r="KY577" s="294"/>
      <c r="KZ577" s="291"/>
    </row>
    <row r="578" spans="34:326" ht="10.75" customHeight="1">
      <c r="HF578" s="291"/>
      <c r="JB578" s="291"/>
      <c r="JD578" s="291"/>
      <c r="KZ578" s="291"/>
    </row>
    <row r="579" spans="34:326" ht="10.75" customHeight="1">
      <c r="HF579" s="291"/>
      <c r="JB579" s="291"/>
      <c r="JD579" s="291"/>
      <c r="KZ579" s="291"/>
    </row>
    <row r="580" spans="34:326" ht="10.75" customHeight="1">
      <c r="LM580" s="294"/>
      <c r="LN580" s="294"/>
    </row>
    <row r="581" spans="34:326" ht="10.75" customHeight="1">
      <c r="AR581" s="57"/>
      <c r="AS581" s="57"/>
      <c r="AT581" s="57"/>
      <c r="AU581" s="41"/>
      <c r="AV581" s="41"/>
      <c r="AW581" s="41"/>
      <c r="AX581" s="41"/>
      <c r="AY581" s="41"/>
      <c r="AZ581" s="41"/>
      <c r="BA581" s="41"/>
      <c r="BB581" s="41"/>
      <c r="BC581" s="41"/>
      <c r="BD581" s="41"/>
      <c r="BE581" s="41"/>
      <c r="BF581" s="41"/>
      <c r="BG581" s="41"/>
      <c r="BH581" s="41"/>
      <c r="BI581" s="41"/>
      <c r="BJ581" s="41"/>
      <c r="BK581" s="41"/>
      <c r="BL581" s="41"/>
      <c r="BM581" s="41"/>
      <c r="BN581" s="41"/>
      <c r="BO581" s="41"/>
      <c r="BP581" s="41"/>
      <c r="BQ581" s="41"/>
      <c r="BR581" s="41"/>
      <c r="BS581" s="41"/>
      <c r="BT581" s="41"/>
      <c r="BU581" s="41"/>
      <c r="BV581" s="41"/>
      <c r="BW581" s="41"/>
      <c r="BX581" s="41"/>
      <c r="BY581" s="41"/>
      <c r="BZ581" s="41"/>
      <c r="CA581" s="41"/>
      <c r="CB581" s="41"/>
      <c r="CC581" s="41"/>
      <c r="CD581" s="41"/>
      <c r="CE581" s="41"/>
      <c r="CF581" s="41"/>
      <c r="CG581" s="41"/>
      <c r="CH581" s="41"/>
      <c r="CI581" s="41"/>
      <c r="CJ581" s="41"/>
      <c r="CK581" s="41"/>
      <c r="CL581" s="41"/>
      <c r="CM581" s="41"/>
      <c r="CN581" s="41"/>
      <c r="CO581" s="41"/>
      <c r="CP581" s="41"/>
      <c r="CQ581" s="41"/>
      <c r="CR581" s="41"/>
      <c r="CS581" s="41"/>
      <c r="CT581" s="41"/>
      <c r="CU581" s="57"/>
      <c r="CV581" s="57"/>
      <c r="CW581" s="57"/>
      <c r="CX581" s="57"/>
      <c r="CY581" s="41"/>
      <c r="CZ581" s="41"/>
      <c r="DA581" s="41"/>
      <c r="DB581" s="41"/>
      <c r="DC581" s="41"/>
      <c r="DD581" s="41"/>
      <c r="DE581" s="41"/>
      <c r="DF581" s="41"/>
      <c r="DG581" s="41"/>
      <c r="DH581" s="41"/>
      <c r="DI581" s="41"/>
      <c r="DJ581" s="41"/>
      <c r="DK581" s="41"/>
      <c r="DL581" s="41"/>
      <c r="DM581" s="41"/>
      <c r="DN581" s="41"/>
      <c r="DO581" s="41"/>
      <c r="DP581" s="41"/>
      <c r="DQ581" s="41"/>
      <c r="DR581" s="41"/>
      <c r="DS581" s="41"/>
      <c r="DT581" s="41"/>
      <c r="DU581" s="41"/>
      <c r="DV581" s="41"/>
      <c r="DW581" s="41"/>
      <c r="DX581" s="41"/>
      <c r="DY581" s="41"/>
      <c r="DZ581" s="41"/>
      <c r="EA581" s="41"/>
      <c r="EB581" s="41"/>
      <c r="EC581" s="41"/>
      <c r="ED581" s="41"/>
      <c r="EE581" s="41"/>
      <c r="EF581" s="41"/>
      <c r="EG581" s="41"/>
      <c r="EH581" s="41"/>
      <c r="EI581" s="41"/>
      <c r="EJ581" s="41"/>
      <c r="EK581" s="41"/>
      <c r="EL581" s="41"/>
      <c r="EM581" s="41"/>
      <c r="EN581" s="41"/>
      <c r="EO581" s="41"/>
      <c r="EP581" s="41"/>
      <c r="EQ581" s="41"/>
      <c r="ER581" s="41"/>
      <c r="ES581" s="41"/>
      <c r="ET581" s="41"/>
      <c r="EU581" s="41"/>
      <c r="EV581" s="41"/>
      <c r="EW581" s="41"/>
      <c r="EX581" s="57"/>
      <c r="EY581" s="57"/>
      <c r="EZ581" s="57"/>
      <c r="FA581" s="58"/>
      <c r="HC581" s="56"/>
      <c r="HD581" s="57"/>
      <c r="HE581" s="57"/>
      <c r="HF581" s="58"/>
      <c r="HG581" s="41"/>
      <c r="HH581" s="41"/>
      <c r="HI581" s="41"/>
      <c r="HJ581" s="41"/>
      <c r="HK581" s="41"/>
      <c r="HL581" s="41"/>
      <c r="HM581" s="41"/>
      <c r="HN581" s="41"/>
      <c r="HO581" s="41"/>
      <c r="HP581" s="41"/>
      <c r="HQ581" s="41"/>
      <c r="HR581" s="41"/>
      <c r="HS581" s="41"/>
      <c r="HT581" s="41"/>
      <c r="HU581" s="41"/>
      <c r="HV581" s="41"/>
      <c r="HW581" s="41"/>
      <c r="HX581" s="41"/>
      <c r="HY581" s="41"/>
      <c r="HZ581" s="41"/>
      <c r="IA581" s="41"/>
      <c r="IB581" s="41"/>
      <c r="IC581" s="41"/>
      <c r="ID581" s="41"/>
      <c r="IE581" s="41"/>
      <c r="IF581" s="41"/>
      <c r="IG581" s="41"/>
      <c r="IH581" s="41"/>
      <c r="II581" s="41"/>
      <c r="IJ581" s="41"/>
      <c r="IK581" s="41"/>
      <c r="IL581" s="41"/>
      <c r="IM581" s="41"/>
      <c r="IN581" s="41"/>
      <c r="IO581" s="41"/>
      <c r="IP581" s="41"/>
      <c r="IQ581" s="41"/>
      <c r="IR581" s="41"/>
      <c r="IS581" s="41"/>
      <c r="IT581" s="41"/>
      <c r="IU581" s="41"/>
      <c r="IV581" s="41"/>
      <c r="IW581" s="41"/>
      <c r="IX581" s="41"/>
      <c r="IY581" s="41"/>
      <c r="IZ581" s="41"/>
      <c r="JA581" s="56"/>
      <c r="JB581" s="57"/>
      <c r="JC581" s="57"/>
      <c r="JD581" s="58"/>
      <c r="JE581" s="41"/>
      <c r="JF581" s="41"/>
      <c r="JG581" s="41"/>
      <c r="JH581" s="41"/>
      <c r="JI581" s="41"/>
      <c r="JJ581" s="41"/>
      <c r="JK581" s="41"/>
      <c r="JL581" s="41"/>
      <c r="JM581" s="41"/>
      <c r="JN581" s="41"/>
      <c r="JO581" s="41"/>
      <c r="JP581" s="41"/>
      <c r="JQ581" s="41"/>
      <c r="JR581" s="41"/>
      <c r="JS581" s="41"/>
      <c r="JT581" s="41"/>
      <c r="JU581" s="41"/>
      <c r="JV581" s="41"/>
      <c r="JW581" s="41"/>
      <c r="JX581" s="41"/>
      <c r="JY581" s="41"/>
      <c r="JZ581" s="41"/>
      <c r="KA581" s="41"/>
      <c r="KB581" s="41"/>
      <c r="KC581" s="41"/>
      <c r="KD581" s="41"/>
      <c r="KE581" s="41"/>
      <c r="KF581" s="41"/>
      <c r="KG581" s="41"/>
      <c r="KH581" s="41"/>
      <c r="KI581" s="41"/>
      <c r="KJ581" s="41"/>
      <c r="KK581" s="41"/>
      <c r="KL581" s="41"/>
      <c r="KM581" s="41"/>
      <c r="KN581" s="41"/>
      <c r="KO581" s="41"/>
      <c r="KP581" s="41"/>
      <c r="KQ581" s="41"/>
      <c r="KR581" s="41"/>
      <c r="KS581" s="41"/>
      <c r="KT581" s="41"/>
      <c r="KU581" s="41"/>
      <c r="KV581" s="41"/>
      <c r="KW581" s="41"/>
      <c r="KX581" s="41"/>
      <c r="KY581" s="41"/>
      <c r="KZ581" s="56"/>
      <c r="LA581" s="57"/>
      <c r="LB581" s="58"/>
      <c r="LN581" s="291"/>
    </row>
    <row r="582" spans="34:326" ht="10.75" customHeight="1">
      <c r="AR582" s="97"/>
      <c r="AS582" s="97"/>
      <c r="AT582" s="97"/>
      <c r="AU582" s="43"/>
      <c r="AV582" s="43"/>
      <c r="AW582" s="43"/>
      <c r="AX582" s="43"/>
      <c r="AY582" s="43"/>
      <c r="AZ582" s="43"/>
      <c r="BA582" s="43"/>
      <c r="BB582" s="43"/>
      <c r="BC582" s="43"/>
      <c r="BD582" s="43"/>
      <c r="BE582" s="43"/>
      <c r="BF582" s="43"/>
      <c r="BG582" s="43"/>
      <c r="BH582" s="43"/>
      <c r="BI582" s="43"/>
      <c r="BJ582" s="43"/>
      <c r="BK582" s="43"/>
      <c r="BL582" s="43"/>
      <c r="BM582" s="43"/>
      <c r="BN582" s="43"/>
      <c r="BO582" s="43"/>
      <c r="BP582" s="43"/>
      <c r="BQ582" s="43"/>
      <c r="BR582" s="43"/>
      <c r="BS582" s="43"/>
      <c r="BT582" s="43"/>
      <c r="BU582" s="43"/>
      <c r="BV582" s="43"/>
      <c r="BW582" s="43"/>
      <c r="BX582" s="43"/>
      <c r="BY582" s="43"/>
      <c r="BZ582" s="43"/>
      <c r="CA582" s="43"/>
      <c r="CB582" s="43"/>
      <c r="CC582" s="43"/>
      <c r="CD582" s="43"/>
      <c r="CE582" s="43"/>
      <c r="CF582" s="43"/>
      <c r="CG582" s="43"/>
      <c r="CH582" s="43"/>
      <c r="CI582" s="43"/>
      <c r="CJ582" s="43"/>
      <c r="CK582" s="43"/>
      <c r="CL582" s="43"/>
      <c r="CM582" s="43"/>
      <c r="CN582" s="43"/>
      <c r="CO582" s="43"/>
      <c r="CP582" s="43"/>
      <c r="CQ582" s="43"/>
      <c r="CR582" s="43"/>
      <c r="CS582" s="43"/>
      <c r="CT582" s="43"/>
      <c r="CU582" s="97"/>
      <c r="CV582" s="97"/>
      <c r="CW582" s="97"/>
      <c r="CX582" s="97"/>
      <c r="CY582" s="43"/>
      <c r="CZ582" s="43"/>
      <c r="DA582" s="43"/>
      <c r="DB582" s="43"/>
      <c r="DC582" s="43"/>
      <c r="DD582" s="43"/>
      <c r="DE582" s="43"/>
      <c r="DF582" s="43"/>
      <c r="DG582" s="43"/>
      <c r="DH582" s="43"/>
      <c r="DI582" s="43"/>
      <c r="DJ582" s="43"/>
      <c r="DK582" s="43"/>
      <c r="DL582" s="43"/>
      <c r="DM582" s="43"/>
      <c r="DN582" s="43"/>
      <c r="DO582" s="43"/>
      <c r="DP582" s="43"/>
      <c r="DQ582" s="43"/>
      <c r="DR582" s="43"/>
      <c r="DS582" s="43"/>
      <c r="DT582" s="43"/>
      <c r="DU582" s="43"/>
      <c r="DV582" s="43"/>
      <c r="DW582" s="43"/>
      <c r="DX582" s="43"/>
      <c r="DY582" s="43"/>
      <c r="DZ582" s="43"/>
      <c r="EA582" s="43"/>
      <c r="EB582" s="43"/>
      <c r="EC582" s="43"/>
      <c r="ED582" s="43"/>
      <c r="EE582" s="43"/>
      <c r="EF582" s="43"/>
      <c r="EG582" s="43"/>
      <c r="EH582" s="43"/>
      <c r="EI582" s="43"/>
      <c r="EJ582" s="43"/>
      <c r="EK582" s="43"/>
      <c r="EL582" s="43"/>
      <c r="EM582" s="43"/>
      <c r="EN582" s="43"/>
      <c r="EO582" s="43"/>
      <c r="EP582" s="43"/>
      <c r="EQ582" s="43"/>
      <c r="ER582" s="43"/>
      <c r="ES582" s="43"/>
      <c r="ET582" s="43"/>
      <c r="EU582" s="43"/>
      <c r="EV582" s="43"/>
      <c r="EW582" s="43"/>
      <c r="EX582" s="97"/>
      <c r="EY582" s="97"/>
      <c r="EZ582" s="97"/>
      <c r="FA582" s="98"/>
      <c r="HC582" s="96"/>
      <c r="HD582" s="97"/>
      <c r="HE582" s="97"/>
      <c r="HF582" s="98"/>
      <c r="HG582" s="43"/>
      <c r="HH582" s="43"/>
      <c r="HI582" s="43"/>
      <c r="HJ582" s="43"/>
      <c r="HK582" s="43"/>
      <c r="HL582" s="43"/>
      <c r="HM582" s="43"/>
      <c r="HN582" s="43"/>
      <c r="HO582" s="43"/>
      <c r="HP582" s="43"/>
      <c r="HQ582" s="43"/>
      <c r="HR582" s="43"/>
      <c r="HS582" s="43"/>
      <c r="HT582" s="43"/>
      <c r="HU582" s="43"/>
      <c r="HV582" s="43"/>
      <c r="HW582" s="43"/>
      <c r="HX582" s="43"/>
      <c r="HY582" s="43"/>
      <c r="HZ582" s="43"/>
      <c r="IA582" s="43"/>
      <c r="IB582" s="43"/>
      <c r="IC582" s="43"/>
      <c r="ID582" s="43"/>
      <c r="IE582" s="43"/>
      <c r="IF582" s="43"/>
      <c r="IG582" s="43"/>
      <c r="IH582" s="43"/>
      <c r="II582" s="43"/>
      <c r="IJ582" s="43"/>
      <c r="IK582" s="43"/>
      <c r="IL582" s="43"/>
      <c r="IM582" s="43"/>
      <c r="IN582" s="43"/>
      <c r="IO582" s="43"/>
      <c r="IP582" s="43"/>
      <c r="IQ582" s="43"/>
      <c r="IR582" s="43"/>
      <c r="IS582" s="43"/>
      <c r="IT582" s="43"/>
      <c r="IU582" s="43"/>
      <c r="IV582" s="43"/>
      <c r="IW582" s="43"/>
      <c r="IX582" s="43"/>
      <c r="IY582" s="43"/>
      <c r="IZ582" s="43"/>
      <c r="JA582" s="96"/>
      <c r="JB582" s="97"/>
      <c r="JC582" s="97"/>
      <c r="JD582" s="98"/>
      <c r="JE582" s="43"/>
      <c r="JF582" s="43"/>
      <c r="JG582" s="43"/>
      <c r="JH582" s="43"/>
      <c r="JI582" s="43"/>
      <c r="JJ582" s="43"/>
      <c r="JK582" s="43"/>
      <c r="JL582" s="43"/>
      <c r="JM582" s="43"/>
      <c r="JN582" s="43"/>
      <c r="JO582" s="43"/>
      <c r="JP582" s="43"/>
      <c r="JQ582" s="43"/>
      <c r="JR582" s="43"/>
      <c r="JS582" s="43"/>
      <c r="JT582" s="43"/>
      <c r="JU582" s="43"/>
      <c r="JV582" s="43"/>
      <c r="JW582" s="43"/>
      <c r="JX582" s="43"/>
      <c r="JY582" s="43"/>
      <c r="JZ582" s="43"/>
      <c r="KA582" s="43"/>
      <c r="KB582" s="43"/>
      <c r="KC582" s="43"/>
      <c r="KD582" s="43"/>
      <c r="KE582" s="43"/>
      <c r="KF582" s="43"/>
      <c r="KG582" s="43"/>
      <c r="KH582" s="43"/>
      <c r="KI582" s="43"/>
      <c r="KJ582" s="43"/>
      <c r="KK582" s="43"/>
      <c r="KL582" s="43"/>
      <c r="KM582" s="43"/>
      <c r="KN582" s="43"/>
      <c r="KO582" s="43"/>
      <c r="KP582" s="43"/>
      <c r="KQ582" s="43"/>
      <c r="KR582" s="43"/>
      <c r="KS582" s="43"/>
      <c r="KT582" s="43"/>
      <c r="KU582" s="43"/>
      <c r="KV582" s="43"/>
      <c r="KW582" s="43"/>
      <c r="KX582" s="43"/>
      <c r="KY582" s="43"/>
      <c r="KZ582" s="96"/>
      <c r="LA582" s="97"/>
      <c r="LB582" s="98"/>
      <c r="LN582" s="291"/>
    </row>
    <row r="583" spans="34:326" ht="10.75" customHeight="1">
      <c r="AR583" s="97"/>
      <c r="AS583" s="97"/>
      <c r="AT583" s="97"/>
      <c r="AU583" s="43"/>
      <c r="AV583" s="43"/>
      <c r="AW583" s="43"/>
      <c r="AX583" s="43"/>
      <c r="AY583" s="43"/>
      <c r="AZ583" s="43"/>
      <c r="BA583" s="43"/>
      <c r="BB583" s="43"/>
      <c r="BC583" s="43"/>
      <c r="BD583" s="43"/>
      <c r="BE583" s="43"/>
      <c r="BF583" s="43"/>
      <c r="BG583" s="43"/>
      <c r="BH583" s="43"/>
      <c r="BI583" s="43"/>
      <c r="BJ583" s="43"/>
      <c r="BK583" s="43"/>
      <c r="BL583" s="43"/>
      <c r="BM583" s="43"/>
      <c r="BN583" s="43"/>
      <c r="BO583" s="43"/>
      <c r="BP583" s="43"/>
      <c r="BQ583" s="43"/>
      <c r="BR583" s="43"/>
      <c r="BS583" s="43"/>
      <c r="BT583" s="43"/>
      <c r="BU583" s="43"/>
      <c r="BV583" s="43"/>
      <c r="BW583" s="43"/>
      <c r="BX583" s="43"/>
      <c r="BY583" s="43"/>
      <c r="BZ583" s="43"/>
      <c r="CA583" s="43"/>
      <c r="CB583" s="43"/>
      <c r="CC583" s="43"/>
      <c r="CD583" s="43"/>
      <c r="CE583" s="43"/>
      <c r="CF583" s="43"/>
      <c r="CG583" s="43"/>
      <c r="CH583" s="43"/>
      <c r="CI583" s="43"/>
      <c r="CJ583" s="43"/>
      <c r="CK583" s="43"/>
      <c r="CL583" s="43"/>
      <c r="CM583" s="43"/>
      <c r="CN583" s="43"/>
      <c r="CO583" s="43"/>
      <c r="CP583" s="43"/>
      <c r="CQ583" s="43"/>
      <c r="CR583" s="43"/>
      <c r="CS583" s="43"/>
      <c r="CT583" s="43"/>
      <c r="CU583" s="97"/>
      <c r="CV583" s="97"/>
      <c r="CW583" s="97"/>
      <c r="CX583" s="97"/>
      <c r="CY583" s="43"/>
      <c r="CZ583" s="43"/>
      <c r="DA583" s="43"/>
      <c r="DB583" s="43"/>
      <c r="DC583" s="43"/>
      <c r="DD583" s="43"/>
      <c r="DE583" s="43"/>
      <c r="DF583" s="43"/>
      <c r="DG583" s="43"/>
      <c r="DH583" s="43"/>
      <c r="DI583" s="43"/>
      <c r="DJ583" s="43"/>
      <c r="DK583" s="43"/>
      <c r="DL583" s="43"/>
      <c r="DM583" s="43"/>
      <c r="DN583" s="43"/>
      <c r="DO583" s="43"/>
      <c r="DP583" s="43"/>
      <c r="DQ583" s="43"/>
      <c r="DR583" s="43"/>
      <c r="DS583" s="43"/>
      <c r="DT583" s="43"/>
      <c r="DU583" s="43"/>
      <c r="DV583" s="43"/>
      <c r="DW583" s="43"/>
      <c r="DX583" s="43"/>
      <c r="DY583" s="43"/>
      <c r="DZ583" s="43"/>
      <c r="EA583" s="43"/>
      <c r="EB583" s="43"/>
      <c r="EC583" s="43"/>
      <c r="ED583" s="43"/>
      <c r="EE583" s="43"/>
      <c r="EF583" s="43"/>
      <c r="EG583" s="43"/>
      <c r="EH583" s="43"/>
      <c r="EI583" s="43"/>
      <c r="EJ583" s="43"/>
      <c r="EK583" s="43"/>
      <c r="EL583" s="43"/>
      <c r="EM583" s="43"/>
      <c r="EN583" s="43"/>
      <c r="EO583" s="43"/>
      <c r="EP583" s="43"/>
      <c r="EQ583" s="43"/>
      <c r="ER583" s="43"/>
      <c r="ES583" s="43"/>
      <c r="ET583" s="43"/>
      <c r="EU583" s="43"/>
      <c r="EV583" s="43"/>
      <c r="EW583" s="43"/>
      <c r="EX583" s="97"/>
      <c r="EY583" s="97"/>
      <c r="EZ583" s="97"/>
      <c r="FA583" s="98"/>
      <c r="HC583" s="59"/>
      <c r="HD583" s="60"/>
      <c r="HE583" s="60"/>
      <c r="HF583" s="61"/>
      <c r="HG583" s="43"/>
      <c r="HH583" s="43"/>
      <c r="HI583" s="47"/>
      <c r="HJ583" s="47"/>
      <c r="HK583" s="47"/>
      <c r="HL583" s="47"/>
      <c r="HM583" s="47"/>
      <c r="HN583" s="47"/>
      <c r="HO583" s="47"/>
      <c r="HP583" s="47"/>
      <c r="HQ583" s="47"/>
      <c r="HR583" s="47"/>
      <c r="HS583" s="47"/>
      <c r="HT583" s="47"/>
      <c r="HU583" s="47"/>
      <c r="HV583" s="47"/>
      <c r="HW583" s="47"/>
      <c r="HX583" s="47"/>
      <c r="HY583" s="47"/>
      <c r="HZ583" s="47"/>
      <c r="IA583" s="47"/>
      <c r="IB583" s="47"/>
      <c r="IC583" s="47"/>
      <c r="ID583" s="47"/>
      <c r="IE583" s="47"/>
      <c r="IF583" s="47"/>
      <c r="IG583" s="47"/>
      <c r="IH583" s="47"/>
      <c r="II583" s="47"/>
      <c r="IJ583" s="47"/>
      <c r="IK583" s="47"/>
      <c r="IL583" s="47"/>
      <c r="IM583" s="47"/>
      <c r="IN583" s="47"/>
      <c r="IO583" s="47"/>
      <c r="IP583" s="47"/>
      <c r="IQ583" s="47"/>
      <c r="IR583" s="47"/>
      <c r="IS583" s="47"/>
      <c r="IT583" s="47"/>
      <c r="IU583" s="47"/>
      <c r="IV583" s="47"/>
      <c r="IW583" s="47"/>
      <c r="IX583" s="47"/>
      <c r="IY583" s="47"/>
      <c r="IZ583" s="47"/>
      <c r="JA583" s="59"/>
      <c r="JB583" s="60"/>
      <c r="JC583" s="60"/>
      <c r="JD583" s="61"/>
      <c r="JE583" s="47"/>
      <c r="JF583" s="47"/>
      <c r="JG583" s="47"/>
      <c r="JH583" s="47"/>
      <c r="JI583" s="47"/>
      <c r="JJ583" s="47"/>
      <c r="JK583" s="47"/>
      <c r="JL583" s="47"/>
      <c r="JM583" s="47"/>
      <c r="JN583" s="47"/>
      <c r="JO583" s="47"/>
      <c r="JP583" s="47"/>
      <c r="JQ583" s="47"/>
      <c r="JR583" s="47"/>
      <c r="JS583" s="47"/>
      <c r="JT583" s="47"/>
      <c r="JU583" s="47"/>
      <c r="JV583" s="47"/>
      <c r="JW583" s="47"/>
      <c r="JX583" s="47"/>
      <c r="JY583" s="47"/>
      <c r="JZ583" s="47"/>
      <c r="KA583" s="47"/>
      <c r="KB583" s="47"/>
      <c r="KC583" s="47"/>
      <c r="KD583" s="47"/>
      <c r="KE583" s="47"/>
      <c r="KF583" s="47"/>
      <c r="KG583" s="47"/>
      <c r="KH583" s="47"/>
      <c r="KI583" s="47"/>
      <c r="KJ583" s="47"/>
      <c r="KK583" s="47"/>
      <c r="KL583" s="47"/>
      <c r="KM583" s="47"/>
      <c r="KN583" s="47"/>
      <c r="KO583" s="47"/>
      <c r="KP583" s="47"/>
      <c r="KQ583" s="47"/>
      <c r="KR583" s="47"/>
      <c r="KS583" s="47"/>
      <c r="KT583" s="47"/>
      <c r="KU583" s="47"/>
      <c r="KV583" s="47"/>
      <c r="KW583" s="47"/>
      <c r="KX583" s="47"/>
      <c r="KY583" s="47"/>
      <c r="KZ583" s="96"/>
      <c r="LA583" s="97"/>
      <c r="LB583" s="98"/>
      <c r="LN583" s="291"/>
    </row>
    <row r="584" spans="34:326" ht="10.75" customHeight="1">
      <c r="AR584" s="97"/>
      <c r="AS584" s="97"/>
      <c r="AT584" s="97"/>
      <c r="AU584" s="9"/>
      <c r="AV584" s="10"/>
      <c r="AW584" s="10"/>
      <c r="AX584" s="10"/>
      <c r="AY584" s="10"/>
      <c r="AZ584" s="10"/>
      <c r="BA584" s="10"/>
      <c r="BB584" s="10"/>
      <c r="BC584" s="10"/>
      <c r="BD584" s="10"/>
      <c r="BE584" s="10"/>
      <c r="BF584" s="10"/>
      <c r="BG584" s="10"/>
      <c r="BH584" s="10"/>
      <c r="BI584" s="10"/>
      <c r="BJ584" s="10"/>
      <c r="BK584" s="10"/>
      <c r="BL584" s="10"/>
      <c r="BM584" s="10"/>
      <c r="BN584" s="10"/>
      <c r="BO584" s="10"/>
      <c r="BP584" s="10"/>
      <c r="BQ584" s="10"/>
      <c r="BR584" s="10"/>
      <c r="BS584" s="10"/>
      <c r="BT584" s="10"/>
      <c r="BU584" s="10"/>
      <c r="BV584" s="10"/>
      <c r="BW584" s="10"/>
      <c r="BX584" s="10"/>
      <c r="BY584" s="10"/>
      <c r="BZ584" s="11"/>
      <c r="CA584" s="10"/>
      <c r="CB584" s="11"/>
      <c r="CC584" s="10"/>
      <c r="CD584" s="10"/>
      <c r="CE584" s="10"/>
      <c r="CF584" s="10"/>
      <c r="CG584" s="10"/>
      <c r="CH584" s="10"/>
      <c r="CI584" s="10"/>
      <c r="CJ584" s="10"/>
      <c r="CK584" s="10"/>
      <c r="CL584" s="10"/>
      <c r="CM584" s="10"/>
      <c r="CN584" s="10"/>
      <c r="CO584" s="10"/>
      <c r="CP584" s="10"/>
      <c r="CQ584" s="10"/>
      <c r="CR584" s="10"/>
      <c r="CS584" s="10"/>
      <c r="CT584" s="10"/>
      <c r="CU584" s="10"/>
      <c r="CV584" s="11"/>
      <c r="CW584" s="10"/>
      <c r="CX584" s="11"/>
      <c r="CY584" s="10"/>
      <c r="CZ584" s="10"/>
      <c r="DA584" s="10"/>
      <c r="DB584" s="10"/>
      <c r="DC584" s="10"/>
      <c r="DD584" s="10"/>
      <c r="DE584" s="10"/>
      <c r="DF584" s="10"/>
      <c r="DG584" s="10"/>
      <c r="DH584" s="10"/>
      <c r="DI584" s="10"/>
      <c r="DJ584" s="10"/>
      <c r="DK584" s="10"/>
      <c r="DL584" s="10"/>
      <c r="DM584" s="10"/>
      <c r="DN584" s="10"/>
      <c r="DO584" s="10"/>
      <c r="DP584" s="10"/>
      <c r="DQ584" s="10"/>
      <c r="DR584" s="10"/>
      <c r="DS584" s="10"/>
      <c r="DT584" s="10"/>
      <c r="DU584" s="10"/>
      <c r="DV584" s="10"/>
      <c r="DW584" s="10"/>
      <c r="DX584" s="10"/>
      <c r="DY584" s="10"/>
      <c r="DZ584" s="10"/>
      <c r="EA584" s="10"/>
      <c r="EB584" s="10"/>
      <c r="EC584" s="10"/>
      <c r="ED584" s="10"/>
      <c r="EE584" s="10"/>
      <c r="EF584" s="10"/>
      <c r="EG584" s="10"/>
      <c r="EH584" s="10"/>
      <c r="EI584" s="10"/>
      <c r="EJ584" s="10"/>
      <c r="EK584" s="10"/>
      <c r="EL584" s="10"/>
      <c r="EM584" s="10"/>
      <c r="EN584" s="10"/>
      <c r="EO584" s="10"/>
      <c r="EP584" s="10"/>
      <c r="EQ584" s="10"/>
      <c r="ER584" s="10"/>
      <c r="ES584" s="10"/>
      <c r="ET584" s="10"/>
      <c r="EU584" s="10"/>
      <c r="EV584" s="10"/>
      <c r="EW584" s="10"/>
      <c r="EX584" s="11"/>
      <c r="EY584" s="43"/>
      <c r="EZ584" s="43"/>
      <c r="FA584" s="45"/>
      <c r="HC584" s="42"/>
      <c r="HD584" s="43"/>
      <c r="HE584" s="43"/>
      <c r="HF584" s="9"/>
      <c r="HG584" s="10"/>
      <c r="HH584" s="10"/>
      <c r="HI584" s="10"/>
      <c r="HJ584" s="10"/>
      <c r="HK584" s="10"/>
      <c r="HL584" s="10"/>
      <c r="HM584" s="10"/>
      <c r="HN584" s="10"/>
      <c r="HO584" s="10"/>
      <c r="HP584" s="10"/>
      <c r="HQ584" s="10"/>
      <c r="HR584" s="10"/>
      <c r="HS584" s="10"/>
      <c r="HT584" s="10"/>
      <c r="HU584" s="10"/>
      <c r="HV584" s="10"/>
      <c r="HW584" s="10"/>
      <c r="HX584" s="10"/>
      <c r="HY584" s="10"/>
      <c r="HZ584" s="10"/>
      <c r="IA584" s="10"/>
      <c r="IB584" s="10"/>
      <c r="IC584" s="10"/>
      <c r="ID584" s="10"/>
      <c r="IE584" s="10"/>
      <c r="IF584" s="10"/>
      <c r="IG584" s="11"/>
      <c r="IH584" s="158"/>
      <c r="II584" s="159"/>
      <c r="IJ584" s="10"/>
      <c r="IK584" s="10"/>
      <c r="IL584" s="10"/>
      <c r="IM584" s="10"/>
      <c r="IN584" s="10"/>
      <c r="IO584" s="10"/>
      <c r="IP584" s="10"/>
      <c r="IQ584" s="10"/>
      <c r="IR584" s="10"/>
      <c r="IS584" s="10"/>
      <c r="IT584" s="10"/>
      <c r="IU584" s="10"/>
      <c r="IV584" s="10"/>
      <c r="IW584" s="10"/>
      <c r="IX584" s="10"/>
      <c r="IY584" s="10"/>
      <c r="IZ584" s="10"/>
      <c r="JA584" s="10"/>
      <c r="JB584" s="9"/>
      <c r="JC584" s="11"/>
      <c r="JD584" s="10"/>
      <c r="JE584" s="10"/>
      <c r="JF584" s="10"/>
      <c r="JG584" s="10"/>
      <c r="JH584" s="10"/>
      <c r="JI584" s="298"/>
      <c r="JJ584" s="10"/>
      <c r="JK584" s="10"/>
      <c r="JL584" s="10"/>
      <c r="JM584" s="10"/>
      <c r="JN584" s="10"/>
      <c r="JO584" s="10"/>
      <c r="JP584" s="10"/>
      <c r="JQ584" s="10"/>
      <c r="JR584" s="10"/>
      <c r="JS584" s="10"/>
      <c r="JT584" s="10"/>
      <c r="JU584" s="10"/>
      <c r="JV584" s="10"/>
      <c r="JW584" s="10"/>
      <c r="JX584" s="10"/>
      <c r="JY584" s="10"/>
      <c r="JZ584" s="10"/>
      <c r="KA584" s="10"/>
      <c r="KB584" s="10"/>
      <c r="KC584" s="10"/>
      <c r="KD584" s="10"/>
      <c r="KE584" s="10"/>
      <c r="KF584" s="10"/>
      <c r="KG584" s="10"/>
      <c r="KH584" s="10"/>
      <c r="KI584" s="10"/>
      <c r="KJ584" s="10"/>
      <c r="KK584" s="10"/>
      <c r="KL584" s="10"/>
      <c r="KM584" s="10"/>
      <c r="KN584" s="10"/>
      <c r="KO584" s="10"/>
      <c r="KP584" s="10"/>
      <c r="KQ584" s="10"/>
      <c r="KR584" s="10"/>
      <c r="KS584" s="10"/>
      <c r="KT584" s="10"/>
      <c r="KU584" s="10"/>
      <c r="KV584" s="10"/>
      <c r="KW584" s="10"/>
      <c r="KX584" s="10"/>
      <c r="KY584" s="11"/>
      <c r="KZ584" s="59"/>
      <c r="LA584" s="60"/>
      <c r="LB584" s="61"/>
      <c r="LN584" s="291"/>
    </row>
    <row r="585" spans="34:326" ht="10.75" customHeight="1">
      <c r="AR585" s="42"/>
      <c r="AS585" s="43"/>
      <c r="AT585" s="43"/>
      <c r="AU585" s="12"/>
      <c r="BZ585" s="13"/>
      <c r="CB585" s="13"/>
      <c r="CV585" s="13"/>
      <c r="CX585" s="122"/>
      <c r="EX585" s="13"/>
      <c r="EY585" s="43"/>
      <c r="EZ585" s="43"/>
      <c r="FA585" s="45"/>
      <c r="HC585" s="42"/>
      <c r="HD585" s="43"/>
      <c r="HE585" s="43"/>
      <c r="HF585" s="12"/>
      <c r="IG585" s="13"/>
      <c r="IH585" s="162"/>
      <c r="II585" s="161"/>
      <c r="JB585" s="12"/>
      <c r="JC585" s="13"/>
      <c r="JI585" s="297"/>
      <c r="KY585" s="13"/>
      <c r="KZ585" s="43"/>
      <c r="LA585" s="43"/>
      <c r="LB585" s="45"/>
      <c r="LN585" s="291"/>
    </row>
    <row r="586" spans="34:326" ht="10.75" customHeight="1">
      <c r="AR586" s="42"/>
      <c r="AS586" s="43"/>
      <c r="AT586" s="43"/>
      <c r="AU586" s="12"/>
      <c r="BZ586" s="13"/>
      <c r="CB586" s="13"/>
      <c r="CV586" s="13"/>
      <c r="CX586" s="122"/>
      <c r="EX586" s="13"/>
      <c r="EY586" s="43"/>
      <c r="EZ586" s="43"/>
      <c r="FA586" s="45"/>
      <c r="HC586" s="42"/>
      <c r="HD586" s="43"/>
      <c r="HE586" s="43"/>
      <c r="HF586" s="12"/>
      <c r="IG586" s="13"/>
      <c r="IH586" s="162"/>
      <c r="II586" s="161"/>
      <c r="IJ586" s="12"/>
      <c r="JB586" s="12"/>
      <c r="JC586" s="13"/>
      <c r="JI586" s="297"/>
      <c r="KY586" s="13"/>
      <c r="KZ586" s="43"/>
      <c r="LA586" s="43"/>
      <c r="LB586" s="45"/>
      <c r="LN586" s="291"/>
    </row>
    <row r="587" spans="34:326" ht="10.75" customHeight="1">
      <c r="AR587" s="42"/>
      <c r="AS587" s="43"/>
      <c r="AT587" s="43"/>
      <c r="AU587" s="12"/>
      <c r="BZ587" s="13"/>
      <c r="CB587" s="13"/>
      <c r="CV587" s="13"/>
      <c r="CX587" s="122"/>
      <c r="EX587" s="13"/>
      <c r="EY587" s="43"/>
      <c r="EZ587" s="43"/>
      <c r="FA587" s="45"/>
      <c r="HC587" s="42"/>
      <c r="HD587" s="43"/>
      <c r="HE587" s="43"/>
      <c r="HF587" s="9"/>
      <c r="HG587" s="11"/>
      <c r="HH587" s="10"/>
      <c r="HI587" s="10"/>
      <c r="HJ587" s="10"/>
      <c r="HK587" s="10"/>
      <c r="HL587" s="10"/>
      <c r="HM587" s="10"/>
      <c r="HN587" s="11"/>
      <c r="IG587" s="13"/>
      <c r="IH587" s="162"/>
      <c r="II587" s="161"/>
      <c r="IJ587" s="9"/>
      <c r="IK587" s="11"/>
      <c r="IL587" s="10"/>
      <c r="IM587" s="10"/>
      <c r="IN587" s="10"/>
      <c r="IO587" s="10"/>
      <c r="IP587" s="10"/>
      <c r="IQ587" s="10"/>
      <c r="IR587" s="11"/>
      <c r="JB587" s="12"/>
      <c r="JC587" s="13"/>
      <c r="JI587" s="297"/>
      <c r="KY587" s="13"/>
      <c r="KZ587" s="43"/>
      <c r="LA587" s="43"/>
      <c r="LB587" s="45"/>
      <c r="LN587" s="291"/>
    </row>
    <row r="588" spans="34:326" ht="10.75" customHeight="1">
      <c r="AR588" s="42"/>
      <c r="AS588" s="43"/>
      <c r="AT588" s="43"/>
      <c r="AU588" s="12"/>
      <c r="BZ588" s="13"/>
      <c r="CB588" s="13"/>
      <c r="CV588" s="13"/>
      <c r="CX588" s="122"/>
      <c r="EX588" s="13"/>
      <c r="EY588" s="43"/>
      <c r="EZ588" s="43"/>
      <c r="FA588" s="45"/>
      <c r="HC588" s="42"/>
      <c r="HD588" s="43"/>
      <c r="HE588" s="43"/>
      <c r="HF588" s="12"/>
      <c r="HG588" s="13"/>
      <c r="HN588" s="13"/>
      <c r="IG588" s="13"/>
      <c r="IH588" s="162"/>
      <c r="II588" s="161"/>
      <c r="IJ588" s="12"/>
      <c r="IK588" s="13"/>
      <c r="IR588" s="13"/>
      <c r="JB588" s="12"/>
      <c r="JC588" s="13"/>
      <c r="JI588" s="297"/>
      <c r="KY588" s="13"/>
      <c r="KZ588" s="43"/>
      <c r="LA588" s="43"/>
      <c r="LB588" s="45"/>
      <c r="LN588" s="291"/>
    </row>
    <row r="589" spans="34:326" ht="10.75" customHeight="1">
      <c r="AR589" s="42"/>
      <c r="AS589" s="43"/>
      <c r="AT589" s="43"/>
      <c r="AU589" s="12"/>
      <c r="BZ589" s="13"/>
      <c r="CB589" s="13"/>
      <c r="CV589" s="13"/>
      <c r="CX589" s="122"/>
      <c r="EX589" s="13"/>
      <c r="EY589" s="43"/>
      <c r="EZ589" s="43"/>
      <c r="FA589" s="45"/>
      <c r="HC589" s="42"/>
      <c r="HD589" s="43"/>
      <c r="HE589" s="43"/>
      <c r="HF589" s="12"/>
      <c r="HG589" s="13"/>
      <c r="HN589" s="13"/>
      <c r="IG589" s="13"/>
      <c r="IH589" s="162"/>
      <c r="II589" s="161"/>
      <c r="IJ589" s="12"/>
      <c r="IK589" s="13"/>
      <c r="IR589" s="13"/>
      <c r="JB589" s="12"/>
      <c r="JC589" s="13"/>
      <c r="JI589" s="297"/>
      <c r="KY589" s="13"/>
      <c r="KZ589" s="43"/>
      <c r="LA589" s="43"/>
      <c r="LB589" s="45"/>
      <c r="LN589" s="291"/>
    </row>
    <row r="590" spans="34:326" ht="10.75" customHeight="1">
      <c r="AR590" s="42"/>
      <c r="AS590" s="43"/>
      <c r="AT590" s="43"/>
      <c r="AU590" s="12"/>
      <c r="BZ590" s="13"/>
      <c r="CB590" s="13"/>
      <c r="CV590" s="13"/>
      <c r="CX590" s="122"/>
      <c r="EX590" s="13"/>
      <c r="EY590" s="43"/>
      <c r="EZ590" s="43"/>
      <c r="FA590" s="45"/>
      <c r="HC590" s="42"/>
      <c r="HD590" s="43"/>
      <c r="HE590" s="43"/>
      <c r="HF590" s="12"/>
      <c r="HG590" s="13"/>
      <c r="HN590" s="13"/>
      <c r="IG590" s="13"/>
      <c r="IH590" s="162"/>
      <c r="II590" s="161"/>
      <c r="IJ590" s="12"/>
      <c r="IK590" s="13"/>
      <c r="IR590" s="13"/>
      <c r="JB590" s="12"/>
      <c r="JC590" s="13"/>
      <c r="JI590" s="297"/>
      <c r="KY590" s="13"/>
      <c r="KZ590" s="43"/>
      <c r="LA590" s="43"/>
      <c r="LB590" s="45"/>
      <c r="LN590" s="291"/>
    </row>
    <row r="591" spans="34:326" ht="10.75" customHeight="1">
      <c r="AR591" s="42"/>
      <c r="AS591" s="43"/>
      <c r="AT591" s="43"/>
      <c r="AU591" s="12"/>
      <c r="BZ591" s="13"/>
      <c r="CB591" s="13"/>
      <c r="CV591" s="13"/>
      <c r="CX591" s="122"/>
      <c r="EX591" s="13"/>
      <c r="EY591" s="43"/>
      <c r="EZ591" s="43"/>
      <c r="FA591" s="45"/>
      <c r="HC591" s="42"/>
      <c r="HD591" s="43"/>
      <c r="HE591" s="43"/>
      <c r="HF591" s="14"/>
      <c r="HG591" s="16"/>
      <c r="HH591" s="15"/>
      <c r="HI591" s="15"/>
      <c r="HJ591" s="15"/>
      <c r="HK591" s="15"/>
      <c r="HL591" s="15"/>
      <c r="HM591" s="15"/>
      <c r="HN591" s="16"/>
      <c r="IG591" s="13"/>
      <c r="IH591" s="162"/>
      <c r="II591" s="161"/>
      <c r="IJ591" s="14"/>
      <c r="IK591" s="16"/>
      <c r="IL591" s="15"/>
      <c r="IM591" s="15"/>
      <c r="IN591" s="15"/>
      <c r="IO591" s="15"/>
      <c r="IP591" s="15"/>
      <c r="IQ591" s="15"/>
      <c r="IR591" s="16"/>
      <c r="JB591" s="12"/>
      <c r="JC591" s="13"/>
      <c r="JI591" s="297"/>
      <c r="KY591" s="13"/>
      <c r="KZ591" s="43"/>
      <c r="LA591" s="43"/>
      <c r="LB591" s="45"/>
      <c r="LN591" s="291"/>
    </row>
    <row r="592" spans="34:326" ht="10.75" customHeight="1">
      <c r="AH592" s="9"/>
      <c r="AI592" s="10"/>
      <c r="AJ592" s="10"/>
      <c r="AK592" s="10"/>
      <c r="AL592" s="10"/>
      <c r="AM592" s="10"/>
      <c r="AN592" s="10"/>
      <c r="AO592" s="10"/>
      <c r="AP592" s="10"/>
      <c r="AQ592" s="11"/>
      <c r="AR592" s="42"/>
      <c r="AS592" s="43"/>
      <c r="AT592" s="43"/>
      <c r="AU592" s="12"/>
      <c r="BZ592" s="13"/>
      <c r="CB592" s="13"/>
      <c r="CV592" s="13"/>
      <c r="CX592" s="122"/>
      <c r="EX592" s="13"/>
      <c r="EY592" s="43"/>
      <c r="EZ592" s="43"/>
      <c r="FA592" s="45"/>
      <c r="GS592" s="9"/>
      <c r="GT592" s="10"/>
      <c r="GU592" s="10"/>
      <c r="GV592" s="10"/>
      <c r="GW592" s="10"/>
      <c r="GX592" s="10"/>
      <c r="GY592" s="10"/>
      <c r="GZ592" s="10"/>
      <c r="HA592" s="10"/>
      <c r="HB592" s="11"/>
      <c r="HC592" s="42"/>
      <c r="HD592" s="43"/>
      <c r="HE592" s="43"/>
      <c r="HF592" s="12"/>
      <c r="IG592" s="13"/>
      <c r="IH592" s="162"/>
      <c r="II592" s="161"/>
      <c r="IJ592" s="12"/>
      <c r="JB592" s="12"/>
      <c r="JC592" s="13"/>
      <c r="JI592" s="297"/>
      <c r="KY592" s="13"/>
      <c r="KZ592" s="43"/>
      <c r="LA592" s="43"/>
      <c r="LB592" s="45"/>
      <c r="LN592" s="291"/>
    </row>
    <row r="593" spans="34:535" ht="10.75" customHeight="1">
      <c r="AH593" s="12"/>
      <c r="AI593" s="9"/>
      <c r="AJ593" s="10"/>
      <c r="AK593" s="10"/>
      <c r="AL593" s="10"/>
      <c r="AM593" s="10"/>
      <c r="AN593" s="10"/>
      <c r="AO593" s="10"/>
      <c r="AP593" s="10"/>
      <c r="AQ593" s="11"/>
      <c r="AR593" s="42"/>
      <c r="AS593" s="43"/>
      <c r="AT593" s="43"/>
      <c r="AU593" s="12"/>
      <c r="BZ593" s="13"/>
      <c r="CB593" s="13"/>
      <c r="CV593" s="13"/>
      <c r="CX593" s="13"/>
      <c r="EX593" s="13"/>
      <c r="EY593" s="43"/>
      <c r="EZ593" s="43"/>
      <c r="FA593" s="45"/>
      <c r="GS593" s="12"/>
      <c r="HB593" s="13"/>
      <c r="HC593" s="42"/>
      <c r="HD593" s="43"/>
      <c r="HE593" s="43"/>
      <c r="HF593" s="12"/>
      <c r="IG593" s="13"/>
      <c r="IH593" s="162"/>
      <c r="II593" s="161"/>
      <c r="IJ593" s="12"/>
      <c r="JB593" s="12"/>
      <c r="JC593" s="313"/>
      <c r="JI593" s="297"/>
      <c r="KY593" s="13"/>
      <c r="KZ593" s="43"/>
      <c r="LA593" s="43"/>
      <c r="LB593" s="45"/>
      <c r="LN593" s="291"/>
    </row>
    <row r="594" spans="34:535" ht="10.75" customHeight="1">
      <c r="AH594" s="12"/>
      <c r="AI594" s="12"/>
      <c r="AQ594" s="13"/>
      <c r="AR594" s="42"/>
      <c r="AS594" s="43"/>
      <c r="AT594" s="43"/>
      <c r="AU594" s="12"/>
      <c r="BZ594" s="13"/>
      <c r="CB594" s="13"/>
      <c r="CV594" s="13"/>
      <c r="CX594" s="13"/>
      <c r="EX594" s="13"/>
      <c r="EY594" s="43"/>
      <c r="EZ594" s="43"/>
      <c r="FA594" s="45"/>
      <c r="GS594" s="12"/>
      <c r="HB594" s="13"/>
      <c r="HC594" s="42"/>
      <c r="HD594" s="43"/>
      <c r="HE594" s="43"/>
      <c r="HF594" s="9"/>
      <c r="HG594" s="11"/>
      <c r="HH594" s="10"/>
      <c r="HI594" s="10"/>
      <c r="HJ594" s="10"/>
      <c r="HK594" s="11"/>
      <c r="IG594" s="13"/>
      <c r="IH594" s="162"/>
      <c r="II594" s="161"/>
      <c r="IJ594" s="9"/>
      <c r="IK594" s="11"/>
      <c r="IL594" s="10"/>
      <c r="IM594" s="10"/>
      <c r="IN594" s="10"/>
      <c r="IO594" s="11"/>
      <c r="JB594" s="12"/>
      <c r="JC594" s="313"/>
      <c r="JI594" s="297"/>
      <c r="KY594" s="13"/>
      <c r="KZ594" s="43"/>
      <c r="LA594" s="43"/>
      <c r="LB594" s="45"/>
      <c r="LN594" s="291"/>
    </row>
    <row r="595" spans="34:535" ht="10.75" customHeight="1">
      <c r="AH595" s="12"/>
      <c r="AI595" s="12"/>
      <c r="AQ595" s="13"/>
      <c r="AR595" s="42"/>
      <c r="AS595" s="43"/>
      <c r="AT595" s="43"/>
      <c r="AU595" s="12"/>
      <c r="BZ595" s="13"/>
      <c r="CB595" s="13"/>
      <c r="CV595" s="13"/>
      <c r="CX595" s="13"/>
      <c r="EX595" s="13"/>
      <c r="EY595" s="43"/>
      <c r="EZ595" s="43"/>
      <c r="FA595" s="45"/>
      <c r="GS595" s="12"/>
      <c r="HB595" s="13"/>
      <c r="HC595" s="42"/>
      <c r="HD595" s="43"/>
      <c r="HE595" s="43"/>
      <c r="HF595" s="12"/>
      <c r="HG595" s="13"/>
      <c r="HK595" s="13"/>
      <c r="IG595" s="13"/>
      <c r="IH595" s="162"/>
      <c r="II595" s="161"/>
      <c r="IJ595" s="12"/>
      <c r="IK595" s="13"/>
      <c r="IO595" s="13"/>
      <c r="JB595" s="12"/>
      <c r="JC595" s="313"/>
      <c r="JI595" s="297"/>
      <c r="KY595" s="13"/>
      <c r="KZ595" s="43"/>
      <c r="LA595" s="43"/>
      <c r="LB595" s="45"/>
      <c r="LN595" s="291"/>
    </row>
    <row r="596" spans="34:535" ht="10.75" customHeight="1">
      <c r="AH596" s="12"/>
      <c r="AI596" s="12"/>
      <c r="AQ596" s="13"/>
      <c r="AR596" s="42"/>
      <c r="AS596" s="43"/>
      <c r="AT596" s="43"/>
      <c r="AU596" s="12"/>
      <c r="BZ596" s="13"/>
      <c r="CB596" s="13"/>
      <c r="CV596" s="13"/>
      <c r="CX596" s="13"/>
      <c r="EX596" s="13"/>
      <c r="EY596" s="43"/>
      <c r="EZ596" s="43"/>
      <c r="FA596" s="45"/>
      <c r="GS596" s="12"/>
      <c r="HB596" s="13"/>
      <c r="HC596" s="42"/>
      <c r="HD596" s="43"/>
      <c r="HE596" s="43"/>
      <c r="HF596" s="12"/>
      <c r="HG596" s="13"/>
      <c r="HK596" s="13"/>
      <c r="IG596" s="13"/>
      <c r="IH596" s="162"/>
      <c r="II596" s="161"/>
      <c r="IJ596" s="12"/>
      <c r="IK596" s="13"/>
      <c r="IO596" s="13"/>
      <c r="JB596" s="12"/>
      <c r="JC596" s="313"/>
      <c r="JI596" s="297"/>
      <c r="KY596" s="13"/>
      <c r="KZ596" s="43"/>
      <c r="LA596" s="43"/>
      <c r="LB596" s="45"/>
      <c r="LN596" s="291"/>
    </row>
    <row r="597" spans="34:535" ht="10.75" customHeight="1">
      <c r="AH597" s="12"/>
      <c r="AI597" s="12"/>
      <c r="AQ597" s="13"/>
      <c r="AR597" s="42"/>
      <c r="AS597" s="43"/>
      <c r="AT597" s="43"/>
      <c r="AU597" s="12"/>
      <c r="BZ597" s="13"/>
      <c r="CB597" s="13"/>
      <c r="CV597" s="13"/>
      <c r="CX597" s="13"/>
      <c r="EX597" s="13"/>
      <c r="EY597" s="43"/>
      <c r="EZ597" s="43"/>
      <c r="FA597" s="45"/>
      <c r="GS597" s="12"/>
      <c r="HB597" s="13"/>
      <c r="HC597" s="42"/>
      <c r="HD597" s="43"/>
      <c r="HE597" s="43"/>
      <c r="HF597" s="12"/>
      <c r="HG597" s="13"/>
      <c r="HK597" s="13"/>
      <c r="IG597" s="13"/>
      <c r="IH597" s="162"/>
      <c r="II597" s="161"/>
      <c r="IJ597" s="12"/>
      <c r="IK597" s="13"/>
      <c r="IO597" s="13"/>
      <c r="JB597" s="12"/>
      <c r="JC597" s="313"/>
      <c r="JI597" s="297"/>
      <c r="KY597" s="13"/>
      <c r="KZ597" s="43"/>
      <c r="LA597" s="43"/>
      <c r="LB597" s="45"/>
      <c r="LN597" s="291"/>
      <c r="QR597" s="10"/>
      <c r="QS597" s="10"/>
      <c r="QT597" s="10"/>
      <c r="QU597" s="10"/>
      <c r="QV597" s="10"/>
      <c r="QW597" s="10"/>
      <c r="QX597" s="10"/>
      <c r="QY597" s="10"/>
      <c r="QZ597" s="10"/>
      <c r="RA597" s="10"/>
      <c r="RB597" s="10"/>
      <c r="RC597" s="10"/>
      <c r="RD597" s="10"/>
      <c r="RE597" s="10"/>
      <c r="RF597" s="10"/>
      <c r="RG597" s="10"/>
      <c r="RH597" s="10"/>
      <c r="RI597" s="10"/>
      <c r="RJ597" s="10"/>
      <c r="RK597" s="10"/>
      <c r="RL597" s="10"/>
      <c r="RM597" s="10"/>
      <c r="RN597" s="10"/>
      <c r="RO597" s="10"/>
      <c r="RP597" s="10"/>
      <c r="RQ597" s="10"/>
      <c r="RR597" s="10"/>
      <c r="RS597" s="10"/>
      <c r="RT597" s="10"/>
      <c r="RU597" s="10"/>
      <c r="RV597" s="10"/>
      <c r="RW597" s="10"/>
      <c r="RX597" s="10"/>
      <c r="RY597" s="10"/>
      <c r="RZ597" s="10"/>
      <c r="SA597" s="10"/>
      <c r="SB597" s="10"/>
      <c r="SC597" s="10"/>
      <c r="SD597" s="10"/>
      <c r="SE597" s="10"/>
      <c r="SF597" s="10"/>
      <c r="SG597" s="10"/>
      <c r="SH597" s="10"/>
      <c r="SI597" s="10"/>
      <c r="SJ597" s="10"/>
      <c r="SK597" s="10"/>
      <c r="SL597" s="10"/>
      <c r="SM597" s="10"/>
      <c r="SN597" s="10"/>
      <c r="SO597" s="10"/>
      <c r="SP597" s="10"/>
      <c r="SQ597" s="10"/>
      <c r="SR597" s="10"/>
      <c r="SS597" s="10"/>
      <c r="ST597" s="10"/>
      <c r="SU597" s="10"/>
      <c r="SV597" s="10"/>
      <c r="SW597" s="10"/>
      <c r="SX597" s="10"/>
      <c r="SY597" s="10"/>
      <c r="SZ597" s="10"/>
      <c r="TA597" s="10"/>
      <c r="TB597" s="10"/>
      <c r="TC597" s="10"/>
      <c r="TD597" s="10"/>
      <c r="TE597" s="10"/>
      <c r="TF597" s="10"/>
      <c r="TG597" s="10"/>
      <c r="TH597" s="10"/>
      <c r="TI597" s="10"/>
      <c r="TJ597" s="10"/>
      <c r="TK597" s="10"/>
      <c r="TL597" s="10"/>
      <c r="TM597" s="10"/>
      <c r="TN597" s="10"/>
      <c r="TO597" s="11"/>
    </row>
    <row r="598" spans="34:535" ht="10.75" customHeight="1">
      <c r="AH598" s="12"/>
      <c r="AI598" s="12"/>
      <c r="AQ598" s="13"/>
      <c r="AR598" s="42"/>
      <c r="AS598" s="43"/>
      <c r="AT598" s="43"/>
      <c r="AU598" s="12"/>
      <c r="BZ598" s="13"/>
      <c r="CB598" s="13"/>
      <c r="CV598" s="13"/>
      <c r="CX598" s="13"/>
      <c r="EX598" s="13"/>
      <c r="EY598" s="43"/>
      <c r="EZ598" s="43"/>
      <c r="FA598" s="45"/>
      <c r="GS598" s="12"/>
      <c r="HB598" s="13"/>
      <c r="HC598" s="42"/>
      <c r="HD598" s="43"/>
      <c r="HE598" s="43"/>
      <c r="HF598" s="12"/>
      <c r="HG598" s="13"/>
      <c r="HK598" s="13"/>
      <c r="IG598" s="13"/>
      <c r="IH598" s="162"/>
      <c r="II598" s="161"/>
      <c r="IJ598" s="12"/>
      <c r="IK598" s="13"/>
      <c r="IO598" s="13"/>
      <c r="JB598" s="12"/>
      <c r="JC598" s="313"/>
      <c r="JI598" s="297"/>
      <c r="KY598" s="13"/>
      <c r="KZ598" s="43"/>
      <c r="LA598" s="43"/>
      <c r="LB598" s="45"/>
      <c r="LN598" s="291"/>
      <c r="TO598" s="13"/>
    </row>
    <row r="599" spans="34:535" ht="10.75" customHeight="1">
      <c r="AH599" s="12"/>
      <c r="AI599" s="12"/>
      <c r="AQ599" s="13"/>
      <c r="AR599" s="42"/>
      <c r="AS599" s="43"/>
      <c r="AT599" s="43"/>
      <c r="AU599" s="12"/>
      <c r="BZ599" s="13"/>
      <c r="CB599" s="13"/>
      <c r="CV599" s="13"/>
      <c r="CX599" s="13"/>
      <c r="EX599" s="13"/>
      <c r="EY599" s="43"/>
      <c r="EZ599" s="43"/>
      <c r="FA599" s="45"/>
      <c r="GS599" s="12"/>
      <c r="HB599" s="13"/>
      <c r="HC599" s="42"/>
      <c r="HD599" s="43"/>
      <c r="HE599" s="43"/>
      <c r="HF599" s="12"/>
      <c r="HG599" s="13"/>
      <c r="HK599" s="13"/>
      <c r="IG599" s="13"/>
      <c r="IH599" s="162"/>
      <c r="II599" s="161"/>
      <c r="IJ599" s="12"/>
      <c r="IK599" s="13"/>
      <c r="IO599" s="13"/>
      <c r="JB599" s="12"/>
      <c r="JC599" s="313"/>
      <c r="JI599" s="297"/>
      <c r="KY599" s="13"/>
      <c r="KZ599" s="43"/>
      <c r="LA599" s="43"/>
      <c r="LB599" s="45"/>
      <c r="LN599" s="291"/>
      <c r="TO599" s="13"/>
    </row>
    <row r="600" spans="34:535" ht="10.75" customHeight="1">
      <c r="AH600" s="12"/>
      <c r="AI600" s="12"/>
      <c r="AQ600" s="13"/>
      <c r="AR600" s="42"/>
      <c r="AS600" s="43"/>
      <c r="AT600" s="43"/>
      <c r="AU600" s="12"/>
      <c r="BZ600" s="13"/>
      <c r="CB600" s="13"/>
      <c r="CV600" s="13"/>
      <c r="CX600" s="13"/>
      <c r="EX600" s="13"/>
      <c r="EY600" s="43"/>
      <c r="EZ600" s="43"/>
      <c r="FA600" s="45"/>
      <c r="GS600" s="12"/>
      <c r="HB600" s="13"/>
      <c r="HC600" s="42"/>
      <c r="HD600" s="43"/>
      <c r="HE600" s="43"/>
      <c r="HF600" s="14"/>
      <c r="HG600" s="16"/>
      <c r="HH600" s="15"/>
      <c r="HI600" s="15"/>
      <c r="HJ600" s="15"/>
      <c r="HK600" s="16"/>
      <c r="IG600" s="13"/>
      <c r="IH600" s="162"/>
      <c r="II600" s="161"/>
      <c r="IJ600" s="14"/>
      <c r="IK600" s="16"/>
      <c r="IL600" s="15"/>
      <c r="IM600" s="15"/>
      <c r="IN600" s="15"/>
      <c r="IO600" s="16"/>
      <c r="JB600" s="12"/>
      <c r="JC600" s="313"/>
      <c r="JI600" s="297"/>
      <c r="KY600" s="13"/>
      <c r="KZ600" s="43"/>
      <c r="LA600" s="43"/>
      <c r="LB600" s="45"/>
      <c r="LN600" s="291"/>
      <c r="TO600" s="13"/>
    </row>
    <row r="601" spans="34:535" ht="10.75" customHeight="1">
      <c r="AH601" s="12"/>
      <c r="AI601" s="12"/>
      <c r="AQ601" s="13"/>
      <c r="AR601" s="42"/>
      <c r="AS601" s="43"/>
      <c r="AT601" s="43"/>
      <c r="AU601" s="12"/>
      <c r="BZ601" s="13"/>
      <c r="CB601" s="13"/>
      <c r="CV601" s="13"/>
      <c r="CX601" s="13"/>
      <c r="EX601" s="13"/>
      <c r="EY601" s="43"/>
      <c r="EZ601" s="43"/>
      <c r="FA601" s="45"/>
      <c r="GS601" s="12"/>
      <c r="HB601" s="13"/>
      <c r="HC601" s="42"/>
      <c r="HD601" s="43"/>
      <c r="HE601" s="43"/>
      <c r="HF601" s="12"/>
      <c r="IG601" s="13"/>
      <c r="IH601" s="162"/>
      <c r="II601" s="161"/>
      <c r="JB601" s="12"/>
      <c r="JC601" s="313"/>
      <c r="JI601" s="297"/>
      <c r="KY601" s="13"/>
      <c r="KZ601" s="43"/>
      <c r="LA601" s="43"/>
      <c r="LB601" s="45"/>
      <c r="LN601" s="291"/>
      <c r="TO601" s="13"/>
    </row>
    <row r="602" spans="34:535" ht="10.75" customHeight="1">
      <c r="AH602" s="12"/>
      <c r="AI602" s="12"/>
      <c r="AQ602" s="13"/>
      <c r="AR602" s="42"/>
      <c r="AS602" s="43"/>
      <c r="AT602" s="43"/>
      <c r="AU602" s="12"/>
      <c r="BZ602" s="13"/>
      <c r="CB602" s="13"/>
      <c r="CV602" s="13"/>
      <c r="CX602" s="13"/>
      <c r="EX602" s="13"/>
      <c r="EY602" s="43"/>
      <c r="EZ602" s="43"/>
      <c r="FA602" s="45"/>
      <c r="GS602" s="12"/>
      <c r="HB602" s="13"/>
      <c r="HC602" s="42"/>
      <c r="HD602" s="43"/>
      <c r="HE602" s="43"/>
      <c r="HF602" s="12"/>
      <c r="IG602" s="13"/>
      <c r="IH602" s="162"/>
      <c r="II602" s="161"/>
      <c r="JB602" s="12"/>
      <c r="JC602" s="13"/>
      <c r="JI602" s="297"/>
      <c r="KY602" s="13"/>
      <c r="KZ602" s="43"/>
      <c r="LA602" s="43"/>
      <c r="LB602" s="45"/>
      <c r="LN602" s="291"/>
      <c r="QR602" s="15"/>
      <c r="QS602" s="15"/>
      <c r="QT602" s="15"/>
      <c r="QU602" s="15"/>
      <c r="QV602" s="15"/>
      <c r="QW602" s="15"/>
      <c r="QX602" s="15"/>
      <c r="QY602" s="15"/>
      <c r="QZ602" s="15"/>
      <c r="RA602" s="15"/>
      <c r="RB602" s="15"/>
      <c r="RC602" s="15"/>
      <c r="RD602" s="15"/>
      <c r="RE602" s="15"/>
      <c r="RF602" s="15"/>
      <c r="RG602" s="15"/>
      <c r="RH602" s="15"/>
      <c r="RI602" s="15"/>
      <c r="RJ602" s="15"/>
      <c r="RK602" s="15"/>
      <c r="RL602" s="15"/>
      <c r="RM602" s="15"/>
      <c r="RN602" s="15"/>
      <c r="RO602" s="15"/>
      <c r="RP602" s="15"/>
      <c r="RQ602" s="15"/>
      <c r="RR602" s="15"/>
      <c r="RS602" s="15"/>
      <c r="RT602" s="15"/>
      <c r="RU602" s="15"/>
      <c r="RV602" s="15"/>
      <c r="RW602" s="15"/>
      <c r="RX602" s="15"/>
      <c r="RY602" s="15"/>
      <c r="RZ602" s="15"/>
      <c r="SA602" s="15"/>
      <c r="SB602" s="15"/>
      <c r="SC602" s="15"/>
      <c r="SD602" s="15"/>
      <c r="SE602" s="15"/>
      <c r="SF602" s="15"/>
      <c r="SG602" s="15"/>
      <c r="SH602" s="15"/>
      <c r="SI602" s="15"/>
      <c r="SJ602" s="15"/>
      <c r="SK602" s="15"/>
      <c r="SL602" s="15"/>
      <c r="SM602" s="15"/>
      <c r="SN602" s="15"/>
      <c r="SO602" s="15"/>
      <c r="SP602" s="15"/>
      <c r="SQ602" s="15"/>
      <c r="SR602" s="15"/>
      <c r="SS602" s="15"/>
      <c r="ST602" s="15"/>
      <c r="SU602" s="15"/>
      <c r="SV602" s="15"/>
      <c r="SW602" s="15"/>
      <c r="SX602" s="15"/>
      <c r="SY602" s="15"/>
      <c r="SZ602" s="15"/>
      <c r="TA602" s="15"/>
      <c r="TB602" s="15"/>
      <c r="TC602" s="15"/>
      <c r="TD602" s="15"/>
      <c r="TE602" s="15"/>
      <c r="TF602" s="15"/>
      <c r="TG602" s="15"/>
      <c r="TH602" s="15"/>
      <c r="TI602" s="15"/>
      <c r="TJ602" s="15"/>
      <c r="TK602" s="15"/>
      <c r="TL602" s="15"/>
      <c r="TM602" s="15"/>
      <c r="TN602" s="15"/>
      <c r="TO602" s="16"/>
    </row>
    <row r="603" spans="34:535" ht="10.75" customHeight="1">
      <c r="AH603" s="14"/>
      <c r="AI603" s="14"/>
      <c r="AJ603" s="15"/>
      <c r="AK603" s="15"/>
      <c r="AL603" s="15"/>
      <c r="AM603" s="15"/>
      <c r="AN603" s="15"/>
      <c r="AO603" s="15"/>
      <c r="AP603" s="15"/>
      <c r="AQ603" s="16"/>
      <c r="AR603" s="42"/>
      <c r="AS603" s="43"/>
      <c r="AT603" s="43"/>
      <c r="AU603" s="14"/>
      <c r="AV603" s="15"/>
      <c r="AW603" s="15"/>
      <c r="AX603" s="15"/>
      <c r="AY603" s="15"/>
      <c r="AZ603" s="15"/>
      <c r="BA603" s="15"/>
      <c r="BB603" s="15"/>
      <c r="BC603" s="15"/>
      <c r="BD603" s="15"/>
      <c r="BE603" s="15"/>
      <c r="BF603" s="15"/>
      <c r="BG603" s="15"/>
      <c r="BH603" s="15"/>
      <c r="BI603" s="15"/>
      <c r="BJ603" s="15"/>
      <c r="BK603" s="15"/>
      <c r="BL603" s="15"/>
      <c r="BM603" s="15"/>
      <c r="BN603" s="15"/>
      <c r="BO603" s="15"/>
      <c r="BP603" s="15"/>
      <c r="BQ603" s="15"/>
      <c r="BR603" s="15"/>
      <c r="BS603" s="15"/>
      <c r="BT603" s="15"/>
      <c r="BU603" s="15"/>
      <c r="BV603" s="15"/>
      <c r="BW603" s="15"/>
      <c r="BX603" s="15"/>
      <c r="BY603" s="15"/>
      <c r="BZ603" s="16"/>
      <c r="CA603" s="15"/>
      <c r="CB603" s="16"/>
      <c r="CC603" s="15"/>
      <c r="CD603" s="15"/>
      <c r="CE603" s="15"/>
      <c r="CF603" s="15"/>
      <c r="CG603" s="15"/>
      <c r="CH603" s="15"/>
      <c r="CI603" s="15"/>
      <c r="CJ603" s="15"/>
      <c r="CK603" s="15"/>
      <c r="CL603" s="15"/>
      <c r="CM603" s="15"/>
      <c r="CN603" s="15"/>
      <c r="CO603" s="15"/>
      <c r="CP603" s="15"/>
      <c r="CQ603" s="15"/>
      <c r="CR603" s="15"/>
      <c r="CS603" s="15"/>
      <c r="CT603" s="15"/>
      <c r="CU603" s="15"/>
      <c r="CV603" s="16"/>
      <c r="CX603" s="13"/>
      <c r="EX603" s="13"/>
      <c r="EY603" s="43"/>
      <c r="EZ603" s="43"/>
      <c r="FA603" s="45"/>
      <c r="GJ603" s="294"/>
      <c r="GK603" s="294"/>
      <c r="GS603" s="12"/>
      <c r="HB603" s="13"/>
      <c r="HC603" s="42"/>
      <c r="HD603" s="43"/>
      <c r="HE603" s="43"/>
      <c r="HF603" s="14"/>
      <c r="HG603" s="15"/>
      <c r="HH603" s="15"/>
      <c r="HI603" s="15"/>
      <c r="HJ603" s="15"/>
      <c r="HK603" s="15"/>
      <c r="HL603" s="15"/>
      <c r="HM603" s="15"/>
      <c r="HN603" s="15"/>
      <c r="HO603" s="15"/>
      <c r="HP603" s="15"/>
      <c r="HQ603" s="15"/>
      <c r="HR603" s="15"/>
      <c r="HS603" s="15"/>
      <c r="HT603" s="15"/>
      <c r="HU603" s="15"/>
      <c r="HV603" s="15"/>
      <c r="HW603" s="15"/>
      <c r="HX603" s="15"/>
      <c r="HY603" s="15"/>
      <c r="HZ603" s="15"/>
      <c r="IA603" s="15"/>
      <c r="IB603" s="15"/>
      <c r="IC603" s="15"/>
      <c r="ID603" s="15"/>
      <c r="IE603" s="15"/>
      <c r="IF603" s="15"/>
      <c r="IG603" s="16"/>
      <c r="IH603" s="162"/>
      <c r="II603" s="161"/>
      <c r="IJ603" s="15"/>
      <c r="IK603" s="15"/>
      <c r="IL603" s="15"/>
      <c r="IM603" s="15"/>
      <c r="IN603" s="15"/>
      <c r="IO603" s="15"/>
      <c r="IP603" s="15"/>
      <c r="IQ603" s="15"/>
      <c r="IR603" s="15"/>
      <c r="IS603" s="15"/>
      <c r="IT603" s="15"/>
      <c r="IU603" s="15"/>
      <c r="IV603" s="15"/>
      <c r="IW603" s="15"/>
      <c r="IX603" s="15"/>
      <c r="IY603" s="15"/>
      <c r="IZ603" s="15"/>
      <c r="JA603" s="15"/>
      <c r="JB603" s="12"/>
      <c r="JC603" s="13"/>
      <c r="JI603" s="299"/>
      <c r="JJ603" s="294"/>
      <c r="KY603" s="13"/>
      <c r="KZ603" s="43"/>
      <c r="LA603" s="43"/>
      <c r="LB603" s="45"/>
      <c r="LN603" s="291"/>
      <c r="QR603" s="10"/>
      <c r="QS603" s="10"/>
      <c r="QT603" s="10"/>
      <c r="QU603" s="10"/>
      <c r="QV603" s="10"/>
      <c r="QW603" s="10"/>
      <c r="QX603" s="10"/>
      <c r="QY603" s="10"/>
      <c r="QZ603" s="10"/>
      <c r="RA603" s="10"/>
      <c r="RB603" s="10"/>
      <c r="RC603" s="10"/>
      <c r="RD603" s="10"/>
      <c r="RE603" s="10"/>
      <c r="RF603" s="10"/>
      <c r="RG603" s="10"/>
      <c r="RH603" s="10"/>
      <c r="RI603" s="10"/>
      <c r="RJ603" s="10"/>
      <c r="RK603" s="10"/>
      <c r="RL603" s="10"/>
      <c r="RM603" s="10"/>
      <c r="RN603" s="10"/>
      <c r="RO603" s="10"/>
      <c r="RP603" s="10"/>
      <c r="RQ603" s="10"/>
      <c r="RR603" s="10"/>
      <c r="RS603" s="10"/>
      <c r="RT603" s="10"/>
      <c r="RU603" s="10"/>
      <c r="RV603" s="10"/>
      <c r="RW603" s="10"/>
      <c r="RX603" s="10"/>
      <c r="RY603" s="10"/>
      <c r="RZ603" s="10"/>
      <c r="SA603" s="10"/>
      <c r="SB603" s="10"/>
      <c r="SC603" s="10"/>
      <c r="SD603" s="10"/>
      <c r="SE603" s="10"/>
      <c r="SF603" s="10"/>
      <c r="SG603" s="10"/>
      <c r="SH603" s="10"/>
      <c r="SI603" s="10"/>
      <c r="SJ603" s="10"/>
      <c r="SK603" s="10"/>
      <c r="SL603" s="10"/>
      <c r="SM603" s="10"/>
      <c r="SN603" s="10"/>
      <c r="SO603" s="10"/>
      <c r="SP603" s="10"/>
      <c r="SQ603" s="10"/>
      <c r="SR603" s="10"/>
      <c r="SS603" s="10"/>
      <c r="ST603" s="10"/>
      <c r="SU603" s="10"/>
      <c r="SV603" s="10"/>
      <c r="SW603" s="11"/>
    </row>
    <row r="604" spans="34:535" ht="10.75" customHeight="1">
      <c r="AH604" s="9"/>
      <c r="AI604" s="9"/>
      <c r="AJ604" s="10"/>
      <c r="AK604" s="10"/>
      <c r="AL604" s="10"/>
      <c r="AM604" s="10"/>
      <c r="AN604" s="10"/>
      <c r="AO604" s="10"/>
      <c r="AP604" s="10"/>
      <c r="AQ604" s="11"/>
      <c r="AR604" s="42"/>
      <c r="AS604" s="43"/>
      <c r="AT604" s="43"/>
      <c r="AU604" s="12"/>
      <c r="CV604" s="13"/>
      <c r="CX604" s="13"/>
      <c r="EX604" s="13"/>
      <c r="EY604" s="43"/>
      <c r="EZ604" s="43"/>
      <c r="FA604" s="45"/>
      <c r="GK604" s="291"/>
      <c r="GS604" s="9"/>
      <c r="GT604" s="10"/>
      <c r="GU604" s="10"/>
      <c r="GV604" s="10"/>
      <c r="GW604" s="10"/>
      <c r="GX604" s="10"/>
      <c r="GY604" s="10"/>
      <c r="GZ604" s="10"/>
      <c r="HA604" s="10"/>
      <c r="HB604" s="11"/>
      <c r="HC604" s="42"/>
      <c r="HD604" s="43"/>
      <c r="HE604" s="43"/>
      <c r="HF604" s="160"/>
      <c r="HG604" s="162"/>
      <c r="HH604" s="162"/>
      <c r="HI604" s="162"/>
      <c r="HJ604" s="162"/>
      <c r="HK604" s="162"/>
      <c r="HL604" s="162"/>
      <c r="HM604" s="162"/>
      <c r="HN604" s="162"/>
      <c r="HO604" s="162"/>
      <c r="HP604" s="162"/>
      <c r="HQ604" s="162"/>
      <c r="HR604" s="162"/>
      <c r="HS604" s="162"/>
      <c r="HT604" s="162"/>
      <c r="HU604" s="162"/>
      <c r="HV604" s="162"/>
      <c r="HW604" s="162"/>
      <c r="HX604" s="162"/>
      <c r="HY604" s="162"/>
      <c r="HZ604" s="162"/>
      <c r="IA604" s="162"/>
      <c r="IB604" s="162"/>
      <c r="IC604" s="162"/>
      <c r="ID604" s="162"/>
      <c r="IE604" s="162"/>
      <c r="IF604" s="162"/>
      <c r="IG604" s="162"/>
      <c r="IH604" s="162"/>
      <c r="II604" s="162"/>
      <c r="IJ604" s="162"/>
      <c r="IK604" s="162"/>
      <c r="IL604" s="162"/>
      <c r="IM604" s="162"/>
      <c r="IN604" s="162"/>
      <c r="IO604" s="162"/>
      <c r="IP604" s="162"/>
      <c r="IQ604" s="162"/>
      <c r="IR604" s="162"/>
      <c r="IS604" s="162"/>
      <c r="IT604" s="162"/>
      <c r="IU604" s="162"/>
      <c r="IV604" s="162"/>
      <c r="IW604" s="162"/>
      <c r="IX604" s="162"/>
      <c r="IY604" s="162"/>
      <c r="IZ604" s="162"/>
      <c r="JA604" s="158"/>
      <c r="JB604" s="158"/>
      <c r="JC604" s="159"/>
      <c r="KY604" s="13"/>
      <c r="KZ604" s="43"/>
      <c r="LA604" s="43"/>
      <c r="LB604" s="45"/>
      <c r="LN604" s="291"/>
      <c r="SW604" s="13"/>
    </row>
    <row r="605" spans="34:535" ht="10.75" customHeight="1">
      <c r="AH605" s="12"/>
      <c r="AI605" s="12"/>
      <c r="AQ605" s="13"/>
      <c r="AR605" s="42"/>
      <c r="AS605" s="43"/>
      <c r="AT605" s="43"/>
      <c r="AU605" s="12"/>
      <c r="AV605" s="119"/>
      <c r="AW605" s="119"/>
      <c r="AX605" s="119"/>
      <c r="AY605" s="119"/>
      <c r="AZ605" s="119"/>
      <c r="BA605" s="119"/>
      <c r="BB605" s="119"/>
      <c r="BC605" s="119"/>
      <c r="CV605" s="13"/>
      <c r="CX605" s="13"/>
      <c r="EX605" s="13"/>
      <c r="EY605" s="43"/>
      <c r="EZ605" s="43"/>
      <c r="FA605" s="45"/>
      <c r="GK605" s="291"/>
      <c r="GS605" s="12"/>
      <c r="HB605" s="13"/>
      <c r="HC605" s="42"/>
      <c r="HD605" s="43"/>
      <c r="HE605" s="43"/>
      <c r="HF605" s="160"/>
      <c r="HG605" s="162"/>
      <c r="HH605" s="162"/>
      <c r="HI605" s="162"/>
      <c r="HJ605" s="162"/>
      <c r="HK605" s="162"/>
      <c r="HL605" s="162"/>
      <c r="HM605" s="162"/>
      <c r="HN605" s="314"/>
      <c r="HO605" s="314"/>
      <c r="HP605" s="314"/>
      <c r="HQ605" s="314"/>
      <c r="HR605" s="314"/>
      <c r="HS605" s="314"/>
      <c r="HT605" s="314"/>
      <c r="HU605" s="314"/>
      <c r="HV605" s="314"/>
      <c r="HW605" s="162"/>
      <c r="HX605" s="162"/>
      <c r="HY605" s="162"/>
      <c r="HZ605" s="162"/>
      <c r="IA605" s="162"/>
      <c r="IB605" s="162"/>
      <c r="IC605" s="162"/>
      <c r="ID605" s="162"/>
      <c r="IE605" s="162"/>
      <c r="IF605" s="162"/>
      <c r="IG605" s="162"/>
      <c r="IH605" s="162"/>
      <c r="II605" s="162"/>
      <c r="IJ605" s="162"/>
      <c r="IK605" s="162"/>
      <c r="IL605" s="162"/>
      <c r="IM605" s="162"/>
      <c r="IN605" s="162"/>
      <c r="IO605" s="162"/>
      <c r="IP605" s="162"/>
      <c r="IQ605" s="162"/>
      <c r="IR605" s="162"/>
      <c r="IS605" s="162"/>
      <c r="IT605" s="162"/>
      <c r="IU605" s="162"/>
      <c r="IV605" s="162"/>
      <c r="IW605" s="162"/>
      <c r="IX605" s="162"/>
      <c r="IY605" s="162"/>
      <c r="IZ605" s="162"/>
      <c r="JA605" s="163"/>
      <c r="JB605" s="162"/>
      <c r="JC605" s="161"/>
      <c r="JI605" s="294"/>
      <c r="JJ605" s="294"/>
      <c r="KY605" s="13"/>
      <c r="KZ605" s="43"/>
      <c r="LA605" s="43"/>
      <c r="LB605" s="45"/>
      <c r="LN605" s="291"/>
      <c r="SW605" s="13"/>
    </row>
    <row r="606" spans="34:535" ht="10.75" customHeight="1">
      <c r="AH606" s="12"/>
      <c r="AI606" s="12"/>
      <c r="AQ606" s="13"/>
      <c r="AR606" s="42"/>
      <c r="AS606" s="43"/>
      <c r="AT606" s="43"/>
      <c r="AU606" s="9"/>
      <c r="AV606" s="10"/>
      <c r="AW606" s="10"/>
      <c r="AX606" s="10"/>
      <c r="AY606" s="10"/>
      <c r="AZ606" s="10"/>
      <c r="BA606" s="10"/>
      <c r="BB606" s="10"/>
      <c r="BC606" s="10"/>
      <c r="BD606" s="10"/>
      <c r="BE606" s="10"/>
      <c r="BF606" s="10"/>
      <c r="BG606" s="10"/>
      <c r="BH606" s="10"/>
      <c r="BI606" s="10"/>
      <c r="BJ606" s="10"/>
      <c r="BK606" s="10"/>
      <c r="BL606" s="10"/>
      <c r="BM606" s="10"/>
      <c r="BN606" s="10"/>
      <c r="BO606" s="10"/>
      <c r="BP606" s="10"/>
      <c r="BQ606" s="10"/>
      <c r="BR606" s="10"/>
      <c r="BS606" s="10"/>
      <c r="BT606" s="10"/>
      <c r="BU606" s="10"/>
      <c r="BV606" s="10"/>
      <c r="BW606" s="10"/>
      <c r="BX606" s="10"/>
      <c r="BY606" s="10"/>
      <c r="BZ606" s="10"/>
      <c r="CA606" s="10"/>
      <c r="CB606" s="10"/>
      <c r="CC606" s="10"/>
      <c r="CD606" s="10"/>
      <c r="CE606" s="10"/>
      <c r="CF606" s="10"/>
      <c r="CG606" s="10"/>
      <c r="CH606" s="10"/>
      <c r="CI606" s="10"/>
      <c r="CJ606" s="10"/>
      <c r="CK606" s="10"/>
      <c r="CL606" s="10"/>
      <c r="CM606" s="10"/>
      <c r="CN606" s="10"/>
      <c r="CO606" s="10"/>
      <c r="CP606" s="10"/>
      <c r="CQ606" s="10"/>
      <c r="CR606" s="10"/>
      <c r="CS606" s="10"/>
      <c r="CT606" s="10"/>
      <c r="CU606" s="10"/>
      <c r="CV606" s="11"/>
      <c r="CX606" s="13"/>
      <c r="EX606" s="13"/>
      <c r="EY606" s="43"/>
      <c r="EZ606" s="43"/>
      <c r="FA606" s="45"/>
      <c r="GK606" s="291"/>
      <c r="GS606" s="12"/>
      <c r="HB606" s="13"/>
      <c r="HC606" s="42"/>
      <c r="HD606" s="43"/>
      <c r="HE606" s="43"/>
      <c r="HF606" s="9"/>
      <c r="HG606" s="10"/>
      <c r="HH606" s="10"/>
      <c r="HI606" s="10"/>
      <c r="HJ606" s="10"/>
      <c r="HK606" s="10"/>
      <c r="HL606" s="10"/>
      <c r="HM606" s="10"/>
      <c r="HN606" s="10"/>
      <c r="HO606" s="10"/>
      <c r="HP606" s="10"/>
      <c r="HQ606" s="10"/>
      <c r="HR606" s="10"/>
      <c r="HS606" s="10"/>
      <c r="HT606" s="10"/>
      <c r="HU606" s="10"/>
      <c r="HV606" s="10"/>
      <c r="HW606" s="10"/>
      <c r="HX606" s="10"/>
      <c r="HY606" s="10"/>
      <c r="HZ606" s="10"/>
      <c r="IA606" s="10"/>
      <c r="IB606" s="10"/>
      <c r="IC606" s="10"/>
      <c r="ID606" s="10"/>
      <c r="IE606" s="10"/>
      <c r="IF606" s="10"/>
      <c r="IG606" s="10"/>
      <c r="IH606" s="10"/>
      <c r="II606" s="10"/>
      <c r="IJ606" s="10"/>
      <c r="IK606" s="10"/>
      <c r="IL606" s="10"/>
      <c r="IM606" s="10"/>
      <c r="IN606" s="10"/>
      <c r="IO606" s="10"/>
      <c r="IP606" s="10"/>
      <c r="IQ606" s="10"/>
      <c r="IR606" s="10"/>
      <c r="IS606" s="10"/>
      <c r="IT606" s="10"/>
      <c r="IU606" s="10"/>
      <c r="IV606" s="10"/>
      <c r="IW606" s="10"/>
      <c r="IX606" s="10"/>
      <c r="IY606" s="10"/>
      <c r="IZ606" s="10"/>
      <c r="JA606" s="10"/>
      <c r="JB606" s="160"/>
      <c r="JC606" s="161"/>
      <c r="JJ606" s="291"/>
      <c r="KY606" s="13"/>
      <c r="KZ606" s="43"/>
      <c r="LA606" s="43"/>
      <c r="LB606" s="45"/>
      <c r="LN606" s="291"/>
      <c r="SW606" s="13"/>
    </row>
    <row r="607" spans="34:535" ht="10.75" customHeight="1">
      <c r="AH607" s="12"/>
      <c r="AI607" s="12"/>
      <c r="AQ607" s="13"/>
      <c r="AR607" s="42"/>
      <c r="AS607" s="43"/>
      <c r="AT607" s="43"/>
      <c r="AU607" s="12"/>
      <c r="CV607" s="13"/>
      <c r="CX607" s="13"/>
      <c r="EX607" s="13"/>
      <c r="EY607" s="43"/>
      <c r="EZ607" s="43"/>
      <c r="FA607" s="45"/>
      <c r="GK607" s="291"/>
      <c r="GS607" s="12"/>
      <c r="HB607" s="13"/>
      <c r="HC607" s="42"/>
      <c r="HD607" s="43"/>
      <c r="HE607" s="43"/>
      <c r="HF607" s="12"/>
      <c r="JB607" s="160"/>
      <c r="JC607" s="161"/>
      <c r="JJ607" s="291"/>
      <c r="KY607" s="13"/>
      <c r="KZ607" s="43"/>
      <c r="LA607" s="43"/>
      <c r="LB607" s="45"/>
      <c r="LN607" s="291"/>
      <c r="SW607" s="13"/>
    </row>
    <row r="608" spans="34:535" ht="10.75" customHeight="1">
      <c r="AH608" s="12"/>
      <c r="AI608" s="12"/>
      <c r="AQ608" s="13"/>
      <c r="AR608" s="42"/>
      <c r="AS608" s="43"/>
      <c r="AT608" s="43"/>
      <c r="AU608" s="12"/>
      <c r="CV608" s="13"/>
      <c r="CX608" s="13"/>
      <c r="EX608" s="13"/>
      <c r="EY608" s="43"/>
      <c r="EZ608" s="43"/>
      <c r="FA608" s="45"/>
      <c r="GK608" s="291"/>
      <c r="GS608" s="9"/>
      <c r="GT608" s="10"/>
      <c r="GU608" s="10"/>
      <c r="GV608" s="10"/>
      <c r="GW608" s="10"/>
      <c r="GX608" s="10"/>
      <c r="GY608" s="10"/>
      <c r="GZ608" s="10"/>
      <c r="HA608" s="10"/>
      <c r="HB608" s="11"/>
      <c r="HC608" s="42"/>
      <c r="HD608" s="43"/>
      <c r="HE608" s="43"/>
      <c r="HF608" s="12"/>
      <c r="JB608" s="160"/>
      <c r="JC608" s="313"/>
      <c r="JJ608" s="291"/>
      <c r="KY608" s="13"/>
      <c r="KZ608" s="43"/>
      <c r="LA608" s="43"/>
      <c r="LB608" s="45"/>
      <c r="LN608" s="291"/>
      <c r="SW608" s="13"/>
    </row>
    <row r="609" spans="34:517" ht="10.75" customHeight="1">
      <c r="AH609" s="12"/>
      <c r="AI609" s="12"/>
      <c r="AQ609" s="13"/>
      <c r="AR609" s="42"/>
      <c r="AS609" s="43"/>
      <c r="AT609" s="43"/>
      <c r="AU609" s="12"/>
      <c r="CV609" s="13"/>
      <c r="CX609" s="13"/>
      <c r="EX609" s="13"/>
      <c r="EY609" s="43"/>
      <c r="EZ609" s="43"/>
      <c r="FA609" s="45"/>
      <c r="GK609" s="291"/>
      <c r="GS609" s="12"/>
      <c r="HB609" s="13"/>
      <c r="HC609" s="42"/>
      <c r="HD609" s="43"/>
      <c r="HE609" s="43"/>
      <c r="HF609" s="12"/>
      <c r="JB609" s="160"/>
      <c r="JC609" s="313"/>
      <c r="JJ609" s="291"/>
      <c r="KY609" s="13"/>
      <c r="KZ609" s="43"/>
      <c r="LA609" s="43"/>
      <c r="LB609" s="45"/>
      <c r="LN609" s="291"/>
      <c r="SW609" s="13"/>
    </row>
    <row r="610" spans="34:517" ht="10.75" customHeight="1">
      <c r="AH610" s="12"/>
      <c r="AI610" s="12"/>
      <c r="AQ610" s="13"/>
      <c r="AR610" s="42"/>
      <c r="AS610" s="43"/>
      <c r="AT610" s="43"/>
      <c r="AU610" s="12"/>
      <c r="CV610" s="13"/>
      <c r="CX610" s="13"/>
      <c r="EX610" s="13"/>
      <c r="EY610" s="43"/>
      <c r="EZ610" s="43"/>
      <c r="FA610" s="45"/>
      <c r="GK610" s="291"/>
      <c r="GS610" s="12"/>
      <c r="HB610" s="13"/>
      <c r="HC610" s="42"/>
      <c r="HD610" s="43"/>
      <c r="HE610" s="43"/>
      <c r="HF610" s="295"/>
      <c r="HG610" s="294"/>
      <c r="HH610" s="294"/>
      <c r="HI610" s="294"/>
      <c r="HJ610" s="294"/>
      <c r="HK610" s="294"/>
      <c r="HL610" s="294"/>
      <c r="HM610" s="294"/>
      <c r="HN610" s="294"/>
      <c r="HO610" s="294"/>
      <c r="HP610" s="294"/>
      <c r="HQ610" s="294"/>
      <c r="HR610" s="294"/>
      <c r="HS610" s="294"/>
      <c r="HT610" s="294"/>
      <c r="HU610" s="294"/>
      <c r="HV610" s="294"/>
      <c r="HW610" s="294"/>
      <c r="HX610" s="294"/>
      <c r="HY610" s="294"/>
      <c r="HZ610" s="294"/>
      <c r="IA610" s="294"/>
      <c r="IB610" s="294"/>
      <c r="IC610" s="294"/>
      <c r="ID610" s="294"/>
      <c r="IE610" s="294"/>
      <c r="IF610" s="294"/>
      <c r="IG610" s="294"/>
      <c r="IH610" s="291"/>
      <c r="II610" s="297"/>
      <c r="IJ610" s="294"/>
      <c r="IK610" s="294"/>
      <c r="IL610" s="294"/>
      <c r="IM610" s="294"/>
      <c r="IN610" s="294"/>
      <c r="IO610" s="294"/>
      <c r="IP610" s="294"/>
      <c r="IQ610" s="294"/>
      <c r="IR610" s="294"/>
      <c r="IS610" s="294"/>
      <c r="IT610" s="294"/>
      <c r="IU610" s="294"/>
      <c r="IV610" s="294"/>
      <c r="IW610" s="294"/>
      <c r="IX610" s="294"/>
      <c r="IY610" s="294"/>
      <c r="IZ610" s="294"/>
      <c r="JA610" s="296"/>
      <c r="JB610" s="160"/>
      <c r="JC610" s="313"/>
      <c r="JJ610" s="291"/>
      <c r="KY610" s="13"/>
      <c r="KZ610" s="43"/>
      <c r="LA610" s="43"/>
      <c r="LB610" s="45"/>
      <c r="LN610" s="291"/>
      <c r="SW610" s="13"/>
    </row>
    <row r="611" spans="34:517" ht="10.75" customHeight="1">
      <c r="AH611" s="12"/>
      <c r="AI611" s="12"/>
      <c r="AQ611" s="13"/>
      <c r="AR611" s="42"/>
      <c r="AS611" s="43"/>
      <c r="AT611" s="43"/>
      <c r="AU611" s="12"/>
      <c r="CV611" s="13"/>
      <c r="CX611" s="13"/>
      <c r="EX611" s="13"/>
      <c r="EY611" s="43"/>
      <c r="EZ611" s="43"/>
      <c r="FA611" s="45"/>
      <c r="GK611" s="291"/>
      <c r="GS611" s="12"/>
      <c r="HB611" s="13"/>
      <c r="HC611" s="42"/>
      <c r="HD611" s="43"/>
      <c r="HE611" s="43"/>
      <c r="HF611" s="12"/>
      <c r="IH611" s="291"/>
      <c r="II611" s="297"/>
      <c r="JB611" s="160"/>
      <c r="JC611" s="313"/>
      <c r="JJ611" s="291"/>
      <c r="KY611" s="13"/>
      <c r="KZ611" s="43"/>
      <c r="LA611" s="43"/>
      <c r="LB611" s="45"/>
      <c r="LN611" s="291"/>
      <c r="SW611" s="13"/>
    </row>
    <row r="612" spans="34:517" ht="10.75" customHeight="1">
      <c r="AH612" s="12"/>
      <c r="AI612" s="12"/>
      <c r="AQ612" s="13"/>
      <c r="AR612" s="42"/>
      <c r="AS612" s="43"/>
      <c r="AT612" s="43"/>
      <c r="AU612" s="12"/>
      <c r="CV612" s="13"/>
      <c r="CX612" s="13"/>
      <c r="EX612" s="13"/>
      <c r="EY612" s="43"/>
      <c r="EZ612" s="43"/>
      <c r="FA612" s="45"/>
      <c r="GK612" s="291"/>
      <c r="GS612" s="9"/>
      <c r="GT612" s="10"/>
      <c r="GU612" s="10"/>
      <c r="GV612" s="10"/>
      <c r="GW612" s="10"/>
      <c r="GX612" s="10"/>
      <c r="GY612" s="10"/>
      <c r="GZ612" s="10"/>
      <c r="HA612" s="10"/>
      <c r="HB612" s="11"/>
      <c r="HC612" s="42"/>
      <c r="HD612" s="43"/>
      <c r="HE612" s="43"/>
      <c r="HF612" s="12"/>
      <c r="JB612" s="160"/>
      <c r="JC612" s="313"/>
      <c r="JJ612" s="291"/>
      <c r="KY612" s="13"/>
      <c r="KZ612" s="43"/>
      <c r="LA612" s="43"/>
      <c r="LB612" s="45"/>
      <c r="LN612" s="291"/>
      <c r="SW612" s="13"/>
    </row>
    <row r="613" spans="34:517" ht="10.75" customHeight="1">
      <c r="AH613" s="12"/>
      <c r="AI613" s="12"/>
      <c r="AQ613" s="13"/>
      <c r="AR613" s="42"/>
      <c r="AS613" s="43"/>
      <c r="AT613" s="43"/>
      <c r="AU613" s="12"/>
      <c r="CV613" s="13"/>
      <c r="CX613" s="13"/>
      <c r="EX613" s="13"/>
      <c r="EY613" s="43"/>
      <c r="EZ613" s="43"/>
      <c r="FA613" s="45"/>
      <c r="GK613" s="291"/>
      <c r="GS613" s="12"/>
      <c r="HB613" s="13"/>
      <c r="HC613" s="42"/>
      <c r="HD613" s="43"/>
      <c r="HE613" s="43"/>
      <c r="HF613" s="12"/>
      <c r="JB613" s="160"/>
      <c r="JC613" s="313"/>
      <c r="JJ613" s="291"/>
      <c r="KY613" s="13"/>
      <c r="KZ613" s="43"/>
      <c r="LA613" s="43"/>
      <c r="LB613" s="45"/>
      <c r="LN613" s="291"/>
      <c r="SW613" s="13"/>
    </row>
    <row r="614" spans="34:517" ht="10.75" customHeight="1">
      <c r="AH614" s="12"/>
      <c r="AI614" s="12"/>
      <c r="AQ614" s="13"/>
      <c r="AR614" s="42"/>
      <c r="AS614" s="43"/>
      <c r="AT614" s="43"/>
      <c r="AU614" s="12"/>
      <c r="CV614" s="13"/>
      <c r="CX614" s="13"/>
      <c r="EX614" s="13"/>
      <c r="EY614" s="43"/>
      <c r="EZ614" s="43"/>
      <c r="FA614" s="45"/>
      <c r="GK614" s="291"/>
      <c r="GS614" s="12"/>
      <c r="HB614" s="13"/>
      <c r="HC614" s="42"/>
      <c r="HD614" s="43"/>
      <c r="HE614" s="43"/>
      <c r="HF614" s="12"/>
      <c r="JB614" s="160"/>
      <c r="JC614" s="313"/>
      <c r="JJ614" s="291"/>
      <c r="KY614" s="13"/>
      <c r="KZ614" s="43"/>
      <c r="LA614" s="43"/>
      <c r="LB614" s="45"/>
      <c r="LN614" s="291"/>
      <c r="SW614" s="13"/>
    </row>
    <row r="615" spans="34:517" ht="10.75" customHeight="1">
      <c r="AH615" s="12"/>
      <c r="AI615" s="12"/>
      <c r="AQ615" s="13"/>
      <c r="AR615" s="42"/>
      <c r="AS615" s="43"/>
      <c r="AT615" s="43"/>
      <c r="AU615" s="12"/>
      <c r="CV615" s="13"/>
      <c r="CX615" s="13"/>
      <c r="EX615" s="13"/>
      <c r="EY615" s="43"/>
      <c r="EZ615" s="43"/>
      <c r="FA615" s="45"/>
      <c r="GK615" s="291"/>
      <c r="GS615" s="14"/>
      <c r="GT615" s="15"/>
      <c r="GU615" s="15"/>
      <c r="GV615" s="15"/>
      <c r="GW615" s="15"/>
      <c r="GX615" s="15"/>
      <c r="GY615" s="15"/>
      <c r="GZ615" s="15"/>
      <c r="HA615" s="15"/>
      <c r="HB615" s="16"/>
      <c r="HC615" s="42"/>
      <c r="HD615" s="43"/>
      <c r="HE615" s="43"/>
      <c r="HF615" s="12"/>
      <c r="JB615" s="160"/>
      <c r="JC615" s="313"/>
      <c r="JJ615" s="291"/>
      <c r="KY615" s="13"/>
      <c r="KZ615" s="43"/>
      <c r="LA615" s="43"/>
      <c r="LB615" s="45"/>
      <c r="LN615" s="291"/>
      <c r="SW615" s="13"/>
    </row>
    <row r="616" spans="34:517" ht="10.75" customHeight="1">
      <c r="AH616" s="12"/>
      <c r="AI616" s="12"/>
      <c r="AQ616" s="13"/>
      <c r="AR616" s="42"/>
      <c r="AS616" s="43"/>
      <c r="AT616" s="43"/>
      <c r="AU616" s="12"/>
      <c r="CV616" s="13"/>
      <c r="CX616" s="13"/>
      <c r="EX616" s="13"/>
      <c r="EY616" s="43"/>
      <c r="EZ616" s="43"/>
      <c r="FA616" s="45"/>
      <c r="GK616" s="291"/>
      <c r="GS616" s="12"/>
      <c r="HB616" s="13"/>
      <c r="HC616" s="42"/>
      <c r="HD616" s="43"/>
      <c r="HE616" s="43"/>
      <c r="HF616" s="12"/>
      <c r="JB616" s="160"/>
      <c r="JC616" s="313"/>
      <c r="JJ616" s="291"/>
      <c r="KY616" s="13"/>
      <c r="KZ616" s="43"/>
      <c r="LA616" s="43"/>
      <c r="LB616" s="45"/>
      <c r="LN616" s="291"/>
      <c r="SW616" s="13"/>
    </row>
    <row r="617" spans="34:517" ht="10.75" customHeight="1">
      <c r="AH617" s="12"/>
      <c r="AI617" s="12"/>
      <c r="AQ617" s="13"/>
      <c r="AR617" s="42"/>
      <c r="AS617" s="43"/>
      <c r="AT617" s="43"/>
      <c r="AU617" s="12"/>
      <c r="CV617" s="13"/>
      <c r="CX617" s="13"/>
      <c r="EX617" s="13"/>
      <c r="EY617" s="43"/>
      <c r="EZ617" s="43"/>
      <c r="FA617" s="45"/>
      <c r="GK617" s="291"/>
      <c r="GS617" s="12"/>
      <c r="HB617" s="13"/>
      <c r="HC617" s="42"/>
      <c r="HD617" s="43"/>
      <c r="HE617" s="43"/>
      <c r="HF617" s="12"/>
      <c r="JB617" s="160"/>
      <c r="JC617" s="313"/>
      <c r="JJ617" s="291"/>
      <c r="KY617" s="13"/>
      <c r="KZ617" s="43"/>
      <c r="LA617" s="43"/>
      <c r="LB617" s="45"/>
      <c r="LN617" s="291"/>
      <c r="SW617" s="13"/>
    </row>
    <row r="618" spans="34:517" ht="10.75" customHeight="1">
      <c r="AH618" s="12"/>
      <c r="AI618" s="12"/>
      <c r="AQ618" s="13"/>
      <c r="AR618" s="42"/>
      <c r="AS618" s="43"/>
      <c r="AT618" s="43"/>
      <c r="AU618" s="12"/>
      <c r="CV618" s="13"/>
      <c r="CX618" s="13"/>
      <c r="EX618" s="13"/>
      <c r="EY618" s="43"/>
      <c r="EZ618" s="43"/>
      <c r="FA618" s="45"/>
      <c r="GK618" s="291"/>
      <c r="GS618" s="12"/>
      <c r="HB618" s="13"/>
      <c r="HC618" s="42"/>
      <c r="HD618" s="43"/>
      <c r="HE618" s="43"/>
      <c r="HF618" s="12"/>
      <c r="JB618" s="160"/>
      <c r="JC618" s="161"/>
      <c r="JJ618" s="291"/>
      <c r="KY618" s="13"/>
      <c r="KZ618" s="43"/>
      <c r="LA618" s="43"/>
      <c r="LB618" s="45"/>
      <c r="LN618" s="291"/>
      <c r="SW618" s="13"/>
    </row>
    <row r="619" spans="34:517" ht="10.75" customHeight="1">
      <c r="AH619" s="12"/>
      <c r="AI619" s="12"/>
      <c r="AQ619" s="13"/>
      <c r="AR619" s="42"/>
      <c r="AS619" s="43"/>
      <c r="AT619" s="43"/>
      <c r="AU619" s="12"/>
      <c r="CV619" s="13"/>
      <c r="CX619" s="13"/>
      <c r="EX619" s="13"/>
      <c r="EY619" s="43"/>
      <c r="EZ619" s="43"/>
      <c r="FA619" s="45"/>
      <c r="GK619" s="291"/>
      <c r="GS619" s="12"/>
      <c r="HB619" s="13"/>
      <c r="HC619" s="42"/>
      <c r="HD619" s="43"/>
      <c r="HE619" s="43"/>
      <c r="HF619" s="12"/>
      <c r="JB619" s="160"/>
      <c r="JC619" s="161"/>
      <c r="JJ619" s="291"/>
      <c r="KY619" s="13"/>
      <c r="KZ619" s="43"/>
      <c r="LA619" s="43"/>
      <c r="LB619" s="45"/>
      <c r="LN619" s="291"/>
      <c r="SW619" s="13"/>
    </row>
    <row r="620" spans="34:517" ht="10.75" customHeight="1">
      <c r="AH620" s="12"/>
      <c r="AI620" s="12"/>
      <c r="AQ620" s="13"/>
      <c r="AR620" s="42"/>
      <c r="AS620" s="43"/>
      <c r="AT620" s="43"/>
      <c r="AU620" s="12"/>
      <c r="CV620" s="13"/>
      <c r="CX620" s="13"/>
      <c r="EX620" s="13"/>
      <c r="EY620" s="43"/>
      <c r="EZ620" s="43"/>
      <c r="FA620" s="45"/>
      <c r="GK620" s="291"/>
      <c r="GS620" s="9"/>
      <c r="GT620" s="10"/>
      <c r="GU620" s="10"/>
      <c r="GV620" s="10"/>
      <c r="GW620" s="10"/>
      <c r="GX620" s="10"/>
      <c r="GY620" s="10"/>
      <c r="GZ620" s="10"/>
      <c r="HA620" s="10"/>
      <c r="HB620" s="11"/>
      <c r="HC620" s="42"/>
      <c r="HD620" s="43"/>
      <c r="HE620" s="43"/>
      <c r="HF620" s="12"/>
      <c r="JB620" s="160"/>
      <c r="JC620" s="161"/>
      <c r="JJ620" s="291"/>
      <c r="KY620" s="13"/>
      <c r="KZ620" s="43"/>
      <c r="LA620" s="43"/>
      <c r="LB620" s="45"/>
      <c r="LN620" s="291"/>
      <c r="SW620" s="13"/>
    </row>
    <row r="621" spans="34:517" ht="10.75" customHeight="1">
      <c r="AH621" s="12"/>
      <c r="AI621" s="12"/>
      <c r="AQ621" s="13"/>
      <c r="AR621" s="42"/>
      <c r="AS621" s="43"/>
      <c r="AT621" s="43"/>
      <c r="AU621" s="12"/>
      <c r="CV621" s="13"/>
      <c r="CX621" s="13"/>
      <c r="EX621" s="13"/>
      <c r="EY621" s="43"/>
      <c r="EZ621" s="43"/>
      <c r="FA621" s="45"/>
      <c r="GK621" s="291"/>
      <c r="GS621" s="12"/>
      <c r="HB621" s="13"/>
      <c r="HC621" s="42"/>
      <c r="HD621" s="43"/>
      <c r="HE621" s="43"/>
      <c r="HF621" s="12"/>
      <c r="JB621" s="160"/>
      <c r="JC621" s="161"/>
      <c r="JJ621" s="291"/>
      <c r="KY621" s="13"/>
      <c r="KZ621" s="43"/>
      <c r="LA621" s="43"/>
      <c r="LB621" s="45"/>
      <c r="LN621" s="291"/>
      <c r="SW621" s="13"/>
    </row>
    <row r="622" spans="34:517" ht="10.75" customHeight="1">
      <c r="AH622" s="12"/>
      <c r="AI622" s="12"/>
      <c r="AQ622" s="13"/>
      <c r="AR622" s="42"/>
      <c r="AS622" s="43"/>
      <c r="AT622" s="43"/>
      <c r="AU622" s="12"/>
      <c r="CV622" s="13"/>
      <c r="CX622" s="13"/>
      <c r="EX622" s="13"/>
      <c r="EY622" s="43"/>
      <c r="EZ622" s="43"/>
      <c r="FA622" s="45"/>
      <c r="GK622" s="291"/>
      <c r="GS622" s="12"/>
      <c r="HB622" s="13"/>
      <c r="HC622" s="42"/>
      <c r="HD622" s="43"/>
      <c r="HE622" s="43"/>
      <c r="HF622" s="12"/>
      <c r="JB622" s="160"/>
      <c r="JC622" s="161"/>
      <c r="JJ622" s="291"/>
      <c r="KY622" s="13"/>
      <c r="KZ622" s="43"/>
      <c r="LA622" s="43"/>
      <c r="LB622" s="45"/>
      <c r="LN622" s="291"/>
      <c r="SW622" s="13"/>
    </row>
    <row r="623" spans="34:517" ht="10.75" customHeight="1">
      <c r="AH623" s="12"/>
      <c r="AI623" s="12"/>
      <c r="AQ623" s="13"/>
      <c r="AR623" s="42"/>
      <c r="AS623" s="43"/>
      <c r="AT623" s="43"/>
      <c r="AU623" s="12"/>
      <c r="CV623" s="13"/>
      <c r="CX623" s="13"/>
      <c r="EX623" s="13"/>
      <c r="EY623" s="43"/>
      <c r="EZ623" s="43"/>
      <c r="FA623" s="45"/>
      <c r="GK623" s="291"/>
      <c r="GS623" s="14"/>
      <c r="GT623" s="15"/>
      <c r="GU623" s="15"/>
      <c r="GV623" s="15"/>
      <c r="GW623" s="15"/>
      <c r="GX623" s="15"/>
      <c r="GY623" s="15"/>
      <c r="GZ623" s="15"/>
      <c r="HA623" s="15"/>
      <c r="HB623" s="16"/>
      <c r="HC623" s="42"/>
      <c r="HD623" s="43"/>
      <c r="HE623" s="43"/>
      <c r="HF623" s="12"/>
      <c r="JB623" s="160"/>
      <c r="JC623" s="161"/>
      <c r="JJ623" s="291"/>
      <c r="KY623" s="13"/>
      <c r="KZ623" s="43"/>
      <c r="LA623" s="43"/>
      <c r="LB623" s="45"/>
      <c r="LN623" s="291"/>
      <c r="SW623" s="13"/>
    </row>
    <row r="624" spans="34:517" ht="10.75" customHeight="1">
      <c r="AH624" s="12"/>
      <c r="AI624" s="12"/>
      <c r="AQ624" s="13"/>
      <c r="AR624" s="42"/>
      <c r="AS624" s="43"/>
      <c r="AT624" s="43"/>
      <c r="AU624" s="12"/>
      <c r="CV624" s="13"/>
      <c r="CX624" s="13"/>
      <c r="EX624" s="13"/>
      <c r="EY624" s="43"/>
      <c r="EZ624" s="43"/>
      <c r="FA624" s="45"/>
      <c r="GK624" s="291"/>
      <c r="GS624" s="12"/>
      <c r="HB624" s="13"/>
      <c r="HC624" s="42"/>
      <c r="HD624" s="43"/>
      <c r="HE624" s="43"/>
      <c r="HF624" s="12"/>
      <c r="JB624" s="160"/>
      <c r="JC624" s="161"/>
      <c r="JJ624" s="291"/>
      <c r="KY624" s="13"/>
      <c r="KZ624" s="43"/>
      <c r="LA624" s="43"/>
      <c r="LB624" s="45"/>
      <c r="LN624" s="291"/>
      <c r="SW624" s="13"/>
    </row>
    <row r="625" spans="34:565" ht="10.75" customHeight="1">
      <c r="AH625" s="12"/>
      <c r="AI625" s="12"/>
      <c r="AQ625" s="13"/>
      <c r="AR625" s="42"/>
      <c r="AS625" s="43"/>
      <c r="AT625" s="43"/>
      <c r="AU625" s="12"/>
      <c r="CV625" s="13"/>
      <c r="CX625" s="13"/>
      <c r="EX625" s="13"/>
      <c r="EY625" s="43"/>
      <c r="EZ625" s="43"/>
      <c r="FA625" s="45"/>
      <c r="GK625" s="291"/>
      <c r="GS625" s="12"/>
      <c r="HB625" s="13"/>
      <c r="HC625" s="42"/>
      <c r="HD625" s="43"/>
      <c r="HE625" s="43"/>
      <c r="HF625" s="12"/>
      <c r="JB625" s="160"/>
      <c r="JC625" s="161"/>
      <c r="JJ625" s="291"/>
      <c r="KY625" s="13"/>
      <c r="KZ625" s="43"/>
      <c r="LA625" s="43"/>
      <c r="LB625" s="45"/>
      <c r="LN625" s="291"/>
      <c r="SW625" s="13"/>
    </row>
    <row r="626" spans="34:565" ht="10.75" customHeight="1">
      <c r="AH626" s="12"/>
      <c r="AI626" s="12"/>
      <c r="AQ626" s="13"/>
      <c r="AR626" s="42"/>
      <c r="AS626" s="43"/>
      <c r="AT626" s="43"/>
      <c r="AU626" s="12"/>
      <c r="CV626" s="13"/>
      <c r="CX626" s="13"/>
      <c r="EX626" s="13"/>
      <c r="EY626" s="43"/>
      <c r="EZ626" s="43"/>
      <c r="FA626" s="45"/>
      <c r="GK626" s="291"/>
      <c r="GS626" s="12"/>
      <c r="HB626" s="13"/>
      <c r="HC626" s="42"/>
      <c r="HD626" s="43"/>
      <c r="HE626" s="43"/>
      <c r="HF626" s="12"/>
      <c r="JB626" s="160"/>
      <c r="JC626" s="161"/>
      <c r="JJ626" s="291"/>
      <c r="KY626" s="13"/>
      <c r="KZ626" s="43"/>
      <c r="LA626" s="43"/>
      <c r="LB626" s="45"/>
      <c r="LN626" s="291"/>
      <c r="SW626" s="13"/>
    </row>
    <row r="627" spans="34:565" ht="10.75" customHeight="1">
      <c r="AH627" s="12"/>
      <c r="AI627" s="12"/>
      <c r="AQ627" s="13"/>
      <c r="AR627" s="42"/>
      <c r="AS627" s="43"/>
      <c r="AT627" s="43"/>
      <c r="AU627" s="12"/>
      <c r="CV627" s="13"/>
      <c r="CX627" s="13"/>
      <c r="EX627" s="13"/>
      <c r="EY627" s="43"/>
      <c r="EZ627" s="43"/>
      <c r="FA627" s="45"/>
      <c r="GK627" s="291"/>
      <c r="GS627" s="12"/>
      <c r="HB627" s="13"/>
      <c r="HC627" s="42"/>
      <c r="HD627" s="43"/>
      <c r="HE627" s="43"/>
      <c r="HF627" s="12"/>
      <c r="JB627" s="160"/>
      <c r="JC627" s="161"/>
      <c r="JJ627" s="291"/>
      <c r="KY627" s="13"/>
      <c r="KZ627" s="43"/>
      <c r="LA627" s="43"/>
      <c r="LB627" s="45"/>
      <c r="LN627" s="291"/>
      <c r="SW627" s="13"/>
    </row>
    <row r="628" spans="34:565" ht="10.75" customHeight="1">
      <c r="AH628" s="12"/>
      <c r="AI628" s="12"/>
      <c r="AQ628" s="13"/>
      <c r="AR628" s="42"/>
      <c r="AS628" s="43"/>
      <c r="AT628" s="43"/>
      <c r="AU628" s="12"/>
      <c r="CV628" s="13"/>
      <c r="CX628" s="13"/>
      <c r="EX628" s="13"/>
      <c r="EY628" s="43"/>
      <c r="EZ628" s="43"/>
      <c r="FA628" s="45"/>
      <c r="GK628" s="291"/>
      <c r="GS628" s="9"/>
      <c r="GT628" s="10"/>
      <c r="GU628" s="10"/>
      <c r="GV628" s="10"/>
      <c r="GW628" s="10"/>
      <c r="GX628" s="10"/>
      <c r="GY628" s="10"/>
      <c r="GZ628" s="10"/>
      <c r="HA628" s="10"/>
      <c r="HB628" s="11"/>
      <c r="HC628" s="42"/>
      <c r="HD628" s="43"/>
      <c r="HE628" s="43"/>
      <c r="HF628" s="12"/>
      <c r="JB628" s="160"/>
      <c r="JC628" s="161"/>
      <c r="JJ628" s="291"/>
      <c r="KY628" s="13"/>
      <c r="KZ628" s="43"/>
      <c r="LA628" s="43"/>
      <c r="LB628" s="45"/>
      <c r="LN628" s="291"/>
      <c r="SW628" s="13"/>
    </row>
    <row r="629" spans="34:565" ht="10.75" customHeight="1">
      <c r="AH629" s="12"/>
      <c r="AI629" s="12"/>
      <c r="AQ629" s="13"/>
      <c r="AR629" s="42"/>
      <c r="AS629" s="43"/>
      <c r="AT629" s="43"/>
      <c r="AU629" s="12"/>
      <c r="CV629" s="13"/>
      <c r="CX629" s="13"/>
      <c r="EX629" s="13"/>
      <c r="EY629" s="43"/>
      <c r="EZ629" s="43"/>
      <c r="FA629" s="45"/>
      <c r="GK629" s="291"/>
      <c r="GS629" s="12"/>
      <c r="HB629" s="13"/>
      <c r="HC629" s="42"/>
      <c r="HD629" s="43"/>
      <c r="HE629" s="43"/>
      <c r="HF629" s="12"/>
      <c r="JB629" s="160"/>
      <c r="JC629" s="161"/>
      <c r="JJ629" s="291"/>
      <c r="KY629" s="13"/>
      <c r="KZ629" s="43"/>
      <c r="LA629" s="43"/>
      <c r="LB629" s="45"/>
      <c r="LN629" s="291"/>
      <c r="SW629" s="13"/>
    </row>
    <row r="630" spans="34:565" ht="10.75" customHeight="1" thickBot="1">
      <c r="AH630" s="12"/>
      <c r="AI630" s="12"/>
      <c r="AQ630" s="13"/>
      <c r="AR630" s="42"/>
      <c r="AS630" s="43"/>
      <c r="AT630" s="43"/>
      <c r="AU630" s="12"/>
      <c r="CV630" s="13"/>
      <c r="CX630" s="13"/>
      <c r="EX630" s="13"/>
      <c r="EY630" s="43"/>
      <c r="EZ630" s="43"/>
      <c r="FA630" s="45"/>
      <c r="GK630" s="291"/>
      <c r="GS630" s="12"/>
      <c r="HB630" s="13"/>
      <c r="HC630" s="56"/>
      <c r="HD630" s="57"/>
      <c r="HE630" s="58"/>
      <c r="HF630" s="12"/>
      <c r="JA630" s="56"/>
      <c r="JB630" s="56"/>
      <c r="JC630" s="58"/>
      <c r="JJ630" s="291"/>
      <c r="KY630" s="13"/>
      <c r="KZ630" s="56"/>
      <c r="LA630" s="57"/>
      <c r="LB630" s="58"/>
      <c r="LN630" s="291"/>
      <c r="SW630" s="13"/>
    </row>
    <row r="631" spans="34:565" ht="10.75" customHeight="1">
      <c r="AH631" s="12"/>
      <c r="AI631" s="12"/>
      <c r="AQ631" s="13"/>
      <c r="AR631" s="42"/>
      <c r="AS631" s="43"/>
      <c r="AT631" s="43"/>
      <c r="AU631" s="12"/>
      <c r="CV631" s="13"/>
      <c r="CX631" s="13"/>
      <c r="EX631" s="13"/>
      <c r="EY631" s="43"/>
      <c r="EZ631" s="43"/>
      <c r="FA631" s="45"/>
      <c r="GK631" s="291"/>
      <c r="GS631" s="14"/>
      <c r="GT631" s="15"/>
      <c r="GU631" s="15"/>
      <c r="GV631" s="15"/>
      <c r="GW631" s="15"/>
      <c r="GX631" s="15"/>
      <c r="GY631" s="15"/>
      <c r="GZ631" s="15"/>
      <c r="HA631" s="15"/>
      <c r="HB631" s="16"/>
      <c r="HC631" s="96"/>
      <c r="HD631" s="97"/>
      <c r="HE631" s="98"/>
      <c r="HF631" s="305"/>
      <c r="HG631" s="306"/>
      <c r="HH631" s="306"/>
      <c r="HI631" s="306"/>
      <c r="HJ631" s="306"/>
      <c r="HK631" s="306"/>
      <c r="HL631" s="306"/>
      <c r="HM631" s="306"/>
      <c r="HN631" s="306"/>
      <c r="JA631" s="96"/>
      <c r="JB631" s="96"/>
      <c r="JC631" s="98"/>
      <c r="JJ631" s="291"/>
      <c r="KP631" s="306"/>
      <c r="KQ631" s="306"/>
      <c r="KR631" s="306"/>
      <c r="KS631" s="306"/>
      <c r="KT631" s="306"/>
      <c r="KU631" s="306"/>
      <c r="KV631" s="306"/>
      <c r="KW631" s="306"/>
      <c r="KX631" s="306"/>
      <c r="KY631" s="307"/>
      <c r="KZ631" s="96"/>
      <c r="LA631" s="97"/>
      <c r="LB631" s="98"/>
      <c r="LN631" s="291"/>
      <c r="SW631" s="13"/>
    </row>
    <row r="632" spans="34:565" ht="10.75" customHeight="1">
      <c r="AH632" s="12"/>
      <c r="AI632" s="12"/>
      <c r="AQ632" s="13"/>
      <c r="AR632" s="42"/>
      <c r="AS632" s="43"/>
      <c r="AT632" s="43"/>
      <c r="AU632" s="12"/>
      <c r="CV632" s="13"/>
      <c r="CX632" s="13"/>
      <c r="EX632" s="13"/>
      <c r="EY632" s="43"/>
      <c r="EZ632" s="43"/>
      <c r="FA632" s="45"/>
      <c r="GK632" s="291"/>
      <c r="GS632" s="12"/>
      <c r="HB632" s="13"/>
      <c r="HC632" s="96"/>
      <c r="HD632" s="97"/>
      <c r="HE632" s="98"/>
      <c r="HF632" s="12"/>
      <c r="JA632" s="96"/>
      <c r="JB632" s="96"/>
      <c r="JC632" s="98"/>
      <c r="JJ632" s="291"/>
      <c r="KY632" s="13"/>
      <c r="KZ632" s="96"/>
      <c r="LA632" s="97"/>
      <c r="LB632" s="98"/>
      <c r="LN632" s="291"/>
      <c r="SW632" s="13"/>
    </row>
    <row r="633" spans="34:565" ht="10.75" customHeight="1" thickBot="1">
      <c r="AH633" s="12"/>
      <c r="AI633" s="12"/>
      <c r="AQ633" s="13"/>
      <c r="AR633" s="42"/>
      <c r="AS633" s="43"/>
      <c r="AT633" s="43"/>
      <c r="AU633" s="12"/>
      <c r="CV633" s="13"/>
      <c r="CX633" s="13"/>
      <c r="EX633" s="13"/>
      <c r="EY633" s="43"/>
      <c r="EZ633" s="43"/>
      <c r="FA633" s="45"/>
      <c r="GK633" s="291"/>
      <c r="GS633" s="12"/>
      <c r="HB633" s="13"/>
      <c r="HC633" s="59"/>
      <c r="HD633" s="60"/>
      <c r="HE633" s="61"/>
      <c r="HF633" s="303"/>
      <c r="HG633" s="304"/>
      <c r="HH633" s="304"/>
      <c r="HI633" s="304"/>
      <c r="HJ633" s="304"/>
      <c r="HK633" s="304"/>
      <c r="HL633" s="304"/>
      <c r="HM633" s="304"/>
      <c r="HN633" s="304"/>
      <c r="JA633" s="59"/>
      <c r="JB633" s="59"/>
      <c r="JC633" s="61"/>
      <c r="JJ633" s="291"/>
      <c r="KP633" s="304"/>
      <c r="KQ633" s="304"/>
      <c r="KR633" s="304"/>
      <c r="KS633" s="304"/>
      <c r="KT633" s="304"/>
      <c r="KU633" s="304"/>
      <c r="KV633" s="304"/>
      <c r="KW633" s="304"/>
      <c r="KX633" s="304"/>
      <c r="KY633" s="308"/>
      <c r="KZ633" s="59"/>
      <c r="LA633" s="60"/>
      <c r="LB633" s="61"/>
      <c r="LN633" s="291"/>
      <c r="SW633" s="13"/>
    </row>
    <row r="634" spans="34:565" ht="10.75" customHeight="1">
      <c r="AH634" s="12"/>
      <c r="AI634" s="12"/>
      <c r="AQ634" s="13"/>
      <c r="AR634" s="42"/>
      <c r="AS634" s="43"/>
      <c r="AT634" s="43"/>
      <c r="AU634" s="12"/>
      <c r="CV634" s="13"/>
      <c r="CX634" s="13"/>
      <c r="EX634" s="13"/>
      <c r="EY634" s="43"/>
      <c r="EZ634" s="43"/>
      <c r="FA634" s="45"/>
      <c r="GK634" s="291"/>
      <c r="GS634" s="12"/>
      <c r="HB634" s="13"/>
      <c r="HC634" s="40"/>
      <c r="HD634" s="41"/>
      <c r="HE634" s="44"/>
      <c r="HF634" s="12"/>
      <c r="JB634" s="160"/>
      <c r="JC634" s="161"/>
      <c r="JJ634" s="291"/>
      <c r="KY634" s="13"/>
      <c r="KZ634" s="43"/>
      <c r="LA634" s="43"/>
      <c r="LB634" s="45"/>
      <c r="LN634" s="291"/>
      <c r="QR634" s="15"/>
      <c r="QS634" s="15"/>
      <c r="QT634" s="15"/>
      <c r="QU634" s="15"/>
      <c r="QV634" s="15"/>
      <c r="QW634" s="15"/>
      <c r="QX634" s="15"/>
      <c r="QY634" s="15"/>
      <c r="QZ634" s="15"/>
      <c r="RA634" s="15"/>
      <c r="RB634" s="15"/>
      <c r="RC634" s="15"/>
      <c r="RD634" s="15"/>
      <c r="RE634" s="15"/>
      <c r="RF634" s="15"/>
      <c r="RG634" s="15"/>
      <c r="RH634" s="15"/>
      <c r="RI634" s="15"/>
      <c r="RJ634" s="15"/>
      <c r="RK634" s="15"/>
      <c r="RL634" s="15"/>
      <c r="RM634" s="15"/>
      <c r="RN634" s="15"/>
      <c r="RO634" s="15"/>
      <c r="RP634" s="15"/>
      <c r="RQ634" s="15"/>
      <c r="RR634" s="15"/>
      <c r="RS634" s="15"/>
      <c r="RT634" s="15"/>
      <c r="RU634" s="15"/>
      <c r="RV634" s="15"/>
      <c r="RW634" s="15"/>
      <c r="RX634" s="15"/>
      <c r="RY634" s="15"/>
      <c r="RZ634" s="15"/>
      <c r="SA634" s="15"/>
      <c r="SB634" s="15"/>
      <c r="SC634" s="15"/>
      <c r="SD634" s="15"/>
      <c r="SE634" s="15"/>
      <c r="SF634" s="15"/>
      <c r="SG634" s="15"/>
      <c r="SH634" s="15"/>
      <c r="SI634" s="15"/>
      <c r="SJ634" s="15"/>
      <c r="SK634" s="15"/>
      <c r="SL634" s="15"/>
      <c r="SM634" s="15"/>
      <c r="SN634" s="15"/>
      <c r="SO634" s="15"/>
      <c r="SP634" s="15"/>
      <c r="SQ634" s="15"/>
      <c r="SR634" s="15"/>
      <c r="SS634" s="15"/>
      <c r="ST634" s="15"/>
      <c r="SU634" s="15"/>
      <c r="SV634" s="15"/>
      <c r="SW634" s="16"/>
    </row>
    <row r="635" spans="34:565" ht="10.75" customHeight="1">
      <c r="AH635" s="12"/>
      <c r="AI635" s="12"/>
      <c r="AQ635" s="13"/>
      <c r="AR635" s="42"/>
      <c r="AS635" s="43"/>
      <c r="AT635" s="43"/>
      <c r="AU635" s="12"/>
      <c r="CV635" s="13"/>
      <c r="CX635" s="13"/>
      <c r="EX635" s="13"/>
      <c r="EY635" s="43"/>
      <c r="EZ635" s="43"/>
      <c r="FA635" s="45"/>
      <c r="GK635" s="291"/>
      <c r="GS635" s="12"/>
      <c r="HB635" s="13"/>
      <c r="HC635" s="42"/>
      <c r="HD635" s="43"/>
      <c r="HE635" s="45"/>
      <c r="HF635" s="12"/>
      <c r="JB635" s="160"/>
      <c r="JC635" s="161"/>
      <c r="JJ635" s="291"/>
      <c r="KY635" s="13"/>
      <c r="KZ635" s="43"/>
      <c r="LA635" s="43"/>
      <c r="LB635" s="45"/>
      <c r="LN635" s="291"/>
      <c r="SK635" s="10"/>
      <c r="SL635" s="10"/>
      <c r="SM635" s="10"/>
      <c r="SN635" s="10"/>
      <c r="SO635" s="10"/>
      <c r="SP635" s="10"/>
      <c r="SQ635" s="10"/>
      <c r="SR635" s="10"/>
      <c r="SS635" s="10"/>
      <c r="ST635" s="10"/>
      <c r="SU635" s="10"/>
      <c r="SV635" s="10"/>
      <c r="SW635" s="11"/>
      <c r="SX635" s="10"/>
      <c r="SY635" s="10"/>
      <c r="SZ635" s="10"/>
      <c r="TA635" s="10"/>
      <c r="TB635" s="10"/>
      <c r="TC635" s="10"/>
      <c r="TD635" s="10"/>
      <c r="TE635" s="10"/>
      <c r="TF635" s="10"/>
      <c r="TG635" s="10"/>
      <c r="TH635" s="10"/>
      <c r="TI635" s="10"/>
      <c r="TJ635" s="10"/>
      <c r="TK635" s="10"/>
      <c r="TL635" s="10"/>
      <c r="TM635" s="10"/>
      <c r="TN635" s="10"/>
      <c r="TO635" s="10"/>
      <c r="TP635" s="10"/>
      <c r="TQ635" s="10"/>
      <c r="TR635" s="10"/>
      <c r="TS635" s="10"/>
      <c r="TT635" s="10"/>
      <c r="TU635" s="10"/>
      <c r="TV635" s="10"/>
      <c r="TW635" s="10"/>
      <c r="TX635" s="10"/>
      <c r="TY635" s="10"/>
      <c r="TZ635" s="10"/>
      <c r="UA635" s="10"/>
      <c r="UB635" s="10"/>
      <c r="UC635" s="10"/>
      <c r="UD635" s="10"/>
      <c r="UE635" s="10"/>
      <c r="UF635" s="10"/>
      <c r="UG635" s="10"/>
      <c r="UH635" s="10"/>
      <c r="UI635" s="10"/>
      <c r="UJ635" s="10"/>
      <c r="UK635" s="10"/>
      <c r="UL635" s="10"/>
      <c r="UM635" s="10"/>
      <c r="UN635" s="10"/>
      <c r="UO635" s="10"/>
      <c r="UP635" s="10"/>
      <c r="UQ635" s="10"/>
      <c r="UR635" s="10"/>
      <c r="US635" s="11"/>
    </row>
    <row r="636" spans="34:565" ht="10.75" customHeight="1">
      <c r="AH636" s="12"/>
      <c r="AI636" s="12"/>
      <c r="AQ636" s="13"/>
      <c r="AR636" s="42"/>
      <c r="AS636" s="43"/>
      <c r="AT636" s="43"/>
      <c r="AU636" s="12"/>
      <c r="CV636" s="13"/>
      <c r="CX636" s="13"/>
      <c r="EX636" s="13"/>
      <c r="EY636" s="43"/>
      <c r="EZ636" s="43"/>
      <c r="FA636" s="45"/>
      <c r="GK636" s="291"/>
      <c r="GS636" s="9"/>
      <c r="GT636" s="10"/>
      <c r="GU636" s="10"/>
      <c r="GV636" s="10"/>
      <c r="GW636" s="10"/>
      <c r="GX636" s="10"/>
      <c r="GY636" s="10"/>
      <c r="GZ636" s="10"/>
      <c r="HA636" s="10"/>
      <c r="HB636" s="11"/>
      <c r="HC636" s="42"/>
      <c r="HD636" s="43"/>
      <c r="HE636" s="45"/>
      <c r="HF636" s="12"/>
      <c r="JB636" s="160"/>
      <c r="JC636" s="161"/>
      <c r="JJ636" s="291"/>
      <c r="KY636" s="13"/>
      <c r="KZ636" s="43"/>
      <c r="LA636" s="43"/>
      <c r="LB636" s="45"/>
      <c r="LN636" s="291"/>
      <c r="SW636" s="13"/>
      <c r="US636" s="13"/>
    </row>
    <row r="637" spans="34:565" ht="10.75" customHeight="1">
      <c r="AH637" s="12"/>
      <c r="AI637" s="12"/>
      <c r="AQ637" s="13"/>
      <c r="AR637" s="42"/>
      <c r="AS637" s="43"/>
      <c r="AT637" s="43"/>
      <c r="AU637" s="12"/>
      <c r="CV637" s="13"/>
      <c r="CX637" s="13"/>
      <c r="EX637" s="13"/>
      <c r="EY637" s="43"/>
      <c r="EZ637" s="43"/>
      <c r="FA637" s="45"/>
      <c r="GK637" s="291"/>
      <c r="GS637" s="12"/>
      <c r="HB637" s="13"/>
      <c r="HC637" s="42"/>
      <c r="HD637" s="43"/>
      <c r="HE637" s="45"/>
      <c r="HF637" s="12"/>
      <c r="JB637" s="160"/>
      <c r="JC637" s="161"/>
      <c r="JJ637" s="291"/>
      <c r="KY637" s="13"/>
      <c r="KZ637" s="43"/>
      <c r="LA637" s="43"/>
      <c r="LB637" s="45"/>
      <c r="LN637" s="291"/>
      <c r="SW637" s="13"/>
      <c r="US637" s="13"/>
    </row>
    <row r="638" spans="34:565" ht="10.75" customHeight="1">
      <c r="AH638" s="12"/>
      <c r="AI638" s="12"/>
      <c r="AQ638" s="13"/>
      <c r="AR638" s="96"/>
      <c r="AS638" s="97"/>
      <c r="AT638" s="97"/>
      <c r="AU638" s="12"/>
      <c r="CV638" s="98"/>
      <c r="CW638" s="97"/>
      <c r="CX638" s="98"/>
      <c r="EX638" s="13"/>
      <c r="EY638" s="97"/>
      <c r="EZ638" s="97"/>
      <c r="FA638" s="98"/>
      <c r="GK638" s="291"/>
      <c r="GS638" s="12"/>
      <c r="HB638" s="13"/>
      <c r="HC638" s="42"/>
      <c r="HD638" s="43"/>
      <c r="HE638" s="45"/>
      <c r="HF638" s="12"/>
      <c r="JB638" s="160"/>
      <c r="JC638" s="161"/>
      <c r="JJ638" s="291"/>
      <c r="KY638" s="13"/>
      <c r="KZ638" s="43"/>
      <c r="LA638" s="43"/>
      <c r="LB638" s="45"/>
      <c r="LN638" s="291"/>
      <c r="SO638" s="15"/>
      <c r="SP638" s="15"/>
      <c r="SQ638" s="15"/>
      <c r="SR638" s="15"/>
      <c r="SS638" s="15"/>
      <c r="ST638" s="15"/>
      <c r="SU638" s="15"/>
      <c r="SV638" s="15"/>
      <c r="SW638" s="16"/>
      <c r="SX638" s="15"/>
      <c r="SY638" s="15"/>
      <c r="SZ638" s="15"/>
      <c r="TA638" s="15"/>
      <c r="TB638" s="15"/>
      <c r="TC638" s="15"/>
      <c r="TD638" s="15"/>
      <c r="TE638" s="15"/>
      <c r="TF638" s="15"/>
      <c r="TG638" s="15"/>
      <c r="TH638" s="15"/>
      <c r="TI638" s="15"/>
      <c r="TJ638" s="15"/>
      <c r="TK638" s="15"/>
      <c r="TL638" s="15"/>
      <c r="TM638" s="15"/>
      <c r="TN638" s="15"/>
      <c r="TO638" s="15"/>
      <c r="TP638" s="15"/>
      <c r="TQ638" s="15"/>
      <c r="TR638" s="15"/>
      <c r="TS638" s="15"/>
      <c r="TT638" s="15"/>
      <c r="TU638" s="15"/>
      <c r="TV638" s="15"/>
      <c r="TW638" s="15"/>
      <c r="TX638" s="15"/>
      <c r="TY638" s="15"/>
      <c r="TZ638" s="15"/>
      <c r="UA638" s="15"/>
      <c r="UB638" s="15"/>
      <c r="UC638" s="15"/>
      <c r="UD638" s="15"/>
      <c r="UE638" s="15"/>
      <c r="UF638" s="15"/>
      <c r="UG638" s="15"/>
      <c r="UH638" s="15"/>
      <c r="UI638" s="15"/>
      <c r="UJ638" s="15"/>
      <c r="UK638" s="15"/>
      <c r="UL638" s="15"/>
      <c r="UM638" s="15"/>
      <c r="UN638" s="15"/>
      <c r="UO638" s="15"/>
      <c r="UP638" s="15"/>
      <c r="UQ638" s="15"/>
      <c r="UR638" s="15"/>
      <c r="US638" s="16"/>
    </row>
    <row r="639" spans="34:565" ht="10.75" customHeight="1">
      <c r="AH639" s="12"/>
      <c r="AI639" s="12"/>
      <c r="AQ639" s="13"/>
      <c r="AR639" s="96"/>
      <c r="AS639" s="97"/>
      <c r="AT639" s="97"/>
      <c r="AU639" s="12"/>
      <c r="CV639" s="98"/>
      <c r="CW639" s="97"/>
      <c r="CX639" s="98"/>
      <c r="EX639" s="13"/>
      <c r="EY639" s="97"/>
      <c r="EZ639" s="97"/>
      <c r="FA639" s="98"/>
      <c r="GK639" s="291"/>
      <c r="GS639" s="14"/>
      <c r="GT639" s="15"/>
      <c r="GU639" s="15"/>
      <c r="GV639" s="15"/>
      <c r="GW639" s="15"/>
      <c r="GX639" s="15"/>
      <c r="GY639" s="15"/>
      <c r="GZ639" s="15"/>
      <c r="HA639" s="15"/>
      <c r="HB639" s="16"/>
      <c r="HC639" s="42"/>
      <c r="HD639" s="43"/>
      <c r="HE639" s="45"/>
      <c r="HF639" s="12"/>
      <c r="JB639" s="160"/>
      <c r="JC639" s="161"/>
      <c r="JJ639" s="291"/>
      <c r="KY639" s="13"/>
      <c r="KZ639" s="43"/>
      <c r="LA639" s="43"/>
      <c r="LB639" s="45"/>
      <c r="LN639" s="291"/>
      <c r="QR639" s="10"/>
      <c r="QS639" s="10"/>
      <c r="QT639" s="10"/>
      <c r="QU639" s="10"/>
      <c r="QV639" s="10"/>
      <c r="QW639" s="10"/>
      <c r="QX639" s="10"/>
      <c r="QY639" s="10"/>
      <c r="QZ639" s="10"/>
      <c r="RA639" s="10"/>
      <c r="RB639" s="10"/>
      <c r="RC639" s="10"/>
      <c r="RD639" s="10"/>
      <c r="RE639" s="10"/>
      <c r="RF639" s="10"/>
      <c r="RG639" s="10"/>
      <c r="RH639" s="10"/>
      <c r="RI639" s="10"/>
      <c r="RJ639" s="10"/>
      <c r="RK639" s="10"/>
      <c r="RL639" s="10"/>
      <c r="RM639" s="10"/>
      <c r="RN639" s="10"/>
      <c r="RO639" s="10"/>
      <c r="RP639" s="10"/>
      <c r="RQ639" s="10"/>
      <c r="RR639" s="10"/>
      <c r="RS639" s="10"/>
      <c r="RT639" s="10"/>
      <c r="RU639" s="10"/>
      <c r="RV639" s="10"/>
      <c r="RW639" s="10"/>
      <c r="RX639" s="10"/>
      <c r="RY639" s="10"/>
      <c r="RZ639" s="10"/>
      <c r="SA639" s="10"/>
      <c r="SB639" s="10"/>
      <c r="SC639" s="10"/>
      <c r="SD639" s="10"/>
      <c r="SE639" s="10"/>
      <c r="SF639" s="10"/>
      <c r="SG639" s="10"/>
      <c r="SH639" s="10"/>
      <c r="SI639" s="10"/>
      <c r="SJ639" s="10"/>
      <c r="SK639" s="10"/>
      <c r="SL639" s="10"/>
      <c r="SM639" s="10"/>
      <c r="SN639" s="10"/>
      <c r="SW639" s="13"/>
    </row>
    <row r="640" spans="34:565" ht="10.75" customHeight="1">
      <c r="AH640" s="12"/>
      <c r="AI640" s="12"/>
      <c r="AQ640" s="13"/>
      <c r="AR640" s="96"/>
      <c r="AS640" s="97"/>
      <c r="AT640" s="97"/>
      <c r="AU640" s="12"/>
      <c r="CV640" s="98"/>
      <c r="CW640" s="97"/>
      <c r="CX640" s="98"/>
      <c r="EX640" s="13"/>
      <c r="EY640" s="97"/>
      <c r="EZ640" s="97"/>
      <c r="FA640" s="98"/>
      <c r="GK640" s="291"/>
      <c r="GS640" s="9"/>
      <c r="GT640" s="10"/>
      <c r="GU640" s="10"/>
      <c r="GV640" s="10"/>
      <c r="GW640" s="10"/>
      <c r="GX640" s="10"/>
      <c r="GY640" s="10"/>
      <c r="GZ640" s="10"/>
      <c r="HA640" s="10"/>
      <c r="HB640" s="11"/>
      <c r="HC640" s="42"/>
      <c r="HD640" s="43"/>
      <c r="HE640" s="45"/>
      <c r="HF640" s="12"/>
      <c r="JB640" s="160"/>
      <c r="JC640" s="161"/>
      <c r="JJ640" s="291"/>
      <c r="KY640" s="13"/>
      <c r="KZ640" s="43"/>
      <c r="LA640" s="43"/>
      <c r="LB640" s="45"/>
      <c r="LN640" s="291"/>
      <c r="SW640" s="13"/>
    </row>
    <row r="641" spans="34:517" ht="10.75" customHeight="1">
      <c r="AH641" s="12"/>
      <c r="AI641" s="12"/>
      <c r="AQ641" s="13"/>
      <c r="AR641" s="59"/>
      <c r="AS641" s="60"/>
      <c r="AT641" s="60"/>
      <c r="AU641" s="12"/>
      <c r="CV641" s="98"/>
      <c r="CW641" s="97"/>
      <c r="CX641" s="98"/>
      <c r="EX641" s="13"/>
      <c r="EY641" s="97"/>
      <c r="EZ641" s="97"/>
      <c r="FA641" s="98"/>
      <c r="GK641" s="291"/>
      <c r="GS641" s="12"/>
      <c r="HB641" s="13"/>
      <c r="HC641" s="42"/>
      <c r="HD641" s="43"/>
      <c r="HE641" s="45"/>
      <c r="HF641" s="12"/>
      <c r="JB641" s="160"/>
      <c r="JC641" s="161"/>
      <c r="JJ641" s="291"/>
      <c r="KY641" s="13"/>
      <c r="KZ641" s="43"/>
      <c r="LA641" s="43"/>
      <c r="LB641" s="45"/>
      <c r="LN641" s="291"/>
      <c r="SW641" s="13"/>
    </row>
    <row r="642" spans="34:517" ht="10.75" customHeight="1">
      <c r="AH642" s="12"/>
      <c r="AI642" s="12"/>
      <c r="AQ642" s="13"/>
      <c r="AR642" s="42"/>
      <c r="AS642" s="43"/>
      <c r="AT642" s="43"/>
      <c r="AU642" s="12"/>
      <c r="CV642" s="13"/>
      <c r="CX642" s="13"/>
      <c r="EX642" s="13"/>
      <c r="EY642" s="43"/>
      <c r="EZ642" s="43"/>
      <c r="FA642" s="45"/>
      <c r="GK642" s="291"/>
      <c r="GS642" s="12"/>
      <c r="HB642" s="13"/>
      <c r="HC642" s="42"/>
      <c r="HD642" s="43"/>
      <c r="HE642" s="45"/>
      <c r="HF642" s="12"/>
      <c r="JB642" s="160"/>
      <c r="JC642" s="161"/>
      <c r="JJ642" s="291"/>
      <c r="KY642" s="13"/>
      <c r="KZ642" s="43"/>
      <c r="LA642" s="43"/>
      <c r="LB642" s="45"/>
      <c r="LN642" s="291"/>
      <c r="SW642" s="13"/>
    </row>
    <row r="643" spans="34:517" ht="10.75" customHeight="1">
      <c r="AH643" s="14"/>
      <c r="AI643" s="14"/>
      <c r="AJ643" s="15"/>
      <c r="AK643" s="15"/>
      <c r="AL643" s="15"/>
      <c r="AM643" s="15"/>
      <c r="AN643" s="15"/>
      <c r="AO643" s="15"/>
      <c r="AP643" s="15"/>
      <c r="AQ643" s="16"/>
      <c r="AR643" s="42"/>
      <c r="AS643" s="43"/>
      <c r="AT643" s="43"/>
      <c r="AU643" s="12"/>
      <c r="CV643" s="13"/>
      <c r="CX643" s="13"/>
      <c r="EX643" s="13"/>
      <c r="EY643" s="43"/>
      <c r="EZ643" s="43"/>
      <c r="FA643" s="45"/>
      <c r="GK643" s="291"/>
      <c r="GS643" s="14"/>
      <c r="GT643" s="15"/>
      <c r="GU643" s="15"/>
      <c r="GV643" s="15"/>
      <c r="GW643" s="15"/>
      <c r="GX643" s="15"/>
      <c r="GY643" s="15"/>
      <c r="GZ643" s="15"/>
      <c r="HA643" s="15"/>
      <c r="HB643" s="16"/>
      <c r="HC643" s="42"/>
      <c r="HD643" s="43"/>
      <c r="HE643" s="45"/>
      <c r="HF643" s="12"/>
      <c r="JB643" s="160"/>
      <c r="JC643" s="161"/>
      <c r="JJ643" s="291"/>
      <c r="KY643" s="13"/>
      <c r="KZ643" s="43"/>
      <c r="LA643" s="43"/>
      <c r="LB643" s="45"/>
      <c r="LN643" s="291"/>
      <c r="SW643" s="13"/>
    </row>
    <row r="644" spans="34:517" ht="10.75" customHeight="1">
      <c r="AH644" s="9"/>
      <c r="AI644" s="9"/>
      <c r="AJ644" s="10"/>
      <c r="AK644" s="10"/>
      <c r="AL644" s="10"/>
      <c r="AM644" s="10"/>
      <c r="AN644" s="10"/>
      <c r="AO644" s="10"/>
      <c r="AP644" s="10"/>
      <c r="AQ644" s="11"/>
      <c r="AR644" s="42"/>
      <c r="AS644" s="43"/>
      <c r="AT644" s="43"/>
      <c r="AU644" s="12"/>
      <c r="CV644" s="13"/>
      <c r="CX644" s="13"/>
      <c r="EX644" s="13"/>
      <c r="EY644" s="43"/>
      <c r="EZ644" s="43"/>
      <c r="FA644" s="45"/>
      <c r="GK644" s="291"/>
      <c r="GS644" s="12"/>
      <c r="HB644" s="13"/>
      <c r="HC644" s="42"/>
      <c r="HD644" s="43"/>
      <c r="HE644" s="45"/>
      <c r="HF644" s="12"/>
      <c r="JB644" s="160"/>
      <c r="JC644" s="161"/>
      <c r="JJ644" s="291"/>
      <c r="KY644" s="13"/>
      <c r="KZ644" s="43"/>
      <c r="LA644" s="43"/>
      <c r="LB644" s="45"/>
      <c r="LN644" s="291"/>
      <c r="SW644" s="13"/>
    </row>
    <row r="645" spans="34:517" ht="10.75" customHeight="1">
      <c r="AH645" s="12"/>
      <c r="AI645" s="12"/>
      <c r="AQ645" s="13"/>
      <c r="AR645" s="42"/>
      <c r="AS645" s="43"/>
      <c r="AT645" s="43"/>
      <c r="AU645" s="14"/>
      <c r="AV645" s="15"/>
      <c r="AW645" s="15"/>
      <c r="AX645" s="15"/>
      <c r="AY645" s="15"/>
      <c r="AZ645" s="15"/>
      <c r="BA645" s="15"/>
      <c r="BB645" s="15"/>
      <c r="BC645" s="15"/>
      <c r="BD645" s="15"/>
      <c r="BE645" s="15"/>
      <c r="BF645" s="15"/>
      <c r="BG645" s="15"/>
      <c r="BH645" s="15"/>
      <c r="BI645" s="15"/>
      <c r="BJ645" s="15"/>
      <c r="BK645" s="15"/>
      <c r="BL645" s="15"/>
      <c r="BM645" s="15"/>
      <c r="BN645" s="15"/>
      <c r="BO645" s="15"/>
      <c r="BP645" s="15"/>
      <c r="BQ645" s="15"/>
      <c r="BR645" s="15"/>
      <c r="BS645" s="15"/>
      <c r="BT645" s="15"/>
      <c r="BU645" s="15"/>
      <c r="BV645" s="15"/>
      <c r="BW645" s="15"/>
      <c r="BX645" s="15"/>
      <c r="BY645" s="15"/>
      <c r="BZ645" s="15"/>
      <c r="CA645" s="15"/>
      <c r="CB645" s="15"/>
      <c r="CC645" s="15"/>
      <c r="CD645" s="15"/>
      <c r="CE645" s="15"/>
      <c r="CF645" s="15"/>
      <c r="CG645" s="15"/>
      <c r="CH645" s="15"/>
      <c r="CI645" s="15"/>
      <c r="CJ645" s="15"/>
      <c r="CK645" s="15"/>
      <c r="CL645" s="15"/>
      <c r="CM645" s="15"/>
      <c r="CN645" s="15"/>
      <c r="CO645" s="15"/>
      <c r="CP645" s="15"/>
      <c r="CQ645" s="15"/>
      <c r="CR645" s="15"/>
      <c r="CS645" s="15"/>
      <c r="CT645" s="15"/>
      <c r="CU645" s="15"/>
      <c r="CV645" s="16"/>
      <c r="CX645" s="13"/>
      <c r="EX645" s="13"/>
      <c r="EY645" s="43"/>
      <c r="EZ645" s="43"/>
      <c r="FA645" s="45"/>
      <c r="GK645" s="291"/>
      <c r="GS645" s="12"/>
      <c r="HB645" s="13"/>
      <c r="HC645" s="42"/>
      <c r="HD645" s="43"/>
      <c r="HE645" s="45"/>
      <c r="HF645" s="14"/>
      <c r="HG645" s="15"/>
      <c r="HH645" s="15"/>
      <c r="HI645" s="15"/>
      <c r="HJ645" s="15"/>
      <c r="HK645" s="15"/>
      <c r="HL645" s="15"/>
      <c r="HM645" s="15"/>
      <c r="HN645" s="15"/>
      <c r="HO645" s="15"/>
      <c r="HP645" s="15"/>
      <c r="HQ645" s="15"/>
      <c r="HR645" s="15"/>
      <c r="HS645" s="15"/>
      <c r="HT645" s="15"/>
      <c r="HU645" s="15"/>
      <c r="HV645" s="15"/>
      <c r="HW645" s="15"/>
      <c r="HX645" s="15"/>
      <c r="HY645" s="15"/>
      <c r="HZ645" s="15"/>
      <c r="IA645" s="15"/>
      <c r="IB645" s="15"/>
      <c r="IC645" s="15"/>
      <c r="ID645" s="15"/>
      <c r="IE645" s="15"/>
      <c r="IF645" s="15"/>
      <c r="IG645" s="15"/>
      <c r="IH645" s="15"/>
      <c r="II645" s="15"/>
      <c r="IJ645" s="15"/>
      <c r="IK645" s="15"/>
      <c r="IL645" s="15"/>
      <c r="IM645" s="15"/>
      <c r="IN645" s="15"/>
      <c r="IO645" s="15"/>
      <c r="IP645" s="15"/>
      <c r="IQ645" s="15"/>
      <c r="IR645" s="15"/>
      <c r="IS645" s="15"/>
      <c r="IT645" s="15"/>
      <c r="IU645" s="15"/>
      <c r="IV645" s="15"/>
      <c r="IW645" s="15"/>
      <c r="IX645" s="15"/>
      <c r="IY645" s="15"/>
      <c r="IZ645" s="15"/>
      <c r="JA645" s="15"/>
      <c r="JB645" s="160"/>
      <c r="JC645" s="161"/>
      <c r="JI645" s="294"/>
      <c r="JJ645" s="293"/>
      <c r="KY645" s="13"/>
      <c r="KZ645" s="43"/>
      <c r="LA645" s="43"/>
      <c r="LB645" s="45"/>
      <c r="LN645" s="291"/>
      <c r="SW645" s="13"/>
    </row>
    <row r="646" spans="34:517" ht="10.75" customHeight="1">
      <c r="AH646" s="12"/>
      <c r="AI646" s="12"/>
      <c r="AQ646" s="13"/>
      <c r="AR646" s="42"/>
      <c r="AS646" s="43"/>
      <c r="AT646" s="45"/>
      <c r="CX646" s="13"/>
      <c r="EX646" s="13"/>
      <c r="EY646" s="43"/>
      <c r="EZ646" s="43"/>
      <c r="FA646" s="45"/>
      <c r="GK646" s="291"/>
      <c r="GS646" s="12"/>
      <c r="HB646" s="13"/>
      <c r="HC646" s="42"/>
      <c r="HD646" s="43"/>
      <c r="HE646" s="45"/>
      <c r="HF646" s="160"/>
      <c r="HG646" s="162"/>
      <c r="HH646" s="162"/>
      <c r="HI646" s="162"/>
      <c r="HJ646" s="162"/>
      <c r="HK646" s="162"/>
      <c r="HL646" s="162"/>
      <c r="HM646" s="162"/>
      <c r="HN646" s="162"/>
      <c r="HO646" s="162"/>
      <c r="HP646" s="162"/>
      <c r="HQ646" s="162"/>
      <c r="HR646" s="162"/>
      <c r="HS646" s="162"/>
      <c r="HT646" s="162"/>
      <c r="HU646" s="162"/>
      <c r="HV646" s="162"/>
      <c r="HW646" s="162"/>
      <c r="HX646" s="162"/>
      <c r="HY646" s="162"/>
      <c r="HZ646" s="162"/>
      <c r="IA646" s="162"/>
      <c r="IB646" s="162"/>
      <c r="IC646" s="162"/>
      <c r="ID646" s="162"/>
      <c r="IE646" s="162"/>
      <c r="IF646" s="162"/>
      <c r="IG646" s="162"/>
      <c r="IH646" s="162"/>
      <c r="II646" s="162"/>
      <c r="IJ646" s="162"/>
      <c r="IK646" s="162"/>
      <c r="IL646" s="162"/>
      <c r="IM646" s="162"/>
      <c r="IN646" s="162"/>
      <c r="IO646" s="162"/>
      <c r="IP646" s="162"/>
      <c r="IQ646" s="162"/>
      <c r="IR646" s="162"/>
      <c r="IS646" s="162"/>
      <c r="IT646" s="162"/>
      <c r="IU646" s="162"/>
      <c r="IV646" s="162"/>
      <c r="IW646" s="162"/>
      <c r="IX646" s="162"/>
      <c r="IY646" s="162"/>
      <c r="IZ646" s="162"/>
      <c r="JA646" s="158"/>
      <c r="JB646" s="162"/>
      <c r="JC646" s="161"/>
      <c r="KY646" s="13"/>
      <c r="KZ646" s="43"/>
      <c r="LA646" s="43"/>
      <c r="LB646" s="45"/>
      <c r="LN646" s="291"/>
      <c r="SW646" s="13"/>
    </row>
    <row r="647" spans="34:517" ht="10.75" customHeight="1">
      <c r="AH647" s="12"/>
      <c r="AI647" s="12"/>
      <c r="AQ647" s="13"/>
      <c r="AR647" s="42"/>
      <c r="AS647" s="43"/>
      <c r="AT647" s="45"/>
      <c r="CL647" s="119"/>
      <c r="CM647" s="119"/>
      <c r="CN647" s="119"/>
      <c r="CO647" s="119"/>
      <c r="CP647" s="119"/>
      <c r="CQ647" s="119"/>
      <c r="CR647" s="119"/>
      <c r="CS647" s="119"/>
      <c r="CT647" s="119"/>
      <c r="CU647" s="119"/>
      <c r="CX647" s="13"/>
      <c r="EX647" s="13"/>
      <c r="EY647" s="43"/>
      <c r="EZ647" s="43"/>
      <c r="FA647" s="45"/>
      <c r="GK647" s="291"/>
      <c r="GS647" s="12"/>
      <c r="HB647" s="13"/>
      <c r="HC647" s="42"/>
      <c r="HD647" s="43"/>
      <c r="HE647" s="45"/>
      <c r="HF647" s="290"/>
      <c r="HG647" s="163"/>
      <c r="HH647" s="163"/>
      <c r="HI647" s="163"/>
      <c r="HJ647" s="163"/>
      <c r="HK647" s="163"/>
      <c r="HL647" s="163"/>
      <c r="HM647" s="163"/>
      <c r="HN647" s="163"/>
      <c r="HO647" s="163"/>
      <c r="HP647" s="163"/>
      <c r="HQ647" s="163"/>
      <c r="HR647" s="163"/>
      <c r="HS647" s="163"/>
      <c r="HT647" s="163"/>
      <c r="HU647" s="163"/>
      <c r="HV647" s="163"/>
      <c r="HW647" s="163"/>
      <c r="HX647" s="163"/>
      <c r="HY647" s="163"/>
      <c r="HZ647" s="163"/>
      <c r="IA647" s="163"/>
      <c r="IB647" s="163"/>
      <c r="IC647" s="163"/>
      <c r="ID647" s="163"/>
      <c r="IE647" s="163"/>
      <c r="IF647" s="163"/>
      <c r="IG647" s="163"/>
      <c r="IH647" s="163"/>
      <c r="II647" s="163"/>
      <c r="IJ647" s="163"/>
      <c r="IK647" s="163"/>
      <c r="IL647" s="163"/>
      <c r="IM647" s="163"/>
      <c r="IN647" s="163"/>
      <c r="IO647" s="163"/>
      <c r="IP647" s="163"/>
      <c r="IQ647" s="163"/>
      <c r="IR647" s="163"/>
      <c r="IS647" s="163"/>
      <c r="IT647" s="163"/>
      <c r="IU647" s="163"/>
      <c r="IV647" s="163"/>
      <c r="IW647" s="163"/>
      <c r="IX647" s="163"/>
      <c r="IY647" s="163"/>
      <c r="IZ647" s="163"/>
      <c r="JA647" s="163"/>
      <c r="JB647" s="163"/>
      <c r="JC647" s="164"/>
      <c r="KY647" s="13"/>
      <c r="KZ647" s="43"/>
      <c r="LA647" s="43"/>
      <c r="LB647" s="45"/>
      <c r="LN647" s="291"/>
      <c r="SW647" s="13"/>
    </row>
    <row r="648" spans="34:517" ht="10.75" customHeight="1">
      <c r="AH648" s="12"/>
      <c r="AI648" s="12"/>
      <c r="AQ648" s="13"/>
      <c r="AR648" s="42"/>
      <c r="AS648" s="43"/>
      <c r="AT648" s="43"/>
      <c r="AU648" s="9"/>
      <c r="AV648" s="10"/>
      <c r="AW648" s="10"/>
      <c r="AX648" s="10"/>
      <c r="AY648" s="10"/>
      <c r="AZ648" s="10"/>
      <c r="BA648" s="10"/>
      <c r="BB648" s="10"/>
      <c r="BC648" s="10"/>
      <c r="BD648" s="10"/>
      <c r="BE648" s="10"/>
      <c r="BF648" s="11"/>
      <c r="BG648" s="9"/>
      <c r="BH648" s="10"/>
      <c r="BI648" s="10"/>
      <c r="BJ648" s="10"/>
      <c r="BK648" s="9"/>
      <c r="BL648" s="10"/>
      <c r="BM648" s="10"/>
      <c r="BN648" s="11"/>
      <c r="BO648" s="10"/>
      <c r="BP648" s="10"/>
      <c r="BQ648" s="10"/>
      <c r="BR648" s="10"/>
      <c r="BS648" s="9"/>
      <c r="BT648" s="10"/>
      <c r="BU648" s="10"/>
      <c r="BV648" s="11"/>
      <c r="BW648" s="10"/>
      <c r="BX648" s="10"/>
      <c r="BY648" s="10"/>
      <c r="BZ648" s="10"/>
      <c r="CA648" s="9"/>
      <c r="CB648" s="10"/>
      <c r="CC648" s="10"/>
      <c r="CD648" s="11"/>
      <c r="CE648" s="10"/>
      <c r="CF648" s="10"/>
      <c r="CG648" s="10"/>
      <c r="CH648" s="10"/>
      <c r="CI648" s="10"/>
      <c r="CJ648" s="10"/>
      <c r="CK648" s="10"/>
      <c r="CL648" s="10"/>
      <c r="CM648" s="10"/>
      <c r="CN648" s="10"/>
      <c r="CO648" s="10"/>
      <c r="CP648" s="10"/>
      <c r="CQ648" s="10"/>
      <c r="CR648" s="10"/>
      <c r="CS648" s="10"/>
      <c r="CT648" s="10"/>
      <c r="CU648" s="10"/>
      <c r="CV648" s="10"/>
      <c r="CW648" s="10"/>
      <c r="CX648" s="10"/>
      <c r="EX648" s="13"/>
      <c r="EY648" s="43"/>
      <c r="EZ648" s="43"/>
      <c r="FA648" s="45"/>
      <c r="GK648" s="291"/>
      <c r="GS648" s="9"/>
      <c r="GT648" s="10"/>
      <c r="GU648" s="10"/>
      <c r="GV648" s="10"/>
      <c r="GW648" s="10"/>
      <c r="GX648" s="10"/>
      <c r="GY648" s="10"/>
      <c r="GZ648" s="10"/>
      <c r="HA648" s="10"/>
      <c r="HB648" s="11"/>
      <c r="HC648" s="42"/>
      <c r="HD648" s="43"/>
      <c r="HE648" s="45"/>
      <c r="HF648" s="9"/>
      <c r="HG648" s="10"/>
      <c r="HH648" s="10"/>
      <c r="HI648" s="10"/>
      <c r="HJ648" s="10"/>
      <c r="HK648" s="10"/>
      <c r="HL648" s="10"/>
      <c r="HM648" s="10"/>
      <c r="HN648" s="10"/>
      <c r="HO648" s="10"/>
      <c r="HP648" s="10"/>
      <c r="HQ648" s="10"/>
      <c r="HR648" s="10"/>
      <c r="HS648" s="10"/>
      <c r="HT648" s="10"/>
      <c r="HU648" s="10"/>
      <c r="HV648" s="10"/>
      <c r="HW648" s="10"/>
      <c r="HX648" s="10"/>
      <c r="HY648" s="10"/>
      <c r="HZ648" s="10"/>
      <c r="IA648" s="10"/>
      <c r="IB648" s="10"/>
      <c r="IC648" s="10"/>
      <c r="ID648" s="10"/>
      <c r="IE648" s="10"/>
      <c r="IF648" s="10"/>
      <c r="IG648" s="10"/>
      <c r="IH648" s="10"/>
      <c r="II648" s="10"/>
      <c r="IJ648" s="10"/>
      <c r="IK648" s="10"/>
      <c r="IL648" s="10"/>
      <c r="IM648" s="10"/>
      <c r="IN648" s="10"/>
      <c r="IO648" s="10"/>
      <c r="IP648" s="10"/>
      <c r="IQ648" s="10"/>
      <c r="IR648" s="10"/>
      <c r="IS648" s="10"/>
      <c r="IT648" s="10"/>
      <c r="IU648" s="10"/>
      <c r="IV648" s="10"/>
      <c r="IW648" s="10"/>
      <c r="IX648" s="10"/>
      <c r="IY648" s="10"/>
      <c r="IZ648" s="10"/>
      <c r="JA648" s="11"/>
      <c r="JC648" s="13"/>
      <c r="JI648" s="300"/>
      <c r="JJ648" s="301"/>
      <c r="KY648" s="13"/>
      <c r="KZ648" s="43"/>
      <c r="LA648" s="43"/>
      <c r="LB648" s="45"/>
      <c r="LN648" s="291"/>
      <c r="SW648" s="13"/>
    </row>
    <row r="649" spans="34:517" ht="10.75" customHeight="1">
      <c r="AH649" s="12"/>
      <c r="AI649" s="12"/>
      <c r="AQ649" s="13"/>
      <c r="AR649" s="42"/>
      <c r="AS649" s="43"/>
      <c r="AT649" s="43"/>
      <c r="AU649" s="12"/>
      <c r="BF649" s="13"/>
      <c r="BG649" s="12"/>
      <c r="BK649" s="12"/>
      <c r="BN649" s="13"/>
      <c r="BS649" s="12"/>
      <c r="BV649" s="13"/>
      <c r="CA649" s="12"/>
      <c r="CD649" s="13"/>
      <c r="EX649" s="13"/>
      <c r="EY649" s="43"/>
      <c r="EZ649" s="43"/>
      <c r="FA649" s="45"/>
      <c r="GK649" s="291"/>
      <c r="GS649" s="12"/>
      <c r="HB649" s="13"/>
      <c r="HC649" s="42"/>
      <c r="HD649" s="43"/>
      <c r="HE649" s="45"/>
      <c r="HF649" s="12"/>
      <c r="JA649" s="13"/>
      <c r="JC649" s="13"/>
      <c r="JI649" s="297"/>
      <c r="KY649" s="13"/>
      <c r="KZ649" s="43"/>
      <c r="LA649" s="43"/>
      <c r="LB649" s="45"/>
      <c r="LN649" s="291"/>
      <c r="SW649" s="13"/>
    </row>
    <row r="650" spans="34:517" ht="10.75" customHeight="1">
      <c r="AH650" s="12"/>
      <c r="AI650" s="12"/>
      <c r="AQ650" s="13"/>
      <c r="AR650" s="42"/>
      <c r="AS650" s="43"/>
      <c r="AT650" s="43"/>
      <c r="AU650" s="12"/>
      <c r="BF650" s="13"/>
      <c r="BG650" s="12"/>
      <c r="BK650" s="12"/>
      <c r="BN650" s="13"/>
      <c r="BS650" s="12"/>
      <c r="BV650" s="13"/>
      <c r="CA650" s="12"/>
      <c r="CD650" s="13"/>
      <c r="EX650" s="13"/>
      <c r="EY650" s="43"/>
      <c r="EZ650" s="43"/>
      <c r="FA650" s="45"/>
      <c r="GK650" s="291"/>
      <c r="GS650" s="12"/>
      <c r="HB650" s="13"/>
      <c r="HC650" s="42"/>
      <c r="HD650" s="43"/>
      <c r="HE650" s="45"/>
      <c r="HF650" s="12"/>
      <c r="JA650" s="13"/>
      <c r="JC650" s="13"/>
      <c r="JI650" s="297"/>
      <c r="KY650" s="13"/>
      <c r="KZ650" s="43"/>
      <c r="LA650" s="43"/>
      <c r="LB650" s="45"/>
      <c r="LN650" s="291"/>
      <c r="SK650" s="15"/>
      <c r="SL650" s="15"/>
      <c r="SM650" s="15"/>
      <c r="SN650" s="15"/>
      <c r="SO650" s="15"/>
      <c r="SP650" s="15"/>
      <c r="SQ650" s="15"/>
      <c r="SR650" s="15"/>
      <c r="SS650" s="15"/>
      <c r="ST650" s="15"/>
      <c r="SU650" s="15"/>
      <c r="SV650" s="15"/>
      <c r="SW650" s="16"/>
    </row>
    <row r="651" spans="34:517" ht="10.75" customHeight="1">
      <c r="AH651" s="12"/>
      <c r="AI651" s="12"/>
      <c r="AQ651" s="13"/>
      <c r="AR651" s="42"/>
      <c r="AS651" s="43"/>
      <c r="AT651" s="43"/>
      <c r="AU651" s="12"/>
      <c r="BF651" s="13"/>
      <c r="BG651" s="12"/>
      <c r="BK651" s="12"/>
      <c r="BN651" s="13"/>
      <c r="BS651" s="12"/>
      <c r="BV651" s="13"/>
      <c r="CA651" s="12"/>
      <c r="CD651" s="13"/>
      <c r="EX651" s="13"/>
      <c r="EY651" s="43"/>
      <c r="EZ651" s="43"/>
      <c r="FA651" s="45"/>
      <c r="GK651" s="291"/>
      <c r="GS651" s="14"/>
      <c r="GT651" s="15"/>
      <c r="GU651" s="15"/>
      <c r="GV651" s="15"/>
      <c r="GW651" s="15"/>
      <c r="GX651" s="15"/>
      <c r="GY651" s="15"/>
      <c r="GZ651" s="15"/>
      <c r="HA651" s="15"/>
      <c r="HB651" s="16"/>
      <c r="HC651" s="42"/>
      <c r="HD651" s="43"/>
      <c r="HE651" s="45"/>
      <c r="HF651" s="12"/>
      <c r="HN651" s="291"/>
      <c r="IS651" s="297"/>
      <c r="JA651" s="13"/>
      <c r="JC651" s="13"/>
      <c r="JI651" s="297"/>
      <c r="KY651" s="13"/>
      <c r="KZ651" s="43"/>
      <c r="LA651" s="43"/>
      <c r="LB651" s="45"/>
      <c r="LN651" s="291"/>
      <c r="SL651" s="10"/>
      <c r="SM651" s="10"/>
      <c r="SN651" s="10"/>
      <c r="SO651" s="10"/>
      <c r="SP651" s="10"/>
      <c r="SQ651" s="10"/>
      <c r="SR651" s="10"/>
      <c r="SS651" s="10"/>
      <c r="ST651" s="10"/>
      <c r="SU651" s="10"/>
      <c r="SV651" s="10"/>
      <c r="SW651" s="13"/>
    </row>
    <row r="652" spans="34:517" ht="10.75" customHeight="1">
      <c r="AH652" s="12"/>
      <c r="AI652" s="12"/>
      <c r="AQ652" s="13"/>
      <c r="AR652" s="42"/>
      <c r="AS652" s="43"/>
      <c r="AT652" s="43"/>
      <c r="AU652" s="12"/>
      <c r="BF652" s="13"/>
      <c r="BG652" s="12"/>
      <c r="BK652" s="12"/>
      <c r="BN652" s="13"/>
      <c r="BS652" s="12"/>
      <c r="BV652" s="13"/>
      <c r="CA652" s="12"/>
      <c r="CD652" s="13"/>
      <c r="EX652" s="13"/>
      <c r="EY652" s="43"/>
      <c r="EZ652" s="43"/>
      <c r="FA652" s="45"/>
      <c r="GK652" s="291"/>
      <c r="GS652" s="12"/>
      <c r="HB652" s="13"/>
      <c r="HC652" s="42"/>
      <c r="HD652" s="43"/>
      <c r="HE652" s="45"/>
      <c r="HF652" s="12"/>
      <c r="HN652" s="302"/>
      <c r="HO652" s="301"/>
      <c r="HP652" s="301"/>
      <c r="HQ652" s="301"/>
      <c r="HR652" s="301"/>
      <c r="HS652" s="301"/>
      <c r="HT652" s="301"/>
      <c r="HU652" s="301"/>
      <c r="HV652" s="301"/>
      <c r="HW652" s="301"/>
      <c r="HX652" s="301"/>
      <c r="HY652" s="301"/>
      <c r="HZ652" s="301"/>
      <c r="IA652" s="301"/>
      <c r="IB652" s="301"/>
      <c r="IC652" s="301"/>
      <c r="ID652" s="301"/>
      <c r="IE652" s="301"/>
      <c r="IF652" s="301"/>
      <c r="IG652" s="301"/>
      <c r="IH652" s="301"/>
      <c r="II652" s="301"/>
      <c r="IJ652" s="301"/>
      <c r="IK652" s="301"/>
      <c r="IL652" s="301"/>
      <c r="IM652" s="301"/>
      <c r="IN652" s="301"/>
      <c r="IO652" s="301"/>
      <c r="IP652" s="301"/>
      <c r="IQ652" s="301"/>
      <c r="IR652" s="301"/>
      <c r="IS652" s="300"/>
      <c r="JA652" s="13"/>
      <c r="JC652" s="13"/>
      <c r="JI652" s="297"/>
      <c r="KY652" s="13"/>
      <c r="KZ652" s="43"/>
      <c r="LA652" s="43"/>
      <c r="LB652" s="45"/>
      <c r="LN652" s="291"/>
      <c r="SW652" s="13"/>
    </row>
    <row r="653" spans="34:517" ht="10.75" customHeight="1">
      <c r="AH653" s="12"/>
      <c r="AI653" s="12"/>
      <c r="AQ653" s="13"/>
      <c r="AR653" s="42"/>
      <c r="AS653" s="43"/>
      <c r="AT653" s="43"/>
      <c r="AU653" s="12"/>
      <c r="BF653" s="13"/>
      <c r="BG653" s="12"/>
      <c r="BK653" s="12"/>
      <c r="BN653" s="13"/>
      <c r="BS653" s="12"/>
      <c r="BV653" s="13"/>
      <c r="CA653" s="12"/>
      <c r="CD653" s="13"/>
      <c r="EX653" s="13"/>
      <c r="EY653" s="43"/>
      <c r="EZ653" s="43"/>
      <c r="FA653" s="45"/>
      <c r="GK653" s="291"/>
      <c r="GS653" s="12"/>
      <c r="HB653" s="13"/>
      <c r="HC653" s="42"/>
      <c r="HD653" s="43"/>
      <c r="HE653" s="45"/>
      <c r="HF653" s="12"/>
      <c r="JA653" s="13"/>
      <c r="JC653" s="13"/>
      <c r="JI653" s="297"/>
      <c r="KY653" s="13"/>
      <c r="KZ653" s="43"/>
      <c r="LA653" s="43"/>
      <c r="LB653" s="45"/>
      <c r="LN653" s="291"/>
      <c r="SW653" s="13"/>
    </row>
    <row r="654" spans="34:517" ht="10.75" customHeight="1">
      <c r="AH654" s="12"/>
      <c r="AI654" s="12"/>
      <c r="AQ654" s="13"/>
      <c r="AR654" s="42"/>
      <c r="AS654" s="43"/>
      <c r="AT654" s="43"/>
      <c r="AU654" s="12"/>
      <c r="BF654" s="13"/>
      <c r="BG654" s="12"/>
      <c r="BK654" s="12"/>
      <c r="BN654" s="13"/>
      <c r="BS654" s="12"/>
      <c r="BV654" s="13"/>
      <c r="CA654" s="12"/>
      <c r="CD654" s="13"/>
      <c r="EX654" s="13"/>
      <c r="EY654" s="43"/>
      <c r="EZ654" s="43"/>
      <c r="FA654" s="45"/>
      <c r="GK654" s="291"/>
      <c r="GS654" s="12"/>
      <c r="HB654" s="13"/>
      <c r="HC654" s="42"/>
      <c r="HD654" s="43"/>
      <c r="HE654" s="45"/>
      <c r="HF654" s="12"/>
      <c r="JA654" s="13"/>
      <c r="JC654" s="13"/>
      <c r="JI654" s="297"/>
      <c r="KY654" s="13"/>
      <c r="KZ654" s="43"/>
      <c r="LA654" s="43"/>
      <c r="LB654" s="45"/>
      <c r="LN654" s="291"/>
      <c r="SW654" s="13"/>
    </row>
    <row r="655" spans="34:517" ht="10.75" customHeight="1">
      <c r="AH655" s="12"/>
      <c r="AI655" s="12"/>
      <c r="AQ655" s="13"/>
      <c r="AR655" s="42"/>
      <c r="AS655" s="43"/>
      <c r="AT655" s="43"/>
      <c r="AU655" s="12"/>
      <c r="BF655" s="13"/>
      <c r="BG655" s="12"/>
      <c r="BK655" s="12"/>
      <c r="BN655" s="13"/>
      <c r="BS655" s="12"/>
      <c r="BV655" s="13"/>
      <c r="CA655" s="12"/>
      <c r="CD655" s="13"/>
      <c r="EX655" s="13"/>
      <c r="EY655" s="43"/>
      <c r="EZ655" s="43"/>
      <c r="FA655" s="45"/>
      <c r="GK655" s="291"/>
      <c r="GS655" s="12"/>
      <c r="HB655" s="13"/>
      <c r="HC655" s="42"/>
      <c r="HD655" s="43"/>
      <c r="HE655" s="45"/>
      <c r="HF655" s="12"/>
      <c r="JA655" s="13"/>
      <c r="JC655" s="13"/>
      <c r="JI655" s="297"/>
      <c r="KY655" s="13"/>
      <c r="KZ655" s="43"/>
      <c r="LA655" s="43"/>
      <c r="LB655" s="45"/>
      <c r="LN655" s="291"/>
      <c r="SW655" s="13"/>
    </row>
    <row r="656" spans="34:517" ht="10.75" customHeight="1">
      <c r="AH656" s="12"/>
      <c r="AI656" s="14"/>
      <c r="AJ656" s="15"/>
      <c r="AK656" s="15"/>
      <c r="AL656" s="15"/>
      <c r="AM656" s="15"/>
      <c r="AN656" s="15"/>
      <c r="AO656" s="15"/>
      <c r="AP656" s="15"/>
      <c r="AQ656" s="16"/>
      <c r="AR656" s="42"/>
      <c r="AS656" s="43"/>
      <c r="AT656" s="43"/>
      <c r="AU656" s="12"/>
      <c r="BF656" s="13"/>
      <c r="BG656" s="12"/>
      <c r="BK656" s="14"/>
      <c r="BL656" s="15"/>
      <c r="BM656" s="15"/>
      <c r="BN656" s="16"/>
      <c r="BS656" s="14"/>
      <c r="BT656" s="15"/>
      <c r="BU656" s="15"/>
      <c r="BV656" s="16"/>
      <c r="CA656" s="14"/>
      <c r="CB656" s="15"/>
      <c r="CC656" s="15"/>
      <c r="CD656" s="16"/>
      <c r="EX656" s="13"/>
      <c r="EY656" s="43"/>
      <c r="EZ656" s="43"/>
      <c r="FA656" s="45"/>
      <c r="GK656" s="291"/>
      <c r="GS656" s="9"/>
      <c r="GT656" s="10"/>
      <c r="GU656" s="10"/>
      <c r="GV656" s="10"/>
      <c r="GW656" s="10"/>
      <c r="GX656" s="10"/>
      <c r="GY656" s="10"/>
      <c r="GZ656" s="10"/>
      <c r="HA656" s="10"/>
      <c r="HB656" s="11"/>
      <c r="HC656" s="42"/>
      <c r="HD656" s="43"/>
      <c r="HE656" s="45"/>
      <c r="HF656" s="12"/>
      <c r="HN656" s="9"/>
      <c r="HO656" s="10"/>
      <c r="HP656" s="10"/>
      <c r="HQ656" s="10"/>
      <c r="HR656" s="10"/>
      <c r="HS656" s="10"/>
      <c r="HT656" s="10"/>
      <c r="HU656" s="10"/>
      <c r="HV656" s="10"/>
      <c r="HW656" s="10"/>
      <c r="HX656" s="10"/>
      <c r="HY656" s="10"/>
      <c r="HZ656" s="10"/>
      <c r="IA656" s="10"/>
      <c r="IB656" s="10"/>
      <c r="IC656" s="10"/>
      <c r="ID656" s="10"/>
      <c r="IE656" s="10"/>
      <c r="IF656" s="10"/>
      <c r="IG656" s="10"/>
      <c r="IH656" s="10"/>
      <c r="II656" s="10"/>
      <c r="IJ656" s="10"/>
      <c r="IK656" s="10"/>
      <c r="IL656" s="10"/>
      <c r="IM656" s="10"/>
      <c r="IN656" s="10"/>
      <c r="IO656" s="10"/>
      <c r="IP656" s="10"/>
      <c r="IQ656" s="10"/>
      <c r="IR656" s="10"/>
      <c r="IS656" s="11"/>
      <c r="JA656" s="13"/>
      <c r="JC656" s="13"/>
      <c r="JI656" s="297"/>
      <c r="KY656" s="13"/>
      <c r="KZ656" s="43"/>
      <c r="LA656" s="43"/>
      <c r="LB656" s="45"/>
      <c r="LN656" s="291"/>
      <c r="SW656" s="13"/>
    </row>
    <row r="657" spans="34:517" ht="10.75" customHeight="1">
      <c r="AH657" s="14"/>
      <c r="AI657" s="15"/>
      <c r="AJ657" s="15"/>
      <c r="AK657" s="15"/>
      <c r="AL657" s="15"/>
      <c r="AM657" s="15"/>
      <c r="AN657" s="15"/>
      <c r="AO657" s="15"/>
      <c r="AP657" s="15"/>
      <c r="AQ657" s="16"/>
      <c r="AR657" s="42"/>
      <c r="AS657" s="43"/>
      <c r="AT657" s="43"/>
      <c r="AU657" s="20"/>
      <c r="AV657" s="21"/>
      <c r="AW657" s="21"/>
      <c r="AX657" s="21"/>
      <c r="AY657" s="21"/>
      <c r="AZ657" s="21"/>
      <c r="BA657" s="21"/>
      <c r="BB657" s="21"/>
      <c r="BC657" s="21"/>
      <c r="BD657" s="21"/>
      <c r="BE657" s="21"/>
      <c r="BF657" s="22"/>
      <c r="BG657" s="20"/>
      <c r="BH657" s="21"/>
      <c r="BI657" s="21"/>
      <c r="BJ657" s="21"/>
      <c r="BK657" s="21"/>
      <c r="BL657" s="21"/>
      <c r="BM657" s="21"/>
      <c r="BN657" s="21"/>
      <c r="BO657" s="21"/>
      <c r="BP657" s="21"/>
      <c r="BQ657" s="21"/>
      <c r="BR657" s="21"/>
      <c r="BS657" s="21"/>
      <c r="BT657" s="21"/>
      <c r="BU657" s="21"/>
      <c r="BV657" s="21"/>
      <c r="BW657" s="21"/>
      <c r="BX657" s="21"/>
      <c r="BY657" s="21"/>
      <c r="BZ657" s="21"/>
      <c r="CA657" s="21"/>
      <c r="CB657" s="21"/>
      <c r="CC657" s="21"/>
      <c r="CD657" s="22"/>
      <c r="EX657" s="13"/>
      <c r="EY657" s="43"/>
      <c r="EZ657" s="43"/>
      <c r="FA657" s="45"/>
      <c r="GK657" s="291"/>
      <c r="GS657" s="12"/>
      <c r="HB657" s="13"/>
      <c r="HC657" s="42"/>
      <c r="HD657" s="43"/>
      <c r="HE657" s="45"/>
      <c r="HF657" s="12"/>
      <c r="HN657" s="12"/>
      <c r="IS657" s="13"/>
      <c r="JA657" s="13"/>
      <c r="JC657" s="13"/>
      <c r="JI657" s="297"/>
      <c r="KY657" s="13"/>
      <c r="KZ657" s="43"/>
      <c r="LA657" s="43"/>
      <c r="LB657" s="45"/>
      <c r="LN657" s="291"/>
      <c r="SW657" s="13"/>
    </row>
    <row r="658" spans="34:517" ht="10.75" customHeight="1">
      <c r="AR658" s="42"/>
      <c r="AS658" s="43"/>
      <c r="AT658" s="43"/>
      <c r="AU658" s="9"/>
      <c r="AV658" s="10"/>
      <c r="AW658" s="10"/>
      <c r="AX658" s="10"/>
      <c r="AY658" s="10"/>
      <c r="AZ658" s="10"/>
      <c r="BA658" s="10"/>
      <c r="BB658" s="10"/>
      <c r="BC658" s="9"/>
      <c r="BD658" s="10"/>
      <c r="BE658" s="10"/>
      <c r="BF658" s="10"/>
      <c r="BG658" s="10"/>
      <c r="BH658" s="10"/>
      <c r="BI658" s="10"/>
      <c r="BJ658" s="10"/>
      <c r="BK658" s="10"/>
      <c r="BL658" s="10"/>
      <c r="BM658" s="10"/>
      <c r="BN658" s="10"/>
      <c r="BO658" s="10"/>
      <c r="BP658" s="10"/>
      <c r="BQ658" s="10"/>
      <c r="BR658" s="10"/>
      <c r="BS658" s="10"/>
      <c r="BT658" s="10"/>
      <c r="BU658" s="10"/>
      <c r="BV658" s="10"/>
      <c r="BW658" s="10"/>
      <c r="BX658" s="10"/>
      <c r="BY658" s="10"/>
      <c r="BZ658" s="10"/>
      <c r="CA658" s="10"/>
      <c r="CB658" s="10"/>
      <c r="CC658" s="10"/>
      <c r="CD658" s="10"/>
      <c r="EX658" s="13"/>
      <c r="EY658" s="43"/>
      <c r="EZ658" s="43"/>
      <c r="FA658" s="45"/>
      <c r="GK658" s="291"/>
      <c r="GS658" s="12"/>
      <c r="HB658" s="13"/>
      <c r="HC658" s="42"/>
      <c r="HD658" s="43"/>
      <c r="HE658" s="45"/>
      <c r="HF658" s="12"/>
      <c r="HN658" s="12"/>
      <c r="IS658" s="13"/>
      <c r="JA658" s="13"/>
      <c r="JC658" s="13"/>
      <c r="JI658" s="297"/>
      <c r="KY658" s="13"/>
      <c r="KZ658" s="43"/>
      <c r="LA658" s="43"/>
      <c r="LB658" s="45"/>
      <c r="LN658" s="291"/>
      <c r="SW658" s="13"/>
    </row>
    <row r="659" spans="34:517" ht="10.75" customHeight="1">
      <c r="AR659" s="42"/>
      <c r="AS659" s="43"/>
      <c r="AT659" s="43"/>
      <c r="AU659" s="12"/>
      <c r="BC659" s="12"/>
      <c r="EX659" s="13"/>
      <c r="EY659" s="43"/>
      <c r="EZ659" s="43"/>
      <c r="FA659" s="45"/>
      <c r="GK659" s="291"/>
      <c r="GS659" s="14"/>
      <c r="GT659" s="15"/>
      <c r="GU659" s="15"/>
      <c r="GV659" s="15"/>
      <c r="GW659" s="15"/>
      <c r="GX659" s="15"/>
      <c r="GY659" s="15"/>
      <c r="GZ659" s="15"/>
      <c r="HA659" s="15"/>
      <c r="HB659" s="16"/>
      <c r="HC659" s="42"/>
      <c r="HD659" s="43"/>
      <c r="HE659" s="45"/>
      <c r="HF659" s="12"/>
      <c r="HN659" s="12"/>
      <c r="IS659" s="13"/>
      <c r="JA659" s="13"/>
      <c r="JC659" s="13"/>
      <c r="JI659" s="297"/>
      <c r="KY659" s="13"/>
      <c r="KZ659" s="43"/>
      <c r="LA659" s="43"/>
      <c r="LB659" s="45"/>
      <c r="LN659" s="291"/>
      <c r="SW659" s="13"/>
    </row>
    <row r="660" spans="34:517" ht="10.75" customHeight="1">
      <c r="AR660" s="42"/>
      <c r="AS660" s="43"/>
      <c r="AT660" s="43"/>
      <c r="AU660" s="12"/>
      <c r="BC660" s="12"/>
      <c r="EX660" s="13"/>
      <c r="EY660" s="43"/>
      <c r="EZ660" s="43"/>
      <c r="FA660" s="45"/>
      <c r="GK660" s="291"/>
      <c r="GS660" s="12"/>
      <c r="HB660" s="13"/>
      <c r="HC660" s="42"/>
      <c r="HD660" s="43"/>
      <c r="HE660" s="45"/>
      <c r="HF660" s="12"/>
      <c r="HN660" s="12"/>
      <c r="IS660" s="13"/>
      <c r="JA660" s="13"/>
      <c r="JC660" s="13"/>
      <c r="JI660" s="297"/>
      <c r="KY660" s="13"/>
      <c r="KZ660" s="43"/>
      <c r="LA660" s="43"/>
      <c r="LB660" s="45"/>
      <c r="LN660" s="291"/>
      <c r="SW660" s="13"/>
    </row>
    <row r="661" spans="34:517" ht="10.75" customHeight="1">
      <c r="AR661" s="42"/>
      <c r="AS661" s="43"/>
      <c r="AT661" s="43"/>
      <c r="AU661" s="12"/>
      <c r="BC661" s="12"/>
      <c r="EX661" s="13"/>
      <c r="EY661" s="43"/>
      <c r="EZ661" s="43"/>
      <c r="FA661" s="45"/>
      <c r="GK661" s="291"/>
      <c r="GS661" s="12"/>
      <c r="HB661" s="13"/>
      <c r="HC661" s="42"/>
      <c r="HD661" s="43"/>
      <c r="HE661" s="45"/>
      <c r="HF661" s="12"/>
      <c r="HN661" s="12"/>
      <c r="IS661" s="13"/>
      <c r="JA661" s="13"/>
      <c r="JC661" s="13"/>
      <c r="JI661" s="297"/>
      <c r="KY661" s="13"/>
      <c r="KZ661" s="43"/>
      <c r="LA661" s="43"/>
      <c r="LB661" s="45"/>
      <c r="LN661" s="291"/>
      <c r="SW661" s="13"/>
    </row>
    <row r="662" spans="34:517" ht="10.75" customHeight="1">
      <c r="AR662" s="42"/>
      <c r="AS662" s="43"/>
      <c r="AT662" s="43"/>
      <c r="AU662" s="12"/>
      <c r="BC662" s="12"/>
      <c r="EX662" s="13"/>
      <c r="EY662" s="43"/>
      <c r="EZ662" s="43"/>
      <c r="FA662" s="45"/>
      <c r="GK662" s="291"/>
      <c r="GS662" s="12"/>
      <c r="HB662" s="13"/>
      <c r="HC662" s="42"/>
      <c r="HD662" s="43"/>
      <c r="HE662" s="45"/>
      <c r="HF662" s="12"/>
      <c r="HN662" s="12"/>
      <c r="IS662" s="13"/>
      <c r="JA662" s="13"/>
      <c r="JC662" s="13"/>
      <c r="JI662" s="297"/>
      <c r="KY662" s="13"/>
      <c r="KZ662" s="43"/>
      <c r="LA662" s="43"/>
      <c r="LB662" s="45"/>
      <c r="LN662" s="291"/>
      <c r="SK662" s="15"/>
      <c r="SL662" s="15"/>
      <c r="SM662" s="15"/>
      <c r="SN662" s="15"/>
      <c r="SO662" s="15"/>
      <c r="SP662" s="15"/>
      <c r="SQ662" s="15"/>
      <c r="SR662" s="15"/>
      <c r="SS662" s="15"/>
      <c r="ST662" s="15"/>
      <c r="SU662" s="15"/>
      <c r="SV662" s="15"/>
      <c r="SW662" s="16"/>
    </row>
    <row r="663" spans="34:517" ht="10.75" customHeight="1">
      <c r="AR663" s="42"/>
      <c r="AS663" s="43"/>
      <c r="AT663" s="43"/>
      <c r="AU663" s="12"/>
      <c r="BC663" s="12"/>
      <c r="EX663" s="13"/>
      <c r="EY663" s="43"/>
      <c r="EZ663" s="43"/>
      <c r="FA663" s="45"/>
      <c r="GK663" s="291"/>
      <c r="GS663" s="12"/>
      <c r="HB663" s="13"/>
      <c r="HC663" s="42"/>
      <c r="HD663" s="43"/>
      <c r="HE663" s="45"/>
      <c r="HF663" s="12"/>
      <c r="HN663" s="12"/>
      <c r="IS663" s="13"/>
      <c r="JA663" s="13"/>
      <c r="JC663" s="13"/>
      <c r="JI663" s="297"/>
      <c r="KY663" s="13"/>
      <c r="KZ663" s="43"/>
      <c r="LA663" s="43"/>
      <c r="LB663" s="45"/>
      <c r="LN663" s="291"/>
      <c r="SL663" s="10"/>
      <c r="SM663" s="10"/>
      <c r="SN663" s="10"/>
      <c r="SO663" s="10"/>
      <c r="SP663" s="10"/>
      <c r="SQ663" s="10"/>
      <c r="SR663" s="10"/>
      <c r="SS663" s="10"/>
      <c r="ST663" s="10"/>
      <c r="SU663" s="10"/>
      <c r="SV663" s="10"/>
      <c r="SW663" s="13"/>
    </row>
    <row r="664" spans="34:517" ht="10.75" customHeight="1">
      <c r="AR664" s="42"/>
      <c r="AS664" s="43"/>
      <c r="AT664" s="43"/>
      <c r="AU664" s="12"/>
      <c r="BC664" s="12"/>
      <c r="EX664" s="13"/>
      <c r="EY664" s="43"/>
      <c r="EZ664" s="43"/>
      <c r="FA664" s="45"/>
      <c r="GK664" s="291"/>
      <c r="GS664" s="9"/>
      <c r="GT664" s="10"/>
      <c r="GU664" s="10"/>
      <c r="GV664" s="10"/>
      <c r="GW664" s="10"/>
      <c r="GX664" s="10"/>
      <c r="GY664" s="10"/>
      <c r="GZ664" s="10"/>
      <c r="HA664" s="10"/>
      <c r="HB664" s="11"/>
      <c r="HC664" s="42"/>
      <c r="HD664" s="43"/>
      <c r="HE664" s="45"/>
      <c r="HF664" s="12"/>
      <c r="HN664" s="12"/>
      <c r="IS664" s="13"/>
      <c r="JA664" s="13"/>
      <c r="JC664" s="13"/>
      <c r="JI664" s="297"/>
      <c r="KY664" s="13"/>
      <c r="KZ664" s="43"/>
      <c r="LA664" s="43"/>
      <c r="LB664" s="45"/>
      <c r="LN664" s="291"/>
      <c r="SW664" s="13"/>
    </row>
    <row r="665" spans="34:517" ht="10.75" customHeight="1">
      <c r="AR665" s="42"/>
      <c r="AS665" s="43"/>
      <c r="AT665" s="43"/>
      <c r="AU665" s="12"/>
      <c r="BC665" s="12"/>
      <c r="EX665" s="13"/>
      <c r="EY665" s="43"/>
      <c r="EZ665" s="43"/>
      <c r="FA665" s="45"/>
      <c r="GK665" s="291"/>
      <c r="GS665" s="12"/>
      <c r="HB665" s="13"/>
      <c r="HC665" s="42"/>
      <c r="HD665" s="43"/>
      <c r="HE665" s="45"/>
      <c r="HF665" s="12"/>
      <c r="HN665" s="12"/>
      <c r="IS665" s="13"/>
      <c r="JA665" s="13"/>
      <c r="JC665" s="13"/>
      <c r="JI665" s="297"/>
      <c r="KY665" s="13"/>
      <c r="KZ665" s="43"/>
      <c r="LA665" s="43"/>
      <c r="LB665" s="45"/>
      <c r="LN665" s="291"/>
      <c r="SW665" s="13"/>
    </row>
    <row r="666" spans="34:517" ht="10.75" customHeight="1">
      <c r="AR666" s="42"/>
      <c r="AS666" s="43"/>
      <c r="AT666" s="43"/>
      <c r="AU666" s="12"/>
      <c r="BC666" s="12"/>
      <c r="CV666" s="13"/>
      <c r="CW666" s="9"/>
      <c r="CX666" s="11"/>
      <c r="EX666" s="13"/>
      <c r="EY666" s="43"/>
      <c r="EZ666" s="43"/>
      <c r="FA666" s="45"/>
      <c r="GK666" s="291"/>
      <c r="GS666" s="12"/>
      <c r="HB666" s="13"/>
      <c r="HC666" s="42"/>
      <c r="HD666" s="43"/>
      <c r="HE666" s="45"/>
      <c r="HF666" s="12"/>
      <c r="HN666" s="12"/>
      <c r="IS666" s="13"/>
      <c r="JA666" s="13"/>
      <c r="JC666" s="13"/>
      <c r="JI666" s="297"/>
      <c r="KY666" s="13"/>
      <c r="KZ666" s="43"/>
      <c r="LA666" s="43"/>
      <c r="LB666" s="45"/>
      <c r="LN666" s="291"/>
      <c r="SW666" s="13"/>
    </row>
    <row r="667" spans="34:517" ht="10.75" customHeight="1">
      <c r="AR667" s="42"/>
      <c r="AS667" s="43"/>
      <c r="AT667" s="43"/>
      <c r="AU667" s="12"/>
      <c r="BC667" s="12"/>
      <c r="CV667" s="13"/>
      <c r="CW667" s="12"/>
      <c r="CX667" s="13"/>
      <c r="EX667" s="13"/>
      <c r="EY667" s="43"/>
      <c r="EZ667" s="43"/>
      <c r="FA667" s="45"/>
      <c r="GK667" s="291"/>
      <c r="GS667" s="14"/>
      <c r="GT667" s="15"/>
      <c r="GU667" s="15"/>
      <c r="GV667" s="15"/>
      <c r="GW667" s="15"/>
      <c r="GX667" s="15"/>
      <c r="GY667" s="15"/>
      <c r="GZ667" s="15"/>
      <c r="HA667" s="15"/>
      <c r="HB667" s="16"/>
      <c r="HC667" s="42"/>
      <c r="HD667" s="43"/>
      <c r="HE667" s="45"/>
      <c r="HF667" s="12"/>
      <c r="HN667" s="12"/>
      <c r="IS667" s="13"/>
      <c r="JA667" s="13"/>
      <c r="JC667" s="13"/>
      <c r="JI667" s="297"/>
      <c r="KY667" s="13"/>
      <c r="KZ667" s="43"/>
      <c r="LA667" s="43"/>
      <c r="LB667" s="45"/>
      <c r="LN667" s="291"/>
      <c r="SW667" s="13"/>
    </row>
    <row r="668" spans="34:517" ht="10.75" customHeight="1">
      <c r="AR668" s="42"/>
      <c r="AS668" s="43"/>
      <c r="AT668" s="43"/>
      <c r="AU668" s="12"/>
      <c r="BC668" s="12"/>
      <c r="CV668" s="13"/>
      <c r="CW668" s="12"/>
      <c r="CX668" s="13"/>
      <c r="EX668" s="13"/>
      <c r="EY668" s="43"/>
      <c r="EZ668" s="43"/>
      <c r="FA668" s="45"/>
      <c r="GK668" s="291"/>
      <c r="GS668" s="12"/>
      <c r="HB668" s="13"/>
      <c r="HC668" s="42"/>
      <c r="HD668" s="43"/>
      <c r="HE668" s="45"/>
      <c r="HF668" s="12"/>
      <c r="HN668" s="12"/>
      <c r="IS668" s="13"/>
      <c r="JA668" s="13"/>
      <c r="JC668" s="13"/>
      <c r="JI668" s="297"/>
      <c r="KY668" s="13"/>
      <c r="KZ668" s="43"/>
      <c r="LA668" s="43"/>
      <c r="LB668" s="45"/>
      <c r="LN668" s="291"/>
      <c r="SW668" s="13"/>
    </row>
    <row r="669" spans="34:517" ht="10.75" customHeight="1">
      <c r="AR669" s="42"/>
      <c r="AS669" s="43"/>
      <c r="AT669" s="43"/>
      <c r="AU669" s="12"/>
      <c r="BC669" s="12"/>
      <c r="CV669" s="13"/>
      <c r="CW669" s="12"/>
      <c r="CX669" s="13"/>
      <c r="EX669" s="13"/>
      <c r="EY669" s="43"/>
      <c r="EZ669" s="43"/>
      <c r="FA669" s="45"/>
      <c r="GK669" s="291"/>
      <c r="GS669" s="12"/>
      <c r="HB669" s="13"/>
      <c r="HC669" s="42"/>
      <c r="HD669" s="43"/>
      <c r="HE669" s="45"/>
      <c r="HF669" s="12"/>
      <c r="HN669" s="12"/>
      <c r="IS669" s="13"/>
      <c r="JA669" s="13"/>
      <c r="JC669" s="13"/>
      <c r="JI669" s="297"/>
      <c r="KY669" s="13"/>
      <c r="KZ669" s="43"/>
      <c r="LA669" s="43"/>
      <c r="LB669" s="45"/>
      <c r="LN669" s="291"/>
      <c r="SW669" s="13"/>
    </row>
    <row r="670" spans="34:517" ht="10.75" customHeight="1">
      <c r="AR670" s="42"/>
      <c r="AS670" s="43"/>
      <c r="AT670" s="43"/>
      <c r="AU670" s="12"/>
      <c r="BC670" s="12"/>
      <c r="CV670" s="13"/>
      <c r="CW670" s="12"/>
      <c r="CX670" s="13"/>
      <c r="EX670" s="13"/>
      <c r="EY670" s="43"/>
      <c r="EZ670" s="43"/>
      <c r="FA670" s="45"/>
      <c r="GK670" s="291"/>
      <c r="GS670" s="12"/>
      <c r="HB670" s="13"/>
      <c r="HC670" s="42"/>
      <c r="HD670" s="43"/>
      <c r="HE670" s="45"/>
      <c r="HF670" s="12"/>
      <c r="HN670" s="12"/>
      <c r="IS670" s="13"/>
      <c r="JA670" s="13"/>
      <c r="JC670" s="13"/>
      <c r="JI670" s="297"/>
      <c r="KY670" s="13"/>
      <c r="KZ670" s="43"/>
      <c r="LA670" s="43"/>
      <c r="LB670" s="45"/>
      <c r="LN670" s="291"/>
      <c r="SW670" s="13"/>
    </row>
    <row r="671" spans="34:517" ht="10.75" customHeight="1">
      <c r="AR671" s="42"/>
      <c r="AS671" s="43"/>
      <c r="AT671" s="43"/>
      <c r="AU671" s="12"/>
      <c r="BC671" s="12"/>
      <c r="CV671" s="13"/>
      <c r="CW671" s="12"/>
      <c r="CX671" s="13"/>
      <c r="EX671" s="13"/>
      <c r="EY671" s="43"/>
      <c r="EZ671" s="43"/>
      <c r="FA671" s="45"/>
      <c r="GJ671" s="294"/>
      <c r="GK671" s="293"/>
      <c r="GS671" s="14"/>
      <c r="GT671" s="15"/>
      <c r="GU671" s="15"/>
      <c r="GV671" s="15"/>
      <c r="GW671" s="15"/>
      <c r="GX671" s="15"/>
      <c r="GY671" s="15"/>
      <c r="GZ671" s="15"/>
      <c r="HA671" s="15"/>
      <c r="HB671" s="16"/>
      <c r="HC671" s="42"/>
      <c r="HD671" s="43"/>
      <c r="HE671" s="45"/>
      <c r="HF671" s="12"/>
      <c r="HN671" s="12"/>
      <c r="IS671" s="13"/>
      <c r="JA671" s="13"/>
      <c r="JB671" s="15"/>
      <c r="JC671" s="16"/>
      <c r="JI671" s="299"/>
      <c r="JJ671" s="294"/>
      <c r="KY671" s="13"/>
      <c r="KZ671" s="43"/>
      <c r="LA671" s="43"/>
      <c r="LB671" s="45"/>
      <c r="LN671" s="291"/>
      <c r="SW671" s="13"/>
    </row>
    <row r="672" spans="34:517" ht="10.75" customHeight="1">
      <c r="AR672" s="42"/>
      <c r="AS672" s="43"/>
      <c r="AT672" s="43"/>
      <c r="AU672" s="12"/>
      <c r="BC672" s="12"/>
      <c r="CV672" s="13"/>
      <c r="CW672" s="12"/>
      <c r="CX672" s="13"/>
      <c r="EX672" s="13"/>
      <c r="EY672" s="43"/>
      <c r="EZ672" s="43"/>
      <c r="FA672" s="45"/>
      <c r="GS672" s="9"/>
      <c r="GT672" s="10"/>
      <c r="GU672" s="10"/>
      <c r="GV672" s="10"/>
      <c r="GW672" s="10"/>
      <c r="GX672" s="10"/>
      <c r="GY672" s="10"/>
      <c r="GZ672" s="10"/>
      <c r="HA672" s="10"/>
      <c r="HB672" s="11"/>
      <c r="HC672" s="42"/>
      <c r="HD672" s="43"/>
      <c r="HE672" s="45"/>
      <c r="HF672" s="9"/>
      <c r="HG672" s="10"/>
      <c r="HH672" s="10"/>
      <c r="HI672" s="10"/>
      <c r="HJ672" s="10"/>
      <c r="HK672" s="10"/>
      <c r="HL672" s="10"/>
      <c r="HM672" s="10"/>
      <c r="IT672" s="10"/>
      <c r="IU672" s="10"/>
      <c r="IV672" s="10"/>
      <c r="IW672" s="10"/>
      <c r="IX672" s="10"/>
      <c r="IY672" s="10"/>
      <c r="IZ672" s="10"/>
      <c r="JA672" s="10"/>
      <c r="JB672" s="10"/>
      <c r="JI672" s="301"/>
      <c r="JJ672" s="302"/>
      <c r="KY672" s="13"/>
      <c r="KZ672" s="43"/>
      <c r="LA672" s="43"/>
      <c r="LB672" s="45"/>
      <c r="LN672" s="291"/>
      <c r="SW672" s="13"/>
    </row>
    <row r="673" spans="44:517" ht="10.75" customHeight="1">
      <c r="AR673" s="42"/>
      <c r="AS673" s="43"/>
      <c r="AT673" s="43"/>
      <c r="AU673" s="12"/>
      <c r="BC673" s="12"/>
      <c r="CV673" s="13"/>
      <c r="CW673" s="12"/>
      <c r="CX673" s="13"/>
      <c r="EX673" s="13"/>
      <c r="EY673" s="43"/>
      <c r="EZ673" s="43"/>
      <c r="FA673" s="45"/>
      <c r="GS673" s="12"/>
      <c r="HB673" s="13"/>
      <c r="HC673" s="42"/>
      <c r="HD673" s="119"/>
      <c r="HE673" s="45"/>
      <c r="HF673" s="12"/>
      <c r="JJ673" s="291"/>
      <c r="KY673" s="13"/>
      <c r="KZ673" s="43"/>
      <c r="LA673" s="43"/>
      <c r="LB673" s="45"/>
      <c r="LN673" s="291"/>
      <c r="SW673" s="13"/>
    </row>
    <row r="674" spans="44:517" ht="10.75" customHeight="1">
      <c r="AR674" s="42"/>
      <c r="AS674" s="43"/>
      <c r="AT674" s="43"/>
      <c r="AU674" s="12"/>
      <c r="BC674" s="12"/>
      <c r="CV674" s="13"/>
      <c r="CW674" s="12"/>
      <c r="CX674" s="13"/>
      <c r="EX674" s="13"/>
      <c r="EY674" s="43"/>
      <c r="EZ674" s="43"/>
      <c r="FA674" s="45"/>
      <c r="GS674" s="12"/>
      <c r="HB674" s="13"/>
      <c r="HC674" s="42"/>
      <c r="HD674" s="119"/>
      <c r="HE674" s="45"/>
      <c r="HF674" s="12"/>
      <c r="JJ674" s="291"/>
      <c r="KY674" s="13"/>
      <c r="KZ674" s="43"/>
      <c r="LA674" s="43"/>
      <c r="LB674" s="45"/>
      <c r="LN674" s="291"/>
      <c r="SK674" s="15"/>
      <c r="SL674" s="15"/>
      <c r="SM674" s="15"/>
      <c r="SN674" s="15"/>
      <c r="SO674" s="15"/>
      <c r="SP674" s="15"/>
      <c r="SQ674" s="15"/>
      <c r="SR674" s="15"/>
      <c r="SS674" s="15"/>
      <c r="ST674" s="15"/>
      <c r="SU674" s="15"/>
      <c r="SV674" s="15"/>
      <c r="SW674" s="16"/>
    </row>
    <row r="675" spans="44:517" ht="10.75" customHeight="1">
      <c r="AR675" s="42"/>
      <c r="AS675" s="43"/>
      <c r="AT675" s="43"/>
      <c r="AU675" s="12"/>
      <c r="BC675" s="12"/>
      <c r="CV675" s="13"/>
      <c r="CW675" s="12"/>
      <c r="CX675" s="13"/>
      <c r="EX675" s="13"/>
      <c r="EY675" s="43"/>
      <c r="EZ675" s="43"/>
      <c r="FA675" s="45"/>
      <c r="GS675" s="12"/>
      <c r="HB675" s="13"/>
      <c r="HC675" s="42"/>
      <c r="HD675" s="119"/>
      <c r="HE675" s="45"/>
      <c r="HF675" s="12"/>
      <c r="JA675" s="309"/>
      <c r="JC675" s="311"/>
      <c r="JJ675" s="291"/>
      <c r="KY675" s="13"/>
      <c r="KZ675" s="43"/>
      <c r="LA675" s="43"/>
      <c r="LB675" s="45"/>
      <c r="LN675" s="291"/>
      <c r="SL675" s="10"/>
      <c r="SM675" s="10"/>
      <c r="SN675" s="10"/>
      <c r="SO675" s="10"/>
      <c r="SP675" s="10"/>
      <c r="SQ675" s="10"/>
      <c r="SR675" s="10"/>
      <c r="SS675" s="10"/>
      <c r="ST675" s="10"/>
      <c r="SU675" s="10"/>
      <c r="SV675" s="10"/>
      <c r="SW675" s="13"/>
    </row>
    <row r="676" spans="44:517" ht="10.75" customHeight="1">
      <c r="AR676" s="42"/>
      <c r="AS676" s="43"/>
      <c r="AT676" s="43"/>
      <c r="AU676" s="12"/>
      <c r="BC676" s="12"/>
      <c r="CV676" s="13"/>
      <c r="CW676" s="12"/>
      <c r="CX676" s="13"/>
      <c r="EX676" s="13"/>
      <c r="EY676" s="43"/>
      <c r="EZ676" s="43"/>
      <c r="FA676" s="45"/>
      <c r="GS676" s="12"/>
      <c r="HB676" s="13"/>
      <c r="HC676" s="42"/>
      <c r="HD676" s="119"/>
      <c r="HE676" s="45"/>
      <c r="HF676" s="12"/>
      <c r="JA676" s="309"/>
      <c r="JC676" s="311"/>
      <c r="JJ676" s="291"/>
      <c r="KY676" s="13"/>
      <c r="KZ676" s="43"/>
      <c r="LA676" s="43"/>
      <c r="LB676" s="45"/>
      <c r="LN676" s="291"/>
      <c r="SW676" s="13"/>
    </row>
    <row r="677" spans="44:517" ht="10.75" customHeight="1">
      <c r="AR677" s="42"/>
      <c r="AS677" s="43"/>
      <c r="AT677" s="43"/>
      <c r="AU677" s="12"/>
      <c r="BC677" s="12"/>
      <c r="CV677" s="13"/>
      <c r="CW677" s="12"/>
      <c r="CX677" s="13"/>
      <c r="EX677" s="13"/>
      <c r="EY677" s="43"/>
      <c r="EZ677" s="43"/>
      <c r="FA677" s="45"/>
      <c r="GS677" s="12"/>
      <c r="HB677" s="13"/>
      <c r="HC677" s="42"/>
      <c r="HD677" s="119"/>
      <c r="HE677" s="45"/>
      <c r="HF677" s="12"/>
      <c r="JA677" s="309"/>
      <c r="JC677" s="311"/>
      <c r="JJ677" s="291"/>
      <c r="KY677" s="13"/>
      <c r="KZ677" s="43"/>
      <c r="LA677" s="43"/>
      <c r="LB677" s="45"/>
      <c r="LN677" s="291"/>
      <c r="SW677" s="13"/>
    </row>
    <row r="678" spans="44:517" ht="10.75" customHeight="1">
      <c r="AR678" s="42"/>
      <c r="AS678" s="43"/>
      <c r="AT678" s="43"/>
      <c r="AU678" s="12"/>
      <c r="BC678" s="12"/>
      <c r="CV678" s="13"/>
      <c r="CW678" s="12"/>
      <c r="CX678" s="13"/>
      <c r="EX678" s="13"/>
      <c r="EY678" s="43"/>
      <c r="EZ678" s="43"/>
      <c r="FA678" s="45"/>
      <c r="GS678" s="12"/>
      <c r="HB678" s="13"/>
      <c r="HC678" s="42"/>
      <c r="HD678" s="119"/>
      <c r="HE678" s="45"/>
      <c r="HF678" s="12"/>
      <c r="JA678" s="309"/>
      <c r="JC678" s="311"/>
      <c r="JJ678" s="291"/>
      <c r="KY678" s="13"/>
      <c r="KZ678" s="43"/>
      <c r="LA678" s="43"/>
      <c r="LB678" s="45"/>
      <c r="LN678" s="291"/>
      <c r="SW678" s="13"/>
    </row>
    <row r="679" spans="44:517" ht="10.75" customHeight="1">
      <c r="AR679" s="42"/>
      <c r="AS679" s="43"/>
      <c r="AT679" s="43"/>
      <c r="AU679" s="12"/>
      <c r="BC679" s="12"/>
      <c r="CV679" s="13"/>
      <c r="CW679" s="12"/>
      <c r="CX679" s="13"/>
      <c r="EX679" s="13"/>
      <c r="EY679" s="43"/>
      <c r="EZ679" s="43"/>
      <c r="FA679" s="45"/>
      <c r="GS679" s="12"/>
      <c r="HB679" s="13"/>
      <c r="HC679" s="42"/>
      <c r="HD679" s="119"/>
      <c r="HE679" s="45"/>
      <c r="HF679" s="12"/>
      <c r="JA679" s="309"/>
      <c r="JC679" s="311"/>
      <c r="JJ679" s="291"/>
      <c r="KY679" s="13"/>
      <c r="KZ679" s="43"/>
      <c r="LA679" s="43"/>
      <c r="LB679" s="45"/>
      <c r="LN679" s="291"/>
      <c r="SW679" s="13"/>
    </row>
    <row r="680" spans="44:517" ht="10.75" customHeight="1">
      <c r="AR680" s="42"/>
      <c r="AS680" s="43"/>
      <c r="AT680" s="43"/>
      <c r="AU680" s="12"/>
      <c r="BC680" s="12"/>
      <c r="CV680" s="13"/>
      <c r="CW680" s="12"/>
      <c r="CX680" s="13"/>
      <c r="EX680" s="13"/>
      <c r="EY680" s="43"/>
      <c r="EZ680" s="43"/>
      <c r="FA680" s="45"/>
      <c r="GS680" s="12"/>
      <c r="HB680" s="13"/>
      <c r="HC680" s="42"/>
      <c r="HD680" s="119"/>
      <c r="HE680" s="45"/>
      <c r="HF680" s="12"/>
      <c r="JA680" s="309"/>
      <c r="JC680" s="311"/>
      <c r="JJ680" s="291"/>
      <c r="KY680" s="13"/>
      <c r="KZ680" s="43"/>
      <c r="LA680" s="43"/>
      <c r="LB680" s="45"/>
      <c r="LN680" s="291"/>
      <c r="SW680" s="13"/>
    </row>
    <row r="681" spans="44:517" ht="10.75" customHeight="1">
      <c r="AR681" s="42"/>
      <c r="AS681" s="43"/>
      <c r="AT681" s="43"/>
      <c r="AU681" s="12"/>
      <c r="BC681" s="12"/>
      <c r="CV681" s="13"/>
      <c r="CW681" s="12"/>
      <c r="CX681" s="13"/>
      <c r="EX681" s="13"/>
      <c r="EY681" s="43"/>
      <c r="EZ681" s="43"/>
      <c r="FA681" s="45"/>
      <c r="GS681" s="12"/>
      <c r="HB681" s="13"/>
      <c r="HC681" s="42"/>
      <c r="HD681" s="119"/>
      <c r="HE681" s="45"/>
      <c r="HF681" s="12"/>
      <c r="JA681" s="309"/>
      <c r="JC681" s="311"/>
      <c r="JJ681" s="291"/>
      <c r="KY681" s="13"/>
      <c r="KZ681" s="43"/>
      <c r="LA681" s="43"/>
      <c r="LB681" s="45"/>
      <c r="LN681" s="291"/>
      <c r="SW681" s="13"/>
    </row>
    <row r="682" spans="44:517" ht="10.75" customHeight="1">
      <c r="AR682" s="42"/>
      <c r="AS682" s="43"/>
      <c r="AT682" s="43"/>
      <c r="AU682" s="12"/>
      <c r="BC682" s="12"/>
      <c r="CV682" s="13"/>
      <c r="CW682" s="12"/>
      <c r="CX682" s="13"/>
      <c r="EX682" s="13"/>
      <c r="EY682" s="43"/>
      <c r="EZ682" s="43"/>
      <c r="FA682" s="45"/>
      <c r="GS682" s="12"/>
      <c r="HB682" s="13"/>
      <c r="HC682" s="42"/>
      <c r="HD682" s="119"/>
      <c r="HE682" s="45"/>
      <c r="HF682" s="12"/>
      <c r="JA682" s="309"/>
      <c r="JC682" s="311"/>
      <c r="JJ682" s="291"/>
      <c r="KY682" s="13"/>
      <c r="KZ682" s="43"/>
      <c r="LA682" s="43"/>
      <c r="LB682" s="45"/>
      <c r="LN682" s="291"/>
      <c r="SW682" s="13"/>
    </row>
    <row r="683" spans="44:517" ht="10.75" customHeight="1">
      <c r="AR683" s="42"/>
      <c r="AS683" s="43"/>
      <c r="AT683" s="43"/>
      <c r="AU683" s="12"/>
      <c r="BC683" s="14"/>
      <c r="BD683" s="15"/>
      <c r="BE683" s="15"/>
      <c r="BF683" s="15"/>
      <c r="BG683" s="15"/>
      <c r="BH683" s="15"/>
      <c r="BI683" s="15"/>
      <c r="BJ683" s="15"/>
      <c r="BK683" s="15"/>
      <c r="BL683" s="15"/>
      <c r="BM683" s="15"/>
      <c r="BN683" s="15"/>
      <c r="BO683" s="15"/>
      <c r="BP683" s="15"/>
      <c r="BQ683" s="15"/>
      <c r="BR683" s="15"/>
      <c r="BS683" s="15"/>
      <c r="BT683" s="15"/>
      <c r="BU683" s="15"/>
      <c r="BV683" s="15"/>
      <c r="BW683" s="15"/>
      <c r="BX683" s="15"/>
      <c r="BY683" s="15"/>
      <c r="BZ683" s="15"/>
      <c r="CA683" s="15"/>
      <c r="CV683" s="13"/>
      <c r="CW683" s="12"/>
      <c r="CX683" s="13"/>
      <c r="EX683" s="13"/>
      <c r="EY683" s="43"/>
      <c r="EZ683" s="43"/>
      <c r="FA683" s="45"/>
      <c r="GS683" s="12"/>
      <c r="HB683" s="13"/>
      <c r="HC683" s="46"/>
      <c r="HD683" s="47"/>
      <c r="HE683" s="48"/>
      <c r="HF683" s="14"/>
      <c r="HG683" s="15"/>
      <c r="HH683" s="15"/>
      <c r="HI683" s="15"/>
      <c r="HJ683" s="15"/>
      <c r="HK683" s="15"/>
      <c r="HL683" s="15"/>
      <c r="HM683" s="15"/>
      <c r="HN683" s="15"/>
      <c r="HO683" s="15"/>
      <c r="HP683" s="15"/>
      <c r="HQ683" s="15"/>
      <c r="HR683" s="15"/>
      <c r="HS683" s="15"/>
      <c r="HT683" s="15"/>
      <c r="HU683" s="15"/>
      <c r="HV683" s="15"/>
      <c r="HW683" s="15"/>
      <c r="HX683" s="15"/>
      <c r="HY683" s="15"/>
      <c r="HZ683" s="15"/>
      <c r="IA683" s="15"/>
      <c r="IB683" s="15"/>
      <c r="IC683" s="15"/>
      <c r="ID683" s="15"/>
      <c r="IE683" s="15"/>
      <c r="IF683" s="15"/>
      <c r="IG683" s="15"/>
      <c r="IH683" s="15"/>
      <c r="II683" s="15"/>
      <c r="IJ683" s="15"/>
      <c r="IK683" s="15"/>
      <c r="IL683" s="15"/>
      <c r="IM683" s="15"/>
      <c r="IN683" s="15"/>
      <c r="IO683" s="15"/>
      <c r="IP683" s="15"/>
      <c r="IQ683" s="15"/>
      <c r="IR683" s="15"/>
      <c r="IS683" s="15"/>
      <c r="IT683" s="15"/>
      <c r="IU683" s="15"/>
      <c r="IV683" s="15"/>
      <c r="IW683" s="15"/>
      <c r="IX683" s="15"/>
      <c r="IY683" s="15"/>
      <c r="IZ683" s="15"/>
      <c r="JA683" s="310"/>
      <c r="JB683" s="15"/>
      <c r="JC683" s="312"/>
      <c r="JD683" s="15"/>
      <c r="JE683" s="15"/>
      <c r="JF683" s="15"/>
      <c r="JG683" s="15"/>
      <c r="JH683" s="15"/>
      <c r="JI683" s="15"/>
      <c r="JJ683" s="292"/>
      <c r="JK683" s="15"/>
      <c r="JL683" s="15"/>
      <c r="JM683" s="15"/>
      <c r="JN683" s="15"/>
      <c r="JO683" s="15"/>
      <c r="JP683" s="15"/>
      <c r="JQ683" s="15"/>
      <c r="JR683" s="15"/>
      <c r="JS683" s="15"/>
      <c r="JT683" s="15"/>
      <c r="JU683" s="15"/>
      <c r="JV683" s="15"/>
      <c r="JW683" s="15"/>
      <c r="JX683" s="15"/>
      <c r="JY683" s="15"/>
      <c r="JZ683" s="15"/>
      <c r="KA683" s="15"/>
      <c r="KB683" s="15"/>
      <c r="KC683" s="15"/>
      <c r="KD683" s="15"/>
      <c r="KE683" s="15"/>
      <c r="KF683" s="15"/>
      <c r="KG683" s="15"/>
      <c r="KH683" s="15"/>
      <c r="KI683" s="15"/>
      <c r="KJ683" s="15"/>
      <c r="KK683" s="15"/>
      <c r="KL683" s="15"/>
      <c r="KM683" s="15"/>
      <c r="KN683" s="15"/>
      <c r="KO683" s="15"/>
      <c r="KP683" s="15"/>
      <c r="KQ683" s="15"/>
      <c r="KR683" s="15"/>
      <c r="KS683" s="15"/>
      <c r="KT683" s="15"/>
      <c r="KU683" s="15"/>
      <c r="KV683" s="15"/>
      <c r="KW683" s="15"/>
      <c r="KX683" s="15"/>
      <c r="KY683" s="16"/>
      <c r="KZ683" s="56"/>
      <c r="LA683" s="57"/>
      <c r="LB683" s="58"/>
      <c r="LN683" s="291"/>
      <c r="SW683" s="13"/>
    </row>
    <row r="684" spans="44:517" ht="10.75" customHeight="1">
      <c r="AR684" s="42"/>
      <c r="AS684" s="43"/>
      <c r="AT684" s="43"/>
      <c r="AU684" s="12"/>
      <c r="CB684" s="10"/>
      <c r="CC684" s="10"/>
      <c r="CD684" s="10"/>
      <c r="CE684" s="10"/>
      <c r="CF684" s="10"/>
      <c r="CG684" s="10"/>
      <c r="CH684" s="10"/>
      <c r="CI684" s="10"/>
      <c r="CJ684" s="10"/>
      <c r="CK684" s="10"/>
      <c r="CL684" s="10"/>
      <c r="CM684" s="10"/>
      <c r="CN684" s="10"/>
      <c r="CO684" s="10"/>
      <c r="CP684" s="10"/>
      <c r="CQ684" s="10"/>
      <c r="CR684" s="10"/>
      <c r="CS684" s="10"/>
      <c r="CT684" s="10"/>
      <c r="CU684" s="10"/>
      <c r="CV684" s="11"/>
      <c r="CW684" s="12"/>
      <c r="CX684" s="13"/>
      <c r="EX684" s="13"/>
      <c r="EY684" s="43"/>
      <c r="EZ684" s="43"/>
      <c r="FA684" s="45"/>
      <c r="GS684" s="12"/>
      <c r="HB684" s="13"/>
      <c r="HC684" s="56"/>
      <c r="HD684" s="57"/>
      <c r="HE684" s="57"/>
      <c r="HF684" s="98"/>
      <c r="HG684" s="43"/>
      <c r="HH684" s="43"/>
      <c r="HI684" s="43"/>
      <c r="HJ684" s="43"/>
      <c r="HK684" s="43"/>
      <c r="HL684" s="43"/>
      <c r="HM684" s="43"/>
      <c r="HN684" s="43"/>
      <c r="HO684" s="43"/>
      <c r="HP684" s="43"/>
      <c r="HQ684" s="43"/>
      <c r="HR684" s="43"/>
      <c r="HS684" s="43"/>
      <c r="HT684" s="43"/>
      <c r="HU684" s="43"/>
      <c r="HV684" s="43"/>
      <c r="HW684" s="43"/>
      <c r="HX684" s="43"/>
      <c r="HY684" s="43"/>
      <c r="HZ684" s="43"/>
      <c r="IA684" s="43"/>
      <c r="IB684" s="43"/>
      <c r="IC684" s="43"/>
      <c r="ID684" s="43"/>
      <c r="IE684" s="43"/>
      <c r="IF684" s="43"/>
      <c r="IG684" s="43"/>
      <c r="IH684" s="43"/>
      <c r="II684" s="43"/>
      <c r="IJ684" s="43"/>
      <c r="IK684" s="43"/>
      <c r="IL684" s="43"/>
      <c r="IM684" s="43"/>
      <c r="IN684" s="43"/>
      <c r="IO684" s="43"/>
      <c r="IP684" s="43"/>
      <c r="IQ684" s="43"/>
      <c r="IR684" s="43"/>
      <c r="IS684" s="43"/>
      <c r="IT684" s="43"/>
      <c r="IU684" s="43"/>
      <c r="IV684" s="43"/>
      <c r="IW684" s="43"/>
      <c r="IX684" s="43"/>
      <c r="IY684" s="43"/>
      <c r="IZ684" s="43"/>
      <c r="JA684" s="96"/>
      <c r="JB684" s="97"/>
      <c r="JC684" s="97"/>
      <c r="JD684" s="98"/>
      <c r="JE684" s="43"/>
      <c r="JF684" s="43"/>
      <c r="JG684" s="43"/>
      <c r="JH684" s="43"/>
      <c r="JI684" s="43"/>
      <c r="JJ684" s="43"/>
      <c r="JK684" s="43"/>
      <c r="JL684" s="43"/>
      <c r="JM684" s="43"/>
      <c r="JN684" s="43"/>
      <c r="JO684" s="43"/>
      <c r="JP684" s="43"/>
      <c r="JQ684" s="43"/>
      <c r="JR684" s="43"/>
      <c r="JS684" s="43"/>
      <c r="JT684" s="43"/>
      <c r="JU684" s="43"/>
      <c r="JV684" s="43"/>
      <c r="JW684" s="43"/>
      <c r="JX684" s="43"/>
      <c r="JY684" s="43"/>
      <c r="JZ684" s="43"/>
      <c r="KA684" s="43"/>
      <c r="KB684" s="43"/>
      <c r="KC684" s="43"/>
      <c r="KD684" s="43"/>
      <c r="KE684" s="43"/>
      <c r="KF684" s="43"/>
      <c r="KG684" s="43"/>
      <c r="KH684" s="43"/>
      <c r="KI684" s="43"/>
      <c r="KJ684" s="43"/>
      <c r="KK684" s="43"/>
      <c r="KL684" s="43"/>
      <c r="KM684" s="43"/>
      <c r="KN684" s="43"/>
      <c r="KO684" s="43"/>
      <c r="KP684" s="43"/>
      <c r="KQ684" s="43"/>
      <c r="KR684" s="43"/>
      <c r="KS684" s="43"/>
      <c r="KT684" s="43"/>
      <c r="KU684" s="43"/>
      <c r="KV684" s="43"/>
      <c r="KW684" s="43"/>
      <c r="KX684" s="43"/>
      <c r="KY684" s="43"/>
      <c r="KZ684" s="96"/>
      <c r="LA684" s="97"/>
      <c r="LB684" s="98"/>
      <c r="LN684" s="291"/>
      <c r="SW684" s="13"/>
    </row>
    <row r="685" spans="44:517" ht="10.75" customHeight="1">
      <c r="AR685" s="42"/>
      <c r="AS685" s="43"/>
      <c r="AT685" s="43"/>
      <c r="AU685" s="12"/>
      <c r="CV685" s="13"/>
      <c r="CW685" s="12"/>
      <c r="CX685" s="13"/>
      <c r="EX685" s="13"/>
      <c r="EY685" s="43"/>
      <c r="EZ685" s="43"/>
      <c r="FA685" s="45"/>
      <c r="GS685" s="12"/>
      <c r="HB685" s="13"/>
      <c r="HC685" s="96"/>
      <c r="HD685" s="97"/>
      <c r="HE685" s="97"/>
      <c r="HF685" s="98"/>
      <c r="HG685" s="43"/>
      <c r="HH685" s="43"/>
      <c r="HI685" s="43"/>
      <c r="HJ685" s="43"/>
      <c r="HK685" s="43"/>
      <c r="HL685" s="43"/>
      <c r="HM685" s="43"/>
      <c r="HN685" s="43"/>
      <c r="HO685" s="43"/>
      <c r="HP685" s="43"/>
      <c r="HQ685" s="43"/>
      <c r="HR685" s="43"/>
      <c r="HS685" s="43"/>
      <c r="HT685" s="43"/>
      <c r="HU685" s="43"/>
      <c r="HV685" s="43"/>
      <c r="HW685" s="43"/>
      <c r="HX685" s="43"/>
      <c r="HY685" s="43"/>
      <c r="HZ685" s="43"/>
      <c r="IA685" s="43"/>
      <c r="IB685" s="43"/>
      <c r="IC685" s="43"/>
      <c r="ID685" s="43"/>
      <c r="IE685" s="43"/>
      <c r="IF685" s="43"/>
      <c r="IG685" s="43"/>
      <c r="IH685" s="43"/>
      <c r="II685" s="43"/>
      <c r="IJ685" s="43"/>
      <c r="IK685" s="43"/>
      <c r="IL685" s="43"/>
      <c r="IM685" s="43"/>
      <c r="IN685" s="43"/>
      <c r="IO685" s="43"/>
      <c r="IP685" s="43"/>
      <c r="IQ685" s="43"/>
      <c r="IR685" s="43"/>
      <c r="IS685" s="43"/>
      <c r="IT685" s="43"/>
      <c r="IU685" s="43"/>
      <c r="IV685" s="43"/>
      <c r="IW685" s="43"/>
      <c r="IX685" s="43"/>
      <c r="IY685" s="43"/>
      <c r="IZ685" s="43"/>
      <c r="JA685" s="96"/>
      <c r="JB685" s="97"/>
      <c r="JC685" s="97"/>
      <c r="JD685" s="98"/>
      <c r="JE685" s="43"/>
      <c r="JF685" s="43"/>
      <c r="JG685" s="43"/>
      <c r="JH685" s="43"/>
      <c r="JI685" s="43"/>
      <c r="JJ685" s="43"/>
      <c r="JK685" s="43"/>
      <c r="JL685" s="43"/>
      <c r="JM685" s="43"/>
      <c r="JN685" s="43"/>
      <c r="JO685" s="43"/>
      <c r="JP685" s="43"/>
      <c r="JQ685" s="43"/>
      <c r="JR685" s="43"/>
      <c r="JS685" s="43"/>
      <c r="JT685" s="43"/>
      <c r="JU685" s="43"/>
      <c r="JV685" s="43"/>
      <c r="JW685" s="43"/>
      <c r="JX685" s="43"/>
      <c r="JY685" s="43"/>
      <c r="JZ685" s="43"/>
      <c r="KA685" s="43"/>
      <c r="KB685" s="43"/>
      <c r="KC685" s="43"/>
      <c r="KD685" s="43"/>
      <c r="KE685" s="43"/>
      <c r="KF685" s="43"/>
      <c r="KG685" s="43"/>
      <c r="KH685" s="43"/>
      <c r="KI685" s="43"/>
      <c r="KJ685" s="43"/>
      <c r="KK685" s="43"/>
      <c r="KL685" s="119"/>
      <c r="KM685" s="119"/>
      <c r="KN685" s="119"/>
      <c r="KO685" s="119"/>
      <c r="KP685" s="119"/>
      <c r="KQ685" s="119"/>
      <c r="KR685" s="119"/>
      <c r="KS685" s="119"/>
      <c r="KT685" s="119"/>
      <c r="KU685" s="119"/>
      <c r="KV685" s="119"/>
      <c r="KW685" s="119"/>
      <c r="KX685" s="43"/>
      <c r="KY685" s="43"/>
      <c r="KZ685" s="96"/>
      <c r="LA685" s="97"/>
      <c r="LB685" s="98"/>
      <c r="LN685" s="291"/>
      <c r="SW685" s="13"/>
    </row>
    <row r="686" spans="44:517" ht="10.75" customHeight="1">
      <c r="AR686" s="42"/>
      <c r="AS686" s="43"/>
      <c r="AT686" s="43"/>
      <c r="AU686" s="12"/>
      <c r="CV686" s="13"/>
      <c r="CW686" s="12"/>
      <c r="CX686" s="13"/>
      <c r="EX686" s="13"/>
      <c r="EY686" s="43"/>
      <c r="EZ686" s="43"/>
      <c r="FA686" s="45"/>
      <c r="GS686" s="14"/>
      <c r="GT686" s="15"/>
      <c r="GU686" s="15"/>
      <c r="GV686" s="15"/>
      <c r="GW686" s="15"/>
      <c r="GX686" s="15"/>
      <c r="GY686" s="15"/>
      <c r="GZ686" s="15"/>
      <c r="HA686" s="15"/>
      <c r="HB686" s="16"/>
      <c r="HC686" s="59"/>
      <c r="HD686" s="60"/>
      <c r="HE686" s="60"/>
      <c r="HF686" s="61"/>
      <c r="HG686" s="47"/>
      <c r="HH686" s="47"/>
      <c r="HI686" s="47"/>
      <c r="HJ686" s="47"/>
      <c r="HK686" s="47"/>
      <c r="HL686" s="47"/>
      <c r="HM686" s="47"/>
      <c r="HN686" s="47"/>
      <c r="HO686" s="47"/>
      <c r="HP686" s="47"/>
      <c r="HQ686" s="47"/>
      <c r="HR686" s="47"/>
      <c r="HS686" s="47"/>
      <c r="HT686" s="47"/>
      <c r="HU686" s="47"/>
      <c r="HV686" s="47"/>
      <c r="HW686" s="47"/>
      <c r="HX686" s="47"/>
      <c r="HY686" s="47"/>
      <c r="HZ686" s="47"/>
      <c r="IA686" s="47"/>
      <c r="IB686" s="47"/>
      <c r="IC686" s="47"/>
      <c r="ID686" s="47"/>
      <c r="IE686" s="47"/>
      <c r="IF686" s="47"/>
      <c r="IG686" s="47"/>
      <c r="IH686" s="47"/>
      <c r="II686" s="47"/>
      <c r="IJ686" s="47"/>
      <c r="IK686" s="47"/>
      <c r="IL686" s="47"/>
      <c r="IM686" s="47"/>
      <c r="IN686" s="47"/>
      <c r="IO686" s="47"/>
      <c r="IP686" s="47"/>
      <c r="IQ686" s="47"/>
      <c r="IR686" s="47"/>
      <c r="IS686" s="47"/>
      <c r="IT686" s="47"/>
      <c r="IU686" s="47"/>
      <c r="IV686" s="47"/>
      <c r="IW686" s="47"/>
      <c r="IX686" s="47"/>
      <c r="IY686" s="47"/>
      <c r="IZ686" s="47"/>
      <c r="JA686" s="59"/>
      <c r="JB686" s="60"/>
      <c r="JC686" s="60"/>
      <c r="JD686" s="61"/>
      <c r="JE686" s="47"/>
      <c r="JF686" s="47"/>
      <c r="JG686" s="47"/>
      <c r="JH686" s="47"/>
      <c r="JI686" s="47"/>
      <c r="JJ686" s="47"/>
      <c r="JK686" s="47"/>
      <c r="JL686" s="47"/>
      <c r="JM686" s="47"/>
      <c r="JN686" s="47"/>
      <c r="JO686" s="47"/>
      <c r="JP686" s="47"/>
      <c r="JQ686" s="47"/>
      <c r="JR686" s="47"/>
      <c r="JS686" s="47"/>
      <c r="JT686" s="47"/>
      <c r="JU686" s="47"/>
      <c r="JV686" s="47"/>
      <c r="JW686" s="47"/>
      <c r="JX686" s="47"/>
      <c r="JY686" s="47"/>
      <c r="JZ686" s="47"/>
      <c r="KA686" s="47"/>
      <c r="KB686" s="47"/>
      <c r="KC686" s="47"/>
      <c r="KD686" s="47"/>
      <c r="KE686" s="47"/>
      <c r="KF686" s="47"/>
      <c r="KG686" s="47"/>
      <c r="KH686" s="47"/>
      <c r="KI686" s="47"/>
      <c r="KJ686" s="47"/>
      <c r="KK686" s="47"/>
      <c r="KL686" s="47"/>
      <c r="KM686" s="47"/>
      <c r="KN686" s="47"/>
      <c r="KO686" s="47"/>
      <c r="KP686" s="47"/>
      <c r="KQ686" s="47"/>
      <c r="KR686" s="47"/>
      <c r="KS686" s="47"/>
      <c r="KT686" s="47"/>
      <c r="KU686" s="47"/>
      <c r="KV686" s="47"/>
      <c r="KW686" s="47"/>
      <c r="KX686" s="47"/>
      <c r="KY686" s="47"/>
      <c r="KZ686" s="59"/>
      <c r="LA686" s="60"/>
      <c r="LB686" s="61"/>
      <c r="LM686" s="294"/>
      <c r="LN686" s="293"/>
      <c r="SK686" s="15"/>
      <c r="SL686" s="15"/>
      <c r="SM686" s="15"/>
      <c r="SN686" s="15"/>
      <c r="SO686" s="15"/>
      <c r="SP686" s="15"/>
      <c r="SQ686" s="15"/>
      <c r="SR686" s="15"/>
      <c r="SS686" s="15"/>
      <c r="ST686" s="15"/>
      <c r="SU686" s="15"/>
      <c r="SV686" s="15"/>
      <c r="SW686" s="16"/>
    </row>
    <row r="687" spans="44:517" ht="10.75" customHeight="1">
      <c r="AR687" s="42"/>
      <c r="AS687" s="43"/>
      <c r="AT687" s="43"/>
      <c r="AU687" s="12"/>
      <c r="CV687" s="13"/>
      <c r="CW687" s="12"/>
      <c r="CX687" s="13"/>
      <c r="EX687" s="13"/>
      <c r="EY687" s="43"/>
      <c r="EZ687" s="43"/>
      <c r="FA687" s="45"/>
      <c r="SL687" s="10"/>
      <c r="SM687" s="10"/>
      <c r="SN687" s="10"/>
      <c r="SO687" s="10"/>
      <c r="SP687" s="10"/>
      <c r="SQ687" s="10"/>
      <c r="SR687" s="10"/>
      <c r="SS687" s="10"/>
      <c r="ST687" s="10"/>
      <c r="SU687" s="10"/>
      <c r="SV687" s="10"/>
      <c r="SW687" s="13"/>
    </row>
    <row r="688" spans="44:517" ht="10.75" customHeight="1">
      <c r="AR688" s="42"/>
      <c r="AS688" s="43"/>
      <c r="AT688" s="43"/>
      <c r="AU688" s="12"/>
      <c r="CV688" s="13"/>
      <c r="CW688" s="12"/>
      <c r="CX688" s="13"/>
      <c r="EX688" s="13"/>
      <c r="EY688" s="43"/>
      <c r="EZ688" s="43"/>
      <c r="FA688" s="45"/>
      <c r="SW688" s="13"/>
    </row>
    <row r="689" spans="44:517" ht="10.75" customHeight="1">
      <c r="AR689" s="42"/>
      <c r="AS689" s="43"/>
      <c r="AT689" s="43"/>
      <c r="AU689" s="12"/>
      <c r="CV689" s="13"/>
      <c r="CW689" s="12"/>
      <c r="CX689" s="13"/>
      <c r="EX689" s="13"/>
      <c r="EY689" s="43"/>
      <c r="EZ689" s="43"/>
      <c r="FA689" s="45"/>
      <c r="SW689" s="13"/>
    </row>
    <row r="690" spans="44:517" ht="10.75" customHeight="1">
      <c r="AR690" s="42"/>
      <c r="AS690" s="43"/>
      <c r="AT690" s="43"/>
      <c r="AU690" s="12"/>
      <c r="CV690" s="13"/>
      <c r="CW690" s="12"/>
      <c r="CX690" s="13"/>
      <c r="EX690" s="13"/>
      <c r="EY690" s="43"/>
      <c r="EZ690" s="43"/>
      <c r="FA690" s="45"/>
      <c r="HC690" s="293"/>
      <c r="HD690" s="294"/>
      <c r="HE690" s="294"/>
      <c r="HF690" s="294"/>
      <c r="HG690" s="294"/>
      <c r="HH690" s="294"/>
      <c r="HI690" s="294"/>
      <c r="HJ690" s="294"/>
      <c r="HK690" s="294"/>
      <c r="HL690" s="294"/>
      <c r="HM690" s="294"/>
      <c r="HN690" s="294"/>
      <c r="HO690" s="294"/>
      <c r="HP690" s="294"/>
      <c r="HQ690" s="294"/>
      <c r="HR690" s="294"/>
      <c r="HS690" s="294"/>
      <c r="HT690" s="294"/>
      <c r="HU690" s="294"/>
      <c r="HV690" s="294"/>
      <c r="HW690" s="294"/>
      <c r="HX690" s="294"/>
      <c r="HY690" s="294"/>
      <c r="HZ690" s="294"/>
      <c r="IA690" s="294"/>
      <c r="IB690" s="294"/>
      <c r="IC690" s="294"/>
      <c r="ID690" s="294"/>
      <c r="IE690" s="294"/>
      <c r="IF690" s="294"/>
      <c r="IG690" s="294"/>
      <c r="IH690" s="294"/>
      <c r="II690" s="294"/>
      <c r="IJ690" s="294"/>
      <c r="IK690" s="294"/>
      <c r="IL690" s="294"/>
      <c r="IM690" s="294"/>
      <c r="IN690" s="294"/>
      <c r="IO690" s="294"/>
      <c r="IP690" s="294"/>
      <c r="IQ690" s="294"/>
      <c r="IR690" s="294"/>
      <c r="IS690" s="294"/>
      <c r="IT690" s="294"/>
      <c r="IU690" s="294"/>
      <c r="IV690" s="294"/>
      <c r="IW690" s="294"/>
      <c r="IX690" s="294"/>
      <c r="IY690" s="294"/>
      <c r="IZ690" s="294"/>
      <c r="JA690" s="294"/>
      <c r="JB690" s="294"/>
      <c r="JC690" s="294"/>
      <c r="JD690" s="294"/>
      <c r="JE690" s="294"/>
      <c r="JF690" s="294"/>
      <c r="JG690" s="294"/>
      <c r="JH690" s="294"/>
      <c r="JI690" s="294"/>
      <c r="JJ690" s="294"/>
      <c r="JK690" s="294"/>
      <c r="JL690" s="294"/>
      <c r="JM690" s="294"/>
      <c r="JN690" s="294"/>
      <c r="JO690" s="294"/>
      <c r="JP690" s="294"/>
      <c r="JQ690" s="294"/>
      <c r="JR690" s="294"/>
      <c r="JS690" s="294"/>
      <c r="JT690" s="294"/>
      <c r="JU690" s="294"/>
      <c r="JV690" s="294"/>
      <c r="JW690" s="294"/>
      <c r="JX690" s="294"/>
      <c r="JY690" s="294"/>
      <c r="JZ690" s="294"/>
      <c r="KA690" s="294"/>
      <c r="KB690" s="294"/>
      <c r="KC690" s="294"/>
      <c r="KD690" s="294"/>
      <c r="KE690" s="294"/>
      <c r="KF690" s="294"/>
      <c r="KG690" s="294"/>
      <c r="KH690" s="294"/>
      <c r="KI690" s="294"/>
      <c r="KJ690" s="294"/>
      <c r="KK690" s="294"/>
      <c r="KL690" s="294"/>
      <c r="KM690" s="294"/>
      <c r="KN690" s="294"/>
      <c r="KO690" s="294"/>
      <c r="KP690" s="294"/>
      <c r="KQ690" s="294"/>
      <c r="KR690" s="294"/>
      <c r="KS690" s="294"/>
      <c r="KT690" s="294"/>
      <c r="KU690" s="294"/>
      <c r="KV690" s="294"/>
      <c r="KW690" s="294"/>
      <c r="KX690" s="294"/>
      <c r="KY690" s="294"/>
      <c r="KZ690" s="294"/>
      <c r="LA690" s="294"/>
      <c r="LB690" s="294"/>
      <c r="LC690" s="291"/>
      <c r="SW690" s="13"/>
    </row>
    <row r="691" spans="44:517" ht="10.75" customHeight="1">
      <c r="AR691" s="42"/>
      <c r="AS691" s="43"/>
      <c r="AT691" s="43"/>
      <c r="AU691" s="14"/>
      <c r="AV691" s="15"/>
      <c r="AW691" s="15"/>
      <c r="AX691" s="15"/>
      <c r="AY691" s="15"/>
      <c r="AZ691" s="15"/>
      <c r="BA691" s="15"/>
      <c r="BB691" s="15"/>
      <c r="BC691" s="15"/>
      <c r="BD691" s="15"/>
      <c r="BE691" s="15"/>
      <c r="BF691" s="15"/>
      <c r="BG691" s="15"/>
      <c r="BH691" s="15"/>
      <c r="BI691" s="15"/>
      <c r="BJ691" s="15"/>
      <c r="BK691" s="15"/>
      <c r="BL691" s="15"/>
      <c r="BM691" s="15"/>
      <c r="BN691" s="15"/>
      <c r="BO691" s="15"/>
      <c r="BP691" s="15"/>
      <c r="BQ691" s="15"/>
      <c r="BR691" s="15"/>
      <c r="BS691" s="15"/>
      <c r="BT691" s="15"/>
      <c r="BU691" s="15"/>
      <c r="BV691" s="15"/>
      <c r="BW691" s="15"/>
      <c r="BX691" s="15"/>
      <c r="BY691" s="15"/>
      <c r="BZ691" s="15"/>
      <c r="CA691" s="15"/>
      <c r="CB691" s="15"/>
      <c r="CC691" s="15"/>
      <c r="CD691" s="15"/>
      <c r="CE691" s="15"/>
      <c r="CF691" s="15"/>
      <c r="CG691" s="15"/>
      <c r="CH691" s="15"/>
      <c r="CI691" s="15"/>
      <c r="CJ691" s="15"/>
      <c r="CK691" s="15"/>
      <c r="CL691" s="15"/>
      <c r="CM691" s="15"/>
      <c r="CN691" s="15"/>
      <c r="CO691" s="15"/>
      <c r="CP691" s="15"/>
      <c r="CQ691" s="15"/>
      <c r="CR691" s="15"/>
      <c r="CS691" s="15"/>
      <c r="CT691" s="15"/>
      <c r="CU691" s="15"/>
      <c r="CV691" s="16"/>
      <c r="CW691" s="14"/>
      <c r="CX691" s="16"/>
      <c r="CY691" s="15"/>
      <c r="CZ691" s="15"/>
      <c r="DA691" s="15"/>
      <c r="DB691" s="15"/>
      <c r="DC691" s="15"/>
      <c r="DD691" s="15"/>
      <c r="DE691" s="15"/>
      <c r="DF691" s="15"/>
      <c r="DG691" s="15"/>
      <c r="DH691" s="15"/>
      <c r="DI691" s="15"/>
      <c r="DJ691" s="15"/>
      <c r="DK691" s="15"/>
      <c r="DL691" s="15"/>
      <c r="DM691" s="15"/>
      <c r="DN691" s="15"/>
      <c r="DO691" s="15"/>
      <c r="DP691" s="15"/>
      <c r="DQ691" s="15"/>
      <c r="DR691" s="15"/>
      <c r="DS691" s="15"/>
      <c r="DT691" s="15"/>
      <c r="DU691" s="15"/>
      <c r="DV691" s="15"/>
      <c r="DW691" s="15"/>
      <c r="DX691" s="15"/>
      <c r="DY691" s="15"/>
      <c r="DZ691" s="15"/>
      <c r="EA691" s="15"/>
      <c r="EB691" s="15"/>
      <c r="EC691" s="15"/>
      <c r="ED691" s="15"/>
      <c r="EE691" s="15"/>
      <c r="EF691" s="15"/>
      <c r="EG691" s="15"/>
      <c r="EH691" s="15"/>
      <c r="EI691" s="15"/>
      <c r="EJ691" s="15"/>
      <c r="EK691" s="15"/>
      <c r="EL691" s="15"/>
      <c r="EM691" s="15"/>
      <c r="EN691" s="15"/>
      <c r="EO691" s="15"/>
      <c r="EP691" s="15"/>
      <c r="EQ691" s="15"/>
      <c r="ER691" s="15"/>
      <c r="ES691" s="15"/>
      <c r="ET691" s="15"/>
      <c r="EU691" s="15"/>
      <c r="EV691" s="15"/>
      <c r="EW691" s="15"/>
      <c r="EX691" s="16"/>
      <c r="EY691" s="97"/>
      <c r="EZ691" s="97"/>
      <c r="FA691" s="98"/>
      <c r="HC691" s="291"/>
      <c r="LC691" s="291"/>
      <c r="SW691" s="13"/>
    </row>
    <row r="692" spans="44:517" ht="10.75" customHeight="1">
      <c r="AR692" s="96"/>
      <c r="AS692" s="97"/>
      <c r="AT692" s="97"/>
      <c r="AU692" s="97"/>
      <c r="AV692" s="43"/>
      <c r="AW692" s="43"/>
      <c r="AX692" s="43"/>
      <c r="AY692" s="43"/>
      <c r="AZ692" s="43"/>
      <c r="BA692" s="43"/>
      <c r="BB692" s="43"/>
      <c r="BC692" s="43"/>
      <c r="BD692" s="43"/>
      <c r="BE692" s="43"/>
      <c r="BF692" s="43"/>
      <c r="BG692" s="43"/>
      <c r="BH692" s="43"/>
      <c r="BI692" s="43"/>
      <c r="BJ692" s="43"/>
      <c r="BK692" s="43"/>
      <c r="BL692" s="43"/>
      <c r="BM692" s="43"/>
      <c r="BN692" s="43"/>
      <c r="BO692" s="43"/>
      <c r="BP692" s="43"/>
      <c r="BQ692" s="43"/>
      <c r="BR692" s="43"/>
      <c r="BS692" s="43"/>
      <c r="BT692" s="43"/>
      <c r="BU692" s="43"/>
      <c r="BV692" s="43"/>
      <c r="BW692" s="43"/>
      <c r="BX692" s="43"/>
      <c r="BY692" s="43"/>
      <c r="BZ692" s="43"/>
      <c r="CA692" s="43"/>
      <c r="CB692" s="43"/>
      <c r="CC692" s="43"/>
      <c r="CD692" s="43"/>
      <c r="CE692" s="43"/>
      <c r="CF692" s="43"/>
      <c r="CG692" s="43"/>
      <c r="CH692" s="43"/>
      <c r="CI692" s="43"/>
      <c r="CJ692" s="43"/>
      <c r="CK692" s="43"/>
      <c r="CL692" s="43"/>
      <c r="CM692" s="43"/>
      <c r="CN692" s="43"/>
      <c r="CO692" s="43"/>
      <c r="CP692" s="43"/>
      <c r="CQ692" s="43"/>
      <c r="CR692" s="43"/>
      <c r="CS692" s="43"/>
      <c r="CT692" s="43"/>
      <c r="CU692" s="97"/>
      <c r="CV692" s="97"/>
      <c r="CW692" s="97"/>
      <c r="CX692" s="97"/>
      <c r="CY692" s="43"/>
      <c r="CZ692" s="43"/>
      <c r="DA692" s="43"/>
      <c r="DB692" s="43"/>
      <c r="DC692" s="43"/>
      <c r="DD692" s="43"/>
      <c r="DE692" s="43"/>
      <c r="DF692" s="43"/>
      <c r="DG692" s="43"/>
      <c r="DH692" s="43"/>
      <c r="DI692" s="43"/>
      <c r="DJ692" s="43"/>
      <c r="DK692" s="43"/>
      <c r="DL692" s="43"/>
      <c r="DM692" s="43"/>
      <c r="DN692" s="43"/>
      <c r="DO692" s="43"/>
      <c r="DP692" s="43"/>
      <c r="DQ692" s="43"/>
      <c r="DR692" s="43"/>
      <c r="DS692" s="43"/>
      <c r="DT692" s="43"/>
      <c r="DU692" s="43"/>
      <c r="DV692" s="43"/>
      <c r="DW692" s="43"/>
      <c r="DX692" s="43"/>
      <c r="DY692" s="43"/>
      <c r="DZ692" s="43"/>
      <c r="EA692" s="43"/>
      <c r="EB692" s="43"/>
      <c r="EC692" s="43"/>
      <c r="ED692" s="43"/>
      <c r="EE692" s="43"/>
      <c r="EF692" s="43"/>
      <c r="EG692" s="43"/>
      <c r="EH692" s="43"/>
      <c r="EI692" s="43"/>
      <c r="EJ692" s="43"/>
      <c r="EK692" s="43"/>
      <c r="EL692" s="43"/>
      <c r="EM692" s="123"/>
      <c r="EN692" s="109"/>
      <c r="EO692" s="109"/>
      <c r="EP692" s="109"/>
      <c r="EQ692" s="109"/>
      <c r="ER692" s="109"/>
      <c r="ES692" s="109"/>
      <c r="ET692" s="109"/>
      <c r="EU692" s="109"/>
      <c r="EV692" s="124"/>
      <c r="EW692" s="43"/>
      <c r="EX692" s="43"/>
      <c r="EY692" s="97"/>
      <c r="EZ692" s="97"/>
      <c r="FA692" s="98"/>
      <c r="SW692" s="13"/>
    </row>
    <row r="693" spans="44:517" ht="10.75" customHeight="1">
      <c r="AR693" s="96"/>
      <c r="AS693" s="97"/>
      <c r="AT693" s="97"/>
      <c r="AU693" s="97"/>
      <c r="AV693" s="43"/>
      <c r="AW693" s="43"/>
      <c r="AX693" s="43"/>
      <c r="AY693" s="43"/>
      <c r="AZ693" s="43"/>
      <c r="BA693" s="43"/>
      <c r="BB693" s="43"/>
      <c r="BC693" s="43"/>
      <c r="BD693" s="43"/>
      <c r="BE693" s="43"/>
      <c r="BF693" s="43"/>
      <c r="BG693" s="43"/>
      <c r="BH693" s="43"/>
      <c r="BI693" s="43"/>
      <c r="BJ693" s="43"/>
      <c r="BK693" s="43"/>
      <c r="BL693" s="43"/>
      <c r="BM693" s="43"/>
      <c r="BN693" s="43"/>
      <c r="BO693" s="43"/>
      <c r="BP693" s="43"/>
      <c r="BQ693" s="43"/>
      <c r="BR693" s="43"/>
      <c r="BS693" s="43"/>
      <c r="BT693" s="43"/>
      <c r="BU693" s="43"/>
      <c r="BV693" s="43"/>
      <c r="BW693" s="43"/>
      <c r="BX693" s="43"/>
      <c r="BY693" s="43"/>
      <c r="BZ693" s="43"/>
      <c r="CA693" s="43"/>
      <c r="CB693" s="43"/>
      <c r="CC693" s="43"/>
      <c r="CD693" s="43"/>
      <c r="CE693" s="43"/>
      <c r="CF693" s="43"/>
      <c r="CG693" s="43"/>
      <c r="CH693" s="43"/>
      <c r="CI693" s="43"/>
      <c r="CJ693" s="43"/>
      <c r="CK693" s="43"/>
      <c r="CL693" s="43"/>
      <c r="CM693" s="43"/>
      <c r="CN693" s="43"/>
      <c r="CO693" s="43"/>
      <c r="CP693" s="43"/>
      <c r="CQ693" s="43"/>
      <c r="CR693" s="43"/>
      <c r="CS693" s="43"/>
      <c r="CT693" s="43"/>
      <c r="CU693" s="97"/>
      <c r="CV693" s="97"/>
      <c r="CW693" s="97"/>
      <c r="CX693" s="97"/>
      <c r="CY693" s="43"/>
      <c r="CZ693" s="43"/>
      <c r="DA693" s="43"/>
      <c r="DB693" s="43"/>
      <c r="DC693" s="43"/>
      <c r="DD693" s="43"/>
      <c r="DE693" s="43"/>
      <c r="DF693" s="43"/>
      <c r="DG693" s="43"/>
      <c r="DH693" s="43"/>
      <c r="DI693" s="43"/>
      <c r="DJ693" s="43"/>
      <c r="DK693" s="43"/>
      <c r="DL693" s="43"/>
      <c r="DM693" s="43"/>
      <c r="DN693" s="43"/>
      <c r="DO693" s="43"/>
      <c r="DP693" s="43"/>
      <c r="DQ693" s="43"/>
      <c r="DR693" s="43"/>
      <c r="DS693" s="43"/>
      <c r="DT693" s="43"/>
      <c r="DU693" s="43"/>
      <c r="DV693" s="43"/>
      <c r="DW693" s="43"/>
      <c r="DX693" s="43"/>
      <c r="DY693" s="43"/>
      <c r="DZ693" s="43"/>
      <c r="EA693" s="43"/>
      <c r="EB693" s="43"/>
      <c r="EC693" s="43"/>
      <c r="ED693" s="43"/>
      <c r="EE693" s="43"/>
      <c r="EF693" s="43"/>
      <c r="EG693" s="43"/>
      <c r="EH693" s="43"/>
      <c r="EI693" s="43"/>
      <c r="EJ693" s="43"/>
      <c r="EK693" s="43"/>
      <c r="EL693" s="43"/>
      <c r="EM693" s="121"/>
      <c r="EN693" s="119"/>
      <c r="EO693" s="119"/>
      <c r="EP693" s="119"/>
      <c r="EQ693" s="119"/>
      <c r="ER693" s="119"/>
      <c r="ES693" s="119"/>
      <c r="ET693" s="119"/>
      <c r="EU693" s="119"/>
      <c r="EV693" s="122"/>
      <c r="EW693" s="43"/>
      <c r="EX693" s="43"/>
      <c r="EY693" s="97"/>
      <c r="EZ693" s="97"/>
      <c r="FA693" s="98"/>
      <c r="SW693" s="13"/>
    </row>
    <row r="694" spans="44:517" ht="10.75" customHeight="1">
      <c r="AR694" s="59"/>
      <c r="AS694" s="60"/>
      <c r="AT694" s="60"/>
      <c r="AU694" s="60"/>
      <c r="AV694" s="47"/>
      <c r="AW694" s="47"/>
      <c r="AX694" s="47"/>
      <c r="AY694" s="47"/>
      <c r="AZ694" s="47"/>
      <c r="BA694" s="47"/>
      <c r="BB694" s="47"/>
      <c r="BC694" s="47"/>
      <c r="BD694" s="47"/>
      <c r="BE694" s="47"/>
      <c r="BF694" s="47"/>
      <c r="BG694" s="47"/>
      <c r="BH694" s="47"/>
      <c r="BI694" s="47"/>
      <c r="BJ694" s="47"/>
      <c r="BK694" s="47"/>
      <c r="BL694" s="47"/>
      <c r="BM694" s="47"/>
      <c r="BN694" s="47"/>
      <c r="BO694" s="47"/>
      <c r="BP694" s="47"/>
      <c r="BQ694" s="47"/>
      <c r="BR694" s="47"/>
      <c r="BS694" s="47"/>
      <c r="BT694" s="47"/>
      <c r="BU694" s="47"/>
      <c r="BV694" s="47"/>
      <c r="BW694" s="47"/>
      <c r="BX694" s="47"/>
      <c r="BY694" s="47"/>
      <c r="BZ694" s="47"/>
      <c r="CA694" s="47"/>
      <c r="CB694" s="47"/>
      <c r="CC694" s="47"/>
      <c r="CD694" s="47"/>
      <c r="CE694" s="47"/>
      <c r="CF694" s="47"/>
      <c r="CG694" s="47"/>
      <c r="CH694" s="47"/>
      <c r="CI694" s="47"/>
      <c r="CJ694" s="47"/>
      <c r="CK694" s="47"/>
      <c r="CL694" s="47"/>
      <c r="CM694" s="47"/>
      <c r="CN694" s="47"/>
      <c r="CO694" s="47"/>
      <c r="CP694" s="47"/>
      <c r="CQ694" s="47"/>
      <c r="CR694" s="47"/>
      <c r="CS694" s="47"/>
      <c r="CT694" s="47"/>
      <c r="CU694" s="60"/>
      <c r="CV694" s="60"/>
      <c r="CW694" s="60"/>
      <c r="CX694" s="60"/>
      <c r="CY694" s="47"/>
      <c r="CZ694" s="47"/>
      <c r="DA694" s="47"/>
      <c r="DB694" s="47"/>
      <c r="DC694" s="47"/>
      <c r="DD694" s="47"/>
      <c r="DE694" s="47"/>
      <c r="DF694" s="47"/>
      <c r="DG694" s="47"/>
      <c r="DH694" s="47"/>
      <c r="DI694" s="47"/>
      <c r="DJ694" s="47"/>
      <c r="DK694" s="47"/>
      <c r="DL694" s="47"/>
      <c r="DM694" s="47"/>
      <c r="DN694" s="47"/>
      <c r="DO694" s="47"/>
      <c r="DP694" s="47"/>
      <c r="DQ694" s="47"/>
      <c r="DR694" s="47"/>
      <c r="DS694" s="47"/>
      <c r="DT694" s="47"/>
      <c r="DU694" s="47"/>
      <c r="DV694" s="47"/>
      <c r="DW694" s="47"/>
      <c r="DX694" s="47"/>
      <c r="DY694" s="47"/>
      <c r="DZ694" s="47"/>
      <c r="EA694" s="47"/>
      <c r="EB694" s="47"/>
      <c r="EC694" s="47"/>
      <c r="ED694" s="47"/>
      <c r="EE694" s="47"/>
      <c r="EF694" s="47"/>
      <c r="EG694" s="47"/>
      <c r="EH694" s="47"/>
      <c r="EI694" s="47"/>
      <c r="EJ694" s="47"/>
      <c r="EK694" s="47"/>
      <c r="EL694" s="47"/>
      <c r="EM694" s="123"/>
      <c r="EN694" s="109"/>
      <c r="EO694" s="109"/>
      <c r="EP694" s="109"/>
      <c r="EQ694" s="109"/>
      <c r="ER694" s="109"/>
      <c r="ES694" s="109"/>
      <c r="ET694" s="109"/>
      <c r="EU694" s="109"/>
      <c r="EV694" s="124"/>
      <c r="EW694" s="47"/>
      <c r="EX694" s="47"/>
      <c r="EY694" s="60"/>
      <c r="EZ694" s="60"/>
      <c r="FA694" s="61"/>
      <c r="SW694" s="13"/>
    </row>
    <row r="695" spans="44:517" ht="10.75" customHeight="1">
      <c r="SW695" s="13"/>
    </row>
    <row r="696" spans="44:517" ht="10.75" customHeight="1">
      <c r="SW696" s="13"/>
    </row>
    <row r="697" spans="44:517" ht="10.75" customHeight="1">
      <c r="SW697" s="13"/>
    </row>
    <row r="698" spans="44:517" ht="10.75" customHeight="1">
      <c r="GI698" s="12"/>
      <c r="GY698" s="12"/>
      <c r="HB698" s="12"/>
      <c r="SK698" s="15"/>
      <c r="SL698" s="15"/>
      <c r="SM698" s="15"/>
      <c r="SN698" s="15"/>
      <c r="SO698" s="15"/>
      <c r="SP698" s="15"/>
      <c r="SQ698" s="15"/>
      <c r="SR698" s="15"/>
      <c r="SS698" s="15"/>
      <c r="ST698" s="15"/>
      <c r="SU698" s="15"/>
      <c r="SV698" s="15"/>
      <c r="SW698" s="16"/>
    </row>
    <row r="699" spans="44:517" ht="10.75" customHeight="1">
      <c r="GI699" s="12"/>
      <c r="GY699" s="12"/>
      <c r="HB699" s="12"/>
      <c r="SL699" s="10"/>
      <c r="SM699" s="10"/>
      <c r="SN699" s="10"/>
      <c r="SO699" s="10"/>
      <c r="SP699" s="10"/>
      <c r="SQ699" s="10"/>
      <c r="SR699" s="10"/>
      <c r="SS699" s="10"/>
      <c r="ST699" s="10"/>
      <c r="SU699" s="10"/>
      <c r="SV699" s="10"/>
      <c r="SW699" s="13"/>
    </row>
    <row r="700" spans="44:517" ht="10.75" customHeight="1">
      <c r="GI700" s="12"/>
      <c r="GY700" s="12"/>
      <c r="HB700" s="12"/>
      <c r="SW700" s="13"/>
    </row>
    <row r="701" spans="44:517" ht="10.75" customHeight="1">
      <c r="GI701" s="12"/>
      <c r="GY701" s="12"/>
      <c r="HB701" s="12"/>
      <c r="SW701" s="13"/>
    </row>
    <row r="702" spans="44:517" ht="10.75" customHeight="1">
      <c r="GI702" s="12"/>
      <c r="GY702" s="12"/>
      <c r="HB702" s="12"/>
      <c r="SW702" s="13"/>
    </row>
    <row r="703" spans="44:517" ht="10.75" customHeight="1">
      <c r="GI703" s="12"/>
      <c r="GY703" s="12"/>
      <c r="HB703" s="12"/>
      <c r="SW703" s="13"/>
    </row>
    <row r="704" spans="44:517" ht="10.75" customHeight="1">
      <c r="GI704" s="12"/>
      <c r="GY704" s="12"/>
      <c r="HB704" s="12"/>
      <c r="SW704" s="13"/>
    </row>
    <row r="705" spans="18:517" ht="10.75" customHeight="1">
      <c r="GI705" s="12"/>
      <c r="GN705" s="9"/>
      <c r="GO705" s="9"/>
      <c r="GP705" s="10"/>
      <c r="GQ705" s="10"/>
      <c r="GR705" s="10"/>
      <c r="GS705" s="10"/>
      <c r="GT705" s="10"/>
      <c r="GU705" s="10"/>
      <c r="GV705" s="10"/>
      <c r="GW705" s="10"/>
      <c r="GX705" s="11"/>
      <c r="GY705" s="12"/>
      <c r="HB705" s="14"/>
      <c r="HC705" s="15"/>
      <c r="HD705" s="15"/>
      <c r="HE705" s="15"/>
      <c r="HF705" s="15"/>
      <c r="HG705" s="15"/>
      <c r="HH705" s="15"/>
      <c r="HI705" s="15"/>
      <c r="HJ705" s="15"/>
      <c r="HK705" s="15"/>
      <c r="HL705" s="15"/>
      <c r="HM705" s="15"/>
      <c r="HN705" s="15"/>
      <c r="HO705" s="15"/>
      <c r="HP705" s="15"/>
      <c r="HQ705" s="15"/>
      <c r="HR705" s="15"/>
      <c r="HS705" s="15"/>
      <c r="HT705" s="15"/>
      <c r="HU705" s="15"/>
      <c r="HV705" s="15"/>
      <c r="HW705" s="15"/>
      <c r="HX705" s="15"/>
      <c r="HY705" s="15"/>
      <c r="HZ705" s="15"/>
      <c r="IA705" s="15"/>
      <c r="IB705" s="15"/>
      <c r="IC705" s="15"/>
      <c r="SW705" s="13"/>
    </row>
    <row r="706" spans="18:517" ht="10.75" customHeight="1">
      <c r="GI706" s="12"/>
      <c r="GN706" s="12"/>
      <c r="GO706" s="12"/>
      <c r="GX706" s="13"/>
      <c r="GY706" s="12"/>
      <c r="SW706" s="13"/>
    </row>
    <row r="707" spans="18:517" ht="10.75" customHeight="1">
      <c r="GI707" s="12"/>
      <c r="GN707" s="12"/>
      <c r="GO707" s="12"/>
      <c r="GX707" s="13"/>
      <c r="GY707" s="12"/>
      <c r="SW707" s="13"/>
    </row>
    <row r="708" spans="18:517" ht="10.75" customHeight="1">
      <c r="GI708" s="12"/>
      <c r="GN708" s="12"/>
      <c r="GO708" s="14"/>
      <c r="GP708" s="15"/>
      <c r="GQ708" s="15"/>
      <c r="GR708" s="15"/>
      <c r="GS708" s="15"/>
      <c r="GT708" s="15"/>
      <c r="GU708" s="15"/>
      <c r="GV708" s="15"/>
      <c r="GW708" s="15"/>
      <c r="GX708" s="16"/>
      <c r="GY708" s="14"/>
      <c r="GZ708" s="15"/>
      <c r="HA708" s="15"/>
      <c r="HB708" s="15"/>
      <c r="HC708" s="15"/>
      <c r="HD708" s="15"/>
      <c r="HE708" s="15"/>
      <c r="HF708" s="15"/>
      <c r="HG708" s="15"/>
      <c r="HH708" s="15"/>
      <c r="HI708" s="15"/>
      <c r="HJ708" s="15"/>
      <c r="HK708" s="15"/>
      <c r="HL708" s="15"/>
      <c r="HM708" s="15"/>
      <c r="HN708" s="15"/>
      <c r="HO708" s="15"/>
      <c r="HP708" s="15"/>
      <c r="HQ708" s="15"/>
      <c r="HR708" s="15"/>
      <c r="HS708" s="15"/>
      <c r="HT708" s="15"/>
      <c r="HU708" s="15"/>
      <c r="HV708" s="15"/>
      <c r="HW708" s="15"/>
      <c r="HX708" s="15"/>
      <c r="HY708" s="15"/>
      <c r="HZ708" s="15"/>
      <c r="IA708" s="15"/>
      <c r="IB708" s="15"/>
      <c r="IC708" s="15"/>
      <c r="SW708" s="13"/>
    </row>
    <row r="709" spans="18:517" ht="10.75" customHeight="1">
      <c r="GI709" s="12"/>
      <c r="GN709" s="12"/>
      <c r="GO709" s="12"/>
      <c r="GX709" s="13"/>
      <c r="GY709" s="17"/>
      <c r="SW709" s="13"/>
    </row>
    <row r="710" spans="18:517" ht="10.75" customHeight="1">
      <c r="GI710" s="12"/>
      <c r="GN710" s="12"/>
      <c r="GO710" s="12"/>
      <c r="GX710" s="13"/>
      <c r="GY710" s="18"/>
      <c r="SK710" s="15"/>
      <c r="SL710" s="15"/>
      <c r="SM710" s="15"/>
      <c r="SN710" s="15"/>
      <c r="SO710" s="15"/>
      <c r="SP710" s="15"/>
      <c r="SQ710" s="15"/>
      <c r="SR710" s="15"/>
      <c r="SS710" s="15"/>
      <c r="ST710" s="15"/>
      <c r="SU710" s="15"/>
      <c r="SV710" s="15"/>
      <c r="SW710" s="16"/>
    </row>
    <row r="711" spans="18:517" ht="10.75" customHeight="1">
      <c r="GI711" s="12"/>
      <c r="GN711" s="12"/>
      <c r="GO711" s="12"/>
      <c r="GX711" s="13"/>
      <c r="GY711" s="18"/>
      <c r="SL711" s="10"/>
      <c r="SM711" s="10"/>
      <c r="SN711" s="10"/>
      <c r="SO711" s="10"/>
      <c r="SP711" s="10"/>
      <c r="SQ711" s="10"/>
      <c r="SR711" s="10"/>
      <c r="SS711" s="10"/>
      <c r="ST711" s="10"/>
      <c r="SU711" s="10"/>
      <c r="SV711" s="10"/>
      <c r="SW711" s="13"/>
    </row>
    <row r="712" spans="18:517" ht="10.75" customHeight="1">
      <c r="GI712" s="12"/>
      <c r="GN712" s="12"/>
      <c r="GO712" s="12"/>
      <c r="GX712" s="13"/>
      <c r="GY712" s="18"/>
      <c r="SW712" s="13"/>
    </row>
    <row r="713" spans="18:517" ht="10.75" customHeight="1">
      <c r="GI713" s="12"/>
      <c r="GN713" s="12"/>
      <c r="GO713" s="9"/>
      <c r="GP713" s="10"/>
      <c r="GQ713" s="10"/>
      <c r="GR713" s="10"/>
      <c r="GS713" s="10"/>
      <c r="GT713" s="10"/>
      <c r="GU713" s="10"/>
      <c r="GV713" s="10"/>
      <c r="GW713" s="10"/>
      <c r="GX713" s="11"/>
      <c r="GY713" s="18"/>
      <c r="GZ713" s="11"/>
      <c r="HA713" s="9"/>
      <c r="HB713" s="10"/>
      <c r="HC713" s="10"/>
      <c r="HD713" s="10"/>
      <c r="HE713" s="10"/>
      <c r="HF713" s="10"/>
      <c r="HG713" s="10"/>
      <c r="HH713" s="10"/>
      <c r="HI713" s="10"/>
      <c r="HJ713" s="11"/>
      <c r="HK713" s="11"/>
      <c r="SW713" s="13"/>
    </row>
    <row r="714" spans="18:517" ht="10.75" customHeight="1">
      <c r="GI714" s="12"/>
      <c r="GN714" s="12"/>
      <c r="GO714" s="12"/>
      <c r="GX714" s="13"/>
      <c r="GY714" s="18"/>
      <c r="GZ714" s="13"/>
      <c r="HA714" s="12"/>
      <c r="HJ714" s="13"/>
      <c r="HK714" s="13"/>
      <c r="SW714" s="13"/>
    </row>
    <row r="715" spans="18:517" ht="10.75" customHeight="1">
      <c r="GI715" s="12"/>
      <c r="GN715" s="12"/>
      <c r="GO715" s="12"/>
      <c r="GX715" s="13"/>
      <c r="GY715" s="18"/>
      <c r="GZ715" s="13"/>
      <c r="HA715" s="12"/>
      <c r="HJ715" s="13"/>
      <c r="HK715" s="13"/>
      <c r="SW715" s="13"/>
    </row>
    <row r="716" spans="18:517" ht="10.75" customHeight="1">
      <c r="R716" s="12"/>
      <c r="AG716" s="13"/>
      <c r="AH716" s="12"/>
      <c r="AK716" s="12"/>
      <c r="CF716" s="13"/>
      <c r="CI716" s="12"/>
      <c r="ED716" s="13"/>
      <c r="EG716" s="13"/>
      <c r="EW716" s="13"/>
      <c r="GI716" s="12"/>
      <c r="GN716" s="12"/>
      <c r="GO716" s="14"/>
      <c r="GP716" s="15"/>
      <c r="GQ716" s="15"/>
      <c r="GR716" s="15"/>
      <c r="GS716" s="15"/>
      <c r="GT716" s="15"/>
      <c r="GU716" s="15"/>
      <c r="GV716" s="15"/>
      <c r="GW716" s="15"/>
      <c r="GX716" s="16"/>
      <c r="GY716" s="18"/>
      <c r="GZ716" s="13"/>
      <c r="HA716" s="14"/>
      <c r="HB716" s="15"/>
      <c r="HC716" s="15"/>
      <c r="HD716" s="15"/>
      <c r="HE716" s="15"/>
      <c r="HF716" s="15"/>
      <c r="HG716" s="15"/>
      <c r="HH716" s="15"/>
      <c r="HI716" s="15"/>
      <c r="HJ716" s="16"/>
      <c r="HK716" s="13"/>
      <c r="SW716" s="13"/>
    </row>
    <row r="717" spans="18:517" ht="10.75" customHeight="1">
      <c r="R717" s="12"/>
      <c r="AG717" s="13"/>
      <c r="AH717" s="12"/>
      <c r="AK717" s="12"/>
      <c r="CF717" s="13"/>
      <c r="CI717" s="12"/>
      <c r="ED717" s="13"/>
      <c r="EG717" s="13"/>
      <c r="EW717" s="13"/>
      <c r="GI717" s="12"/>
      <c r="GN717" s="12"/>
      <c r="GO717" s="12"/>
      <c r="GX717" s="13"/>
      <c r="GY717" s="18"/>
      <c r="GZ717" s="13"/>
      <c r="HA717" s="12"/>
      <c r="HJ717" s="13"/>
      <c r="HK717" s="13"/>
      <c r="SW717" s="13"/>
    </row>
    <row r="718" spans="18:517" ht="10.75" customHeight="1">
      <c r="R718" s="12"/>
      <c r="AG718" s="13"/>
      <c r="AH718" s="12"/>
      <c r="AK718" s="12"/>
      <c r="CF718" s="13"/>
      <c r="CI718" s="12"/>
      <c r="ED718" s="13"/>
      <c r="EG718" s="13"/>
      <c r="EW718" s="13"/>
      <c r="GI718" s="12"/>
      <c r="GN718" s="12"/>
      <c r="GO718" s="12"/>
      <c r="GX718" s="13"/>
      <c r="GY718" s="18"/>
      <c r="GZ718" s="13"/>
      <c r="HA718" s="12"/>
      <c r="HJ718" s="13"/>
      <c r="HK718" s="13"/>
      <c r="SW718" s="13"/>
    </row>
    <row r="719" spans="18:517" ht="10.75" customHeight="1">
      <c r="R719" s="12"/>
      <c r="AG719" s="13"/>
      <c r="AH719" s="12"/>
      <c r="AK719" s="12"/>
      <c r="CF719" s="13"/>
      <c r="CI719" s="12"/>
      <c r="ED719" s="13"/>
      <c r="EG719" s="13"/>
      <c r="EW719" s="13"/>
      <c r="GI719" s="12"/>
      <c r="GN719" s="12"/>
      <c r="GO719" s="12"/>
      <c r="GX719" s="13"/>
      <c r="GY719" s="18"/>
      <c r="GZ719" s="13"/>
      <c r="HA719" s="12"/>
      <c r="HJ719" s="13"/>
      <c r="HK719" s="13"/>
      <c r="SW719" s="13"/>
    </row>
    <row r="720" spans="18:517" ht="10.75" customHeight="1">
      <c r="R720" s="12"/>
      <c r="AG720" s="13"/>
      <c r="AH720" s="12"/>
      <c r="AK720" s="12"/>
      <c r="CF720" s="13"/>
      <c r="CI720" s="12"/>
      <c r="ED720" s="13"/>
      <c r="EG720" s="13"/>
      <c r="EW720" s="13"/>
      <c r="GI720" s="12"/>
      <c r="GN720" s="12"/>
      <c r="GO720" s="14"/>
      <c r="GP720" s="15"/>
      <c r="GQ720" s="15"/>
      <c r="GR720" s="15"/>
      <c r="GS720" s="15"/>
      <c r="GT720" s="15"/>
      <c r="GU720" s="15"/>
      <c r="GV720" s="15"/>
      <c r="GW720" s="15"/>
      <c r="GX720" s="16"/>
      <c r="GY720" s="18"/>
      <c r="GZ720" s="13"/>
      <c r="HA720" s="12"/>
      <c r="HJ720" s="13"/>
      <c r="HK720" s="13"/>
      <c r="SW720" s="13"/>
    </row>
    <row r="721" spans="18:536" ht="10.75" customHeight="1">
      <c r="R721" s="12"/>
      <c r="AG721" s="13"/>
      <c r="AH721" s="12"/>
      <c r="AK721" s="12"/>
      <c r="CF721" s="13"/>
      <c r="CI721" s="12"/>
      <c r="ED721" s="13"/>
      <c r="EG721" s="13"/>
      <c r="EW721" s="13"/>
      <c r="GI721" s="12"/>
      <c r="GN721" s="12"/>
      <c r="GO721" s="9"/>
      <c r="GP721" s="10"/>
      <c r="GQ721" s="10"/>
      <c r="GR721" s="10"/>
      <c r="GS721" s="10"/>
      <c r="GT721" s="10"/>
      <c r="GU721" s="10"/>
      <c r="GV721" s="10"/>
      <c r="GW721" s="10"/>
      <c r="GX721" s="11"/>
      <c r="GY721" s="18"/>
      <c r="GZ721" s="13"/>
      <c r="HA721" s="9"/>
      <c r="HB721" s="10"/>
      <c r="HC721" s="10"/>
      <c r="HD721" s="10"/>
      <c r="HE721" s="10"/>
      <c r="HF721" s="10"/>
      <c r="HG721" s="10"/>
      <c r="HH721" s="10"/>
      <c r="HI721" s="10"/>
      <c r="HJ721" s="11"/>
      <c r="HK721" s="13"/>
      <c r="SW721" s="13"/>
    </row>
    <row r="722" spans="18:536" ht="10.75" customHeight="1">
      <c r="R722" s="12"/>
      <c r="AG722" s="13"/>
      <c r="AH722" s="12"/>
      <c r="AK722" s="12"/>
      <c r="CF722" s="13"/>
      <c r="CI722" s="12"/>
      <c r="ED722" s="13"/>
      <c r="EG722" s="13"/>
      <c r="EW722" s="13"/>
      <c r="GI722" s="12"/>
      <c r="GN722" s="12"/>
      <c r="GO722" s="12"/>
      <c r="GX722" s="13"/>
      <c r="GY722" s="18"/>
      <c r="GZ722" s="13"/>
      <c r="HA722" s="12"/>
      <c r="HJ722" s="13"/>
      <c r="HK722" s="13"/>
      <c r="SK722" s="15"/>
      <c r="SL722" s="15"/>
      <c r="SM722" s="15"/>
      <c r="SN722" s="15"/>
      <c r="SO722" s="15"/>
      <c r="SP722" s="15"/>
      <c r="SQ722" s="15"/>
      <c r="SR722" s="15"/>
      <c r="SS722" s="15"/>
      <c r="ST722" s="15"/>
      <c r="SU722" s="15"/>
      <c r="SV722" s="15"/>
      <c r="SW722" s="16"/>
    </row>
    <row r="723" spans="18:536" ht="10.75" customHeight="1">
      <c r="R723" s="12"/>
      <c r="AG723" s="13"/>
      <c r="AH723" s="12"/>
      <c r="AK723" s="12"/>
      <c r="CF723" s="13"/>
      <c r="CI723" s="12"/>
      <c r="ED723" s="13"/>
      <c r="EG723" s="13"/>
      <c r="EW723" s="13"/>
      <c r="GI723" s="12"/>
      <c r="GN723" s="12"/>
      <c r="GO723" s="12"/>
      <c r="GX723" s="13"/>
      <c r="GY723" s="18"/>
      <c r="GZ723" s="13"/>
      <c r="HA723" s="12"/>
      <c r="HJ723" s="13"/>
      <c r="HK723" s="13"/>
      <c r="QR723" s="10"/>
      <c r="QS723" s="10"/>
      <c r="QT723" s="10"/>
      <c r="QU723" s="10"/>
      <c r="QV723" s="10"/>
      <c r="QW723" s="10"/>
      <c r="QX723" s="10"/>
      <c r="QY723" s="10"/>
      <c r="QZ723" s="10"/>
      <c r="RA723" s="10"/>
      <c r="RB723" s="10"/>
      <c r="RC723" s="10"/>
      <c r="RD723" s="10"/>
      <c r="RE723" s="10"/>
      <c r="RF723" s="10"/>
      <c r="RG723" s="10"/>
      <c r="RH723" s="10"/>
      <c r="RI723" s="10"/>
      <c r="RJ723" s="10"/>
      <c r="RK723" s="10"/>
      <c r="RL723" s="10"/>
      <c r="RM723" s="10"/>
      <c r="RN723" s="10"/>
      <c r="RO723" s="10"/>
      <c r="RP723" s="10"/>
      <c r="RQ723" s="10"/>
      <c r="RR723" s="10"/>
      <c r="RS723" s="10"/>
      <c r="RT723" s="10"/>
      <c r="RU723" s="10"/>
      <c r="RV723" s="10"/>
      <c r="RW723" s="10"/>
      <c r="RX723" s="10"/>
      <c r="RY723" s="10"/>
      <c r="RZ723" s="10"/>
      <c r="SA723" s="10"/>
      <c r="SB723" s="10"/>
      <c r="SC723" s="10"/>
      <c r="SD723" s="10"/>
      <c r="SE723" s="10"/>
      <c r="SF723" s="10"/>
      <c r="SG723" s="10"/>
      <c r="SH723" s="10"/>
      <c r="SI723" s="10"/>
      <c r="SJ723" s="10"/>
      <c r="SK723" s="10"/>
      <c r="SL723" s="10"/>
      <c r="SM723" s="10"/>
      <c r="SN723" s="10"/>
      <c r="SO723" s="10"/>
      <c r="SP723" s="10"/>
      <c r="SQ723" s="10"/>
      <c r="SR723" s="10"/>
      <c r="SS723" s="10"/>
      <c r="ST723" s="10"/>
      <c r="SU723" s="10"/>
      <c r="SV723" s="10"/>
      <c r="SW723" s="10"/>
      <c r="SX723" s="10"/>
      <c r="SY723" s="10"/>
      <c r="SZ723" s="10"/>
      <c r="TA723" s="10"/>
      <c r="TB723" s="10"/>
      <c r="TC723" s="10"/>
      <c r="TD723" s="10"/>
      <c r="TE723" s="10"/>
      <c r="TF723" s="10"/>
      <c r="TG723" s="10"/>
      <c r="TH723" s="10"/>
      <c r="TI723" s="10"/>
      <c r="TJ723" s="10"/>
      <c r="TK723" s="10"/>
      <c r="TL723" s="10"/>
      <c r="TM723" s="10"/>
      <c r="TN723" s="10"/>
      <c r="TO723" s="10"/>
      <c r="TP723" s="10"/>
    </row>
    <row r="724" spans="18:536" ht="10.75" customHeight="1">
      <c r="R724" s="12"/>
      <c r="AG724" s="13"/>
      <c r="AH724" s="12"/>
      <c r="AK724" s="14"/>
      <c r="AL724" s="15"/>
      <c r="AM724" s="15"/>
      <c r="AN724" s="15"/>
      <c r="AO724" s="15"/>
      <c r="AP724" s="15"/>
      <c r="AQ724" s="15"/>
      <c r="AR724" s="15"/>
      <c r="AS724" s="15"/>
      <c r="AT724" s="15"/>
      <c r="AU724" s="15"/>
      <c r="AV724" s="15"/>
      <c r="AW724" s="15"/>
      <c r="AX724" s="15"/>
      <c r="AY724" s="15"/>
      <c r="AZ724" s="15"/>
      <c r="BA724" s="15"/>
      <c r="BB724" s="15"/>
      <c r="BC724" s="15"/>
      <c r="BD724" s="15"/>
      <c r="BE724" s="15"/>
      <c r="BF724" s="15"/>
      <c r="BG724" s="15"/>
      <c r="BH724" s="15"/>
      <c r="BI724" s="15"/>
      <c r="BJ724" s="15"/>
      <c r="BK724" s="15"/>
      <c r="BL724" s="15"/>
      <c r="BM724" s="15"/>
      <c r="BN724" s="15"/>
      <c r="BO724" s="15"/>
      <c r="BP724" s="15"/>
      <c r="BQ724" s="15"/>
      <c r="BR724" s="15"/>
      <c r="BS724" s="15"/>
      <c r="BT724" s="15"/>
      <c r="BU724" s="15"/>
      <c r="BV724" s="15"/>
      <c r="BW724" s="15"/>
      <c r="BX724" s="15"/>
      <c r="BY724" s="15"/>
      <c r="BZ724" s="15"/>
      <c r="CA724" s="15"/>
      <c r="CB724" s="15"/>
      <c r="CC724" s="15"/>
      <c r="CD724" s="15"/>
      <c r="CE724" s="15"/>
      <c r="CF724" s="16"/>
      <c r="CG724" s="15"/>
      <c r="CH724" s="15"/>
      <c r="CI724" s="14"/>
      <c r="CJ724" s="15"/>
      <c r="CK724" s="15"/>
      <c r="CL724" s="15"/>
      <c r="CM724" s="15"/>
      <c r="CN724" s="15"/>
      <c r="CO724" s="15"/>
      <c r="CP724" s="15"/>
      <c r="CQ724" s="15"/>
      <c r="CR724" s="15"/>
      <c r="CS724" s="15"/>
      <c r="CT724" s="15"/>
      <c r="CU724" s="15"/>
      <c r="CV724" s="15"/>
      <c r="CW724" s="15"/>
      <c r="CX724" s="15"/>
      <c r="CY724" s="15"/>
      <c r="CZ724" s="15"/>
      <c r="DA724" s="15"/>
      <c r="DB724" s="15"/>
      <c r="DC724" s="15"/>
      <c r="DD724" s="15"/>
      <c r="DE724" s="15"/>
      <c r="DF724" s="15"/>
      <c r="DG724" s="15"/>
      <c r="DH724" s="15"/>
      <c r="DI724" s="15"/>
      <c r="DJ724" s="15"/>
      <c r="DK724" s="15"/>
      <c r="DL724" s="15"/>
      <c r="DM724" s="15"/>
      <c r="DN724" s="15"/>
      <c r="DO724" s="15"/>
      <c r="DP724" s="15"/>
      <c r="DQ724" s="15"/>
      <c r="DR724" s="15"/>
      <c r="DS724" s="15"/>
      <c r="DT724" s="15"/>
      <c r="DU724" s="15"/>
      <c r="DV724" s="15"/>
      <c r="DW724" s="15"/>
      <c r="DX724" s="15"/>
      <c r="DY724" s="15"/>
      <c r="DZ724" s="15"/>
      <c r="EA724" s="15"/>
      <c r="EB724" s="15"/>
      <c r="EC724" s="15"/>
      <c r="ED724" s="16"/>
      <c r="EG724" s="13"/>
      <c r="EW724" s="13"/>
      <c r="GI724" s="12"/>
      <c r="GN724" s="12"/>
      <c r="GO724" s="14"/>
      <c r="GP724" s="15"/>
      <c r="GQ724" s="15"/>
      <c r="GR724" s="15"/>
      <c r="GS724" s="15"/>
      <c r="GT724" s="15"/>
      <c r="GU724" s="15"/>
      <c r="GV724" s="15"/>
      <c r="GW724" s="15"/>
      <c r="GX724" s="16"/>
      <c r="GY724" s="18"/>
      <c r="GZ724" s="13"/>
      <c r="HA724" s="14"/>
      <c r="HB724" s="15"/>
      <c r="HC724" s="15"/>
      <c r="HD724" s="15"/>
      <c r="HE724" s="15"/>
      <c r="HF724" s="15"/>
      <c r="HG724" s="15"/>
      <c r="HH724" s="15"/>
      <c r="HI724" s="15"/>
      <c r="HJ724" s="16"/>
      <c r="HK724" s="13"/>
    </row>
    <row r="725" spans="18:536" ht="10.75" customHeight="1">
      <c r="R725" s="12"/>
      <c r="AG725" s="13"/>
      <c r="AH725" s="12"/>
      <c r="EG725" s="13"/>
      <c r="EW725" s="13"/>
      <c r="GI725" s="12"/>
      <c r="GN725" s="12"/>
      <c r="GO725" s="12"/>
      <c r="GX725" s="13"/>
      <c r="GY725" s="18"/>
      <c r="GZ725" s="13"/>
      <c r="HA725" s="12"/>
      <c r="HJ725" s="13"/>
      <c r="HK725" s="13"/>
    </row>
    <row r="726" spans="18:536" ht="10.75" customHeight="1">
      <c r="R726" s="12"/>
      <c r="AG726" s="13"/>
      <c r="AH726" s="12"/>
      <c r="DQ726" s="20"/>
      <c r="DR726" s="21"/>
      <c r="DS726" s="21"/>
      <c r="DT726" s="21"/>
      <c r="DU726" s="21"/>
      <c r="DV726" s="21"/>
      <c r="DW726" s="21"/>
      <c r="DX726" s="21"/>
      <c r="DY726" s="21"/>
      <c r="DZ726" s="21"/>
      <c r="EA726" s="21"/>
      <c r="EB726" s="22"/>
      <c r="EG726" s="13"/>
      <c r="EW726" s="13"/>
      <c r="GI726" s="12"/>
      <c r="GN726" s="12"/>
      <c r="GO726" s="12"/>
      <c r="GX726" s="13"/>
      <c r="GY726" s="18"/>
      <c r="GZ726" s="13"/>
      <c r="HA726" s="12"/>
      <c r="HJ726" s="13"/>
      <c r="HK726" s="13"/>
    </row>
    <row r="727" spans="18:536" ht="10.75" customHeight="1">
      <c r="R727" s="14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  <c r="AG727" s="16"/>
      <c r="AH727" s="14"/>
      <c r="AI727" s="15"/>
      <c r="AJ727" s="15"/>
      <c r="AK727" s="15"/>
      <c r="AL727" s="15"/>
      <c r="AM727" s="15"/>
      <c r="AN727" s="15"/>
      <c r="AO727" s="15"/>
      <c r="AP727" s="15"/>
      <c r="AQ727" s="15"/>
      <c r="AR727" s="15"/>
      <c r="AS727" s="15"/>
      <c r="AT727" s="15"/>
      <c r="AU727" s="15"/>
      <c r="AV727" s="15"/>
      <c r="AW727" s="15"/>
      <c r="AX727" s="15"/>
      <c r="AY727" s="15"/>
      <c r="AZ727" s="15"/>
      <c r="BA727" s="15"/>
      <c r="BB727" s="15"/>
      <c r="BC727" s="15"/>
      <c r="BD727" s="15"/>
      <c r="BE727" s="15"/>
      <c r="BF727" s="15"/>
      <c r="BG727" s="15"/>
      <c r="BH727" s="15"/>
      <c r="BI727" s="15"/>
      <c r="BJ727" s="15"/>
      <c r="BK727" s="15"/>
      <c r="BL727" s="15"/>
      <c r="BM727" s="15"/>
      <c r="BN727" s="15"/>
      <c r="BO727" s="15"/>
      <c r="BP727" s="15"/>
      <c r="BQ727" s="15"/>
      <c r="BR727" s="15"/>
      <c r="BS727" s="15"/>
      <c r="BT727" s="15"/>
      <c r="BU727" s="15"/>
      <c r="BV727" s="15"/>
      <c r="BW727" s="15"/>
      <c r="BX727" s="15"/>
      <c r="BY727" s="15"/>
      <c r="BZ727" s="15"/>
      <c r="CA727" s="15"/>
      <c r="CB727" s="15"/>
      <c r="CC727" s="15"/>
      <c r="CD727" s="15"/>
      <c r="CE727" s="15"/>
      <c r="CF727" s="15"/>
      <c r="CG727" s="15"/>
      <c r="CH727" s="15"/>
      <c r="CI727" s="15"/>
      <c r="CJ727" s="15"/>
      <c r="CK727" s="15"/>
      <c r="CL727" s="15"/>
      <c r="CM727" s="15"/>
      <c r="CN727" s="15"/>
      <c r="CO727" s="15"/>
      <c r="CP727" s="15"/>
      <c r="CQ727" s="15"/>
      <c r="CR727" s="15"/>
      <c r="CS727" s="15"/>
      <c r="CT727" s="15"/>
      <c r="CU727" s="15"/>
      <c r="CV727" s="15"/>
      <c r="CW727" s="15"/>
      <c r="CX727" s="15"/>
      <c r="CY727" s="15"/>
      <c r="CZ727" s="15"/>
      <c r="DA727" s="15"/>
      <c r="DB727" s="15"/>
      <c r="DC727" s="15"/>
      <c r="DD727" s="15"/>
      <c r="DE727" s="15"/>
      <c r="DF727" s="15"/>
      <c r="DG727" s="15"/>
      <c r="DH727" s="15"/>
      <c r="DI727" s="15"/>
      <c r="DJ727" s="15"/>
      <c r="DK727" s="15"/>
      <c r="DL727" s="15"/>
      <c r="DM727" s="15"/>
      <c r="DN727" s="15"/>
      <c r="DO727" s="15"/>
      <c r="DP727" s="15"/>
      <c r="DQ727" s="15"/>
      <c r="DR727" s="15"/>
      <c r="DS727" s="15"/>
      <c r="DT727" s="15"/>
      <c r="DU727" s="15"/>
      <c r="DV727" s="15"/>
      <c r="DW727" s="15"/>
      <c r="DX727" s="15"/>
      <c r="DY727" s="15"/>
      <c r="DZ727" s="15"/>
      <c r="EA727" s="15"/>
      <c r="EB727" s="15"/>
      <c r="EC727" s="15"/>
      <c r="ED727" s="15"/>
      <c r="EE727" s="15"/>
      <c r="EF727" s="15"/>
      <c r="EG727" s="16"/>
      <c r="EW727" s="13"/>
      <c r="GI727" s="12"/>
      <c r="GN727" s="12"/>
      <c r="GO727" s="12"/>
      <c r="GX727" s="13"/>
      <c r="GY727" s="18"/>
      <c r="GZ727" s="13"/>
      <c r="HA727" s="12"/>
      <c r="HJ727" s="13"/>
      <c r="HK727" s="13"/>
    </row>
    <row r="728" spans="18:536" ht="10.75" customHeight="1">
      <c r="AK728" s="13"/>
      <c r="AL728" s="12"/>
      <c r="AM728" s="12"/>
      <c r="AV728" s="13"/>
      <c r="AW728" s="13"/>
      <c r="AX728" s="13"/>
      <c r="AY728" s="12"/>
      <c r="BH728" s="13"/>
      <c r="BI728" s="13"/>
      <c r="DO728" s="9"/>
      <c r="DP728" s="10"/>
      <c r="DQ728" s="10"/>
      <c r="DR728" s="10"/>
      <c r="DS728" s="10"/>
      <c r="DT728" s="10"/>
      <c r="DU728" s="10"/>
      <c r="DV728" s="10"/>
      <c r="DW728" s="10"/>
      <c r="DX728" s="10"/>
      <c r="DY728" s="10"/>
      <c r="DZ728" s="10"/>
      <c r="EA728" s="10"/>
      <c r="EB728" s="10"/>
      <c r="EC728" s="10"/>
      <c r="ED728" s="11"/>
      <c r="EW728" s="13"/>
      <c r="GI728" s="12"/>
      <c r="GN728" s="12"/>
      <c r="GO728" s="12"/>
      <c r="GX728" s="13"/>
      <c r="GY728" s="18"/>
      <c r="GZ728" s="13"/>
      <c r="HA728" s="14"/>
      <c r="HB728" s="15"/>
      <c r="HC728" s="15"/>
      <c r="HD728" s="15"/>
      <c r="HE728" s="15"/>
      <c r="HF728" s="15"/>
      <c r="HG728" s="15"/>
      <c r="HH728" s="15"/>
      <c r="HI728" s="15"/>
      <c r="HJ728" s="16"/>
      <c r="HK728" s="13"/>
    </row>
    <row r="729" spans="18:536" ht="10.75" customHeight="1">
      <c r="AL729" s="12"/>
      <c r="AM729" s="12"/>
      <c r="AV729" s="13"/>
      <c r="AW729" s="13"/>
      <c r="AX729" s="13"/>
      <c r="AY729" s="12"/>
      <c r="BH729" s="13"/>
      <c r="BI729" s="13"/>
      <c r="DO729" s="12"/>
      <c r="ED729" s="13"/>
      <c r="EW729" s="13"/>
      <c r="GI729" s="12"/>
      <c r="GN729" s="12"/>
      <c r="GO729" s="9"/>
      <c r="GP729" s="10"/>
      <c r="GQ729" s="10"/>
      <c r="GR729" s="10"/>
      <c r="GS729" s="10"/>
      <c r="GT729" s="10"/>
      <c r="GU729" s="10"/>
      <c r="GV729" s="10"/>
      <c r="GW729" s="10"/>
      <c r="GX729" s="11"/>
      <c r="GY729" s="18"/>
      <c r="GZ729" s="13"/>
      <c r="HA729" s="9"/>
      <c r="HB729" s="10"/>
      <c r="HC729" s="10"/>
      <c r="HD729" s="10"/>
      <c r="HE729" s="10"/>
      <c r="HF729" s="10"/>
      <c r="HG729" s="10"/>
      <c r="HH729" s="10"/>
      <c r="HI729" s="10"/>
      <c r="HJ729" s="11"/>
      <c r="HK729" s="13"/>
    </row>
    <row r="730" spans="18:536" ht="10.75" customHeight="1">
      <c r="AL730" s="12"/>
      <c r="AM730" s="12"/>
      <c r="AV730" s="13"/>
      <c r="AW730" s="13"/>
      <c r="AX730" s="13"/>
      <c r="AY730" s="12"/>
      <c r="BH730" s="13"/>
      <c r="BI730" s="13"/>
      <c r="DO730" s="12"/>
      <c r="ED730" s="13"/>
      <c r="EW730" s="13"/>
      <c r="GI730" s="12"/>
      <c r="GN730" s="12"/>
      <c r="GO730" s="12"/>
      <c r="GX730" s="13"/>
      <c r="GY730" s="18"/>
      <c r="GZ730" s="13"/>
      <c r="HA730" s="12"/>
      <c r="HJ730" s="13"/>
      <c r="HK730" s="13"/>
    </row>
    <row r="731" spans="18:536" ht="10.75" customHeight="1">
      <c r="AL731" s="12"/>
      <c r="AM731" s="12"/>
      <c r="AV731" s="13"/>
      <c r="AW731" s="13"/>
      <c r="AX731" s="13"/>
      <c r="AY731" s="14"/>
      <c r="AZ731" s="15"/>
      <c r="BA731" s="15"/>
      <c r="BB731" s="15"/>
      <c r="BC731" s="15"/>
      <c r="BD731" s="15"/>
      <c r="BE731" s="15"/>
      <c r="BF731" s="15"/>
      <c r="BG731" s="15"/>
      <c r="BH731" s="16"/>
      <c r="BI731" s="13"/>
      <c r="CE731" s="9"/>
      <c r="CF731" s="10"/>
      <c r="CG731" s="10"/>
      <c r="CH731" s="10"/>
      <c r="CI731" s="10"/>
      <c r="CJ731" s="10"/>
      <c r="CK731" s="10"/>
      <c r="CL731" s="10"/>
      <c r="CM731" s="10"/>
      <c r="CN731" s="10"/>
      <c r="CO731" s="10"/>
      <c r="CP731" s="10"/>
      <c r="CQ731" s="10"/>
      <c r="CR731" s="11"/>
      <c r="DO731" s="12"/>
      <c r="ED731" s="13"/>
      <c r="EW731" s="13"/>
      <c r="GI731" s="12"/>
      <c r="GN731" s="12"/>
      <c r="GO731" s="12"/>
      <c r="GX731" s="13"/>
      <c r="GY731" s="18"/>
      <c r="GZ731" s="13"/>
      <c r="HA731" s="12"/>
      <c r="HJ731" s="13"/>
      <c r="HK731" s="13"/>
    </row>
    <row r="732" spans="18:536" ht="10.75" customHeight="1">
      <c r="AL732" s="12"/>
      <c r="AM732" s="12"/>
      <c r="AV732" s="13"/>
      <c r="AW732" s="13"/>
      <c r="AX732" s="13"/>
      <c r="AY732" s="12"/>
      <c r="BH732" s="13"/>
      <c r="BI732" s="13"/>
      <c r="CE732" s="12"/>
      <c r="CR732" s="13"/>
      <c r="DO732" s="12"/>
      <c r="ED732" s="13"/>
      <c r="EW732" s="13"/>
      <c r="GI732" s="12"/>
      <c r="GN732" s="12"/>
      <c r="GO732" s="14"/>
      <c r="GP732" s="15"/>
      <c r="GQ732" s="15"/>
      <c r="GR732" s="15"/>
      <c r="GS732" s="15"/>
      <c r="GT732" s="15"/>
      <c r="GU732" s="15"/>
      <c r="GV732" s="15"/>
      <c r="GW732" s="15"/>
      <c r="GX732" s="16"/>
      <c r="GY732" s="18"/>
      <c r="GZ732" s="13"/>
      <c r="HA732" s="14"/>
      <c r="HB732" s="15"/>
      <c r="HC732" s="15"/>
      <c r="HD732" s="15"/>
      <c r="HE732" s="15"/>
      <c r="HF732" s="15"/>
      <c r="HG732" s="15"/>
      <c r="HH732" s="15"/>
      <c r="HI732" s="15"/>
      <c r="HJ732" s="16"/>
      <c r="HK732" s="13"/>
    </row>
    <row r="733" spans="18:536" ht="10.75" customHeight="1">
      <c r="AL733" s="12"/>
      <c r="AM733" s="12"/>
      <c r="AV733" s="13"/>
      <c r="AW733" s="13"/>
      <c r="AX733" s="13"/>
      <c r="AY733" s="12"/>
      <c r="BH733" s="13"/>
      <c r="BI733" s="13"/>
      <c r="CE733" s="12"/>
      <c r="CR733" s="13"/>
      <c r="DO733" s="14"/>
      <c r="DP733" s="15"/>
      <c r="DQ733" s="15"/>
      <c r="DR733" s="15"/>
      <c r="DS733" s="15"/>
      <c r="DT733" s="15"/>
      <c r="DU733" s="15"/>
      <c r="DV733" s="15"/>
      <c r="DW733" s="15"/>
      <c r="DX733" s="15"/>
      <c r="DY733" s="15"/>
      <c r="DZ733" s="15"/>
      <c r="EA733" s="15"/>
      <c r="EB733" s="15"/>
      <c r="EC733" s="15"/>
      <c r="ED733" s="16"/>
      <c r="EW733" s="13"/>
      <c r="GI733" s="12"/>
      <c r="GN733" s="12"/>
      <c r="GO733" s="12"/>
      <c r="GX733" s="13"/>
      <c r="GY733" s="18"/>
      <c r="GZ733" s="13"/>
      <c r="HA733" s="12"/>
      <c r="HJ733" s="13"/>
      <c r="HK733" s="13"/>
    </row>
    <row r="734" spans="18:536" ht="10.75" customHeight="1">
      <c r="AL734" s="12"/>
      <c r="AM734" s="12"/>
      <c r="AV734" s="13"/>
      <c r="AW734" s="13"/>
      <c r="AX734" s="13"/>
      <c r="AY734" s="12"/>
      <c r="BH734" s="13"/>
      <c r="BI734" s="13"/>
      <c r="CE734" s="12"/>
      <c r="CR734" s="13"/>
      <c r="EW734" s="13"/>
      <c r="GI734" s="12"/>
      <c r="GN734" s="12"/>
      <c r="GO734" s="12"/>
      <c r="GX734" s="13"/>
      <c r="GY734" s="18"/>
      <c r="GZ734" s="13"/>
      <c r="HA734" s="12"/>
      <c r="HJ734" s="13"/>
      <c r="HK734" s="13"/>
    </row>
    <row r="735" spans="18:536" ht="10.75" customHeight="1">
      <c r="AL735" s="12"/>
      <c r="AM735" s="12"/>
      <c r="AV735" s="13"/>
      <c r="AW735" s="13"/>
      <c r="AX735" s="13"/>
      <c r="AY735" s="12"/>
      <c r="BH735" s="13"/>
      <c r="BI735" s="13"/>
      <c r="CE735" s="12"/>
      <c r="CR735" s="13"/>
      <c r="EW735" s="13"/>
      <c r="GI735" s="12"/>
      <c r="GN735" s="12"/>
      <c r="GO735" s="12"/>
      <c r="GX735" s="13"/>
      <c r="GY735" s="18"/>
      <c r="GZ735" s="13"/>
      <c r="HA735" s="12"/>
      <c r="HJ735" s="13"/>
      <c r="HK735" s="13"/>
    </row>
    <row r="736" spans="18:536" ht="10.75" customHeight="1">
      <c r="AL736" s="12"/>
      <c r="AM736" s="9"/>
      <c r="AN736" s="10"/>
      <c r="AO736" s="10"/>
      <c r="AP736" s="10"/>
      <c r="AQ736" s="10"/>
      <c r="AR736" s="10"/>
      <c r="AS736" s="10"/>
      <c r="AT736" s="10"/>
      <c r="AU736" s="10"/>
      <c r="AV736" s="11"/>
      <c r="AW736" s="13"/>
      <c r="AX736" s="13"/>
      <c r="AY736" s="9"/>
      <c r="AZ736" s="10"/>
      <c r="BA736" s="10"/>
      <c r="BB736" s="10"/>
      <c r="BC736" s="10"/>
      <c r="BD736" s="10"/>
      <c r="BE736" s="10"/>
      <c r="BF736" s="10"/>
      <c r="BG736" s="10"/>
      <c r="BH736" s="11"/>
      <c r="BI736" s="13"/>
      <c r="CE736" s="12"/>
      <c r="CR736" s="13"/>
      <c r="EW736" s="13"/>
      <c r="GI736" s="12"/>
      <c r="GN736" s="12"/>
      <c r="GO736" s="14"/>
      <c r="GP736" s="15"/>
      <c r="GQ736" s="15"/>
      <c r="GR736" s="15"/>
      <c r="GS736" s="15"/>
      <c r="GT736" s="15"/>
      <c r="GU736" s="15"/>
      <c r="GV736" s="15"/>
      <c r="GW736" s="15"/>
      <c r="GX736" s="16"/>
      <c r="GY736" s="18"/>
      <c r="GZ736" s="13"/>
      <c r="HA736" s="12"/>
      <c r="HJ736" s="13"/>
      <c r="HK736" s="13"/>
    </row>
    <row r="737" spans="38:236" ht="10.75" customHeight="1">
      <c r="AL737" s="12"/>
      <c r="AM737" s="12"/>
      <c r="AV737" s="13"/>
      <c r="AW737" s="13"/>
      <c r="AX737" s="13"/>
      <c r="AY737" s="12"/>
      <c r="BH737" s="13"/>
      <c r="BI737" s="13"/>
      <c r="CE737" s="12"/>
      <c r="CR737" s="13"/>
      <c r="EW737" s="13"/>
      <c r="GI737" s="12"/>
      <c r="GN737" s="12"/>
      <c r="GO737" s="12"/>
      <c r="GX737" s="13"/>
      <c r="GY737" s="18"/>
      <c r="GZ737" s="13"/>
      <c r="HA737" s="9"/>
      <c r="HB737" s="10"/>
      <c r="HC737" s="10"/>
      <c r="HD737" s="10"/>
      <c r="HE737" s="10"/>
      <c r="HF737" s="10"/>
      <c r="HG737" s="10"/>
      <c r="HH737" s="10"/>
      <c r="HI737" s="10"/>
      <c r="HJ737" s="11"/>
      <c r="HK737" s="13"/>
    </row>
    <row r="738" spans="38:236" ht="10.75" customHeight="1">
      <c r="AL738" s="12"/>
      <c r="AM738" s="12"/>
      <c r="AV738" s="13"/>
      <c r="AW738" s="13"/>
      <c r="AX738" s="13"/>
      <c r="AY738" s="12"/>
      <c r="BH738" s="13"/>
      <c r="BI738" s="13"/>
      <c r="CE738" s="12"/>
      <c r="CR738" s="13"/>
      <c r="EW738" s="13"/>
      <c r="GI738" s="12"/>
      <c r="GN738" s="12"/>
      <c r="GO738" s="12"/>
      <c r="GX738" s="13"/>
      <c r="GY738" s="18"/>
      <c r="GZ738" s="13"/>
      <c r="HA738" s="12"/>
      <c r="HJ738" s="13"/>
      <c r="HK738" s="13"/>
    </row>
    <row r="739" spans="38:236" ht="10.75" customHeight="1">
      <c r="AL739" s="12"/>
      <c r="AM739" s="14"/>
      <c r="AN739" s="15"/>
      <c r="AO739" s="15"/>
      <c r="AP739" s="15"/>
      <c r="AQ739" s="15"/>
      <c r="AR739" s="15"/>
      <c r="AS739" s="15"/>
      <c r="AT739" s="15"/>
      <c r="AU739" s="15"/>
      <c r="AV739" s="16"/>
      <c r="AW739" s="13"/>
      <c r="AX739" s="13"/>
      <c r="AY739" s="14"/>
      <c r="AZ739" s="15"/>
      <c r="BA739" s="15"/>
      <c r="BB739" s="15"/>
      <c r="BC739" s="15"/>
      <c r="BD739" s="15"/>
      <c r="BE739" s="15"/>
      <c r="BF739" s="15"/>
      <c r="BG739" s="15"/>
      <c r="BH739" s="16"/>
      <c r="BI739" s="13"/>
      <c r="CE739" s="12"/>
      <c r="CR739" s="13"/>
      <c r="EW739" s="13"/>
      <c r="GI739" s="12"/>
      <c r="GN739" s="12"/>
      <c r="GO739" s="12"/>
      <c r="GX739" s="13"/>
      <c r="GY739" s="18"/>
      <c r="GZ739" s="13"/>
      <c r="HA739" s="12"/>
      <c r="HJ739" s="13"/>
      <c r="HK739" s="13"/>
    </row>
    <row r="740" spans="38:236" ht="10.75" customHeight="1">
      <c r="AL740" s="12"/>
      <c r="AM740" s="12"/>
      <c r="AV740" s="13"/>
      <c r="AW740" s="13"/>
      <c r="AX740" s="13"/>
      <c r="AY740" s="12"/>
      <c r="BH740" s="13"/>
      <c r="BI740" s="13"/>
      <c r="CE740" s="12"/>
      <c r="CR740" s="13"/>
      <c r="EW740" s="13"/>
      <c r="GI740" s="12"/>
      <c r="GN740" s="12"/>
      <c r="GO740" s="14"/>
      <c r="GP740" s="15"/>
      <c r="GQ740" s="15"/>
      <c r="GR740" s="15"/>
      <c r="GS740" s="15"/>
      <c r="GT740" s="15"/>
      <c r="GU740" s="15"/>
      <c r="GV740" s="15"/>
      <c r="GW740" s="15"/>
      <c r="GX740" s="16"/>
      <c r="GY740" s="18"/>
      <c r="GZ740" s="16"/>
      <c r="HA740" s="14"/>
      <c r="HB740" s="15"/>
      <c r="HC740" s="15"/>
      <c r="HD740" s="15"/>
      <c r="HE740" s="15"/>
      <c r="HF740" s="15"/>
      <c r="HG740" s="15"/>
      <c r="HH740" s="15"/>
      <c r="HI740" s="15"/>
      <c r="HJ740" s="16"/>
      <c r="HK740" s="16"/>
    </row>
    <row r="741" spans="38:236" ht="10.75" customHeight="1">
      <c r="AL741" s="12"/>
      <c r="AM741" s="12"/>
      <c r="AV741" s="13"/>
      <c r="AW741" s="13"/>
      <c r="AX741" s="13"/>
      <c r="AY741" s="12"/>
      <c r="BH741" s="13"/>
      <c r="BI741" s="13"/>
      <c r="CE741" s="12"/>
      <c r="CR741" s="13"/>
      <c r="EW741" s="13"/>
      <c r="GI741" s="12"/>
      <c r="GN741" s="9"/>
      <c r="GO741" s="9"/>
      <c r="GP741" s="10"/>
      <c r="GQ741" s="10"/>
      <c r="GR741" s="10"/>
      <c r="GS741" s="10"/>
      <c r="GT741" s="10"/>
      <c r="GU741" s="10"/>
      <c r="GV741" s="10"/>
      <c r="GW741" s="10"/>
      <c r="GX741" s="10"/>
      <c r="GY741" s="10"/>
      <c r="GZ741" s="10"/>
      <c r="HA741" s="10"/>
      <c r="HJ741" s="13"/>
      <c r="HK741" s="11"/>
    </row>
    <row r="742" spans="38:236" ht="10.75" customHeight="1">
      <c r="AL742" s="12"/>
      <c r="AM742" s="12"/>
      <c r="AV742" s="13"/>
      <c r="AW742" s="13"/>
      <c r="AX742" s="13"/>
      <c r="AY742" s="12"/>
      <c r="BH742" s="13"/>
      <c r="BI742" s="13"/>
      <c r="CE742" s="12"/>
      <c r="CR742" s="13"/>
      <c r="EW742" s="13"/>
      <c r="GI742" s="12"/>
      <c r="GN742" s="12"/>
      <c r="GO742" s="12"/>
      <c r="HJ742" s="13"/>
      <c r="HK742" s="13"/>
    </row>
    <row r="743" spans="38:236" ht="10.75" customHeight="1">
      <c r="AL743" s="12"/>
      <c r="AM743" s="12"/>
      <c r="AV743" s="13"/>
      <c r="AW743" s="13"/>
      <c r="AX743" s="13"/>
      <c r="AY743" s="14"/>
      <c r="AZ743" s="15"/>
      <c r="BA743" s="15"/>
      <c r="BB743" s="15"/>
      <c r="BC743" s="15"/>
      <c r="BD743" s="15"/>
      <c r="BE743" s="15"/>
      <c r="BF743" s="15"/>
      <c r="BG743" s="15"/>
      <c r="BH743" s="16"/>
      <c r="BI743" s="13"/>
      <c r="CE743" s="12"/>
      <c r="CR743" s="13"/>
      <c r="EW743" s="13"/>
      <c r="GI743" s="12"/>
      <c r="GN743" s="12"/>
      <c r="GO743" s="12"/>
      <c r="HJ743" s="13"/>
      <c r="HK743" s="13"/>
    </row>
    <row r="744" spans="38:236" ht="10.75" customHeight="1">
      <c r="AL744" s="12"/>
      <c r="AM744" s="9"/>
      <c r="AN744" s="10"/>
      <c r="AO744" s="10"/>
      <c r="AP744" s="10"/>
      <c r="AQ744" s="10"/>
      <c r="AR744" s="10"/>
      <c r="AS744" s="10"/>
      <c r="AT744" s="10"/>
      <c r="AU744" s="10"/>
      <c r="AV744" s="11"/>
      <c r="AW744" s="13"/>
      <c r="AX744" s="13"/>
      <c r="AY744" s="9"/>
      <c r="AZ744" s="10"/>
      <c r="BA744" s="10"/>
      <c r="BB744" s="10"/>
      <c r="BC744" s="10"/>
      <c r="BD744" s="10"/>
      <c r="BE744" s="10"/>
      <c r="BF744" s="10"/>
      <c r="BG744" s="10"/>
      <c r="BH744" s="11"/>
      <c r="BI744" s="13"/>
      <c r="CE744" s="12"/>
      <c r="CR744" s="13"/>
      <c r="EW744" s="13"/>
      <c r="GI744" s="14"/>
      <c r="GJ744" s="15"/>
      <c r="GK744" s="15"/>
      <c r="GL744" s="15"/>
      <c r="GM744" s="15"/>
      <c r="GN744" s="12"/>
      <c r="GO744" s="12"/>
      <c r="HJ744" s="13"/>
      <c r="HK744" s="13"/>
      <c r="HL744" s="15"/>
      <c r="HM744" s="15"/>
      <c r="HN744" s="15"/>
      <c r="HO744" s="15"/>
      <c r="HP744" s="15"/>
      <c r="HQ744" s="15"/>
      <c r="HR744" s="15"/>
      <c r="HS744" s="15"/>
      <c r="HT744" s="15"/>
      <c r="HU744" s="15"/>
      <c r="HV744" s="15"/>
      <c r="HW744" s="15"/>
      <c r="HX744" s="15"/>
      <c r="HY744" s="15"/>
      <c r="HZ744" s="15"/>
      <c r="IA744" s="15"/>
      <c r="IB744" s="15"/>
    </row>
    <row r="745" spans="38:236" ht="10.75" customHeight="1">
      <c r="AL745" s="12"/>
      <c r="AM745" s="12"/>
      <c r="AV745" s="13"/>
      <c r="AW745" s="13"/>
      <c r="AX745" s="13"/>
      <c r="AY745" s="12"/>
      <c r="BH745" s="13"/>
      <c r="BI745" s="13"/>
      <c r="CE745" s="12"/>
      <c r="CR745" s="13"/>
      <c r="EW745" s="13"/>
      <c r="GN745" s="12"/>
      <c r="GO745" s="12"/>
      <c r="HJ745" s="13"/>
      <c r="HK745" s="13"/>
    </row>
    <row r="746" spans="38:236" ht="10.75" customHeight="1">
      <c r="AL746" s="12"/>
      <c r="AM746" s="12"/>
      <c r="AV746" s="13"/>
      <c r="AW746" s="13"/>
      <c r="AX746" s="13"/>
      <c r="AY746" s="12"/>
      <c r="BH746" s="13"/>
      <c r="BI746" s="13"/>
      <c r="CE746" s="12"/>
      <c r="CR746" s="13"/>
      <c r="EW746" s="13"/>
      <c r="GN746" s="12"/>
      <c r="GO746" s="12"/>
      <c r="HJ746" s="13"/>
      <c r="HK746" s="13"/>
    </row>
    <row r="747" spans="38:236" ht="10.75" customHeight="1">
      <c r="AL747" s="12"/>
      <c r="AM747" s="14"/>
      <c r="AN747" s="15"/>
      <c r="AO747" s="15"/>
      <c r="AP747" s="15"/>
      <c r="AQ747" s="15"/>
      <c r="AR747" s="15"/>
      <c r="AS747" s="15"/>
      <c r="AT747" s="15"/>
      <c r="AU747" s="15"/>
      <c r="AV747" s="16"/>
      <c r="AW747" s="13"/>
      <c r="AX747" s="13"/>
      <c r="AY747" s="14"/>
      <c r="AZ747" s="15"/>
      <c r="BA747" s="15"/>
      <c r="BB747" s="15"/>
      <c r="BC747" s="15"/>
      <c r="BD747" s="15"/>
      <c r="BE747" s="15"/>
      <c r="BF747" s="15"/>
      <c r="BG747" s="15"/>
      <c r="BH747" s="16"/>
      <c r="BI747" s="13"/>
      <c r="CE747" s="12"/>
      <c r="CR747" s="13"/>
      <c r="EW747" s="13"/>
      <c r="GN747" s="12"/>
      <c r="GO747" s="12"/>
      <c r="HJ747" s="13"/>
      <c r="HK747" s="13"/>
    </row>
    <row r="748" spans="38:236" ht="10.75" customHeight="1">
      <c r="AL748" s="12"/>
      <c r="AM748" s="12"/>
      <c r="AV748" s="13"/>
      <c r="AW748" s="13"/>
      <c r="AX748" s="13"/>
      <c r="AY748" s="12"/>
      <c r="BH748" s="13"/>
      <c r="BI748" s="13"/>
      <c r="CE748" s="12"/>
      <c r="CR748" s="13"/>
      <c r="EW748" s="13"/>
      <c r="GN748" s="12"/>
      <c r="GO748" s="12"/>
      <c r="HJ748" s="13"/>
      <c r="HK748" s="13"/>
    </row>
    <row r="749" spans="38:236" ht="10.75" customHeight="1">
      <c r="AL749" s="12"/>
      <c r="AM749" s="12"/>
      <c r="AV749" s="13"/>
      <c r="AW749" s="13"/>
      <c r="AX749" s="13"/>
      <c r="AY749" s="12"/>
      <c r="BH749" s="13"/>
      <c r="BI749" s="13"/>
      <c r="CE749" s="12"/>
      <c r="CR749" s="13"/>
      <c r="EW749" s="13"/>
      <c r="GN749" s="12"/>
      <c r="GO749" s="12"/>
      <c r="HJ749" s="13"/>
      <c r="HK749" s="13"/>
    </row>
    <row r="750" spans="38:236" ht="10.75" customHeight="1">
      <c r="AL750" s="12"/>
      <c r="AM750" s="12"/>
      <c r="AV750" s="13"/>
      <c r="AW750" s="13"/>
      <c r="AX750" s="13"/>
      <c r="AY750" s="12"/>
      <c r="BH750" s="13"/>
      <c r="BI750" s="13"/>
      <c r="CE750" s="12"/>
      <c r="CR750" s="13"/>
      <c r="EW750" s="13"/>
      <c r="GN750" s="12"/>
      <c r="GO750" s="12"/>
      <c r="HJ750" s="13"/>
      <c r="HK750" s="13"/>
    </row>
    <row r="751" spans="38:236" ht="10.75" customHeight="1">
      <c r="AL751" s="12"/>
      <c r="AM751" s="14"/>
      <c r="AN751" s="15"/>
      <c r="AO751" s="15"/>
      <c r="AP751" s="15"/>
      <c r="AQ751" s="15"/>
      <c r="AR751" s="15"/>
      <c r="AS751" s="15"/>
      <c r="AT751" s="15"/>
      <c r="AU751" s="15"/>
      <c r="AV751" s="16"/>
      <c r="AW751" s="13"/>
      <c r="AX751" s="13"/>
      <c r="AY751" s="12"/>
      <c r="BH751" s="13"/>
      <c r="BI751" s="13"/>
      <c r="CE751" s="12"/>
      <c r="CR751" s="13"/>
      <c r="EW751" s="13"/>
      <c r="GN751" s="12"/>
      <c r="GO751" s="12"/>
      <c r="HJ751" s="13"/>
      <c r="HK751" s="13"/>
    </row>
    <row r="752" spans="38:236" ht="10.75" customHeight="1">
      <c r="AL752" s="12"/>
      <c r="AM752" s="9"/>
      <c r="AN752" s="10"/>
      <c r="AO752" s="10"/>
      <c r="AP752" s="10"/>
      <c r="AQ752" s="10"/>
      <c r="AR752" s="10"/>
      <c r="AS752" s="10"/>
      <c r="AT752" s="10"/>
      <c r="AU752" s="10"/>
      <c r="AV752" s="11"/>
      <c r="AW752" s="13"/>
      <c r="AX752" s="13"/>
      <c r="AY752" s="9"/>
      <c r="AZ752" s="10"/>
      <c r="BA752" s="10"/>
      <c r="BB752" s="10"/>
      <c r="BC752" s="10"/>
      <c r="BD752" s="10"/>
      <c r="BE752" s="10"/>
      <c r="BF752" s="10"/>
      <c r="BG752" s="10"/>
      <c r="BH752" s="11"/>
      <c r="BI752" s="13"/>
      <c r="CE752" s="12"/>
      <c r="CR752" s="13"/>
      <c r="EW752" s="13"/>
      <c r="GN752" s="20"/>
      <c r="GO752" s="20"/>
      <c r="GP752" s="21"/>
      <c r="GQ752" s="21"/>
      <c r="GR752" s="21"/>
      <c r="GS752" s="21"/>
      <c r="GT752" s="21"/>
      <c r="GU752" s="21"/>
      <c r="GV752" s="21"/>
      <c r="GW752" s="21"/>
      <c r="GX752" s="21"/>
      <c r="GY752" s="21"/>
      <c r="GZ752" s="21"/>
      <c r="HA752" s="21"/>
      <c r="HB752" s="21"/>
      <c r="HC752" s="21"/>
      <c r="HD752" s="21"/>
      <c r="HE752" s="21"/>
      <c r="HF752" s="21"/>
      <c r="HG752" s="21"/>
      <c r="HH752" s="21"/>
      <c r="HI752" s="21"/>
      <c r="HJ752" s="22"/>
      <c r="HK752" s="22"/>
    </row>
    <row r="753" spans="38:153" ht="10.75" customHeight="1">
      <c r="AL753" s="12"/>
      <c r="AM753" s="12"/>
      <c r="AV753" s="13"/>
      <c r="AW753" s="13"/>
      <c r="AX753" s="13"/>
      <c r="AY753" s="12"/>
      <c r="BH753" s="13"/>
      <c r="BI753" s="13"/>
      <c r="CE753" s="12"/>
      <c r="CR753" s="13"/>
      <c r="EW753" s="13"/>
    </row>
    <row r="754" spans="38:153" ht="10.75" customHeight="1">
      <c r="AL754" s="12"/>
      <c r="AM754" s="12"/>
      <c r="AV754" s="13"/>
      <c r="AW754" s="13"/>
      <c r="AX754" s="13"/>
      <c r="AY754" s="12"/>
      <c r="BH754" s="13"/>
      <c r="BI754" s="13"/>
      <c r="CE754" s="14"/>
      <c r="CF754" s="15"/>
      <c r="CG754" s="15"/>
      <c r="CH754" s="15"/>
      <c r="CI754" s="15"/>
      <c r="CJ754" s="15"/>
      <c r="CK754" s="15"/>
      <c r="CL754" s="15"/>
      <c r="CM754" s="15"/>
      <c r="CN754" s="15"/>
      <c r="CO754" s="15"/>
      <c r="CP754" s="15"/>
      <c r="CQ754" s="15"/>
      <c r="CR754" s="16"/>
      <c r="EW754" s="13"/>
    </row>
    <row r="755" spans="38:153" ht="10.75" customHeight="1">
      <c r="AL755" s="12"/>
      <c r="AM755" s="14"/>
      <c r="AN755" s="15"/>
      <c r="AO755" s="15"/>
      <c r="AP755" s="15"/>
      <c r="AQ755" s="15"/>
      <c r="AR755" s="15"/>
      <c r="AS755" s="15"/>
      <c r="AT755" s="15"/>
      <c r="AU755" s="15"/>
      <c r="AV755" s="16"/>
      <c r="AW755" s="13"/>
      <c r="AX755" s="13"/>
      <c r="AY755" s="14"/>
      <c r="AZ755" s="15"/>
      <c r="BA755" s="15"/>
      <c r="BB755" s="15"/>
      <c r="BC755" s="15"/>
      <c r="BD755" s="15"/>
      <c r="BE755" s="15"/>
      <c r="BF755" s="15"/>
      <c r="BG755" s="15"/>
      <c r="BH755" s="16"/>
      <c r="BI755" s="13"/>
      <c r="EW755" s="13"/>
    </row>
    <row r="756" spans="38:153" ht="10.75" customHeight="1">
      <c r="AL756" s="12"/>
      <c r="AM756" s="12"/>
      <c r="AV756" s="13"/>
      <c r="AW756" s="13"/>
      <c r="AX756" s="13"/>
      <c r="AY756" s="12"/>
      <c r="BH756" s="13"/>
      <c r="BI756" s="13"/>
      <c r="EW756" s="13"/>
    </row>
    <row r="757" spans="38:153" ht="10.75" customHeight="1">
      <c r="AL757" s="12"/>
      <c r="AM757" s="12"/>
      <c r="AV757" s="13"/>
      <c r="AW757" s="13"/>
      <c r="AX757" s="13"/>
      <c r="AY757" s="12"/>
      <c r="BH757" s="13"/>
      <c r="BI757" s="13"/>
      <c r="EW757" s="13"/>
    </row>
    <row r="758" spans="38:153" ht="10.75" customHeight="1">
      <c r="AL758" s="12"/>
      <c r="AM758" s="12"/>
      <c r="AV758" s="13"/>
      <c r="AW758" s="13"/>
      <c r="AX758" s="13"/>
      <c r="AY758" s="12"/>
      <c r="BH758" s="13"/>
      <c r="BI758" s="13"/>
      <c r="EW758" s="13"/>
    </row>
    <row r="759" spans="38:153" ht="10.75" customHeight="1">
      <c r="AL759" s="12"/>
      <c r="AM759" s="14"/>
      <c r="AN759" s="15"/>
      <c r="AO759" s="15"/>
      <c r="AP759" s="15"/>
      <c r="AQ759" s="15"/>
      <c r="AR759" s="15"/>
      <c r="AS759" s="15"/>
      <c r="AT759" s="15"/>
      <c r="AU759" s="15"/>
      <c r="AV759" s="16"/>
      <c r="AW759" s="13"/>
      <c r="AX759" s="13"/>
      <c r="AY759" s="14"/>
      <c r="AZ759" s="15"/>
      <c r="BA759" s="15"/>
      <c r="BB759" s="15"/>
      <c r="BC759" s="15"/>
      <c r="BD759" s="15"/>
      <c r="BE759" s="15"/>
      <c r="BF759" s="15"/>
      <c r="BG759" s="15"/>
      <c r="BH759" s="16"/>
      <c r="BI759" s="13"/>
      <c r="EW759" s="13"/>
    </row>
    <row r="760" spans="38:153" ht="10.75" customHeight="1">
      <c r="AL760" s="12"/>
      <c r="AM760" s="12"/>
      <c r="AV760" s="13"/>
      <c r="AW760" s="13"/>
      <c r="AX760" s="13"/>
      <c r="AY760" s="12"/>
      <c r="BH760" s="13"/>
      <c r="BI760" s="13"/>
      <c r="EW760" s="13"/>
    </row>
    <row r="761" spans="38:153" ht="10.75" customHeight="1">
      <c r="AL761" s="12"/>
      <c r="AM761" s="12"/>
      <c r="AV761" s="13"/>
      <c r="AW761" s="13"/>
      <c r="AX761" s="13"/>
      <c r="AY761" s="12"/>
      <c r="BH761" s="13"/>
      <c r="BI761" s="13"/>
      <c r="EW761" s="13"/>
    </row>
    <row r="762" spans="38:153" ht="10.75" customHeight="1">
      <c r="AL762" s="12"/>
      <c r="AM762" s="12"/>
      <c r="AV762" s="13"/>
      <c r="AW762" s="13"/>
      <c r="AX762" s="13"/>
      <c r="AY762" s="12"/>
      <c r="BH762" s="13"/>
      <c r="BI762" s="13"/>
      <c r="EW762" s="13"/>
    </row>
    <row r="763" spans="38:153" ht="10.75" customHeight="1">
      <c r="AL763" s="14"/>
      <c r="AM763" s="14"/>
      <c r="AN763" s="15"/>
      <c r="AO763" s="15"/>
      <c r="AP763" s="15"/>
      <c r="AQ763" s="15"/>
      <c r="AR763" s="15"/>
      <c r="AS763" s="15"/>
      <c r="AT763" s="15"/>
      <c r="AU763" s="15"/>
      <c r="AV763" s="16"/>
      <c r="AW763" s="16"/>
      <c r="AX763" s="16"/>
      <c r="AY763" s="14"/>
      <c r="AZ763" s="15"/>
      <c r="BA763" s="15"/>
      <c r="BB763" s="15"/>
      <c r="BC763" s="15"/>
      <c r="BD763" s="15"/>
      <c r="BE763" s="15"/>
      <c r="BF763" s="15"/>
      <c r="BG763" s="15"/>
      <c r="BH763" s="16"/>
      <c r="BI763" s="16"/>
      <c r="BJ763" s="15"/>
      <c r="BK763" s="15"/>
      <c r="BL763" s="15"/>
      <c r="BM763" s="15"/>
      <c r="BN763" s="15"/>
      <c r="BO763" s="15"/>
      <c r="BP763" s="15"/>
      <c r="BQ763" s="15"/>
      <c r="BR763" s="15"/>
      <c r="BS763" s="15"/>
      <c r="BT763" s="15"/>
      <c r="BU763" s="15"/>
      <c r="BV763" s="15"/>
      <c r="BW763" s="15"/>
      <c r="BX763" s="15"/>
      <c r="BY763" s="15"/>
      <c r="BZ763" s="15"/>
      <c r="CA763" s="15"/>
      <c r="CB763" s="15"/>
      <c r="CC763" s="15"/>
      <c r="CD763" s="15"/>
      <c r="CE763" s="15"/>
      <c r="CF763" s="15"/>
      <c r="CG763" s="15"/>
      <c r="CH763" s="15"/>
      <c r="CI763" s="15"/>
      <c r="CJ763" s="15"/>
      <c r="CK763" s="15"/>
      <c r="CL763" s="15"/>
      <c r="CM763" s="15"/>
      <c r="CN763" s="15"/>
      <c r="CO763" s="15"/>
      <c r="CP763" s="15"/>
      <c r="CQ763" s="15"/>
      <c r="CR763" s="15"/>
      <c r="CS763" s="15"/>
      <c r="CT763" s="15"/>
      <c r="CU763" s="15"/>
      <c r="CV763" s="15"/>
      <c r="CW763" s="15"/>
      <c r="CX763" s="15"/>
      <c r="CY763" s="15"/>
      <c r="CZ763" s="15"/>
      <c r="DA763" s="15"/>
      <c r="DB763" s="15"/>
      <c r="DC763" s="15"/>
      <c r="DD763" s="15"/>
      <c r="DE763" s="15"/>
      <c r="DF763" s="15"/>
      <c r="DG763" s="15"/>
      <c r="DH763" s="15"/>
      <c r="DI763" s="15"/>
      <c r="DJ763" s="15"/>
      <c r="DK763" s="15"/>
      <c r="DL763" s="15"/>
      <c r="DM763" s="15"/>
      <c r="DN763" s="15"/>
      <c r="DO763" s="15"/>
      <c r="DP763" s="15"/>
      <c r="DQ763" s="15"/>
      <c r="DR763" s="15"/>
      <c r="DS763" s="15"/>
      <c r="DT763" s="15"/>
      <c r="DU763" s="15"/>
      <c r="DV763" s="15"/>
      <c r="DW763" s="15"/>
      <c r="DX763" s="15"/>
      <c r="DY763" s="15"/>
      <c r="DZ763" s="15"/>
      <c r="EA763" s="15"/>
      <c r="EB763" s="15"/>
      <c r="EC763" s="15"/>
      <c r="ED763" s="15"/>
      <c r="EE763" s="15"/>
      <c r="EF763" s="15"/>
      <c r="EG763" s="15"/>
      <c r="EH763" s="15"/>
      <c r="EI763" s="15"/>
      <c r="EJ763" s="15"/>
      <c r="EK763" s="15"/>
      <c r="EL763" s="15"/>
      <c r="EM763" s="15"/>
      <c r="EN763" s="15"/>
      <c r="EO763" s="15"/>
      <c r="EP763" s="15"/>
      <c r="EQ763" s="15"/>
      <c r="ER763" s="15"/>
      <c r="ES763" s="15"/>
      <c r="ET763" s="15"/>
      <c r="EU763" s="15"/>
      <c r="EV763" s="15"/>
      <c r="EW763" s="16"/>
    </row>
    <row r="764" spans="38:153" ht="10.75" customHeight="1">
      <c r="AL764" s="12"/>
      <c r="AM764" s="12"/>
      <c r="BH764" s="13"/>
      <c r="BI764" s="13"/>
    </row>
    <row r="765" spans="38:153" ht="10.75" customHeight="1">
      <c r="AL765" s="12"/>
      <c r="AM765" s="12"/>
      <c r="BH765" s="13"/>
      <c r="BI765" s="13"/>
    </row>
    <row r="766" spans="38:153" ht="10.75" customHeight="1">
      <c r="AL766" s="12"/>
      <c r="AM766" s="12"/>
      <c r="BH766" s="13"/>
      <c r="BI766" s="13"/>
    </row>
    <row r="767" spans="38:153" ht="10.75" customHeight="1">
      <c r="AL767" s="12"/>
      <c r="AM767" s="12"/>
      <c r="BH767" s="13"/>
      <c r="BI767" s="13"/>
    </row>
    <row r="768" spans="38:153" ht="10.75" customHeight="1">
      <c r="AL768" s="12"/>
      <c r="AM768" s="12"/>
      <c r="BH768" s="13"/>
      <c r="BI768" s="13"/>
    </row>
    <row r="769" spans="38:61" ht="10.75" customHeight="1">
      <c r="AL769" s="12"/>
      <c r="AM769" s="12"/>
      <c r="BH769" s="13"/>
      <c r="BI769" s="13"/>
    </row>
    <row r="770" spans="38:61" ht="10.75" customHeight="1">
      <c r="AL770" s="12"/>
      <c r="AM770" s="12"/>
      <c r="BH770" s="13"/>
      <c r="BI770" s="13"/>
    </row>
    <row r="771" spans="38:61" ht="10.75" customHeight="1">
      <c r="AL771" s="12"/>
      <c r="AM771" s="12"/>
      <c r="BH771" s="13"/>
      <c r="BI771" s="13"/>
    </row>
    <row r="772" spans="38:61" ht="10.75" customHeight="1">
      <c r="AL772" s="12"/>
      <c r="AM772" s="12"/>
      <c r="BH772" s="13"/>
      <c r="BI772" s="13"/>
    </row>
    <row r="773" spans="38:61" ht="10.75" customHeight="1">
      <c r="AL773" s="12"/>
      <c r="AM773" s="12"/>
      <c r="BH773" s="13"/>
      <c r="BI773" s="13"/>
    </row>
    <row r="774" spans="38:61" ht="10.75" customHeight="1">
      <c r="AL774" s="12"/>
      <c r="AM774" s="12"/>
      <c r="BH774" s="13"/>
      <c r="BI774" s="13"/>
    </row>
    <row r="775" spans="38:61" ht="10.75" customHeight="1">
      <c r="AL775" s="20"/>
      <c r="AM775" s="20"/>
      <c r="AN775" s="21"/>
      <c r="AO775" s="21"/>
      <c r="AP775" s="21"/>
      <c r="AQ775" s="21"/>
      <c r="AR775" s="21"/>
      <c r="AS775" s="21"/>
      <c r="AT775" s="21"/>
      <c r="AU775" s="21"/>
      <c r="AV775" s="21"/>
      <c r="AW775" s="21"/>
      <c r="AX775" s="21"/>
      <c r="AY775" s="21"/>
      <c r="AZ775" s="21"/>
      <c r="BA775" s="21"/>
      <c r="BB775" s="21"/>
      <c r="BC775" s="21"/>
      <c r="BD775" s="21"/>
      <c r="BE775" s="21"/>
      <c r="BF775" s="21"/>
      <c r="BG775" s="21"/>
      <c r="BH775" s="22"/>
      <c r="BI775" s="22"/>
    </row>
    <row r="808" spans="47:522" ht="10.75" customHeight="1">
      <c r="AU808" s="9"/>
      <c r="AV808" s="10"/>
      <c r="AW808" s="10"/>
      <c r="AX808" s="10"/>
      <c r="AY808" s="10"/>
      <c r="AZ808" s="10"/>
      <c r="BA808" s="10"/>
      <c r="BB808" s="10"/>
      <c r="BC808" s="10"/>
      <c r="BD808" s="10"/>
      <c r="BE808" s="10"/>
      <c r="BF808" s="10"/>
      <c r="BG808" s="10"/>
      <c r="BH808" s="10"/>
      <c r="BI808" s="10"/>
      <c r="BJ808" s="10"/>
      <c r="BK808" s="10"/>
      <c r="BL808" s="10"/>
      <c r="BM808" s="10"/>
      <c r="BN808" s="10"/>
      <c r="BO808" s="10"/>
      <c r="BP808" s="10"/>
      <c r="BQ808" s="10"/>
      <c r="BR808" s="10"/>
      <c r="BS808" s="10"/>
      <c r="BT808" s="10"/>
      <c r="BU808" s="10"/>
      <c r="BV808" s="10"/>
      <c r="BW808" s="10"/>
      <c r="BX808" s="10"/>
      <c r="BY808" s="10"/>
      <c r="BZ808" s="10"/>
      <c r="CA808" s="10"/>
      <c r="CB808" s="10"/>
      <c r="CC808" s="10"/>
      <c r="CD808" s="10"/>
      <c r="CE808" s="10"/>
      <c r="CF808" s="10"/>
      <c r="CG808" s="10"/>
      <c r="CH808" s="10"/>
      <c r="CI808" s="10"/>
      <c r="CJ808" s="10"/>
      <c r="CK808" s="10"/>
      <c r="CL808" s="10"/>
      <c r="CM808" s="10"/>
      <c r="CN808" s="10"/>
      <c r="CO808" s="10"/>
      <c r="CP808" s="10"/>
      <c r="CQ808" s="10"/>
      <c r="CR808" s="10"/>
      <c r="CS808" s="10"/>
      <c r="CT808" s="10"/>
      <c r="CU808" s="10"/>
      <c r="CV808" s="10"/>
      <c r="CW808" s="10"/>
      <c r="CX808" s="10"/>
      <c r="CY808" s="10"/>
      <c r="CZ808" s="10"/>
      <c r="DA808" s="10"/>
      <c r="DB808" s="10"/>
      <c r="DC808" s="10"/>
      <c r="DD808" s="10"/>
      <c r="DE808" s="10"/>
      <c r="DF808" s="10"/>
      <c r="DG808" s="10"/>
      <c r="DH808" s="10"/>
      <c r="DI808" s="10"/>
      <c r="DJ808" s="10"/>
      <c r="DK808" s="10"/>
      <c r="DL808" s="10"/>
      <c r="DM808" s="10"/>
      <c r="DN808" s="10"/>
      <c r="DO808" s="10"/>
      <c r="DP808" s="10"/>
      <c r="DQ808" s="10"/>
      <c r="DR808" s="10"/>
      <c r="DS808" s="10"/>
      <c r="DT808" s="10"/>
      <c r="DU808" s="10"/>
      <c r="DV808" s="10"/>
      <c r="DW808" s="10"/>
      <c r="DX808" s="10"/>
      <c r="DY808" s="10"/>
      <c r="DZ808" s="10"/>
      <c r="EA808" s="10"/>
      <c r="EB808" s="10"/>
      <c r="EC808" s="10"/>
      <c r="ED808" s="10"/>
      <c r="EE808" s="10"/>
      <c r="EF808" s="10"/>
      <c r="EG808" s="10"/>
      <c r="EH808" s="10"/>
      <c r="EI808" s="10"/>
      <c r="EJ808" s="10"/>
      <c r="EK808" s="10"/>
      <c r="EL808" s="10"/>
      <c r="EM808" s="10"/>
      <c r="EN808" s="10"/>
      <c r="EO808" s="10"/>
      <c r="EP808" s="10"/>
      <c r="EQ808" s="10"/>
      <c r="ER808" s="10"/>
      <c r="ES808" s="10"/>
      <c r="ET808" s="10"/>
      <c r="EU808" s="10"/>
      <c r="EV808" s="10"/>
      <c r="EW808" s="10"/>
      <c r="EX808" s="10"/>
      <c r="EY808" s="10"/>
      <c r="EZ808" s="10"/>
      <c r="FA808" s="10"/>
      <c r="FB808" s="10"/>
      <c r="FC808" s="10"/>
      <c r="FD808" s="10"/>
      <c r="FE808" s="10"/>
      <c r="FF808" s="10"/>
      <c r="FG808" s="10"/>
      <c r="FH808" s="10"/>
      <c r="FI808" s="10"/>
      <c r="FJ808" s="10"/>
      <c r="FK808" s="10"/>
      <c r="FL808" s="10"/>
      <c r="FM808" s="10"/>
      <c r="FN808" s="10"/>
      <c r="FO808" s="10"/>
      <c r="FP808" s="10"/>
      <c r="FQ808" s="10"/>
      <c r="FR808" s="10"/>
      <c r="FS808" s="10"/>
      <c r="FT808" s="10"/>
      <c r="FU808" s="10"/>
      <c r="FV808" s="10"/>
      <c r="FW808" s="10"/>
      <c r="FX808" s="10"/>
      <c r="FY808" s="10"/>
      <c r="FZ808" s="11"/>
    </row>
    <row r="809" spans="47:522" ht="10.75" customHeight="1">
      <c r="AU809" s="12"/>
      <c r="FZ809" s="13"/>
      <c r="HF809" s="10"/>
      <c r="HG809" s="10"/>
      <c r="HH809" s="10"/>
      <c r="HI809" s="10"/>
      <c r="HJ809" s="10"/>
      <c r="HK809" s="10"/>
      <c r="HL809" s="10"/>
      <c r="HM809" s="10"/>
      <c r="HN809" s="10"/>
      <c r="HO809" s="10"/>
      <c r="HP809" s="10"/>
      <c r="HQ809" s="10"/>
      <c r="HR809" s="10"/>
      <c r="HS809" s="10"/>
      <c r="HT809" s="10"/>
      <c r="HU809" s="10"/>
      <c r="HV809" s="10"/>
      <c r="HW809" s="10"/>
      <c r="HX809" s="10"/>
      <c r="HY809" s="10"/>
      <c r="HZ809" s="10"/>
      <c r="IA809" s="10"/>
      <c r="IB809" s="10"/>
      <c r="IC809" s="10"/>
      <c r="ID809" s="10"/>
      <c r="IE809" s="10"/>
      <c r="IF809" s="10"/>
      <c r="IG809" s="10"/>
      <c r="IH809" s="10"/>
      <c r="II809" s="10"/>
      <c r="IJ809" s="10"/>
      <c r="IK809" s="10"/>
      <c r="IL809" s="10"/>
      <c r="IM809" s="10"/>
      <c r="IN809" s="10"/>
      <c r="IO809" s="10"/>
      <c r="IP809" s="10"/>
      <c r="IQ809" s="10"/>
      <c r="IR809" s="11"/>
      <c r="IS809" s="10"/>
      <c r="IT809" s="10"/>
      <c r="IU809" s="10"/>
      <c r="IV809" s="10"/>
      <c r="IW809" s="10"/>
      <c r="IX809" s="10"/>
      <c r="IY809" s="10"/>
      <c r="IZ809" s="10"/>
      <c r="JA809" s="10"/>
      <c r="JB809" s="10"/>
      <c r="JC809" s="10"/>
      <c r="JD809" s="10"/>
      <c r="JE809" s="10"/>
      <c r="JF809" s="10"/>
      <c r="JG809" s="10"/>
      <c r="JH809" s="10"/>
      <c r="JI809" s="10"/>
      <c r="JJ809" s="10"/>
      <c r="JK809" s="10"/>
      <c r="JL809" s="10"/>
      <c r="JM809" s="10"/>
      <c r="JN809" s="10"/>
      <c r="JO809" s="10"/>
      <c r="JP809" s="10"/>
      <c r="JQ809" s="10"/>
      <c r="JR809" s="10"/>
      <c r="JS809" s="10"/>
      <c r="JT809" s="10"/>
      <c r="JU809" s="10"/>
      <c r="JV809" s="10"/>
      <c r="JW809" s="10"/>
      <c r="JX809" s="10"/>
      <c r="JY809" s="10"/>
      <c r="JZ809" s="10"/>
      <c r="KA809" s="10"/>
      <c r="KB809" s="10"/>
      <c r="KC809" s="10"/>
      <c r="KD809" s="10"/>
      <c r="KE809" s="10"/>
      <c r="KF809" s="10"/>
      <c r="KG809" s="10"/>
      <c r="KH809" s="10"/>
      <c r="KI809" s="10"/>
      <c r="KJ809" s="10"/>
      <c r="KK809" s="10"/>
      <c r="KL809" s="10"/>
      <c r="KM809" s="10"/>
      <c r="KN809" s="10"/>
      <c r="KO809" s="10"/>
      <c r="KP809" s="10"/>
      <c r="KQ809" s="10"/>
      <c r="KR809" s="10"/>
      <c r="KS809" s="10"/>
      <c r="KT809" s="10"/>
      <c r="KU809" s="10"/>
      <c r="KV809" s="10"/>
      <c r="KW809" s="10"/>
      <c r="KX809" s="10"/>
      <c r="KY809" s="10"/>
      <c r="KZ809" s="10"/>
      <c r="LA809" s="10"/>
      <c r="LB809" s="10"/>
      <c r="LC809" s="10"/>
      <c r="LD809" s="10"/>
      <c r="LE809" s="10"/>
      <c r="LF809" s="10"/>
      <c r="LG809" s="10"/>
      <c r="LH809" s="10"/>
      <c r="LI809" s="10"/>
      <c r="LJ809" s="10"/>
      <c r="LK809" s="10"/>
      <c r="LL809" s="10"/>
      <c r="LM809" s="10"/>
      <c r="LN809" s="10"/>
      <c r="LO809" s="10"/>
      <c r="LP809" s="10"/>
      <c r="LQ809" s="10"/>
      <c r="LR809" s="10"/>
      <c r="LS809" s="10"/>
      <c r="LT809" s="10"/>
      <c r="LU809" s="10"/>
      <c r="LV809" s="10"/>
      <c r="LW809" s="10"/>
      <c r="LX809" s="10"/>
      <c r="LY809" s="10"/>
      <c r="LZ809" s="10"/>
      <c r="MA809" s="10"/>
      <c r="MB809" s="10"/>
      <c r="MC809" s="10"/>
      <c r="MD809" s="10"/>
      <c r="ME809" s="10"/>
      <c r="MF809" s="10"/>
      <c r="MG809" s="10"/>
      <c r="MH809" s="10"/>
      <c r="MI809" s="10"/>
      <c r="MJ809" s="10"/>
      <c r="MK809" s="10"/>
      <c r="ML809" s="10"/>
      <c r="MM809" s="10"/>
      <c r="MN809" s="10"/>
      <c r="MO809" s="10"/>
      <c r="MP809" s="10"/>
      <c r="MQ809" s="10"/>
      <c r="MR809" s="10"/>
      <c r="MS809" s="10"/>
      <c r="MT809" s="10"/>
      <c r="MU809" s="10"/>
      <c r="MV809" s="10"/>
      <c r="MW809" s="10"/>
      <c r="MX809" s="10"/>
      <c r="MY809" s="10"/>
      <c r="MZ809" s="10"/>
      <c r="NA809" s="10"/>
      <c r="NB809" s="10"/>
      <c r="NC809" s="10"/>
      <c r="ND809" s="10"/>
      <c r="NE809" s="10"/>
      <c r="NF809" s="10"/>
      <c r="NG809" s="10"/>
      <c r="NH809" s="10"/>
      <c r="NI809" s="10"/>
      <c r="NJ809" s="10"/>
      <c r="NK809" s="10"/>
      <c r="NL809" s="10"/>
      <c r="NM809" s="10"/>
      <c r="NN809" s="10"/>
      <c r="NO809" s="10"/>
      <c r="NP809" s="10"/>
      <c r="NQ809" s="10"/>
      <c r="NR809" s="10"/>
      <c r="NS809" s="10"/>
      <c r="NT809" s="10"/>
      <c r="NU809" s="10"/>
      <c r="NV809" s="10"/>
      <c r="NW809" s="10"/>
      <c r="NX809" s="10"/>
      <c r="NY809" s="10"/>
      <c r="NZ809" s="10"/>
      <c r="OA809" s="10"/>
      <c r="OB809" s="10"/>
      <c r="OC809" s="10"/>
      <c r="OD809" s="10"/>
      <c r="OE809" s="10"/>
      <c r="OF809" s="10"/>
      <c r="OG809" s="10"/>
      <c r="OH809" s="10"/>
      <c r="OI809" s="10"/>
      <c r="OJ809" s="10"/>
      <c r="OK809" s="10"/>
      <c r="OL809" s="10"/>
      <c r="OM809" s="10"/>
      <c r="ON809" s="10"/>
      <c r="OO809" s="10"/>
      <c r="OP809" s="10"/>
      <c r="OQ809" s="10"/>
      <c r="OR809" s="10"/>
      <c r="OS809" s="10"/>
      <c r="OT809" s="10"/>
      <c r="OU809" s="10"/>
      <c r="OV809" s="10"/>
      <c r="OW809" s="10"/>
      <c r="OX809" s="10"/>
      <c r="OY809" s="10"/>
      <c r="OZ809" s="10"/>
      <c r="PA809" s="10"/>
      <c r="PB809" s="10"/>
      <c r="PC809" s="10"/>
      <c r="PD809" s="10"/>
      <c r="PE809" s="10"/>
      <c r="PF809" s="10"/>
      <c r="PG809" s="10"/>
      <c r="PH809" s="10"/>
      <c r="PI809" s="10"/>
      <c r="PJ809" s="10"/>
      <c r="PK809" s="10"/>
      <c r="PL809" s="10"/>
      <c r="PM809" s="10"/>
      <c r="PN809" s="10"/>
      <c r="PO809" s="10"/>
      <c r="PP809" s="10"/>
      <c r="PQ809" s="10"/>
      <c r="PR809" s="10"/>
      <c r="PS809" s="10"/>
      <c r="PT809" s="10"/>
      <c r="PU809" s="10"/>
      <c r="PV809" s="10"/>
      <c r="PW809" s="10"/>
      <c r="PX809" s="10"/>
      <c r="PY809" s="10"/>
      <c r="PZ809" s="10"/>
      <c r="QA809" s="10"/>
      <c r="QB809" s="10"/>
      <c r="QC809" s="10"/>
      <c r="QD809" s="10"/>
      <c r="QE809" s="10"/>
      <c r="QF809" s="10"/>
      <c r="QG809" s="10"/>
      <c r="QH809" s="10"/>
      <c r="QI809" s="10"/>
      <c r="QJ809" s="10"/>
      <c r="QK809" s="10"/>
      <c r="QL809" s="10"/>
      <c r="QM809" s="10"/>
      <c r="QN809" s="10"/>
      <c r="QO809" s="10"/>
      <c r="QP809" s="10"/>
      <c r="QQ809" s="10"/>
      <c r="QR809" s="10"/>
      <c r="QS809" s="10"/>
      <c r="QT809" s="10"/>
      <c r="QU809" s="10"/>
      <c r="QV809" s="10"/>
      <c r="QW809" s="10"/>
      <c r="QX809" s="10"/>
      <c r="QY809" s="10"/>
      <c r="QZ809" s="10"/>
      <c r="RA809" s="10"/>
      <c r="RB809" s="10"/>
      <c r="RC809" s="10"/>
      <c r="RD809" s="10"/>
      <c r="RE809" s="10"/>
      <c r="RF809" s="10"/>
      <c r="RG809" s="10"/>
      <c r="RH809" s="10"/>
      <c r="RI809" s="10"/>
      <c r="RJ809" s="10"/>
      <c r="RK809" s="10"/>
      <c r="RL809" s="10"/>
      <c r="RM809" s="10"/>
      <c r="RN809" s="10"/>
      <c r="RO809" s="10"/>
      <c r="RP809" s="10"/>
      <c r="RQ809" s="10"/>
      <c r="RR809" s="10"/>
      <c r="RS809" s="10"/>
      <c r="RT809" s="10"/>
      <c r="RU809" s="10"/>
      <c r="RV809" s="10"/>
      <c r="RW809" s="10"/>
      <c r="RX809" s="10"/>
      <c r="RY809" s="10"/>
      <c r="RZ809" s="10"/>
      <c r="SA809" s="10"/>
      <c r="SB809" s="10"/>
      <c r="SC809" s="10"/>
      <c r="SD809" s="10"/>
      <c r="SE809" s="10"/>
      <c r="SF809" s="10"/>
      <c r="SG809" s="10"/>
      <c r="SH809" s="10"/>
      <c r="SI809" s="10"/>
      <c r="SJ809" s="10"/>
      <c r="SK809" s="10"/>
      <c r="SL809" s="10"/>
      <c r="SM809" s="10"/>
      <c r="SN809" s="10"/>
      <c r="SO809" s="10"/>
      <c r="SP809" s="10"/>
      <c r="SQ809" s="10"/>
      <c r="SR809" s="10"/>
      <c r="SS809" s="10"/>
      <c r="ST809" s="10"/>
      <c r="SU809" s="10"/>
      <c r="SV809" s="10"/>
      <c r="SW809" s="10"/>
      <c r="SX809" s="10"/>
      <c r="SY809" s="10"/>
      <c r="SZ809" s="10"/>
      <c r="TA809" s="10"/>
      <c r="TB809" s="10"/>
    </row>
    <row r="810" spans="47:522" ht="10.75" customHeight="1">
      <c r="AU810" s="12"/>
      <c r="FZ810" s="13"/>
      <c r="IR810" s="13"/>
    </row>
    <row r="811" spans="47:522" ht="10.75" customHeight="1">
      <c r="AU811" s="12"/>
      <c r="FZ811" s="13"/>
      <c r="IR811" s="13"/>
    </row>
    <row r="812" spans="47:522" ht="10.75" customHeight="1">
      <c r="AU812" s="12"/>
      <c r="FZ812" s="13"/>
      <c r="IR812" s="13"/>
    </row>
    <row r="813" spans="47:522" ht="10.75" customHeight="1">
      <c r="AU813" s="12"/>
      <c r="FZ813" s="13"/>
      <c r="IR813" s="13"/>
    </row>
    <row r="814" spans="47:522" ht="10.75" customHeight="1">
      <c r="AU814" s="12"/>
      <c r="FZ814" s="13"/>
      <c r="HF814" s="15"/>
      <c r="HG814" s="15"/>
      <c r="HH814" s="15"/>
      <c r="HI814" s="15"/>
      <c r="HJ814" s="15"/>
      <c r="HK814" s="15"/>
      <c r="HL814" s="15"/>
      <c r="HM814" s="15"/>
      <c r="HN814" s="15"/>
      <c r="HO814" s="15"/>
      <c r="HP814" s="15"/>
      <c r="HQ814" s="15"/>
      <c r="HR814" s="15"/>
      <c r="HS814" s="15"/>
      <c r="HT814" s="15"/>
      <c r="HU814" s="15"/>
      <c r="HV814" s="15"/>
      <c r="HW814" s="15"/>
      <c r="HX814" s="15"/>
      <c r="HY814" s="15"/>
      <c r="HZ814" s="15"/>
      <c r="IA814" s="15"/>
      <c r="IB814" s="15"/>
      <c r="IC814" s="15"/>
      <c r="ID814" s="15"/>
      <c r="IE814" s="15"/>
      <c r="IF814" s="15"/>
      <c r="IG814" s="15"/>
      <c r="IH814" s="15"/>
      <c r="II814" s="15"/>
      <c r="IJ814" s="15"/>
      <c r="IK814" s="15"/>
      <c r="IL814" s="15"/>
      <c r="IM814" s="15"/>
      <c r="IN814" s="15"/>
      <c r="IO814" s="15"/>
      <c r="IP814" s="15"/>
      <c r="IQ814" s="15"/>
      <c r="IR814" s="16"/>
      <c r="IS814" s="15"/>
      <c r="IT814" s="15"/>
      <c r="IU814" s="15"/>
      <c r="IV814" s="15"/>
      <c r="IW814" s="15"/>
      <c r="IX814" s="15"/>
      <c r="IY814" s="15"/>
      <c r="IZ814" s="15"/>
      <c r="JA814" s="15"/>
      <c r="JB814" s="15"/>
      <c r="JC814" s="15"/>
      <c r="JD814" s="15"/>
      <c r="JE814" s="15"/>
      <c r="JF814" s="15"/>
      <c r="JG814" s="15"/>
      <c r="JH814" s="15"/>
      <c r="JI814" s="15"/>
      <c r="JJ814" s="15"/>
      <c r="JK814" s="15"/>
      <c r="JL814" s="15"/>
      <c r="JM814" s="15"/>
      <c r="JN814" s="15"/>
      <c r="JO814" s="15"/>
      <c r="JP814" s="15"/>
      <c r="JQ814" s="15"/>
      <c r="JR814" s="15"/>
      <c r="JS814" s="15"/>
      <c r="JT814" s="15"/>
      <c r="JU814" s="15"/>
      <c r="JV814" s="15"/>
      <c r="JW814" s="15"/>
      <c r="JX814" s="15"/>
      <c r="JY814" s="15"/>
      <c r="JZ814" s="15"/>
      <c r="KA814" s="15"/>
      <c r="KB814" s="15"/>
      <c r="KC814" s="15"/>
      <c r="KD814" s="15"/>
      <c r="KE814" s="15"/>
      <c r="KF814" s="15"/>
      <c r="KG814" s="15"/>
      <c r="KH814" s="15"/>
      <c r="KI814" s="15"/>
      <c r="KJ814" s="15"/>
      <c r="KK814" s="15"/>
      <c r="KL814" s="15"/>
      <c r="KM814" s="15"/>
      <c r="KN814" s="15"/>
      <c r="KO814" s="15"/>
      <c r="KP814" s="15"/>
      <c r="KQ814" s="15"/>
      <c r="KR814" s="15"/>
      <c r="KS814" s="15"/>
      <c r="KT814" s="15"/>
      <c r="KU814" s="15"/>
      <c r="KV814" s="15"/>
      <c r="KW814" s="15"/>
      <c r="KX814" s="15"/>
      <c r="KY814" s="15"/>
      <c r="KZ814" s="15"/>
      <c r="LA814" s="15"/>
      <c r="LB814" s="15"/>
      <c r="LC814" s="15"/>
      <c r="LD814" s="15"/>
      <c r="LE814" s="15"/>
      <c r="LF814" s="15"/>
      <c r="LG814" s="15"/>
      <c r="LH814" s="15"/>
      <c r="LI814" s="15"/>
      <c r="LJ814" s="15"/>
      <c r="LK814" s="15"/>
      <c r="LL814" s="15"/>
      <c r="LM814" s="15"/>
      <c r="LN814" s="15"/>
      <c r="LO814" s="15"/>
      <c r="LP814" s="15"/>
      <c r="LQ814" s="15"/>
      <c r="LR814" s="15"/>
      <c r="LS814" s="15"/>
      <c r="LT814" s="15"/>
      <c r="LU814" s="15"/>
      <c r="LV814" s="15"/>
      <c r="LW814" s="15"/>
      <c r="LX814" s="15"/>
      <c r="LY814" s="15"/>
      <c r="LZ814" s="15"/>
      <c r="MA814" s="15"/>
      <c r="MB814" s="15"/>
      <c r="MC814" s="15"/>
      <c r="MD814" s="15"/>
      <c r="ME814" s="15"/>
      <c r="MF814" s="15"/>
      <c r="MG814" s="15"/>
      <c r="MH814" s="15"/>
      <c r="MI814" s="15"/>
      <c r="MJ814" s="15"/>
      <c r="MK814" s="15"/>
      <c r="ML814" s="15"/>
      <c r="MM814" s="15"/>
      <c r="MN814" s="15"/>
      <c r="MO814" s="15"/>
      <c r="MP814" s="15"/>
      <c r="MQ814" s="15"/>
      <c r="MR814" s="15"/>
      <c r="MS814" s="15"/>
      <c r="MT814" s="15"/>
      <c r="MU814" s="15"/>
      <c r="MV814" s="15"/>
      <c r="MW814" s="15"/>
      <c r="MX814" s="15"/>
      <c r="MY814" s="15"/>
      <c r="MZ814" s="15"/>
      <c r="NA814" s="15"/>
      <c r="NB814" s="15"/>
      <c r="NC814" s="15"/>
      <c r="ND814" s="15"/>
      <c r="NE814" s="15"/>
      <c r="NF814" s="15"/>
      <c r="NG814" s="15"/>
      <c r="NH814" s="15"/>
      <c r="NI814" s="15"/>
      <c r="NJ814" s="15"/>
      <c r="NK814" s="15"/>
      <c r="NL814" s="15"/>
      <c r="NM814" s="15"/>
      <c r="NN814" s="15"/>
      <c r="NO814" s="15"/>
      <c r="NP814" s="15"/>
      <c r="NQ814" s="15"/>
      <c r="NR814" s="15"/>
      <c r="NS814" s="15"/>
      <c r="NT814" s="15"/>
      <c r="NU814" s="15"/>
      <c r="NV814" s="15"/>
      <c r="NW814" s="15"/>
      <c r="NX814" s="15"/>
      <c r="NY814" s="15"/>
      <c r="NZ814" s="15"/>
      <c r="OA814" s="15"/>
      <c r="OB814" s="15"/>
      <c r="OC814" s="15"/>
      <c r="OD814" s="15"/>
      <c r="OE814" s="15"/>
      <c r="OF814" s="15"/>
      <c r="OG814" s="15"/>
      <c r="OH814" s="15"/>
      <c r="OI814" s="15"/>
      <c r="OJ814" s="15"/>
      <c r="OK814" s="15"/>
      <c r="OL814" s="15"/>
      <c r="OM814" s="15"/>
      <c r="ON814" s="15"/>
      <c r="OO814" s="15"/>
      <c r="OP814" s="15"/>
      <c r="OQ814" s="15"/>
      <c r="OR814" s="15"/>
      <c r="OS814" s="15"/>
      <c r="OT814" s="15"/>
      <c r="OU814" s="15"/>
      <c r="OV814" s="15"/>
      <c r="OW814" s="15"/>
      <c r="OX814" s="15"/>
      <c r="OY814" s="15"/>
      <c r="OZ814" s="15"/>
      <c r="PA814" s="15"/>
      <c r="PB814" s="15"/>
      <c r="PC814" s="15"/>
      <c r="PD814" s="15"/>
      <c r="PE814" s="15"/>
      <c r="PF814" s="15"/>
      <c r="PG814" s="15"/>
      <c r="PH814" s="15"/>
      <c r="PI814" s="15"/>
      <c r="PJ814" s="15"/>
      <c r="PK814" s="15"/>
      <c r="PL814" s="15"/>
      <c r="PM814" s="15"/>
      <c r="PN814" s="15"/>
      <c r="PO814" s="15"/>
      <c r="PP814" s="15"/>
      <c r="PQ814" s="15"/>
      <c r="PR814" s="15"/>
      <c r="PS814" s="15"/>
      <c r="PT814" s="15"/>
      <c r="PU814" s="15"/>
      <c r="PV814" s="15"/>
      <c r="PW814" s="15"/>
      <c r="PX814" s="15"/>
      <c r="PY814" s="15"/>
      <c r="PZ814" s="15"/>
      <c r="QA814" s="15"/>
      <c r="QB814" s="15"/>
      <c r="QC814" s="15"/>
      <c r="QD814" s="15"/>
      <c r="QE814" s="15"/>
      <c r="QF814" s="15"/>
      <c r="QG814" s="15"/>
      <c r="QH814" s="15"/>
      <c r="QI814" s="15"/>
      <c r="QJ814" s="15"/>
      <c r="QK814" s="15"/>
      <c r="QL814" s="15"/>
      <c r="QM814" s="15"/>
      <c r="QN814" s="15"/>
      <c r="QO814" s="15"/>
      <c r="QP814" s="15"/>
      <c r="QQ814" s="15"/>
      <c r="QR814" s="15"/>
      <c r="QS814" s="15"/>
      <c r="QT814" s="15"/>
      <c r="QU814" s="15"/>
      <c r="QV814" s="15"/>
      <c r="QW814" s="15"/>
      <c r="QX814" s="15"/>
      <c r="QY814" s="15"/>
      <c r="QZ814" s="15"/>
      <c r="RA814" s="15"/>
      <c r="RB814" s="15"/>
      <c r="RC814" s="15"/>
      <c r="RD814" s="15"/>
      <c r="RE814" s="15"/>
      <c r="RF814" s="15"/>
      <c r="RG814" s="15"/>
      <c r="RH814" s="15"/>
      <c r="RI814" s="15"/>
      <c r="RJ814" s="15"/>
      <c r="RK814" s="15"/>
      <c r="RL814" s="15"/>
      <c r="RM814" s="15"/>
      <c r="RN814" s="15"/>
      <c r="RO814" s="15"/>
      <c r="RP814" s="15"/>
      <c r="RQ814" s="15"/>
      <c r="RR814" s="15"/>
      <c r="RS814" s="15"/>
      <c r="RT814" s="15"/>
      <c r="RU814" s="15"/>
      <c r="RV814" s="15"/>
      <c r="RW814" s="15"/>
      <c r="RX814" s="15"/>
      <c r="RY814" s="15"/>
      <c r="RZ814" s="15"/>
      <c r="SA814" s="15"/>
      <c r="SB814" s="15"/>
      <c r="SC814" s="15"/>
      <c r="SD814" s="15"/>
      <c r="SE814" s="15"/>
      <c r="SF814" s="15"/>
      <c r="SG814" s="15"/>
      <c r="SH814" s="15"/>
      <c r="SI814" s="15"/>
      <c r="SJ814" s="15"/>
      <c r="SK814" s="15"/>
      <c r="SL814" s="15"/>
      <c r="SM814" s="15"/>
      <c r="SN814" s="15"/>
      <c r="SO814" s="15"/>
      <c r="SP814" s="15"/>
      <c r="SQ814" s="15"/>
      <c r="SR814" s="15"/>
      <c r="SS814" s="15"/>
      <c r="ST814" s="15"/>
      <c r="SU814" s="15"/>
      <c r="SV814" s="15"/>
      <c r="SW814" s="15"/>
      <c r="SX814" s="15"/>
      <c r="SY814" s="15"/>
      <c r="SZ814" s="15"/>
      <c r="TA814" s="15"/>
      <c r="TB814" s="15"/>
    </row>
    <row r="815" spans="47:522" ht="10.75" customHeight="1">
      <c r="AU815" s="12"/>
      <c r="FZ815" s="13"/>
      <c r="IR815" s="13"/>
      <c r="IS815" s="10"/>
      <c r="IT815" s="10"/>
      <c r="IU815" s="10"/>
      <c r="IV815" s="10"/>
      <c r="IW815" s="10"/>
      <c r="IX815" s="10"/>
      <c r="IY815" s="10"/>
      <c r="IZ815" s="10"/>
      <c r="JA815" s="10"/>
      <c r="JB815" s="10"/>
      <c r="JC815" s="10"/>
      <c r="JD815" s="10"/>
      <c r="JE815" s="10"/>
      <c r="JF815" s="10"/>
      <c r="JG815" s="10"/>
      <c r="JH815" s="10"/>
      <c r="JI815" s="10"/>
      <c r="JJ815" s="10"/>
      <c r="JK815" s="10"/>
      <c r="JL815" s="10"/>
      <c r="JM815" s="10"/>
      <c r="JN815" s="10"/>
      <c r="JO815" s="10"/>
      <c r="JP815" s="10"/>
      <c r="JQ815" s="10"/>
      <c r="JR815" s="10"/>
      <c r="JS815" s="10"/>
      <c r="JT815" s="10"/>
      <c r="JU815" s="10"/>
      <c r="JV815" s="10"/>
      <c r="JW815" s="10"/>
      <c r="JX815" s="10"/>
      <c r="JY815" s="10"/>
      <c r="JZ815" s="10"/>
      <c r="KA815" s="10"/>
      <c r="KB815" s="10"/>
      <c r="KC815" s="10"/>
      <c r="KD815" s="10"/>
      <c r="KE815" s="10"/>
      <c r="KF815" s="10"/>
      <c r="KG815" s="10"/>
      <c r="KH815" s="10"/>
      <c r="KI815" s="10"/>
      <c r="KJ815" s="10"/>
      <c r="KK815" s="10"/>
      <c r="KL815" s="10"/>
      <c r="KM815" s="10"/>
      <c r="KN815" s="10"/>
      <c r="KO815" s="10"/>
      <c r="KP815" s="10"/>
      <c r="KQ815" s="10"/>
      <c r="KR815" s="10"/>
      <c r="KS815" s="10"/>
      <c r="KT815" s="10"/>
      <c r="KU815" s="10"/>
      <c r="KV815" s="10"/>
      <c r="KW815" s="10"/>
      <c r="KX815" s="10"/>
      <c r="KY815" s="10"/>
      <c r="KZ815" s="10"/>
      <c r="LA815" s="10"/>
      <c r="LB815" s="10"/>
      <c r="LC815" s="10"/>
      <c r="LD815" s="10"/>
      <c r="LE815" s="10"/>
      <c r="LF815" s="10"/>
      <c r="LG815" s="10"/>
      <c r="LH815" s="10"/>
      <c r="LI815" s="10"/>
      <c r="LJ815" s="10"/>
      <c r="LK815" s="10"/>
      <c r="LL815" s="10"/>
      <c r="LM815" s="10"/>
      <c r="LN815" s="10"/>
      <c r="LO815" s="10"/>
      <c r="LP815" s="10"/>
      <c r="LQ815" s="10"/>
      <c r="LR815" s="10"/>
      <c r="LS815" s="10"/>
      <c r="LT815" s="10"/>
      <c r="LU815" s="10"/>
      <c r="LV815" s="10"/>
      <c r="LW815" s="10"/>
      <c r="LX815" s="10"/>
      <c r="LY815" s="10"/>
      <c r="LZ815" s="10"/>
      <c r="MA815" s="10"/>
      <c r="MB815" s="10"/>
      <c r="MC815" s="10"/>
      <c r="MD815" s="10"/>
      <c r="ME815" s="10"/>
      <c r="MF815" s="10"/>
      <c r="MG815" s="10"/>
      <c r="SG815" s="13"/>
    </row>
    <row r="816" spans="47:522" ht="10.75" customHeight="1">
      <c r="AU816" s="12"/>
      <c r="FZ816" s="13"/>
      <c r="IS816" s="10"/>
      <c r="IT816" s="10"/>
      <c r="IU816" s="10"/>
      <c r="IV816" s="10"/>
      <c r="IW816" s="10"/>
      <c r="IX816" s="10"/>
      <c r="IY816" s="10"/>
      <c r="IZ816" s="10"/>
      <c r="JA816" s="10"/>
      <c r="JB816" s="10"/>
      <c r="JC816" s="10"/>
      <c r="JD816" s="11"/>
      <c r="SG816" s="13"/>
    </row>
    <row r="817" spans="47:501" ht="10.75" customHeight="1">
      <c r="AU817" s="12"/>
      <c r="FZ817" s="13"/>
      <c r="JD817" s="13"/>
      <c r="SG817" s="13"/>
    </row>
    <row r="818" spans="47:501" ht="10.75" customHeight="1">
      <c r="AU818" s="12"/>
      <c r="FZ818" s="13"/>
      <c r="JD818" s="13"/>
      <c r="SG818" s="13"/>
    </row>
    <row r="819" spans="47:501" ht="10.75" customHeight="1">
      <c r="AU819" s="12"/>
      <c r="FZ819" s="13"/>
      <c r="JD819" s="13"/>
      <c r="SG819" s="13"/>
    </row>
    <row r="820" spans="47:501" ht="10.75" customHeight="1">
      <c r="AU820" s="12"/>
      <c r="FZ820" s="13"/>
      <c r="JD820" s="13"/>
      <c r="SG820" s="13"/>
    </row>
    <row r="821" spans="47:501" ht="10.75" customHeight="1">
      <c r="AU821" s="12"/>
      <c r="FZ821" s="13"/>
      <c r="JD821" s="13"/>
      <c r="SG821" s="13"/>
    </row>
    <row r="822" spans="47:501" ht="10.75" customHeight="1">
      <c r="AU822" s="12"/>
      <c r="FZ822" s="13"/>
      <c r="JD822" s="13"/>
      <c r="SG822" s="13"/>
    </row>
    <row r="823" spans="47:501" ht="10.75" customHeight="1">
      <c r="AU823" s="12"/>
      <c r="FZ823" s="13"/>
      <c r="JE823" s="10"/>
      <c r="JF823" s="10"/>
      <c r="JG823" s="10"/>
      <c r="JH823" s="10"/>
      <c r="JI823" s="10"/>
      <c r="JJ823" s="10"/>
      <c r="JK823" s="10"/>
      <c r="JL823" s="10"/>
      <c r="JM823" s="10"/>
      <c r="JN823" s="10"/>
      <c r="JO823" s="10"/>
      <c r="JP823" s="11"/>
      <c r="SG823" s="13"/>
    </row>
    <row r="824" spans="47:501" ht="10.75" customHeight="1">
      <c r="AU824" s="12"/>
      <c r="BJ824" s="13"/>
      <c r="BK824" s="56"/>
      <c r="BL824" s="57"/>
      <c r="BM824" s="57"/>
      <c r="BN824" s="58"/>
      <c r="BO824" s="41"/>
      <c r="BP824" s="41"/>
      <c r="BQ824" s="41"/>
      <c r="BR824" s="41"/>
      <c r="BS824" s="41"/>
      <c r="BT824" s="41"/>
      <c r="BU824" s="41"/>
      <c r="BV824" s="41"/>
      <c r="BW824" s="41"/>
      <c r="BX824" s="41"/>
      <c r="BY824" s="41"/>
      <c r="BZ824" s="41"/>
      <c r="CA824" s="41"/>
      <c r="CB824" s="41"/>
      <c r="CC824" s="41"/>
      <c r="CD824" s="41"/>
      <c r="CE824" s="41"/>
      <c r="CF824" s="41"/>
      <c r="CG824" s="41"/>
      <c r="CH824" s="41"/>
      <c r="CI824" s="41"/>
      <c r="CJ824" s="41"/>
      <c r="CK824" s="41"/>
      <c r="CL824" s="41"/>
      <c r="CM824" s="41"/>
      <c r="CN824" s="41"/>
      <c r="CO824" s="41"/>
      <c r="CP824" s="41"/>
      <c r="CQ824" s="41"/>
      <c r="CR824" s="41"/>
      <c r="CS824" s="41"/>
      <c r="CT824" s="41"/>
      <c r="CU824" s="41"/>
      <c r="CV824" s="41"/>
      <c r="CW824" s="41"/>
      <c r="CX824" s="41"/>
      <c r="CY824" s="41"/>
      <c r="CZ824" s="41"/>
      <c r="DA824" s="41"/>
      <c r="DB824" s="41"/>
      <c r="DC824" s="41"/>
      <c r="DD824" s="41"/>
      <c r="DE824" s="41"/>
      <c r="DF824" s="41"/>
      <c r="DG824" s="41"/>
      <c r="DH824" s="41"/>
      <c r="DI824" s="56"/>
      <c r="DJ824" s="57"/>
      <c r="DK824" s="57"/>
      <c r="DL824" s="58"/>
      <c r="DM824" s="41"/>
      <c r="DN824" s="41"/>
      <c r="DO824" s="41"/>
      <c r="DP824" s="41"/>
      <c r="DQ824" s="41"/>
      <c r="DR824" s="41"/>
      <c r="DS824" s="41"/>
      <c r="DT824" s="41"/>
      <c r="DU824" s="41"/>
      <c r="DV824" s="41"/>
      <c r="DW824" s="41"/>
      <c r="DX824" s="41"/>
      <c r="DY824" s="41"/>
      <c r="DZ824" s="41"/>
      <c r="EA824" s="41"/>
      <c r="EB824" s="41"/>
      <c r="EC824" s="41"/>
      <c r="ED824" s="41"/>
      <c r="EE824" s="41"/>
      <c r="EF824" s="41"/>
      <c r="EG824" s="41"/>
      <c r="EH824" s="41"/>
      <c r="EI824" s="41"/>
      <c r="EJ824" s="41"/>
      <c r="EK824" s="41"/>
      <c r="EL824" s="41"/>
      <c r="EM824" s="41"/>
      <c r="EN824" s="41"/>
      <c r="EO824" s="41"/>
      <c r="EP824" s="41"/>
      <c r="EQ824" s="41"/>
      <c r="ER824" s="41"/>
      <c r="ES824" s="41"/>
      <c r="ET824" s="41"/>
      <c r="EU824" s="41"/>
      <c r="EV824" s="41"/>
      <c r="EW824" s="41"/>
      <c r="EX824" s="41"/>
      <c r="EY824" s="41"/>
      <c r="EZ824" s="41"/>
      <c r="FA824" s="41"/>
      <c r="FB824" s="41"/>
      <c r="FC824" s="41"/>
      <c r="FD824" s="41"/>
      <c r="FE824" s="41"/>
      <c r="FF824" s="41"/>
      <c r="FG824" s="41"/>
      <c r="FH824" s="56"/>
      <c r="FI824" s="57"/>
      <c r="FJ824" s="58"/>
      <c r="FZ824" s="13"/>
      <c r="JP824" s="13"/>
      <c r="SG824" s="13"/>
    </row>
    <row r="825" spans="47:501" ht="10.75" customHeight="1">
      <c r="AU825" s="12"/>
      <c r="BJ825" s="13"/>
      <c r="BK825" s="96"/>
      <c r="BL825" s="97"/>
      <c r="BM825" s="97"/>
      <c r="BN825" s="98"/>
      <c r="BO825" s="43"/>
      <c r="BP825" s="43"/>
      <c r="BQ825" s="43"/>
      <c r="BR825" s="43"/>
      <c r="BS825" s="43"/>
      <c r="BT825" s="43"/>
      <c r="BU825" s="43"/>
      <c r="BV825" s="43"/>
      <c r="BW825" s="43"/>
      <c r="BX825" s="43"/>
      <c r="BY825" s="43"/>
      <c r="BZ825" s="43"/>
      <c r="CA825" s="43"/>
      <c r="CB825" s="43"/>
      <c r="CC825" s="43"/>
      <c r="CD825" s="43"/>
      <c r="CE825" s="43"/>
      <c r="CF825" s="43"/>
      <c r="CG825" s="43"/>
      <c r="CH825" s="43"/>
      <c r="CI825" s="43"/>
      <c r="CJ825" s="43"/>
      <c r="CK825" s="43"/>
      <c r="CL825" s="43"/>
      <c r="CM825" s="43"/>
      <c r="CN825" s="43"/>
      <c r="CO825" s="43"/>
      <c r="CP825" s="43"/>
      <c r="CQ825" s="43"/>
      <c r="CR825" s="43"/>
      <c r="CS825" s="43"/>
      <c r="CT825" s="43"/>
      <c r="CU825" s="43"/>
      <c r="CV825" s="43"/>
      <c r="CW825" s="43"/>
      <c r="CX825" s="43"/>
      <c r="CY825" s="43"/>
      <c r="CZ825" s="43"/>
      <c r="DA825" s="43"/>
      <c r="DB825" s="43"/>
      <c r="DC825" s="43"/>
      <c r="DD825" s="43"/>
      <c r="DE825" s="43"/>
      <c r="DF825" s="43"/>
      <c r="DG825" s="43"/>
      <c r="DH825" s="43"/>
      <c r="DI825" s="96"/>
      <c r="DJ825" s="97"/>
      <c r="DK825" s="97"/>
      <c r="DL825" s="98"/>
      <c r="DM825" s="43"/>
      <c r="DN825" s="43"/>
      <c r="DO825" s="43"/>
      <c r="DP825" s="43"/>
      <c r="DQ825" s="43"/>
      <c r="DR825" s="43"/>
      <c r="DS825" s="43"/>
      <c r="DT825" s="43"/>
      <c r="DU825" s="43"/>
      <c r="DV825" s="43"/>
      <c r="DW825" s="43"/>
      <c r="DX825" s="43"/>
      <c r="DY825" s="43"/>
      <c r="DZ825" s="43"/>
      <c r="EA825" s="43"/>
      <c r="EB825" s="43"/>
      <c r="EC825" s="43"/>
      <c r="ED825" s="43"/>
      <c r="EE825" s="43"/>
      <c r="EF825" s="43"/>
      <c r="EG825" s="43"/>
      <c r="EH825" s="43"/>
      <c r="EI825" s="43"/>
      <c r="EJ825" s="43"/>
      <c r="EK825" s="43"/>
      <c r="EL825" s="43"/>
      <c r="EM825" s="43"/>
      <c r="EN825" s="43"/>
      <c r="EO825" s="43"/>
      <c r="EP825" s="43"/>
      <c r="EQ825" s="43"/>
      <c r="ER825" s="43"/>
      <c r="ES825" s="43"/>
      <c r="ET825" s="43"/>
      <c r="EU825" s="43"/>
      <c r="EV825" s="43"/>
      <c r="EW825" s="43"/>
      <c r="EX825" s="43"/>
      <c r="EY825" s="43"/>
      <c r="EZ825" s="43"/>
      <c r="FA825" s="43"/>
      <c r="FB825" s="43"/>
      <c r="FC825" s="43"/>
      <c r="FD825" s="43"/>
      <c r="FE825" s="43"/>
      <c r="FF825" s="43"/>
      <c r="FG825" s="43"/>
      <c r="FH825" s="96"/>
      <c r="FI825" s="97"/>
      <c r="FJ825" s="98"/>
      <c r="FZ825" s="13"/>
      <c r="JP825" s="13"/>
      <c r="SG825" s="13"/>
    </row>
    <row r="826" spans="47:501" ht="10.75" customHeight="1">
      <c r="AU826" s="12"/>
      <c r="BJ826" s="13"/>
      <c r="BK826" s="59"/>
      <c r="BL826" s="60"/>
      <c r="BM826" s="60"/>
      <c r="BN826" s="61"/>
      <c r="BO826" s="43"/>
      <c r="BP826" s="43"/>
      <c r="BQ826" s="47"/>
      <c r="BR826" s="47"/>
      <c r="BS826" s="47"/>
      <c r="BT826" s="47"/>
      <c r="BU826" s="47"/>
      <c r="BV826" s="47"/>
      <c r="BW826" s="47"/>
      <c r="BX826" s="47"/>
      <c r="BY826" s="47"/>
      <c r="BZ826" s="47"/>
      <c r="CA826" s="47"/>
      <c r="CB826" s="47"/>
      <c r="CC826" s="47"/>
      <c r="CD826" s="47"/>
      <c r="CE826" s="47"/>
      <c r="CF826" s="47"/>
      <c r="CG826" s="47"/>
      <c r="CH826" s="47"/>
      <c r="CI826" s="47"/>
      <c r="CJ826" s="47"/>
      <c r="CK826" s="47"/>
      <c r="CL826" s="47"/>
      <c r="CM826" s="47"/>
      <c r="CN826" s="47"/>
      <c r="CO826" s="47"/>
      <c r="CP826" s="47"/>
      <c r="CQ826" s="47"/>
      <c r="CR826" s="47"/>
      <c r="CS826" s="47"/>
      <c r="CT826" s="47"/>
      <c r="CU826" s="47"/>
      <c r="CV826" s="47"/>
      <c r="CW826" s="47"/>
      <c r="CX826" s="47"/>
      <c r="CY826" s="47"/>
      <c r="CZ826" s="47"/>
      <c r="DA826" s="47"/>
      <c r="DB826" s="47"/>
      <c r="DC826" s="47"/>
      <c r="DD826" s="47"/>
      <c r="DE826" s="47"/>
      <c r="DF826" s="47"/>
      <c r="DG826" s="47"/>
      <c r="DH826" s="47"/>
      <c r="DI826" s="59"/>
      <c r="DJ826" s="60"/>
      <c r="DK826" s="60"/>
      <c r="DL826" s="61"/>
      <c r="DM826" s="47"/>
      <c r="DN826" s="47"/>
      <c r="DO826" s="47"/>
      <c r="DP826" s="47"/>
      <c r="DQ826" s="47"/>
      <c r="DR826" s="47"/>
      <c r="DS826" s="47"/>
      <c r="DT826" s="47"/>
      <c r="DU826" s="47"/>
      <c r="DV826" s="47"/>
      <c r="DW826" s="47"/>
      <c r="DX826" s="47"/>
      <c r="DY826" s="47"/>
      <c r="DZ826" s="47"/>
      <c r="EA826" s="47"/>
      <c r="EB826" s="47"/>
      <c r="EC826" s="47"/>
      <c r="ED826" s="47"/>
      <c r="EE826" s="47"/>
      <c r="EF826" s="47"/>
      <c r="EG826" s="47"/>
      <c r="EH826" s="47"/>
      <c r="EI826" s="47"/>
      <c r="EJ826" s="47"/>
      <c r="EK826" s="47"/>
      <c r="EL826" s="47"/>
      <c r="EM826" s="47"/>
      <c r="EN826" s="47"/>
      <c r="EO826" s="47"/>
      <c r="EP826" s="47"/>
      <c r="EQ826" s="47"/>
      <c r="ER826" s="47"/>
      <c r="ES826" s="47"/>
      <c r="ET826" s="47"/>
      <c r="EU826" s="47"/>
      <c r="EV826" s="47"/>
      <c r="EW826" s="47"/>
      <c r="EX826" s="47"/>
      <c r="EY826" s="47"/>
      <c r="EZ826" s="47"/>
      <c r="FA826" s="47"/>
      <c r="FB826" s="47"/>
      <c r="FC826" s="47"/>
      <c r="FD826" s="47"/>
      <c r="FE826" s="47"/>
      <c r="FF826" s="47"/>
      <c r="FG826" s="47"/>
      <c r="FH826" s="96"/>
      <c r="FI826" s="97"/>
      <c r="FJ826" s="98"/>
      <c r="FZ826" s="13"/>
      <c r="HF826" s="15"/>
      <c r="HG826" s="15"/>
      <c r="HH826" s="15"/>
      <c r="HI826" s="15"/>
      <c r="HJ826" s="15"/>
      <c r="HK826" s="15"/>
      <c r="HL826" s="15"/>
      <c r="HM826" s="15"/>
      <c r="HN826" s="15"/>
      <c r="HO826" s="15"/>
      <c r="HP826" s="15"/>
      <c r="HQ826" s="15"/>
      <c r="HR826" s="15"/>
      <c r="HS826" s="15"/>
      <c r="HT826" s="15"/>
      <c r="HU826" s="15"/>
      <c r="HV826" s="15"/>
      <c r="HW826" s="15"/>
      <c r="HX826" s="15"/>
      <c r="HY826" s="15"/>
      <c r="HZ826" s="15"/>
      <c r="IA826" s="15"/>
      <c r="IB826" s="15"/>
      <c r="IC826" s="15"/>
      <c r="ID826" s="15"/>
      <c r="IE826" s="15"/>
      <c r="IF826" s="15"/>
      <c r="IG826" s="15"/>
      <c r="IH826" s="15"/>
      <c r="II826" s="15"/>
      <c r="IJ826" s="15"/>
      <c r="IK826" s="15"/>
      <c r="IL826" s="15"/>
      <c r="IM826" s="15"/>
      <c r="IN826" s="15"/>
      <c r="IO826" s="15"/>
      <c r="IP826" s="15"/>
      <c r="IQ826" s="15"/>
      <c r="IR826" s="15"/>
      <c r="IS826" s="15"/>
      <c r="IT826" s="15"/>
      <c r="JP826" s="13"/>
      <c r="KJ826" s="15"/>
      <c r="KK826" s="15"/>
      <c r="KL826" s="15"/>
      <c r="KM826" s="15"/>
      <c r="KN826" s="15"/>
      <c r="KO826" s="15"/>
      <c r="KP826" s="15"/>
      <c r="KQ826" s="15"/>
      <c r="KR826" s="15"/>
      <c r="KS826" s="15"/>
      <c r="KT826" s="15"/>
      <c r="KU826" s="15"/>
      <c r="KV826" s="15"/>
      <c r="KW826" s="15"/>
      <c r="KX826" s="15"/>
      <c r="KY826" s="15"/>
      <c r="KZ826" s="15"/>
      <c r="LA826" s="15"/>
      <c r="LB826" s="15"/>
      <c r="LC826" s="15"/>
      <c r="LD826" s="15"/>
      <c r="LE826" s="15"/>
      <c r="LF826" s="15"/>
      <c r="LG826" s="15"/>
      <c r="LH826" s="15"/>
      <c r="LI826" s="15"/>
      <c r="LJ826" s="15"/>
      <c r="LK826" s="15"/>
      <c r="LL826" s="15"/>
      <c r="LM826" s="15"/>
      <c r="LN826" s="15"/>
      <c r="LO826" s="15"/>
      <c r="LP826" s="15"/>
      <c r="LQ826" s="15"/>
      <c r="LR826" s="15"/>
      <c r="LS826" s="15"/>
      <c r="LT826" s="15"/>
      <c r="LU826" s="15"/>
      <c r="LV826" s="15"/>
      <c r="LW826" s="15"/>
      <c r="LX826" s="15"/>
      <c r="LY826" s="15"/>
      <c r="LZ826" s="15"/>
      <c r="MA826" s="15"/>
      <c r="MB826" s="15"/>
      <c r="MC826" s="15"/>
      <c r="MD826" s="15"/>
      <c r="ME826" s="15"/>
      <c r="MF826" s="15"/>
      <c r="MG826" s="15"/>
      <c r="MH826" s="15"/>
      <c r="MI826" s="15"/>
      <c r="MJ826" s="15"/>
      <c r="MK826" s="15"/>
      <c r="ML826" s="15"/>
      <c r="MM826" s="15"/>
      <c r="MN826" s="15"/>
      <c r="MO826" s="15"/>
      <c r="MP826" s="15"/>
      <c r="MQ826" s="15"/>
      <c r="MR826" s="15"/>
      <c r="MS826" s="15"/>
      <c r="MT826" s="15"/>
      <c r="MU826" s="15"/>
      <c r="MV826" s="15"/>
      <c r="MW826" s="15"/>
      <c r="MX826" s="15"/>
      <c r="MY826" s="15"/>
      <c r="MZ826" s="15"/>
      <c r="NA826" s="15"/>
      <c r="NB826" s="15"/>
      <c r="NC826" s="15"/>
      <c r="ND826" s="15"/>
      <c r="NE826" s="15"/>
      <c r="NF826" s="15"/>
      <c r="NG826" s="15"/>
      <c r="NH826" s="15"/>
      <c r="NI826" s="15"/>
      <c r="NJ826" s="15"/>
      <c r="NK826" s="15"/>
      <c r="NL826" s="15"/>
      <c r="NM826" s="15"/>
      <c r="NN826" s="15"/>
      <c r="NO826" s="15"/>
      <c r="NP826" s="15"/>
      <c r="NQ826" s="15"/>
      <c r="NR826" s="15"/>
      <c r="NS826" s="15"/>
      <c r="NT826" s="15"/>
      <c r="NU826" s="15"/>
      <c r="NV826" s="15"/>
      <c r="NW826" s="15"/>
      <c r="NX826" s="15"/>
      <c r="NY826" s="15"/>
      <c r="NZ826" s="15"/>
      <c r="OA826" s="15"/>
      <c r="OB826" s="15"/>
      <c r="OC826" s="15"/>
      <c r="OD826" s="15"/>
      <c r="OE826" s="15"/>
      <c r="OF826" s="15"/>
      <c r="OG826" s="15"/>
      <c r="OH826" s="15"/>
      <c r="OI826" s="15"/>
      <c r="OJ826" s="15"/>
      <c r="OK826" s="15"/>
      <c r="OL826" s="15"/>
      <c r="OM826" s="15"/>
      <c r="ON826" s="15"/>
      <c r="OO826" s="15"/>
      <c r="OP826" s="15"/>
      <c r="OQ826" s="15"/>
      <c r="OR826" s="15"/>
      <c r="OS826" s="15"/>
      <c r="OT826" s="15"/>
      <c r="OU826" s="15"/>
      <c r="OV826" s="15"/>
      <c r="OW826" s="15"/>
      <c r="OX826" s="15"/>
      <c r="OY826" s="15"/>
      <c r="OZ826" s="15"/>
      <c r="PA826" s="15"/>
      <c r="PB826" s="15"/>
      <c r="PC826" s="15"/>
      <c r="PD826" s="15"/>
      <c r="PE826" s="15"/>
      <c r="PF826" s="15"/>
      <c r="PG826" s="15"/>
      <c r="PH826" s="15"/>
      <c r="PI826" s="15"/>
      <c r="PJ826" s="15"/>
      <c r="PK826" s="15"/>
      <c r="PL826" s="15"/>
      <c r="PM826" s="15"/>
      <c r="PN826" s="15"/>
      <c r="PO826" s="15"/>
      <c r="PP826" s="15"/>
      <c r="PQ826" s="15"/>
      <c r="PR826" s="15"/>
      <c r="PS826" s="15"/>
      <c r="PT826" s="15"/>
      <c r="PU826" s="15"/>
      <c r="PV826" s="15"/>
      <c r="PW826" s="15"/>
      <c r="PX826" s="15"/>
      <c r="PY826" s="15"/>
      <c r="PZ826" s="15"/>
      <c r="QA826" s="15"/>
      <c r="QB826" s="15"/>
      <c r="QC826" s="15"/>
      <c r="QD826" s="15"/>
      <c r="QE826" s="15"/>
      <c r="QF826" s="15"/>
      <c r="QG826" s="15"/>
      <c r="QH826" s="15"/>
      <c r="QI826" s="15"/>
      <c r="QJ826" s="15"/>
      <c r="QK826" s="15"/>
      <c r="QL826" s="15"/>
      <c r="QM826" s="15"/>
      <c r="QN826" s="15"/>
      <c r="QO826" s="15"/>
      <c r="QP826" s="15"/>
      <c r="QQ826" s="15"/>
      <c r="QR826" s="15"/>
      <c r="QS826" s="15"/>
      <c r="QT826" s="15"/>
      <c r="QU826" s="15"/>
      <c r="QV826" s="15"/>
      <c r="QW826" s="15"/>
      <c r="QX826" s="15"/>
      <c r="QY826" s="15"/>
      <c r="QZ826" s="15"/>
      <c r="RA826" s="15"/>
      <c r="RB826" s="15"/>
      <c r="RC826" s="15"/>
      <c r="RD826" s="15"/>
      <c r="RE826" s="15"/>
      <c r="RF826" s="15"/>
      <c r="RG826" s="15"/>
      <c r="RH826" s="15"/>
      <c r="RI826" s="15"/>
      <c r="RJ826" s="15"/>
      <c r="RK826" s="15"/>
      <c r="RL826" s="15"/>
      <c r="RM826" s="15"/>
      <c r="RN826" s="15"/>
      <c r="RO826" s="15"/>
      <c r="RP826" s="15"/>
      <c r="RQ826" s="15"/>
      <c r="RR826" s="15"/>
      <c r="RS826" s="15"/>
      <c r="RT826" s="15"/>
      <c r="RU826" s="15"/>
      <c r="RV826" s="15"/>
      <c r="RW826" s="15"/>
      <c r="RX826" s="15"/>
      <c r="SG826" s="13"/>
    </row>
    <row r="827" spans="47:501" ht="10.75" customHeight="1">
      <c r="AU827" s="12"/>
      <c r="BJ827" s="13"/>
      <c r="BK827" s="42"/>
      <c r="BL827" s="43"/>
      <c r="BM827" s="43"/>
      <c r="BN827" s="9"/>
      <c r="BO827" s="10"/>
      <c r="BP827" s="10"/>
      <c r="BQ827" s="10"/>
      <c r="BR827" s="10"/>
      <c r="BS827" s="10"/>
      <c r="BT827" s="10"/>
      <c r="BU827" s="10"/>
      <c r="BV827" s="10"/>
      <c r="BW827" s="10"/>
      <c r="BX827" s="10"/>
      <c r="BY827" s="10"/>
      <c r="BZ827" s="10"/>
      <c r="CA827" s="10"/>
      <c r="CB827" s="10"/>
      <c r="CC827" s="10"/>
      <c r="CD827" s="10"/>
      <c r="CE827" s="10"/>
      <c r="CF827" s="10"/>
      <c r="CG827" s="10"/>
      <c r="CH827" s="10"/>
      <c r="CI827" s="10"/>
      <c r="CJ827" s="10"/>
      <c r="CK827" s="10"/>
      <c r="CL827" s="10"/>
      <c r="CM827" s="10"/>
      <c r="CN827" s="10"/>
      <c r="CO827" s="10"/>
      <c r="CP827" s="157"/>
      <c r="CQ827" s="159"/>
      <c r="CR827" s="10"/>
      <c r="CS827" s="10"/>
      <c r="CT827" s="10"/>
      <c r="CU827" s="10"/>
      <c r="CV827" s="10"/>
      <c r="CW827" s="10"/>
      <c r="CX827" s="10"/>
      <c r="CY827" s="10"/>
      <c r="CZ827" s="10"/>
      <c r="DA827" s="10"/>
      <c r="DB827" s="10"/>
      <c r="DC827" s="10"/>
      <c r="DD827" s="10"/>
      <c r="DE827" s="10"/>
      <c r="DF827" s="10"/>
      <c r="DG827" s="10"/>
      <c r="DH827" s="10"/>
      <c r="DI827" s="10"/>
      <c r="DJ827" s="9"/>
      <c r="DK827" s="11"/>
      <c r="DL827" s="10"/>
      <c r="DM827" s="10"/>
      <c r="DN827" s="10"/>
      <c r="DO827" s="10"/>
      <c r="DP827" s="10"/>
      <c r="DQ827" s="10"/>
      <c r="DR827" s="10"/>
      <c r="DS827" s="10"/>
      <c r="DT827" s="10"/>
      <c r="DU827" s="10"/>
      <c r="DV827" s="10"/>
      <c r="DW827" s="10"/>
      <c r="DX827" s="10"/>
      <c r="DY827" s="10"/>
      <c r="DZ827" s="10"/>
      <c r="EA827" s="10"/>
      <c r="EB827" s="10"/>
      <c r="EC827" s="10"/>
      <c r="ED827" s="10"/>
      <c r="EE827" s="10"/>
      <c r="EF827" s="10"/>
      <c r="EG827" s="10"/>
      <c r="EH827" s="10"/>
      <c r="EI827" s="10"/>
      <c r="EJ827" s="10"/>
      <c r="EK827" s="10"/>
      <c r="EL827" s="10"/>
      <c r="EM827" s="10"/>
      <c r="EN827" s="10"/>
      <c r="EO827" s="10"/>
      <c r="EP827" s="10"/>
      <c r="EQ827" s="10"/>
      <c r="ER827" s="10"/>
      <c r="ES827" s="10"/>
      <c r="ET827" s="10"/>
      <c r="EU827" s="10"/>
      <c r="EV827" s="10"/>
      <c r="EW827" s="10"/>
      <c r="EX827" s="10"/>
      <c r="EY827" s="10"/>
      <c r="EZ827" s="10"/>
      <c r="FA827" s="10"/>
      <c r="FB827" s="10"/>
      <c r="FC827" s="10"/>
      <c r="FD827" s="10"/>
      <c r="FE827" s="10"/>
      <c r="FF827" s="10"/>
      <c r="FG827" s="11"/>
      <c r="FH827" s="59"/>
      <c r="FI827" s="60"/>
      <c r="FJ827" s="61"/>
      <c r="FZ827" s="13"/>
      <c r="IA827" s="12"/>
      <c r="IF827" s="13"/>
      <c r="IG827" s="12"/>
      <c r="JP827" s="13"/>
      <c r="LV827" s="12"/>
      <c r="MG827" s="13"/>
      <c r="NN827" s="13"/>
      <c r="NT827" s="13"/>
      <c r="SG827" s="13"/>
    </row>
    <row r="828" spans="47:501" ht="10.75" customHeight="1">
      <c r="AU828" s="12"/>
      <c r="BJ828" s="13"/>
      <c r="BK828" s="42"/>
      <c r="BL828" s="43"/>
      <c r="BM828" s="43"/>
      <c r="BN828" s="12"/>
      <c r="CP828" s="160"/>
      <c r="CQ828" s="161"/>
      <c r="DJ828" s="12"/>
      <c r="DK828" s="13"/>
      <c r="FG828" s="13"/>
      <c r="FH828" s="43"/>
      <c r="FI828" s="43"/>
      <c r="FJ828" s="45"/>
      <c r="FZ828" s="13"/>
      <c r="IA828" s="12"/>
      <c r="IF828" s="13"/>
      <c r="IG828" s="12"/>
      <c r="JP828" s="13"/>
      <c r="LV828" s="12"/>
      <c r="MG828" s="13"/>
      <c r="NN828" s="13"/>
      <c r="NT828" s="13"/>
      <c r="SG828" s="13"/>
    </row>
    <row r="829" spans="47:501" ht="10.75" customHeight="1">
      <c r="AU829" s="12"/>
      <c r="BJ829" s="13"/>
      <c r="BK829" s="42"/>
      <c r="BL829" s="43"/>
      <c r="BM829" s="43"/>
      <c r="BN829" s="12"/>
      <c r="CN829" s="9"/>
      <c r="CO829" s="10"/>
      <c r="CP829" s="160"/>
      <c r="CQ829" s="161"/>
      <c r="CR829" s="9"/>
      <c r="CS829" s="11"/>
      <c r="CT829" s="10"/>
      <c r="CU829" s="10"/>
      <c r="CV829" s="10"/>
      <c r="CW829" s="11"/>
      <c r="DJ829" s="12"/>
      <c r="DK829" s="315"/>
      <c r="FG829" s="13"/>
      <c r="FH829" s="43"/>
      <c r="FI829" s="43"/>
      <c r="FJ829" s="45"/>
      <c r="FZ829" s="13"/>
      <c r="IA829" s="12"/>
      <c r="IF829" s="13"/>
      <c r="IG829" s="12"/>
      <c r="JP829" s="13"/>
      <c r="LV829" s="12"/>
      <c r="MG829" s="13"/>
      <c r="NN829" s="13"/>
      <c r="NT829" s="13"/>
      <c r="SG829" s="13"/>
    </row>
    <row r="830" spans="47:501" ht="10.75" customHeight="1">
      <c r="AU830" s="12"/>
      <c r="BJ830" s="13"/>
      <c r="BK830" s="42"/>
      <c r="BL830" s="43"/>
      <c r="BM830" s="43"/>
      <c r="BN830" s="12"/>
      <c r="CG830" s="9"/>
      <c r="CH830" s="10"/>
      <c r="CI830" s="10"/>
      <c r="CJ830" s="10"/>
      <c r="CK830" s="10"/>
      <c r="CL830" s="10"/>
      <c r="CM830" s="11"/>
      <c r="CN830" s="12"/>
      <c r="CP830" s="160"/>
      <c r="CQ830" s="161"/>
      <c r="CR830" s="12"/>
      <c r="CS830" s="13"/>
      <c r="CW830" s="13"/>
      <c r="DJ830" s="12"/>
      <c r="DK830" s="315"/>
      <c r="FG830" s="13"/>
      <c r="FH830" s="43"/>
      <c r="FI830" s="43"/>
      <c r="FJ830" s="45"/>
      <c r="FZ830" s="13"/>
      <c r="IA830" s="12"/>
      <c r="IF830" s="13"/>
      <c r="IG830" s="12"/>
      <c r="JQ830" s="10"/>
      <c r="JR830" s="10"/>
      <c r="JS830" s="10"/>
      <c r="JT830" s="10"/>
      <c r="JU830" s="10"/>
      <c r="JV830" s="10"/>
      <c r="JW830" s="10"/>
      <c r="JX830" s="10"/>
      <c r="JY830" s="10"/>
      <c r="JZ830" s="10"/>
      <c r="KA830" s="10"/>
      <c r="KB830" s="11"/>
      <c r="LV830" s="12"/>
      <c r="MG830" s="13"/>
      <c r="MN830" s="9"/>
      <c r="MO830" s="10"/>
      <c r="MP830" s="10"/>
      <c r="MQ830" s="10"/>
      <c r="MR830" s="10"/>
      <c r="MS830" s="10"/>
      <c r="MT830" s="10"/>
      <c r="MU830" s="10"/>
      <c r="MV830" s="10"/>
      <c r="MW830" s="10"/>
      <c r="MX830" s="10"/>
      <c r="MY830" s="10"/>
      <c r="MZ830" s="10"/>
      <c r="NA830" s="10"/>
      <c r="NB830" s="10"/>
      <c r="NC830" s="10"/>
      <c r="ND830" s="10"/>
      <c r="NE830" s="10"/>
      <c r="NF830" s="10"/>
      <c r="NG830" s="10"/>
      <c r="NH830" s="10"/>
      <c r="NI830" s="10"/>
      <c r="NJ830" s="10"/>
      <c r="NK830" s="11"/>
      <c r="NN830" s="13"/>
      <c r="NT830" s="13"/>
      <c r="NX830" s="9"/>
      <c r="NY830" s="10"/>
      <c r="NZ830" s="10"/>
      <c r="OA830" s="10"/>
      <c r="OB830" s="10"/>
      <c r="OC830" s="10"/>
      <c r="OD830" s="10"/>
      <c r="OE830" s="10"/>
      <c r="OF830" s="10"/>
      <c r="OG830" s="10"/>
      <c r="OH830" s="10"/>
      <c r="OI830" s="10"/>
      <c r="OJ830" s="10"/>
      <c r="OK830" s="10"/>
      <c r="OL830" s="10"/>
      <c r="OM830" s="10"/>
      <c r="ON830" s="10"/>
      <c r="OO830" s="10"/>
      <c r="OP830" s="10"/>
      <c r="OQ830" s="10"/>
      <c r="OR830" s="10"/>
      <c r="OS830" s="10"/>
      <c r="OT830" s="10"/>
      <c r="OU830" s="11"/>
      <c r="SG830" s="13"/>
    </row>
    <row r="831" spans="47:501" ht="10.75" customHeight="1">
      <c r="AU831" s="12"/>
      <c r="BJ831" s="13"/>
      <c r="BK831" s="42"/>
      <c r="BL831" s="43"/>
      <c r="BM831" s="43"/>
      <c r="BN831" s="12"/>
      <c r="CG831" s="12"/>
      <c r="CM831" s="13"/>
      <c r="CN831" s="12"/>
      <c r="CP831" s="160"/>
      <c r="CQ831" s="161"/>
      <c r="CR831" s="12"/>
      <c r="CS831" s="13"/>
      <c r="CW831" s="13"/>
      <c r="DJ831" s="12"/>
      <c r="DK831" s="315"/>
      <c r="FG831" s="13"/>
      <c r="FH831" s="43"/>
      <c r="FI831" s="43"/>
      <c r="FJ831" s="45"/>
      <c r="FZ831" s="13"/>
      <c r="IA831" s="12"/>
      <c r="IF831" s="13"/>
      <c r="IG831" s="12"/>
      <c r="KB831" s="13"/>
      <c r="LV831" s="12"/>
      <c r="MG831" s="13"/>
      <c r="MN831" s="12"/>
      <c r="NK831" s="13"/>
      <c r="NN831" s="13"/>
      <c r="NT831" s="13"/>
      <c r="NX831" s="12"/>
      <c r="OU831" s="13"/>
      <c r="RX831" s="13"/>
      <c r="SG831" s="13"/>
    </row>
    <row r="832" spans="47:501" ht="10.75" customHeight="1">
      <c r="AU832" s="12"/>
      <c r="BJ832" s="13"/>
      <c r="BK832" s="42"/>
      <c r="BL832" s="43"/>
      <c r="BM832" s="43"/>
      <c r="BN832" s="12"/>
      <c r="CG832" s="12"/>
      <c r="CM832" s="13"/>
      <c r="CN832" s="12"/>
      <c r="CP832" s="160"/>
      <c r="CQ832" s="161"/>
      <c r="CR832" s="12"/>
      <c r="CS832" s="13"/>
      <c r="CW832" s="13"/>
      <c r="DJ832" s="12"/>
      <c r="DK832" s="315"/>
      <c r="FG832" s="13"/>
      <c r="FH832" s="43"/>
      <c r="FI832" s="43"/>
      <c r="FJ832" s="45"/>
      <c r="FZ832" s="13"/>
      <c r="IA832" s="12"/>
      <c r="IF832" s="13"/>
      <c r="IG832" s="12"/>
      <c r="KB832" s="13"/>
      <c r="LV832" s="12"/>
      <c r="MG832" s="13"/>
      <c r="MN832" s="12"/>
      <c r="NK832" s="13"/>
      <c r="NN832" s="13"/>
      <c r="NT832" s="13"/>
      <c r="NX832" s="12"/>
      <c r="OU832" s="13"/>
      <c r="RX832" s="13"/>
      <c r="SG832" s="13"/>
    </row>
    <row r="833" spans="47:573" ht="10.75" customHeight="1">
      <c r="AU833" s="12"/>
      <c r="BJ833" s="13"/>
      <c r="BK833" s="42"/>
      <c r="BL833" s="43"/>
      <c r="BM833" s="43"/>
      <c r="BN833" s="12"/>
      <c r="CG833" s="12"/>
      <c r="CM833" s="13"/>
      <c r="CN833" s="12"/>
      <c r="CP833" s="160"/>
      <c r="CQ833" s="161"/>
      <c r="CR833" s="12"/>
      <c r="CS833" s="13"/>
      <c r="CW833" s="13"/>
      <c r="DJ833" s="12"/>
      <c r="DK833" s="315"/>
      <c r="FG833" s="13"/>
      <c r="FH833" s="43"/>
      <c r="FI833" s="43"/>
      <c r="FJ833" s="45"/>
      <c r="FZ833" s="13"/>
      <c r="IA833" s="12"/>
      <c r="IF833" s="13"/>
      <c r="IG833" s="12"/>
      <c r="KB833" s="13"/>
      <c r="LV833" s="12"/>
      <c r="MG833" s="13"/>
      <c r="MN833" s="12"/>
      <c r="NK833" s="13"/>
      <c r="NN833" s="13"/>
      <c r="NT833" s="13"/>
      <c r="NX833" s="12"/>
      <c r="OU833" s="13"/>
      <c r="RX833" s="13"/>
      <c r="SG833" s="13"/>
    </row>
    <row r="834" spans="47:573" ht="10.75" customHeight="1">
      <c r="AU834" s="12"/>
      <c r="BJ834" s="13"/>
      <c r="BK834" s="42"/>
      <c r="BL834" s="43"/>
      <c r="BM834" s="43"/>
      <c r="BN834" s="12"/>
      <c r="CG834" s="14"/>
      <c r="CH834" s="15"/>
      <c r="CI834" s="15"/>
      <c r="CJ834" s="15"/>
      <c r="CK834" s="15"/>
      <c r="CL834" s="15"/>
      <c r="CM834" s="16"/>
      <c r="CN834" s="12"/>
      <c r="CP834" s="160"/>
      <c r="CQ834" s="161"/>
      <c r="CR834" s="12"/>
      <c r="CS834" s="13"/>
      <c r="CW834" s="13"/>
      <c r="DJ834" s="12"/>
      <c r="DK834" s="315"/>
      <c r="FG834" s="13"/>
      <c r="FH834" s="43"/>
      <c r="FI834" s="43"/>
      <c r="FJ834" s="45"/>
      <c r="FZ834" s="13"/>
      <c r="IA834" s="12"/>
      <c r="IF834" s="13"/>
      <c r="IG834" s="12"/>
      <c r="KB834" s="13"/>
      <c r="LV834" s="12"/>
      <c r="MG834" s="13"/>
      <c r="MN834" s="12"/>
      <c r="NK834" s="13"/>
      <c r="NN834" s="13"/>
      <c r="NT834" s="13"/>
      <c r="NX834" s="12"/>
      <c r="OU834" s="13"/>
      <c r="RX834" s="13"/>
      <c r="SG834" s="13"/>
    </row>
    <row r="835" spans="47:573" ht="10.75" customHeight="1">
      <c r="AU835" s="12"/>
      <c r="BJ835" s="13"/>
      <c r="BK835" s="42"/>
      <c r="BL835" s="43"/>
      <c r="BM835" s="43"/>
      <c r="BN835" s="12"/>
      <c r="CN835" s="14"/>
      <c r="CO835" s="15"/>
      <c r="CP835" s="160"/>
      <c r="CQ835" s="161"/>
      <c r="CR835" s="14"/>
      <c r="CS835" s="16"/>
      <c r="CT835" s="15"/>
      <c r="CU835" s="15"/>
      <c r="CV835" s="15"/>
      <c r="CW835" s="16"/>
      <c r="DJ835" s="12"/>
      <c r="DK835" s="315"/>
      <c r="FG835" s="13"/>
      <c r="FH835" s="43"/>
      <c r="FI835" s="43"/>
      <c r="FJ835" s="45"/>
      <c r="FZ835" s="13"/>
      <c r="IA835" s="12"/>
      <c r="IF835" s="13"/>
      <c r="IG835" s="12"/>
      <c r="KB835" s="13"/>
      <c r="LV835" s="12"/>
      <c r="MG835" s="13"/>
      <c r="MN835" s="14"/>
      <c r="MO835" s="15"/>
      <c r="MP835" s="15"/>
      <c r="MQ835" s="15"/>
      <c r="MR835" s="15"/>
      <c r="MS835" s="15"/>
      <c r="MT835" s="15"/>
      <c r="MU835" s="15"/>
      <c r="MV835" s="15"/>
      <c r="MW835" s="15"/>
      <c r="MX835" s="15"/>
      <c r="MY835" s="15"/>
      <c r="MZ835" s="15"/>
      <c r="NA835" s="15"/>
      <c r="NB835" s="15"/>
      <c r="NC835" s="15"/>
      <c r="ND835" s="15"/>
      <c r="NE835" s="15"/>
      <c r="NF835" s="15"/>
      <c r="NG835" s="15"/>
      <c r="NH835" s="15"/>
      <c r="NI835" s="15"/>
      <c r="NJ835" s="15"/>
      <c r="NK835" s="16"/>
      <c r="NN835" s="13"/>
      <c r="NT835" s="13"/>
      <c r="NX835" s="14"/>
      <c r="NY835" s="15"/>
      <c r="NZ835" s="15"/>
      <c r="OA835" s="15"/>
      <c r="OB835" s="15"/>
      <c r="OC835" s="15"/>
      <c r="OD835" s="15"/>
      <c r="OE835" s="15"/>
      <c r="OF835" s="15"/>
      <c r="OG835" s="15"/>
      <c r="OH835" s="15"/>
      <c r="OI835" s="15"/>
      <c r="OJ835" s="15"/>
      <c r="OK835" s="15"/>
      <c r="OL835" s="15"/>
      <c r="OM835" s="15"/>
      <c r="ON835" s="15"/>
      <c r="OO835" s="15"/>
      <c r="OP835" s="15"/>
      <c r="OQ835" s="15"/>
      <c r="OR835" s="15"/>
      <c r="OS835" s="15"/>
      <c r="OT835" s="15"/>
      <c r="OU835" s="16"/>
      <c r="RX835" s="13"/>
      <c r="SG835" s="13"/>
    </row>
    <row r="836" spans="47:573" ht="10.75" customHeight="1">
      <c r="AU836" s="12"/>
      <c r="BJ836" s="13"/>
      <c r="BK836" s="42"/>
      <c r="BL836" s="43"/>
      <c r="BM836" s="43"/>
      <c r="BN836" s="12"/>
      <c r="CP836" s="160"/>
      <c r="CQ836" s="161"/>
      <c r="CR836" s="12"/>
      <c r="DJ836" s="12"/>
      <c r="DK836" s="315"/>
      <c r="FG836" s="13"/>
      <c r="FH836" s="43"/>
      <c r="FI836" s="43"/>
      <c r="FJ836" s="45"/>
      <c r="FZ836" s="13"/>
      <c r="IA836" s="12"/>
      <c r="IF836" s="13"/>
      <c r="IG836" s="12"/>
      <c r="KB836" s="13"/>
      <c r="LV836" s="12"/>
      <c r="MG836" s="13"/>
      <c r="NN836" s="13"/>
      <c r="NT836" s="13"/>
      <c r="RX836" s="13"/>
      <c r="SG836" s="13"/>
    </row>
    <row r="837" spans="47:573" ht="10.75" customHeight="1">
      <c r="AU837" s="12"/>
      <c r="BJ837" s="13"/>
      <c r="BK837" s="42"/>
      <c r="BL837" s="43"/>
      <c r="BM837" s="43"/>
      <c r="BN837" s="12"/>
      <c r="CP837" s="160"/>
      <c r="CQ837" s="161"/>
      <c r="CR837" s="12"/>
      <c r="DJ837" s="12"/>
      <c r="DK837" s="315"/>
      <c r="FG837" s="13"/>
      <c r="FH837" s="43"/>
      <c r="FI837" s="43"/>
      <c r="FJ837" s="45"/>
      <c r="FZ837" s="13"/>
      <c r="IA837" s="12"/>
      <c r="IF837" s="13"/>
      <c r="IG837" s="12"/>
      <c r="KC837" s="10"/>
      <c r="KD837" s="10"/>
      <c r="KE837" s="10"/>
      <c r="KF837" s="10"/>
      <c r="KG837" s="10"/>
      <c r="KH837" s="10"/>
      <c r="KI837" s="10"/>
      <c r="KJ837" s="10"/>
      <c r="KK837" s="10"/>
      <c r="KL837" s="10"/>
      <c r="KM837" s="10"/>
      <c r="KN837" s="11"/>
      <c r="LV837" s="12"/>
      <c r="MG837" s="13"/>
      <c r="NN837" s="13"/>
      <c r="NT837" s="13"/>
      <c r="RX837" s="13"/>
      <c r="SG837" s="13"/>
    </row>
    <row r="838" spans="47:573" ht="10.75" customHeight="1">
      <c r="AU838" s="12"/>
      <c r="BJ838" s="13"/>
      <c r="BK838" s="42"/>
      <c r="BL838" s="43"/>
      <c r="BM838" s="43"/>
      <c r="BN838" s="12"/>
      <c r="CJ838" s="9"/>
      <c r="CK838" s="10"/>
      <c r="CL838" s="10"/>
      <c r="CM838" s="11"/>
      <c r="CN838" s="9"/>
      <c r="CO838" s="10"/>
      <c r="CP838" s="160"/>
      <c r="CQ838" s="162"/>
      <c r="CR838" s="9"/>
      <c r="CS838" s="11"/>
      <c r="DJ838" s="12"/>
      <c r="DK838" s="13"/>
      <c r="FG838" s="13"/>
      <c r="FH838" s="43"/>
      <c r="FI838" s="43"/>
      <c r="FJ838" s="45"/>
      <c r="FZ838" s="13"/>
      <c r="IA838" s="12"/>
      <c r="IF838" s="13"/>
      <c r="IG838" s="12"/>
      <c r="KN838" s="13"/>
      <c r="LV838" s="12"/>
      <c r="MG838" s="13"/>
      <c r="NN838" s="13"/>
      <c r="NT838" s="13"/>
      <c r="RX838" s="13"/>
      <c r="SG838" s="13"/>
    </row>
    <row r="839" spans="47:573" ht="10.75" customHeight="1">
      <c r="AU839" s="12"/>
      <c r="BA839" s="9"/>
      <c r="BB839" s="10"/>
      <c r="BC839" s="10"/>
      <c r="BD839" s="10"/>
      <c r="BE839" s="10"/>
      <c r="BF839" s="10"/>
      <c r="BG839" s="10"/>
      <c r="BH839" s="10"/>
      <c r="BI839" s="10"/>
      <c r="BJ839" s="11"/>
      <c r="BK839" s="42"/>
      <c r="BL839" s="43"/>
      <c r="BM839" s="43"/>
      <c r="BN839" s="12"/>
      <c r="CJ839" s="12"/>
      <c r="CM839" s="13"/>
      <c r="CN839" s="12"/>
      <c r="CP839" s="160"/>
      <c r="CQ839" s="162"/>
      <c r="CR839" s="12"/>
      <c r="CS839" s="13"/>
      <c r="CT839" s="10"/>
      <c r="CU839" s="10"/>
      <c r="CV839" s="10"/>
      <c r="CW839" s="10"/>
      <c r="CX839" s="10"/>
      <c r="CY839" s="10"/>
      <c r="CZ839" s="11"/>
      <c r="DJ839" s="12"/>
      <c r="DK839" s="13"/>
      <c r="FG839" s="13"/>
      <c r="FH839" s="43"/>
      <c r="FI839" s="43"/>
      <c r="FJ839" s="45"/>
      <c r="FZ839" s="13"/>
      <c r="IA839" s="12"/>
      <c r="IF839" s="13"/>
      <c r="IG839" s="12"/>
      <c r="KN839" s="13"/>
      <c r="LV839" s="12"/>
      <c r="MG839" s="13"/>
      <c r="NN839" s="13"/>
      <c r="NT839" s="13"/>
      <c r="RX839" s="13"/>
      <c r="SG839" s="13"/>
    </row>
    <row r="840" spans="47:573" ht="10.75" customHeight="1">
      <c r="AU840" s="12"/>
      <c r="BA840" s="12"/>
      <c r="BJ840" s="13"/>
      <c r="BK840" s="42"/>
      <c r="BL840" s="43"/>
      <c r="BM840" s="43"/>
      <c r="BN840" s="12"/>
      <c r="CJ840" s="12"/>
      <c r="CM840" s="13"/>
      <c r="CN840" s="12"/>
      <c r="CP840" s="160"/>
      <c r="CQ840" s="162"/>
      <c r="CR840" s="12"/>
      <c r="CS840" s="13"/>
      <c r="CZ840" s="13"/>
      <c r="DJ840" s="12"/>
      <c r="DK840" s="13"/>
      <c r="FG840" s="13"/>
      <c r="FH840" s="43"/>
      <c r="FI840" s="43"/>
      <c r="FJ840" s="45"/>
      <c r="FZ840" s="13"/>
      <c r="IA840" s="12"/>
      <c r="IF840" s="13"/>
      <c r="IG840" s="12"/>
      <c r="KN840" s="13"/>
      <c r="LV840" s="12"/>
      <c r="MG840" s="13"/>
      <c r="NN840" s="13"/>
      <c r="NT840" s="13"/>
      <c r="RX840" s="13"/>
      <c r="SG840" s="13"/>
    </row>
    <row r="841" spans="47:573" ht="10.75" customHeight="1">
      <c r="AU841" s="12"/>
      <c r="BA841" s="12"/>
      <c r="BJ841" s="13"/>
      <c r="BK841" s="42"/>
      <c r="BL841" s="43"/>
      <c r="BM841" s="43"/>
      <c r="BN841" s="12"/>
      <c r="CJ841" s="12"/>
      <c r="CM841" s="13"/>
      <c r="CN841" s="12"/>
      <c r="CP841" s="160"/>
      <c r="CQ841" s="162"/>
      <c r="CR841" s="12"/>
      <c r="CS841" s="13"/>
      <c r="CZ841" s="13"/>
      <c r="DJ841" s="12"/>
      <c r="DK841" s="13"/>
      <c r="DL841" s="20"/>
      <c r="DM841" s="21"/>
      <c r="DN841" s="21"/>
      <c r="DO841" s="21"/>
      <c r="DP841" s="21"/>
      <c r="DQ841" s="21"/>
      <c r="DR841" s="21"/>
      <c r="DS841" s="21"/>
      <c r="DT841" s="21"/>
      <c r="DU841" s="21"/>
      <c r="DV841" s="21"/>
      <c r="DW841" s="21"/>
      <c r="DX841" s="21"/>
      <c r="DY841" s="21"/>
      <c r="DZ841" s="21"/>
      <c r="EA841" s="21"/>
      <c r="EB841" s="21"/>
      <c r="EC841" s="21"/>
      <c r="ED841" s="21"/>
      <c r="EE841" s="21"/>
      <c r="EF841" s="21"/>
      <c r="EG841" s="21"/>
      <c r="EH841" s="21"/>
      <c r="EI841" s="22"/>
      <c r="FG841" s="13"/>
      <c r="FH841" s="43"/>
      <c r="FI841" s="43"/>
      <c r="FJ841" s="45"/>
      <c r="FZ841" s="13"/>
      <c r="IA841" s="12"/>
      <c r="IF841" s="13"/>
      <c r="IG841" s="12"/>
      <c r="KN841" s="13"/>
      <c r="LV841" s="12"/>
      <c r="MG841" s="13"/>
      <c r="NN841" s="13"/>
      <c r="NT841" s="13"/>
      <c r="RX841" s="13"/>
      <c r="SG841" s="13"/>
    </row>
    <row r="842" spans="47:573" ht="10.75" customHeight="1">
      <c r="AU842" s="12"/>
      <c r="BA842" s="12"/>
      <c r="BJ842" s="13"/>
      <c r="BK842" s="42"/>
      <c r="BL842" s="43"/>
      <c r="BM842" s="43"/>
      <c r="BN842" s="12"/>
      <c r="CJ842" s="12"/>
      <c r="CM842" s="13"/>
      <c r="CN842" s="12"/>
      <c r="CP842" s="160"/>
      <c r="CQ842" s="162"/>
      <c r="CR842" s="12"/>
      <c r="CS842" s="13"/>
      <c r="CZ842" s="13"/>
      <c r="DJ842" s="12"/>
      <c r="DK842" s="13"/>
      <c r="FG842" s="13"/>
      <c r="FH842" s="43"/>
      <c r="FI842" s="43"/>
      <c r="FJ842" s="45"/>
      <c r="FZ842" s="13"/>
      <c r="IA842" s="12"/>
      <c r="IF842" s="13"/>
      <c r="IG842" s="12"/>
      <c r="KN842" s="13"/>
      <c r="LV842" s="12"/>
      <c r="MG842" s="13"/>
      <c r="NN842" s="13"/>
      <c r="NT842" s="13"/>
      <c r="RX842" s="13"/>
      <c r="SG842" s="13"/>
    </row>
    <row r="843" spans="47:573" ht="10.75" customHeight="1">
      <c r="AU843" s="12"/>
      <c r="BA843" s="12"/>
      <c r="BJ843" s="13"/>
      <c r="BK843" s="42"/>
      <c r="BL843" s="43"/>
      <c r="BM843" s="43"/>
      <c r="BN843" s="12"/>
      <c r="CJ843" s="12"/>
      <c r="CM843" s="13"/>
      <c r="CN843" s="12"/>
      <c r="CP843" s="160"/>
      <c r="CQ843" s="162"/>
      <c r="CR843" s="12"/>
      <c r="CS843" s="13"/>
      <c r="CT843" s="15"/>
      <c r="CU843" s="15"/>
      <c r="CV843" s="15"/>
      <c r="CW843" s="15"/>
      <c r="CX843" s="15"/>
      <c r="CY843" s="15"/>
      <c r="CZ843" s="16"/>
      <c r="DJ843" s="12"/>
      <c r="DK843" s="13"/>
      <c r="FG843" s="13"/>
      <c r="FH843" s="43"/>
      <c r="FI843" s="43"/>
      <c r="FJ843" s="45"/>
      <c r="FZ843" s="13"/>
      <c r="IA843" s="12"/>
      <c r="IF843" s="13"/>
      <c r="IG843" s="12"/>
      <c r="KN843" s="13"/>
      <c r="LV843" s="12"/>
      <c r="MG843" s="13"/>
      <c r="NN843" s="13"/>
      <c r="NT843" s="13"/>
      <c r="RX843" s="13"/>
      <c r="SG843" s="13"/>
    </row>
    <row r="844" spans="47:573" ht="10.75" customHeight="1">
      <c r="AU844" s="12"/>
      <c r="BA844" s="12"/>
      <c r="BJ844" s="13"/>
      <c r="BK844" s="42"/>
      <c r="BL844" s="43"/>
      <c r="BM844" s="43"/>
      <c r="BN844" s="12"/>
      <c r="CJ844" s="14"/>
      <c r="CK844" s="15"/>
      <c r="CL844" s="15"/>
      <c r="CM844" s="16"/>
      <c r="CN844" s="14"/>
      <c r="CO844" s="15"/>
      <c r="CP844" s="160"/>
      <c r="CQ844" s="162"/>
      <c r="CR844" s="14"/>
      <c r="CS844" s="16"/>
      <c r="DJ844" s="12"/>
      <c r="DK844" s="13"/>
      <c r="FG844" s="13"/>
      <c r="FH844" s="43"/>
      <c r="FI844" s="43"/>
      <c r="FJ844" s="45"/>
      <c r="FZ844" s="13"/>
      <c r="IA844" s="12"/>
      <c r="IF844" s="13"/>
      <c r="IG844" s="12"/>
      <c r="KO844" s="10"/>
      <c r="KP844" s="10"/>
      <c r="KQ844" s="10"/>
      <c r="KR844" s="10"/>
      <c r="KS844" s="10"/>
      <c r="KT844" s="10"/>
      <c r="KU844" s="10"/>
      <c r="KV844" s="10"/>
      <c r="KW844" s="10"/>
      <c r="KX844" s="10"/>
      <c r="KY844" s="10"/>
      <c r="KZ844" s="11"/>
      <c r="LV844" s="12"/>
      <c r="MH844" s="12"/>
      <c r="NN844" s="13"/>
      <c r="NT844" s="13"/>
    </row>
    <row r="845" spans="47:573" ht="10.75" customHeight="1">
      <c r="AU845" s="12"/>
      <c r="BA845" s="12"/>
      <c r="BJ845" s="13"/>
      <c r="BK845" s="42"/>
      <c r="BL845" s="43"/>
      <c r="BM845" s="43"/>
      <c r="BN845" s="12"/>
      <c r="CP845" s="160"/>
      <c r="CQ845" s="161"/>
      <c r="DJ845" s="12"/>
      <c r="DK845" s="13"/>
      <c r="FG845" s="13"/>
      <c r="FH845" s="43"/>
      <c r="FI845" s="43"/>
      <c r="FJ845" s="45"/>
      <c r="FZ845" s="13"/>
      <c r="KZ845" s="13"/>
      <c r="LV845" s="12"/>
      <c r="MH845" s="12"/>
      <c r="NN845" s="13"/>
      <c r="NT845" s="13"/>
    </row>
    <row r="846" spans="47:573" ht="10.75" customHeight="1">
      <c r="AU846" s="12"/>
      <c r="BA846" s="12"/>
      <c r="BJ846" s="13"/>
      <c r="BK846" s="42"/>
      <c r="BL846" s="43"/>
      <c r="BM846" s="43"/>
      <c r="BN846" s="12"/>
      <c r="CP846" s="290"/>
      <c r="CQ846" s="164"/>
      <c r="DJ846" s="12"/>
      <c r="DK846" s="13"/>
      <c r="FG846" s="13"/>
      <c r="FH846" s="43"/>
      <c r="FI846" s="43"/>
      <c r="FJ846" s="45"/>
      <c r="FZ846" s="13"/>
      <c r="KZ846" s="13"/>
      <c r="LV846" s="12"/>
      <c r="MH846" s="12"/>
      <c r="NN846" s="13"/>
      <c r="NT846" s="13"/>
    </row>
    <row r="847" spans="47:573" ht="10.75" customHeight="1">
      <c r="AU847" s="12"/>
      <c r="BA847" s="12"/>
      <c r="BJ847" s="13"/>
      <c r="BK847" s="42"/>
      <c r="BL847" s="43"/>
      <c r="BM847" s="43"/>
      <c r="BN847" s="157"/>
      <c r="BO847" s="158"/>
      <c r="BP847" s="158"/>
      <c r="BQ847" s="158"/>
      <c r="BR847" s="158"/>
      <c r="BS847" s="158"/>
      <c r="BT847" s="158"/>
      <c r="BU847" s="158"/>
      <c r="BV847" s="158"/>
      <c r="BW847" s="158"/>
      <c r="BX847" s="158"/>
      <c r="BY847" s="158"/>
      <c r="BZ847" s="158"/>
      <c r="CA847" s="158"/>
      <c r="CB847" s="158"/>
      <c r="CC847" s="158"/>
      <c r="CD847" s="158"/>
      <c r="CE847" s="158"/>
      <c r="CF847" s="158"/>
      <c r="CG847" s="158"/>
      <c r="CH847" s="158"/>
      <c r="CI847" s="158"/>
      <c r="CJ847" s="158"/>
      <c r="CK847" s="158"/>
      <c r="CL847" s="158"/>
      <c r="CM847" s="158"/>
      <c r="CN847" s="158"/>
      <c r="CO847" s="158"/>
      <c r="CP847" s="158"/>
      <c r="CQ847" s="158"/>
      <c r="CR847" s="158"/>
      <c r="CS847" s="158"/>
      <c r="CT847" s="158"/>
      <c r="CU847" s="158"/>
      <c r="CV847" s="158"/>
      <c r="CW847" s="158"/>
      <c r="CX847" s="158"/>
      <c r="CY847" s="158"/>
      <c r="CZ847" s="158"/>
      <c r="DA847" s="158"/>
      <c r="DB847" s="158"/>
      <c r="DC847" s="158"/>
      <c r="DD847" s="158"/>
      <c r="DE847" s="158"/>
      <c r="DF847" s="158"/>
      <c r="DG847" s="158"/>
      <c r="DH847" s="158"/>
      <c r="DI847" s="158"/>
      <c r="DJ847" s="158"/>
      <c r="DK847" s="159"/>
      <c r="FG847" s="13"/>
      <c r="FH847" s="43"/>
      <c r="FI847" s="43"/>
      <c r="FJ847" s="45"/>
      <c r="FZ847" s="13"/>
      <c r="HF847" s="10"/>
      <c r="HG847" s="10"/>
      <c r="HH847" s="10"/>
      <c r="HI847" s="10"/>
      <c r="HJ847" s="10"/>
      <c r="HK847" s="10"/>
      <c r="HL847" s="10"/>
      <c r="HM847" s="10"/>
      <c r="HN847" s="10"/>
      <c r="HO847" s="10"/>
      <c r="HP847" s="10"/>
      <c r="HQ847" s="10"/>
      <c r="HR847" s="10"/>
      <c r="HS847" s="10"/>
      <c r="HT847" s="10"/>
      <c r="HU847" s="10"/>
      <c r="HV847" s="10"/>
      <c r="HW847" s="10"/>
      <c r="HX847" s="10"/>
      <c r="HY847" s="10"/>
      <c r="HZ847" s="10"/>
      <c r="IA847" s="10"/>
      <c r="IB847" s="10"/>
      <c r="IC847" s="10"/>
      <c r="ID847" s="10"/>
      <c r="IE847" s="10"/>
      <c r="IF847" s="10"/>
      <c r="IG847" s="10"/>
      <c r="IH847" s="10"/>
      <c r="II847" s="10"/>
      <c r="IJ847" s="10"/>
      <c r="IK847" s="10"/>
      <c r="IL847" s="10"/>
      <c r="IM847" s="10"/>
      <c r="IN847" s="10"/>
      <c r="IO847" s="10"/>
      <c r="IP847" s="10"/>
      <c r="IQ847" s="10"/>
      <c r="IR847" s="10"/>
      <c r="IS847" s="10"/>
      <c r="IT847" s="10"/>
      <c r="IU847" s="10"/>
      <c r="IV847" s="10"/>
      <c r="IW847" s="10"/>
      <c r="IX847" s="10"/>
      <c r="IY847" s="10"/>
      <c r="IZ847" s="10"/>
      <c r="JA847" s="10"/>
      <c r="JB847" s="10"/>
      <c r="JC847" s="10"/>
      <c r="JD847" s="10"/>
      <c r="JE847" s="10"/>
      <c r="JF847" s="10"/>
      <c r="JG847" s="10"/>
      <c r="JH847" s="10"/>
      <c r="JI847" s="10"/>
      <c r="JJ847" s="10"/>
      <c r="JK847" s="10"/>
      <c r="JL847" s="10"/>
      <c r="JM847" s="10"/>
      <c r="JN847" s="10"/>
      <c r="JO847" s="10"/>
      <c r="JP847" s="10"/>
      <c r="JQ847" s="10"/>
      <c r="JR847" s="10"/>
      <c r="JS847" s="10"/>
      <c r="JT847" s="10"/>
      <c r="JU847" s="10"/>
      <c r="JV847" s="10"/>
      <c r="JW847" s="10"/>
      <c r="JX847" s="10"/>
      <c r="JY847" s="10"/>
      <c r="JZ847" s="10"/>
      <c r="KA847" s="10"/>
      <c r="KB847" s="10"/>
      <c r="KZ847" s="13"/>
      <c r="LV847" s="12"/>
      <c r="MH847" s="12"/>
      <c r="NN847" s="13"/>
      <c r="NT847" s="13"/>
      <c r="QO847" s="9"/>
      <c r="QP847" s="10"/>
      <c r="QQ847" s="10"/>
      <c r="QR847" s="10"/>
      <c r="QS847" s="10"/>
      <c r="QT847" s="10"/>
      <c r="QU847" s="10"/>
      <c r="QV847" s="10"/>
      <c r="QW847" s="10"/>
      <c r="QX847" s="10"/>
      <c r="QY847" s="10"/>
      <c r="QZ847" s="10"/>
      <c r="RA847" s="10"/>
      <c r="RB847" s="10"/>
      <c r="RC847" s="10"/>
      <c r="RD847" s="10"/>
      <c r="RE847" s="10"/>
      <c r="RF847" s="10"/>
      <c r="RG847" s="10"/>
      <c r="RH847" s="10"/>
      <c r="RI847" s="10"/>
      <c r="RJ847" s="10"/>
      <c r="RK847" s="10"/>
      <c r="RL847" s="10"/>
      <c r="RM847" s="10"/>
      <c r="RN847" s="10"/>
      <c r="RO847" s="10"/>
      <c r="RP847" s="10"/>
      <c r="RQ847" s="10"/>
      <c r="RR847" s="10"/>
      <c r="RS847" s="10"/>
      <c r="RT847" s="10"/>
      <c r="RU847" s="10"/>
      <c r="RV847" s="10"/>
      <c r="RW847" s="10"/>
      <c r="RX847" s="10"/>
      <c r="RY847" s="10"/>
      <c r="RZ847" s="10"/>
      <c r="SA847" s="10"/>
      <c r="SB847" s="10"/>
      <c r="SC847" s="10"/>
      <c r="SD847" s="10"/>
      <c r="SE847" s="10"/>
      <c r="SF847" s="10"/>
      <c r="SG847" s="10"/>
      <c r="SH847" s="10"/>
      <c r="SI847" s="10"/>
      <c r="SJ847" s="10"/>
      <c r="SK847" s="10"/>
      <c r="SL847" s="10"/>
      <c r="SM847" s="10"/>
      <c r="SN847" s="10"/>
      <c r="SO847" s="10"/>
      <c r="SP847" s="10"/>
      <c r="SQ847" s="10"/>
      <c r="SR847" s="10"/>
      <c r="SS847" s="10"/>
      <c r="ST847" s="10"/>
      <c r="SU847" s="10"/>
      <c r="SV847" s="10"/>
      <c r="SW847" s="10"/>
      <c r="SX847" s="10"/>
      <c r="SY847" s="10"/>
      <c r="SZ847" s="10"/>
      <c r="TA847" s="10"/>
      <c r="TB847" s="10"/>
      <c r="TC847" s="10"/>
      <c r="TD847" s="10"/>
      <c r="TE847" s="10"/>
      <c r="TF847" s="10"/>
      <c r="TG847" s="10"/>
      <c r="TH847" s="10"/>
      <c r="TI847" s="10"/>
      <c r="TJ847" s="10"/>
      <c r="TK847" s="10"/>
      <c r="TL847" s="10"/>
      <c r="TM847" s="10"/>
      <c r="TN847" s="10"/>
      <c r="TO847" s="10"/>
      <c r="TP847" s="10"/>
      <c r="TQ847" s="10"/>
      <c r="TR847" s="10"/>
      <c r="TS847" s="10"/>
      <c r="TT847" s="10"/>
      <c r="TU847" s="10"/>
      <c r="TV847" s="10"/>
      <c r="TW847" s="10"/>
      <c r="TX847" s="10"/>
      <c r="TY847" s="10"/>
      <c r="TZ847" s="10"/>
      <c r="UA847" s="10"/>
      <c r="UB847" s="10"/>
      <c r="UC847" s="10"/>
      <c r="UD847" s="10"/>
      <c r="UE847" s="10"/>
      <c r="UF847" s="10"/>
      <c r="UG847" s="10"/>
      <c r="UH847" s="10"/>
      <c r="UI847" s="10"/>
      <c r="UJ847" s="10"/>
      <c r="UK847" s="10"/>
      <c r="UL847" s="10"/>
      <c r="UM847" s="10"/>
      <c r="UN847" s="10"/>
      <c r="UO847" s="10"/>
      <c r="UP847" s="10"/>
      <c r="UQ847" s="10"/>
      <c r="UR847" s="10"/>
      <c r="US847" s="10"/>
      <c r="UT847" s="10"/>
      <c r="UU847" s="10"/>
      <c r="UV847" s="10"/>
      <c r="UW847" s="10"/>
      <c r="UX847" s="10"/>
      <c r="UY847" s="10"/>
      <c r="UZ847" s="10"/>
      <c r="VA847" s="11"/>
    </row>
    <row r="848" spans="47:573" ht="10.75" customHeight="1">
      <c r="AU848" s="12"/>
      <c r="BA848" s="12"/>
      <c r="BJ848" s="13"/>
      <c r="BK848" s="42"/>
      <c r="BL848" s="43"/>
      <c r="BM848" s="43"/>
      <c r="BN848" s="160"/>
      <c r="BO848" s="162"/>
      <c r="BP848" s="162"/>
      <c r="BQ848" s="162"/>
      <c r="BR848" s="162"/>
      <c r="BS848" s="162"/>
      <c r="BT848" s="162"/>
      <c r="BU848" s="162"/>
      <c r="BV848" s="162"/>
      <c r="BW848" s="162"/>
      <c r="BX848" s="162"/>
      <c r="BY848" s="162"/>
      <c r="BZ848" s="314"/>
      <c r="CA848" s="314"/>
      <c r="CB848" s="314"/>
      <c r="CC848" s="314"/>
      <c r="CD848" s="314"/>
      <c r="CE848" s="314"/>
      <c r="CF848" s="314"/>
      <c r="CG848" s="314"/>
      <c r="CH848" s="314"/>
      <c r="CI848" s="162"/>
      <c r="CJ848" s="162"/>
      <c r="CK848" s="162"/>
      <c r="CL848" s="162"/>
      <c r="CM848" s="162"/>
      <c r="CN848" s="162"/>
      <c r="CO848" s="162"/>
      <c r="CP848" s="162"/>
      <c r="CQ848" s="162"/>
      <c r="CR848" s="162"/>
      <c r="CS848" s="162"/>
      <c r="CT848" s="162"/>
      <c r="CU848" s="162"/>
      <c r="CV848" s="162"/>
      <c r="CW848" s="162"/>
      <c r="CX848" s="162"/>
      <c r="CY848" s="162"/>
      <c r="CZ848" s="162"/>
      <c r="DA848" s="162"/>
      <c r="DB848" s="162"/>
      <c r="DC848" s="162"/>
      <c r="DD848" s="162"/>
      <c r="DE848" s="162"/>
      <c r="DF848" s="162"/>
      <c r="DG848" s="162"/>
      <c r="DH848" s="162"/>
      <c r="DI848" s="163"/>
      <c r="DJ848" s="162"/>
      <c r="DK848" s="161"/>
      <c r="FG848" s="13"/>
      <c r="FH848" s="43"/>
      <c r="FI848" s="43"/>
      <c r="FJ848" s="45"/>
      <c r="FZ848" s="13"/>
      <c r="KZ848" s="13"/>
      <c r="LV848" s="12"/>
      <c r="MH848" s="12"/>
      <c r="NN848" s="13"/>
      <c r="NT848" s="13"/>
      <c r="QO848" s="12"/>
      <c r="VA848" s="13"/>
    </row>
    <row r="849" spans="47:573" ht="10.75" customHeight="1">
      <c r="AU849" s="12"/>
      <c r="BA849" s="12"/>
      <c r="BJ849" s="13"/>
      <c r="BK849" s="42"/>
      <c r="BL849" s="43"/>
      <c r="BM849" s="43"/>
      <c r="BN849" s="9"/>
      <c r="BO849" s="10"/>
      <c r="BP849" s="10"/>
      <c r="BQ849" s="10"/>
      <c r="BR849" s="10"/>
      <c r="BS849" s="10"/>
      <c r="BT849" s="10"/>
      <c r="BU849" s="10"/>
      <c r="BV849" s="10"/>
      <c r="BW849" s="10"/>
      <c r="BX849" s="10"/>
      <c r="BY849" s="10"/>
      <c r="BZ849" s="10"/>
      <c r="CA849" s="10"/>
      <c r="CB849" s="10"/>
      <c r="CC849" s="10"/>
      <c r="CD849" s="10"/>
      <c r="CE849" s="10"/>
      <c r="CF849" s="10"/>
      <c r="CG849" s="10"/>
      <c r="CH849" s="10"/>
      <c r="CI849" s="10"/>
      <c r="CJ849" s="10"/>
      <c r="CK849" s="10"/>
      <c r="CL849" s="10"/>
      <c r="CM849" s="10"/>
      <c r="CN849" s="10"/>
      <c r="CO849" s="10"/>
      <c r="CP849" s="10"/>
      <c r="CQ849" s="10"/>
      <c r="CR849" s="10"/>
      <c r="CS849" s="10"/>
      <c r="CT849" s="10"/>
      <c r="CU849" s="10"/>
      <c r="CV849" s="10"/>
      <c r="CW849" s="10"/>
      <c r="CX849" s="10"/>
      <c r="CY849" s="10"/>
      <c r="CZ849" s="10"/>
      <c r="DA849" s="10"/>
      <c r="DB849" s="10"/>
      <c r="DC849" s="10"/>
      <c r="DD849" s="10"/>
      <c r="DE849" s="10"/>
      <c r="DF849" s="10"/>
      <c r="DG849" s="10"/>
      <c r="DH849" s="10"/>
      <c r="DI849" s="10"/>
      <c r="DJ849" s="160"/>
      <c r="DK849" s="161"/>
      <c r="FG849" s="13"/>
      <c r="FH849" s="43"/>
      <c r="FI849" s="43"/>
      <c r="FJ849" s="45"/>
      <c r="FZ849" s="13"/>
      <c r="KZ849" s="13"/>
      <c r="LV849" s="12"/>
      <c r="MH849" s="12"/>
      <c r="NN849" s="13"/>
      <c r="NT849" s="13"/>
      <c r="QO849" s="12"/>
      <c r="VA849" s="13"/>
    </row>
    <row r="850" spans="47:573" ht="10.75" customHeight="1">
      <c r="AU850" s="12"/>
      <c r="BA850" s="12"/>
      <c r="BJ850" s="13"/>
      <c r="BK850" s="42"/>
      <c r="BL850" s="43"/>
      <c r="BM850" s="43"/>
      <c r="BN850" s="12"/>
      <c r="DJ850" s="160"/>
      <c r="DK850" s="161"/>
      <c r="FG850" s="13"/>
      <c r="FH850" s="43"/>
      <c r="FI850" s="43"/>
      <c r="FJ850" s="45"/>
      <c r="FZ850" s="13"/>
      <c r="HF850" s="15"/>
      <c r="HG850" s="15"/>
      <c r="HH850" s="15"/>
      <c r="HI850" s="15"/>
      <c r="HJ850" s="15"/>
      <c r="HK850" s="15"/>
      <c r="HL850" s="15"/>
      <c r="HM850" s="15"/>
      <c r="HN850" s="15"/>
      <c r="HO850" s="15"/>
      <c r="HP850" s="15"/>
      <c r="HQ850" s="15"/>
      <c r="HR850" s="15"/>
      <c r="HS850" s="15"/>
      <c r="HT850" s="15"/>
      <c r="HU850" s="15"/>
      <c r="HV850" s="15"/>
      <c r="HW850" s="15"/>
      <c r="HX850" s="15"/>
      <c r="HY850" s="15"/>
      <c r="HZ850" s="15"/>
      <c r="IA850" s="15"/>
      <c r="IB850" s="15"/>
      <c r="IC850" s="15"/>
      <c r="ID850" s="15"/>
      <c r="IE850" s="15"/>
      <c r="IF850" s="15"/>
      <c r="IG850" s="15"/>
      <c r="IH850" s="15"/>
      <c r="II850" s="15"/>
      <c r="IJ850" s="15"/>
      <c r="IK850" s="15"/>
      <c r="IL850" s="15"/>
      <c r="IM850" s="15"/>
      <c r="IN850" s="15"/>
      <c r="IO850" s="15"/>
      <c r="IP850" s="15"/>
      <c r="IQ850" s="15"/>
      <c r="IR850" s="15"/>
      <c r="IS850" s="15"/>
      <c r="IT850" s="15"/>
      <c r="IU850" s="15"/>
      <c r="IV850" s="15"/>
      <c r="IW850" s="15"/>
      <c r="IX850" s="15"/>
      <c r="IY850" s="15"/>
      <c r="IZ850" s="15"/>
      <c r="JA850" s="15"/>
      <c r="JB850" s="15"/>
      <c r="JC850" s="15"/>
      <c r="JD850" s="15"/>
      <c r="JE850" s="15"/>
      <c r="JF850" s="15"/>
      <c r="JG850" s="15"/>
      <c r="JH850" s="15"/>
      <c r="JI850" s="15"/>
      <c r="JJ850" s="15"/>
      <c r="JK850" s="15"/>
      <c r="JL850" s="15"/>
      <c r="JM850" s="15"/>
      <c r="JN850" s="15"/>
      <c r="JO850" s="15"/>
      <c r="JP850" s="15"/>
      <c r="JQ850" s="15"/>
      <c r="JR850" s="15"/>
      <c r="JS850" s="15"/>
      <c r="JT850" s="15"/>
      <c r="JU850" s="15"/>
      <c r="JV850" s="15"/>
      <c r="JW850" s="15"/>
      <c r="JX850" s="15"/>
      <c r="JY850" s="15"/>
      <c r="JZ850" s="15"/>
      <c r="KA850" s="15"/>
      <c r="KB850" s="15"/>
      <c r="KC850" s="15"/>
      <c r="KD850" s="15"/>
      <c r="KE850" s="15"/>
      <c r="KZ850" s="13"/>
      <c r="LV850" s="12"/>
      <c r="MH850" s="12"/>
      <c r="NN850" s="13"/>
      <c r="NT850" s="13"/>
      <c r="QO850" s="14"/>
      <c r="QP850" s="15"/>
      <c r="QQ850" s="15"/>
      <c r="QR850" s="15"/>
      <c r="QS850" s="15"/>
      <c r="QT850" s="15"/>
      <c r="QU850" s="15"/>
      <c r="QV850" s="15"/>
      <c r="QW850" s="15"/>
      <c r="QX850" s="15"/>
      <c r="QY850" s="15"/>
      <c r="QZ850" s="15"/>
      <c r="RA850" s="15"/>
      <c r="RB850" s="15"/>
      <c r="RC850" s="15"/>
      <c r="RD850" s="15"/>
      <c r="RE850" s="15"/>
      <c r="RF850" s="15"/>
      <c r="RG850" s="15"/>
      <c r="RH850" s="15"/>
      <c r="RI850" s="15"/>
      <c r="RJ850" s="15"/>
      <c r="RK850" s="15"/>
      <c r="RL850" s="15"/>
      <c r="RM850" s="15"/>
      <c r="RN850" s="15"/>
      <c r="RO850" s="15"/>
      <c r="RP850" s="15"/>
      <c r="RQ850" s="15"/>
      <c r="RR850" s="15"/>
      <c r="RS850" s="15"/>
      <c r="RT850" s="15"/>
      <c r="RU850" s="15"/>
      <c r="RV850" s="15"/>
      <c r="RW850" s="15"/>
      <c r="RX850" s="15"/>
      <c r="RY850" s="15"/>
      <c r="RZ850" s="15"/>
      <c r="SA850" s="15"/>
      <c r="SB850" s="15"/>
      <c r="SC850" s="15"/>
      <c r="SD850" s="15"/>
      <c r="SE850" s="15"/>
      <c r="SF850" s="15"/>
      <c r="SG850" s="15"/>
      <c r="SH850" s="15"/>
      <c r="SI850" s="15"/>
      <c r="SJ850" s="15"/>
      <c r="SK850" s="15"/>
      <c r="SL850" s="15"/>
      <c r="SM850" s="15"/>
      <c r="SN850" s="15"/>
      <c r="SO850" s="15"/>
      <c r="SP850" s="15"/>
      <c r="SQ850" s="15"/>
      <c r="SR850" s="15"/>
      <c r="SS850" s="15"/>
      <c r="ST850" s="15"/>
      <c r="SU850" s="15"/>
      <c r="SV850" s="15"/>
      <c r="SW850" s="15"/>
      <c r="SX850" s="15"/>
      <c r="SY850" s="15"/>
      <c r="SZ850" s="15"/>
      <c r="TA850" s="15"/>
      <c r="TB850" s="15"/>
      <c r="TC850" s="15"/>
      <c r="TD850" s="15"/>
      <c r="TE850" s="15"/>
      <c r="TF850" s="15"/>
      <c r="TG850" s="15"/>
      <c r="TH850" s="15"/>
      <c r="TI850" s="15"/>
      <c r="TJ850" s="15"/>
      <c r="TK850" s="15"/>
      <c r="TL850" s="15"/>
      <c r="TM850" s="15"/>
      <c r="TN850" s="15"/>
      <c r="TO850" s="15"/>
      <c r="TP850" s="15"/>
      <c r="TQ850" s="15"/>
      <c r="TR850" s="15"/>
      <c r="TS850" s="15"/>
      <c r="TT850" s="15"/>
      <c r="TU850" s="15"/>
      <c r="TV850" s="15"/>
      <c r="TW850" s="15"/>
      <c r="TX850" s="15"/>
      <c r="TY850" s="15"/>
      <c r="TZ850" s="15"/>
      <c r="UA850" s="15"/>
      <c r="UB850" s="15"/>
      <c r="UC850" s="15"/>
      <c r="UD850" s="15"/>
      <c r="UE850" s="15"/>
      <c r="UF850" s="15"/>
      <c r="UG850" s="15"/>
      <c r="UH850" s="15"/>
      <c r="UI850" s="15"/>
      <c r="UJ850" s="15"/>
      <c r="UK850" s="15"/>
      <c r="UL850" s="15"/>
      <c r="UM850" s="15"/>
      <c r="UN850" s="15"/>
      <c r="UO850" s="15"/>
      <c r="UP850" s="15"/>
      <c r="UQ850" s="15"/>
      <c r="UR850" s="15"/>
      <c r="US850" s="15"/>
      <c r="UT850" s="15"/>
      <c r="UU850" s="15"/>
      <c r="UV850" s="15"/>
      <c r="UW850" s="15"/>
      <c r="UX850" s="15"/>
      <c r="UY850" s="15"/>
      <c r="UZ850" s="15"/>
      <c r="VA850" s="16"/>
    </row>
    <row r="851" spans="47:573" ht="10.75" customHeight="1">
      <c r="AU851" s="12"/>
      <c r="BA851" s="12"/>
      <c r="BJ851" s="13"/>
      <c r="BK851" s="42"/>
      <c r="BL851" s="43"/>
      <c r="BM851" s="43"/>
      <c r="BN851" s="12"/>
      <c r="DJ851" s="160"/>
      <c r="DK851" s="161"/>
      <c r="FG851" s="13"/>
      <c r="FH851" s="43"/>
      <c r="FI851" s="43"/>
      <c r="FJ851" s="45"/>
      <c r="FZ851" s="13"/>
      <c r="IN851" s="10"/>
      <c r="IO851" s="10"/>
      <c r="IP851" s="10"/>
      <c r="IQ851" s="10"/>
      <c r="IR851" s="11"/>
      <c r="IS851" s="141"/>
      <c r="IT851" s="141"/>
      <c r="IU851" s="141"/>
      <c r="IV851" s="141"/>
      <c r="IW851" s="141"/>
      <c r="IX851" s="141"/>
      <c r="IY851" s="141"/>
      <c r="IZ851" s="141"/>
      <c r="JA851" s="141"/>
      <c r="JB851" s="141"/>
      <c r="JC851" s="141"/>
      <c r="JD851" s="141"/>
      <c r="JE851" s="141"/>
      <c r="JF851" s="141"/>
      <c r="JG851" s="141"/>
      <c r="JH851" s="141"/>
      <c r="JI851" s="141"/>
      <c r="JJ851" s="141"/>
      <c r="JK851" s="141"/>
      <c r="JL851" s="141"/>
      <c r="JM851" s="141"/>
      <c r="JN851" s="141"/>
      <c r="JO851" s="141"/>
      <c r="JP851" s="141"/>
      <c r="JQ851" s="141"/>
      <c r="JR851" s="141"/>
      <c r="JS851" s="141"/>
      <c r="JT851" s="141"/>
      <c r="JU851" s="141"/>
      <c r="JV851" s="141"/>
      <c r="JW851" s="141"/>
      <c r="JX851" s="141"/>
      <c r="JY851" s="141"/>
      <c r="JZ851" s="141"/>
      <c r="KA851" s="141"/>
      <c r="KB851" s="141"/>
      <c r="KC851" s="141"/>
      <c r="KD851" s="141"/>
      <c r="KE851" s="141"/>
      <c r="KF851" s="141"/>
      <c r="KG851" s="141"/>
      <c r="KH851" s="141"/>
      <c r="KI851" s="141"/>
      <c r="KJ851" s="141"/>
      <c r="KK851" s="141"/>
      <c r="KL851" s="141"/>
      <c r="KM851" s="141"/>
      <c r="KN851" s="235"/>
      <c r="LA851" s="10"/>
      <c r="LB851" s="10"/>
      <c r="LC851" s="10"/>
      <c r="LD851" s="10"/>
      <c r="LE851" s="10"/>
      <c r="LF851" s="10"/>
      <c r="LG851" s="10"/>
      <c r="LH851" s="10"/>
      <c r="LI851" s="10"/>
      <c r="LJ851" s="10"/>
      <c r="LK851" s="10"/>
      <c r="LL851" s="11"/>
      <c r="LV851" s="12"/>
      <c r="MH851" s="12"/>
      <c r="NN851" s="13"/>
      <c r="NT851" s="13"/>
      <c r="QO851" s="9"/>
      <c r="QP851" s="10"/>
      <c r="QQ851" s="10"/>
      <c r="QR851" s="10"/>
      <c r="QS851" s="10"/>
      <c r="QT851" s="10"/>
      <c r="QU851" s="10"/>
      <c r="QV851" s="10"/>
      <c r="QW851" s="10"/>
      <c r="QX851" s="10"/>
      <c r="QY851" s="10"/>
      <c r="QZ851" s="10"/>
      <c r="RA851" s="10"/>
      <c r="RB851" s="10"/>
      <c r="RC851" s="10"/>
      <c r="RD851" s="10"/>
      <c r="RE851" s="10"/>
      <c r="RF851" s="10"/>
      <c r="RG851" s="10"/>
      <c r="RH851" s="10"/>
      <c r="RI851" s="10"/>
      <c r="RJ851" s="10"/>
      <c r="RK851" s="10"/>
      <c r="RL851" s="10"/>
      <c r="RM851" s="10"/>
      <c r="RN851" s="10"/>
      <c r="RO851" s="10"/>
      <c r="RP851" s="10"/>
      <c r="RQ851" s="10"/>
      <c r="RR851" s="10"/>
      <c r="RS851" s="10"/>
      <c r="RT851" s="10"/>
      <c r="RU851" s="11"/>
      <c r="SJ851" s="10"/>
      <c r="UZ851" s="10"/>
      <c r="VA851" s="11"/>
    </row>
    <row r="852" spans="47:573" ht="10.75" customHeight="1">
      <c r="AU852" s="12"/>
      <c r="BA852" s="14"/>
      <c r="BB852" s="15"/>
      <c r="BC852" s="15"/>
      <c r="BD852" s="15"/>
      <c r="BE852" s="15"/>
      <c r="BF852" s="15"/>
      <c r="BG852" s="15"/>
      <c r="BH852" s="15"/>
      <c r="BI852" s="15"/>
      <c r="BJ852" s="16"/>
      <c r="BK852" s="42"/>
      <c r="BL852" s="43"/>
      <c r="BM852" s="43"/>
      <c r="BN852" s="12"/>
      <c r="DJ852" s="160"/>
      <c r="DK852" s="161"/>
      <c r="FG852" s="13"/>
      <c r="FH852" s="43"/>
      <c r="FI852" s="43"/>
      <c r="FJ852" s="45"/>
      <c r="FZ852" s="13"/>
      <c r="IR852" s="13"/>
      <c r="IS852" s="49"/>
      <c r="IT852" s="49"/>
      <c r="IU852" s="49"/>
      <c r="IV852" s="49"/>
      <c r="IW852" s="49"/>
      <c r="IX852" s="49"/>
      <c r="IY852" s="49"/>
      <c r="IZ852" s="49"/>
      <c r="JA852" s="49"/>
      <c r="JB852" s="49"/>
      <c r="JC852" s="49"/>
      <c r="JD852" s="49"/>
      <c r="JE852" s="49"/>
      <c r="JF852" s="49"/>
      <c r="JG852" s="49"/>
      <c r="JH852" s="49"/>
      <c r="JI852" s="49"/>
      <c r="JJ852" s="49"/>
      <c r="JK852" s="49"/>
      <c r="JL852" s="49"/>
      <c r="JM852" s="49"/>
      <c r="JN852" s="49"/>
      <c r="JO852" s="49"/>
      <c r="JP852" s="49"/>
      <c r="JQ852" s="49"/>
      <c r="JR852" s="49"/>
      <c r="JS852" s="49"/>
      <c r="JT852" s="49"/>
      <c r="JU852" s="49"/>
      <c r="JV852" s="49"/>
      <c r="JW852" s="49"/>
      <c r="JX852" s="49"/>
      <c r="JY852" s="49"/>
      <c r="JZ852" s="49"/>
      <c r="KA852" s="49"/>
      <c r="KB852" s="49"/>
      <c r="KC852" s="49"/>
      <c r="KD852" s="49"/>
      <c r="KE852" s="49"/>
      <c r="KF852" s="49"/>
      <c r="KG852" s="49"/>
      <c r="KH852" s="49"/>
      <c r="KI852" s="49"/>
      <c r="KJ852" s="49"/>
      <c r="KK852" s="49"/>
      <c r="KL852" s="49"/>
      <c r="KM852" s="49"/>
      <c r="KN852" s="208"/>
      <c r="LL852" s="13"/>
      <c r="LV852" s="12"/>
      <c r="MH852" s="12"/>
      <c r="NN852" s="13"/>
      <c r="NT852" s="13"/>
      <c r="QO852" s="12"/>
      <c r="RU852" s="13"/>
      <c r="VA852" s="13"/>
    </row>
    <row r="853" spans="47:573" ht="10.75" customHeight="1">
      <c r="AU853" s="12"/>
      <c r="AZ853" s="13"/>
      <c r="BA853" s="9"/>
      <c r="BB853" s="10"/>
      <c r="BC853" s="10"/>
      <c r="BD853" s="10"/>
      <c r="BE853" s="10"/>
      <c r="BF853" s="10"/>
      <c r="BG853" s="10"/>
      <c r="BH853" s="10"/>
      <c r="BI853" s="10"/>
      <c r="BJ853" s="11"/>
      <c r="BK853" s="42"/>
      <c r="BL853" s="43"/>
      <c r="BM853" s="43"/>
      <c r="BN853" s="12"/>
      <c r="DJ853" s="160"/>
      <c r="DK853" s="161"/>
      <c r="FG853" s="13"/>
      <c r="FH853" s="43"/>
      <c r="FI853" s="43"/>
      <c r="FJ853" s="45"/>
      <c r="FZ853" s="13"/>
      <c r="IA853" s="12"/>
      <c r="IF853" s="13"/>
      <c r="IG853" s="12"/>
      <c r="IR853" s="13"/>
      <c r="IS853" s="49"/>
      <c r="IT853" s="49"/>
      <c r="IU853" s="49"/>
      <c r="IV853" s="49"/>
      <c r="IW853" s="49"/>
      <c r="IX853" s="49"/>
      <c r="IY853" s="49"/>
      <c r="IZ853" s="49"/>
      <c r="JA853" s="49"/>
      <c r="JB853" s="49"/>
      <c r="JC853" s="49"/>
      <c r="JD853" s="49"/>
      <c r="JE853" s="49"/>
      <c r="JF853" s="49"/>
      <c r="JG853" s="49"/>
      <c r="JH853" s="49"/>
      <c r="JI853" s="49"/>
      <c r="JJ853" s="49"/>
      <c r="JK853" s="49"/>
      <c r="JL853" s="49"/>
      <c r="JM853" s="49"/>
      <c r="JN853" s="49"/>
      <c r="JO853" s="49"/>
      <c r="JP853" s="49"/>
      <c r="JQ853" s="49"/>
      <c r="JR853" s="49"/>
      <c r="JS853" s="49"/>
      <c r="JT853" s="49"/>
      <c r="JU853" s="49"/>
      <c r="JV853" s="49"/>
      <c r="JW853" s="49"/>
      <c r="JX853" s="49"/>
      <c r="JY853" s="49"/>
      <c r="JZ853" s="49"/>
      <c r="KA853" s="49"/>
      <c r="KB853" s="49"/>
      <c r="KC853" s="49"/>
      <c r="KD853" s="49"/>
      <c r="KE853" s="49"/>
      <c r="KF853" s="49"/>
      <c r="KG853" s="49"/>
      <c r="KH853" s="49"/>
      <c r="KI853" s="49"/>
      <c r="KJ853" s="49"/>
      <c r="KK853" s="49"/>
      <c r="KL853" s="49"/>
      <c r="KM853" s="49"/>
      <c r="KN853" s="208"/>
      <c r="LL853" s="13"/>
      <c r="LV853" s="12"/>
      <c r="MH853" s="12"/>
      <c r="NN853" s="13"/>
      <c r="NT853" s="13"/>
      <c r="QO853" s="12"/>
      <c r="RU853" s="13"/>
      <c r="VA853" s="13"/>
    </row>
    <row r="854" spans="47:573" ht="10.75" customHeight="1">
      <c r="AU854" s="12"/>
      <c r="AZ854" s="13"/>
      <c r="BA854" s="12"/>
      <c r="BJ854" s="13"/>
      <c r="BK854" s="42"/>
      <c r="BL854" s="43"/>
      <c r="BM854" s="43"/>
      <c r="BN854" s="12"/>
      <c r="DJ854" s="160"/>
      <c r="DK854" s="161"/>
      <c r="FG854" s="13"/>
      <c r="FH854" s="43"/>
      <c r="FI854" s="43"/>
      <c r="FJ854" s="45"/>
      <c r="FZ854" s="13"/>
      <c r="IA854" s="12"/>
      <c r="IF854" s="13"/>
      <c r="IG854" s="12"/>
      <c r="IR854" s="13"/>
      <c r="IS854" s="49"/>
      <c r="IT854" s="49"/>
      <c r="IU854" s="49"/>
      <c r="IV854" s="49"/>
      <c r="IW854" s="49"/>
      <c r="IX854" s="49"/>
      <c r="IY854" s="49"/>
      <c r="IZ854" s="49"/>
      <c r="JA854" s="49"/>
      <c r="JB854" s="49"/>
      <c r="JC854" s="49"/>
      <c r="JD854" s="49"/>
      <c r="JE854" s="49"/>
      <c r="JF854" s="49"/>
      <c r="JG854" s="49"/>
      <c r="JH854" s="49"/>
      <c r="JI854" s="49"/>
      <c r="JJ854" s="49"/>
      <c r="JK854" s="49"/>
      <c r="JL854" s="49"/>
      <c r="JM854" s="49"/>
      <c r="JN854" s="49"/>
      <c r="JO854" s="49"/>
      <c r="JP854" s="49"/>
      <c r="JQ854" s="49"/>
      <c r="JR854" s="49"/>
      <c r="JS854" s="49"/>
      <c r="JT854" s="49"/>
      <c r="JU854" s="49"/>
      <c r="JV854" s="49"/>
      <c r="JW854" s="49"/>
      <c r="JX854" s="49"/>
      <c r="JY854" s="49"/>
      <c r="JZ854" s="49"/>
      <c r="KA854" s="49"/>
      <c r="KB854" s="49"/>
      <c r="KC854" s="49"/>
      <c r="KD854" s="49"/>
      <c r="KE854" s="49"/>
      <c r="KF854" s="49"/>
      <c r="KG854" s="49"/>
      <c r="KH854" s="49"/>
      <c r="KI854" s="49"/>
      <c r="KJ854" s="49"/>
      <c r="KK854" s="49"/>
      <c r="KL854" s="49"/>
      <c r="KM854" s="49"/>
      <c r="KN854" s="208"/>
      <c r="LL854" s="13"/>
      <c r="MH854" s="12"/>
      <c r="NN854" s="13"/>
      <c r="NT854" s="13"/>
      <c r="QO854" s="12"/>
      <c r="QR854" s="9"/>
      <c r="QS854" s="10"/>
      <c r="QT854" s="10"/>
      <c r="QU854" s="10"/>
      <c r="QV854" s="10"/>
      <c r="QW854" s="10"/>
      <c r="QX854" s="10"/>
      <c r="QY854" s="10"/>
      <c r="QZ854" s="10"/>
      <c r="RA854" s="10"/>
      <c r="RB854" s="10"/>
      <c r="RC854" s="10"/>
      <c r="RD854" s="10"/>
      <c r="RE854" s="10"/>
      <c r="RF854" s="10"/>
      <c r="RG854" s="10"/>
      <c r="RH854" s="10"/>
      <c r="RI854" s="10"/>
      <c r="RJ854" s="10"/>
      <c r="RK854" s="10"/>
      <c r="RL854" s="10"/>
      <c r="RM854" s="10"/>
      <c r="RN854" s="10"/>
      <c r="RO854" s="10"/>
      <c r="RP854" s="10"/>
      <c r="RQ854" s="10"/>
      <c r="RR854" s="11"/>
      <c r="RU854" s="13"/>
      <c r="RX854" s="13"/>
      <c r="SG854" s="13"/>
      <c r="SH854" s="12"/>
      <c r="VA854" s="13"/>
    </row>
    <row r="855" spans="47:573" ht="10.75" customHeight="1">
      <c r="AU855" s="12"/>
      <c r="AZ855" s="13"/>
      <c r="BA855" s="12"/>
      <c r="BJ855" s="13"/>
      <c r="BK855" s="42"/>
      <c r="BL855" s="43"/>
      <c r="BM855" s="43"/>
      <c r="BN855" s="12"/>
      <c r="DJ855" s="160"/>
      <c r="DK855" s="161"/>
      <c r="FG855" s="13"/>
      <c r="FH855" s="43"/>
      <c r="FI855" s="43"/>
      <c r="FJ855" s="45"/>
      <c r="FZ855" s="13"/>
      <c r="IA855" s="12"/>
      <c r="IF855" s="13"/>
      <c r="IG855" s="12"/>
      <c r="IR855" s="13"/>
      <c r="IS855" s="49"/>
      <c r="IT855" s="49"/>
      <c r="IU855" s="49"/>
      <c r="IV855" s="49"/>
      <c r="IW855" s="49"/>
      <c r="IX855" s="49"/>
      <c r="IY855" s="49"/>
      <c r="IZ855" s="49"/>
      <c r="JA855" s="49"/>
      <c r="JB855" s="49"/>
      <c r="JC855" s="49"/>
      <c r="JD855" s="49"/>
      <c r="JE855" s="49"/>
      <c r="JF855" s="49"/>
      <c r="JG855" s="49"/>
      <c r="JH855" s="49"/>
      <c r="JI855" s="49"/>
      <c r="JJ855" s="49"/>
      <c r="JK855" s="49"/>
      <c r="JL855" s="49"/>
      <c r="JM855" s="49"/>
      <c r="JN855" s="49"/>
      <c r="JO855" s="49"/>
      <c r="JP855" s="49"/>
      <c r="JQ855" s="49"/>
      <c r="JR855" s="49"/>
      <c r="JS855" s="49"/>
      <c r="JT855" s="49"/>
      <c r="JU855" s="49"/>
      <c r="JV855" s="49"/>
      <c r="JW855" s="49"/>
      <c r="JX855" s="49"/>
      <c r="JY855" s="49"/>
      <c r="JZ855" s="49"/>
      <c r="KA855" s="49"/>
      <c r="KB855" s="49"/>
      <c r="KC855" s="49"/>
      <c r="KD855" s="49"/>
      <c r="KE855" s="49"/>
      <c r="KF855" s="49"/>
      <c r="KG855" s="49"/>
      <c r="KH855" s="49"/>
      <c r="KI855" s="49"/>
      <c r="KJ855" s="49"/>
      <c r="KK855" s="49"/>
      <c r="KL855" s="49"/>
      <c r="KM855" s="49"/>
      <c r="KN855" s="208"/>
      <c r="LL855" s="13"/>
      <c r="MH855" s="12"/>
      <c r="NN855" s="13"/>
      <c r="NT855" s="13"/>
      <c r="QO855" s="12"/>
      <c r="QR855" s="12"/>
      <c r="RR855" s="13"/>
      <c r="RU855" s="13"/>
      <c r="RX855" s="13"/>
      <c r="SG855" s="13"/>
      <c r="SH855" s="12"/>
      <c r="VA855" s="13"/>
    </row>
    <row r="856" spans="47:573" ht="10.75" customHeight="1">
      <c r="AU856" s="12"/>
      <c r="AZ856" s="13"/>
      <c r="BA856" s="12"/>
      <c r="BJ856" s="13"/>
      <c r="BK856" s="42"/>
      <c r="BL856" s="43"/>
      <c r="BM856" s="43"/>
      <c r="BN856" s="12"/>
      <c r="CK856" s="9"/>
      <c r="CL856" s="10"/>
      <c r="CM856" s="10"/>
      <c r="CN856" s="10"/>
      <c r="CO856" s="10"/>
      <c r="CP856" s="10"/>
      <c r="CQ856" s="10"/>
      <c r="CR856" s="10"/>
      <c r="CS856" s="10"/>
      <c r="CT856" s="10"/>
      <c r="CU856" s="10"/>
      <c r="CV856" s="10"/>
      <c r="CW856" s="10"/>
      <c r="CX856" s="10"/>
      <c r="CY856" s="10"/>
      <c r="CZ856" s="10"/>
      <c r="DA856" s="10"/>
      <c r="DB856" s="10"/>
      <c r="DC856" s="10"/>
      <c r="DD856" s="10"/>
      <c r="DE856" s="10"/>
      <c r="DF856" s="10"/>
      <c r="DG856" s="10"/>
      <c r="DH856" s="11"/>
      <c r="DJ856" s="160"/>
      <c r="DK856" s="161"/>
      <c r="DM856" s="9"/>
      <c r="DN856" s="10"/>
      <c r="DO856" s="10"/>
      <c r="DP856" s="10"/>
      <c r="DQ856" s="10"/>
      <c r="DR856" s="10"/>
      <c r="DS856" s="10"/>
      <c r="DT856" s="10"/>
      <c r="DU856" s="10"/>
      <c r="DV856" s="10"/>
      <c r="DW856" s="10"/>
      <c r="DX856" s="11"/>
      <c r="FG856" s="13"/>
      <c r="FH856" s="43"/>
      <c r="FI856" s="43"/>
      <c r="FJ856" s="45"/>
      <c r="FZ856" s="13"/>
      <c r="IA856" s="12"/>
      <c r="IF856" s="13"/>
      <c r="IG856" s="12"/>
      <c r="IR856" s="13"/>
      <c r="IS856" s="49"/>
      <c r="IT856" s="49"/>
      <c r="IU856" s="49"/>
      <c r="IV856" s="49"/>
      <c r="IW856" s="49"/>
      <c r="IX856" s="49"/>
      <c r="IY856" s="49"/>
      <c r="IZ856" s="49"/>
      <c r="JA856" s="49"/>
      <c r="JB856" s="49"/>
      <c r="JC856" s="49"/>
      <c r="JD856" s="49"/>
      <c r="JE856" s="49"/>
      <c r="JF856" s="49"/>
      <c r="JG856" s="49"/>
      <c r="JH856" s="49"/>
      <c r="JI856" s="49"/>
      <c r="JJ856" s="49"/>
      <c r="JK856" s="49"/>
      <c r="JL856" s="49"/>
      <c r="JM856" s="49"/>
      <c r="JN856" s="49"/>
      <c r="JO856" s="49"/>
      <c r="JP856" s="49"/>
      <c r="JQ856" s="49"/>
      <c r="JR856" s="49"/>
      <c r="JS856" s="49"/>
      <c r="JT856" s="49"/>
      <c r="JU856" s="49"/>
      <c r="JV856" s="49"/>
      <c r="JW856" s="49"/>
      <c r="JX856" s="49"/>
      <c r="JY856" s="49"/>
      <c r="JZ856" s="49"/>
      <c r="KA856" s="49"/>
      <c r="KB856" s="49"/>
      <c r="KC856" s="49"/>
      <c r="KD856" s="49"/>
      <c r="KE856" s="49"/>
      <c r="KF856" s="49"/>
      <c r="KG856" s="49"/>
      <c r="KH856" s="49"/>
      <c r="KI856" s="49"/>
      <c r="KJ856" s="49"/>
      <c r="KK856" s="49"/>
      <c r="KL856" s="49"/>
      <c r="KM856" s="49"/>
      <c r="KN856" s="208"/>
      <c r="LL856" s="13"/>
      <c r="MH856" s="12"/>
      <c r="NN856" s="13"/>
      <c r="NT856" s="13"/>
      <c r="QO856" s="12"/>
      <c r="QR856" s="12"/>
      <c r="RR856" s="13"/>
      <c r="RU856" s="13"/>
      <c r="RX856" s="13"/>
      <c r="SG856" s="13"/>
      <c r="SH856" s="12"/>
      <c r="VA856" s="13"/>
    </row>
    <row r="857" spans="47:573" ht="10.75" customHeight="1">
      <c r="AU857" s="12"/>
      <c r="AZ857" s="13"/>
      <c r="BA857" s="9"/>
      <c r="BB857" s="10"/>
      <c r="BC857" s="10"/>
      <c r="BD857" s="10"/>
      <c r="BE857" s="10"/>
      <c r="BF857" s="10"/>
      <c r="BG857" s="10"/>
      <c r="BH857" s="10"/>
      <c r="BI857" s="10"/>
      <c r="BJ857" s="11"/>
      <c r="BK857" s="42"/>
      <c r="BL857" s="43"/>
      <c r="BM857" s="43"/>
      <c r="BN857" s="12"/>
      <c r="CK857" s="12"/>
      <c r="DH857" s="13"/>
      <c r="DJ857" s="160"/>
      <c r="DK857" s="161"/>
      <c r="DM857" s="12"/>
      <c r="DX857" s="13"/>
      <c r="FG857" s="13"/>
      <c r="FH857" s="43"/>
      <c r="FI857" s="43"/>
      <c r="FJ857" s="45"/>
      <c r="FZ857" s="13"/>
      <c r="IA857" s="12"/>
      <c r="IF857" s="13"/>
      <c r="IG857" s="12"/>
      <c r="IR857" s="13"/>
      <c r="IS857" s="49"/>
      <c r="IT857" s="49"/>
      <c r="IU857" s="49"/>
      <c r="IV857" s="49"/>
      <c r="IW857" s="49"/>
      <c r="IX857" s="49"/>
      <c r="IY857" s="49"/>
      <c r="IZ857" s="49"/>
      <c r="JA857" s="49"/>
      <c r="JB857" s="49"/>
      <c r="JC857" s="49"/>
      <c r="JD857" s="49"/>
      <c r="JE857" s="49"/>
      <c r="JF857" s="49"/>
      <c r="JG857" s="49"/>
      <c r="JH857" s="49"/>
      <c r="JI857" s="49"/>
      <c r="JJ857" s="49"/>
      <c r="JK857" s="49"/>
      <c r="JL857" s="49"/>
      <c r="JM857" s="49"/>
      <c r="JN857" s="49"/>
      <c r="JO857" s="49"/>
      <c r="JP857" s="49"/>
      <c r="JQ857" s="49"/>
      <c r="JR857" s="49"/>
      <c r="JS857" s="49"/>
      <c r="JT857" s="49"/>
      <c r="JU857" s="49"/>
      <c r="JV857" s="49"/>
      <c r="JW857" s="49"/>
      <c r="JX857" s="49"/>
      <c r="JY857" s="49"/>
      <c r="JZ857" s="49"/>
      <c r="KA857" s="49"/>
      <c r="KB857" s="49"/>
      <c r="KC857" s="49"/>
      <c r="KD857" s="49"/>
      <c r="KE857" s="49"/>
      <c r="KF857" s="49"/>
      <c r="KG857" s="49"/>
      <c r="KH857" s="49"/>
      <c r="KI857" s="49"/>
      <c r="KJ857" s="49"/>
      <c r="KK857" s="49"/>
      <c r="KL857" s="49"/>
      <c r="KM857" s="49"/>
      <c r="KN857" s="208"/>
      <c r="LL857" s="13"/>
      <c r="NN857" s="13"/>
      <c r="NT857" s="13"/>
      <c r="QO857" s="12"/>
      <c r="QR857" s="12"/>
      <c r="RR857" s="13"/>
      <c r="RU857" s="13"/>
      <c r="RX857" s="13"/>
      <c r="SG857" s="13"/>
      <c r="SH857" s="12"/>
    </row>
    <row r="858" spans="47:573" ht="10.75" customHeight="1">
      <c r="AU858" s="12"/>
      <c r="AZ858" s="13"/>
      <c r="BA858" s="12"/>
      <c r="BJ858" s="13"/>
      <c r="BK858" s="42"/>
      <c r="BL858" s="43"/>
      <c r="BM858" s="43"/>
      <c r="BN858" s="12"/>
      <c r="CK858" s="12"/>
      <c r="DH858" s="13"/>
      <c r="DJ858" s="160"/>
      <c r="DK858" s="161"/>
      <c r="DM858" s="12"/>
      <c r="DX858" s="13"/>
      <c r="FG858" s="13"/>
      <c r="FH858" s="43"/>
      <c r="FI858" s="43"/>
      <c r="FJ858" s="45"/>
      <c r="FZ858" s="13"/>
      <c r="IA858" s="12"/>
      <c r="IF858" s="13"/>
      <c r="IG858" s="12"/>
      <c r="IR858" s="13"/>
      <c r="IS858" s="49"/>
      <c r="IT858" s="49"/>
      <c r="IU858" s="49"/>
      <c r="IV858" s="49"/>
      <c r="IW858" s="49"/>
      <c r="IX858" s="49"/>
      <c r="IY858" s="49"/>
      <c r="IZ858" s="49"/>
      <c r="JA858" s="49"/>
      <c r="JB858" s="49"/>
      <c r="JC858" s="49"/>
      <c r="JD858" s="49"/>
      <c r="JE858" s="49"/>
      <c r="JF858" s="49"/>
      <c r="JG858" s="49"/>
      <c r="JH858" s="49"/>
      <c r="JI858" s="49"/>
      <c r="JJ858" s="49"/>
      <c r="JK858" s="49"/>
      <c r="JL858" s="49"/>
      <c r="JM858" s="49"/>
      <c r="JN858" s="49"/>
      <c r="JO858" s="49"/>
      <c r="JP858" s="49"/>
      <c r="JQ858" s="49"/>
      <c r="JR858" s="49"/>
      <c r="JS858" s="49"/>
      <c r="JT858" s="49"/>
      <c r="JU858" s="49"/>
      <c r="JV858" s="49"/>
      <c r="JW858" s="49"/>
      <c r="JX858" s="49"/>
      <c r="JY858" s="49"/>
      <c r="JZ858" s="49"/>
      <c r="KA858" s="49"/>
      <c r="KB858" s="49"/>
      <c r="KC858" s="49"/>
      <c r="KD858" s="49"/>
      <c r="KE858" s="49"/>
      <c r="KF858" s="49"/>
      <c r="KG858" s="49"/>
      <c r="KH858" s="49"/>
      <c r="KI858" s="49"/>
      <c r="KJ858" s="49"/>
      <c r="KK858" s="49"/>
      <c r="KL858" s="49"/>
      <c r="KM858" s="49"/>
      <c r="KN858" s="208"/>
      <c r="LM858" s="10"/>
      <c r="LN858" s="10"/>
      <c r="LO858" s="10"/>
      <c r="LP858" s="10"/>
      <c r="LQ858" s="10"/>
      <c r="LR858" s="10"/>
      <c r="LS858" s="10"/>
      <c r="LT858" s="10"/>
      <c r="LU858" s="10"/>
      <c r="LV858" s="10"/>
      <c r="LW858" s="10"/>
      <c r="LX858" s="11"/>
      <c r="NN858" s="13"/>
      <c r="NT858" s="13"/>
      <c r="QO858" s="12"/>
      <c r="QR858" s="12"/>
      <c r="RR858" s="13"/>
      <c r="RU858" s="13"/>
      <c r="RX858" s="13"/>
      <c r="SG858" s="13"/>
      <c r="SH858" s="12"/>
    </row>
    <row r="859" spans="47:573" ht="10.75" customHeight="1">
      <c r="AU859" s="12"/>
      <c r="AZ859" s="13"/>
      <c r="BA859" s="12"/>
      <c r="BJ859" s="13"/>
      <c r="BK859" s="42"/>
      <c r="BL859" s="43"/>
      <c r="BM859" s="43"/>
      <c r="BN859" s="12"/>
      <c r="CK859" s="12"/>
      <c r="DH859" s="13"/>
      <c r="DJ859" s="160"/>
      <c r="DK859" s="161"/>
      <c r="DM859" s="12"/>
      <c r="DX859" s="13"/>
      <c r="FG859" s="13"/>
      <c r="FH859" s="43"/>
      <c r="FI859" s="43"/>
      <c r="FJ859" s="45"/>
      <c r="FZ859" s="13"/>
      <c r="IA859" s="12"/>
      <c r="IF859" s="13"/>
      <c r="IG859" s="12"/>
      <c r="IR859" s="13"/>
      <c r="IS859" s="49"/>
      <c r="IT859" s="49"/>
      <c r="IU859" s="49"/>
      <c r="IV859" s="49"/>
      <c r="IW859" s="49"/>
      <c r="IX859" s="49"/>
      <c r="IY859" s="49"/>
      <c r="IZ859" s="49"/>
      <c r="JA859" s="49"/>
      <c r="JB859" s="49"/>
      <c r="JC859" s="49"/>
      <c r="JD859" s="49"/>
      <c r="JE859" s="49"/>
      <c r="JF859" s="49"/>
      <c r="JG859" s="49"/>
      <c r="JH859" s="49"/>
      <c r="JI859" s="49"/>
      <c r="JJ859" s="49"/>
      <c r="JK859" s="49"/>
      <c r="JL859" s="49"/>
      <c r="JM859" s="49"/>
      <c r="JN859" s="49"/>
      <c r="JO859" s="49"/>
      <c r="JP859" s="49"/>
      <c r="JQ859" s="49"/>
      <c r="JR859" s="49"/>
      <c r="JS859" s="49"/>
      <c r="JT859" s="49"/>
      <c r="JU859" s="49"/>
      <c r="JV859" s="49"/>
      <c r="JW859" s="49"/>
      <c r="JX859" s="49"/>
      <c r="JY859" s="49"/>
      <c r="JZ859" s="49"/>
      <c r="KA859" s="49"/>
      <c r="KB859" s="49"/>
      <c r="KC859" s="49"/>
      <c r="KD859" s="49"/>
      <c r="KE859" s="49"/>
      <c r="KF859" s="49"/>
      <c r="KG859" s="49"/>
      <c r="KH859" s="49"/>
      <c r="KI859" s="49"/>
      <c r="KJ859" s="49"/>
      <c r="KK859" s="49"/>
      <c r="KL859" s="49"/>
      <c r="KM859" s="49"/>
      <c r="KN859" s="208"/>
      <c r="LX859" s="13"/>
      <c r="NN859" s="13"/>
      <c r="NT859" s="13"/>
      <c r="QO859" s="12"/>
      <c r="QR859" s="12"/>
      <c r="RR859" s="13"/>
      <c r="RU859" s="13"/>
      <c r="RX859" s="13"/>
      <c r="SG859" s="13"/>
      <c r="SH859" s="12"/>
    </row>
    <row r="860" spans="47:573" ht="10.75" customHeight="1">
      <c r="AU860" s="12"/>
      <c r="AZ860" s="13"/>
      <c r="BA860" s="12"/>
      <c r="BJ860" s="13"/>
      <c r="BK860" s="42"/>
      <c r="BL860" s="43"/>
      <c r="BM860" s="43"/>
      <c r="BN860" s="12"/>
      <c r="CK860" s="12"/>
      <c r="DH860" s="13"/>
      <c r="DJ860" s="160"/>
      <c r="DK860" s="161"/>
      <c r="DM860" s="12"/>
      <c r="DX860" s="13"/>
      <c r="FA860" s="9"/>
      <c r="FB860" s="10"/>
      <c r="FC860" s="10"/>
      <c r="FD860" s="10"/>
      <c r="FE860" s="10"/>
      <c r="FF860" s="11"/>
      <c r="FG860" s="13"/>
      <c r="FH860" s="43"/>
      <c r="FI860" s="43"/>
      <c r="FJ860" s="45"/>
      <c r="FZ860" s="13"/>
      <c r="IA860" s="12"/>
      <c r="IF860" s="13"/>
      <c r="IG860" s="12"/>
      <c r="IR860" s="13"/>
      <c r="IS860" s="49"/>
      <c r="IT860" s="49"/>
      <c r="IU860" s="49"/>
      <c r="IV860" s="49"/>
      <c r="IW860" s="49"/>
      <c r="IX860" s="49"/>
      <c r="IY860" s="49"/>
      <c r="IZ860" s="49"/>
      <c r="JA860" s="49"/>
      <c r="JB860" s="49"/>
      <c r="JC860" s="49"/>
      <c r="JD860" s="49"/>
      <c r="JE860" s="49"/>
      <c r="JF860" s="49"/>
      <c r="JG860" s="49"/>
      <c r="JH860" s="49"/>
      <c r="JI860" s="49"/>
      <c r="JJ860" s="49"/>
      <c r="JK860" s="49"/>
      <c r="JL860" s="49"/>
      <c r="JM860" s="49"/>
      <c r="JN860" s="49"/>
      <c r="JO860" s="49"/>
      <c r="JP860" s="49"/>
      <c r="JQ860" s="49"/>
      <c r="JR860" s="49"/>
      <c r="JS860" s="49"/>
      <c r="JT860" s="49"/>
      <c r="JU860" s="49"/>
      <c r="JV860" s="49"/>
      <c r="JW860" s="49"/>
      <c r="JX860" s="49"/>
      <c r="JY860" s="49"/>
      <c r="JZ860" s="49"/>
      <c r="KA860" s="49"/>
      <c r="KB860" s="49"/>
      <c r="KC860" s="49"/>
      <c r="KD860" s="49"/>
      <c r="KE860" s="49"/>
      <c r="KF860" s="49"/>
      <c r="KG860" s="49"/>
      <c r="KH860" s="49"/>
      <c r="KI860" s="49"/>
      <c r="KJ860" s="49"/>
      <c r="KK860" s="49"/>
      <c r="KL860" s="49"/>
      <c r="KM860" s="49"/>
      <c r="KN860" s="208"/>
      <c r="LX860" s="13"/>
      <c r="NN860" s="13"/>
      <c r="NT860" s="13"/>
      <c r="QO860" s="12"/>
      <c r="QR860" s="12"/>
      <c r="RR860" s="13"/>
      <c r="RU860" s="13"/>
      <c r="RX860" s="13"/>
      <c r="SG860" s="13"/>
      <c r="SH860" s="12"/>
    </row>
    <row r="861" spans="47:573" ht="10.75" customHeight="1">
      <c r="AU861" s="12"/>
      <c r="AZ861" s="13"/>
      <c r="BA861" s="9"/>
      <c r="BB861" s="10"/>
      <c r="BC861" s="10"/>
      <c r="BD861" s="10"/>
      <c r="BE861" s="10"/>
      <c r="BF861" s="10"/>
      <c r="BG861" s="10"/>
      <c r="BH861" s="10"/>
      <c r="BI861" s="10"/>
      <c r="BJ861" s="11"/>
      <c r="BK861" s="42"/>
      <c r="BL861" s="43"/>
      <c r="BM861" s="43"/>
      <c r="BN861" s="12"/>
      <c r="CK861" s="12"/>
      <c r="DH861" s="13"/>
      <c r="DJ861" s="160"/>
      <c r="DK861" s="161"/>
      <c r="DM861" s="12"/>
      <c r="DX861" s="13"/>
      <c r="FA861" s="12"/>
      <c r="FD861" s="17"/>
      <c r="FF861" s="13"/>
      <c r="FG861" s="13"/>
      <c r="FH861" s="43"/>
      <c r="FI861" s="43"/>
      <c r="FJ861" s="45"/>
      <c r="FZ861" s="13"/>
      <c r="IA861" s="12"/>
      <c r="IF861" s="13"/>
      <c r="IG861" s="12"/>
      <c r="IR861" s="13"/>
      <c r="IS861" s="49"/>
      <c r="IT861" s="49"/>
      <c r="IU861" s="49"/>
      <c r="IV861" s="49"/>
      <c r="IW861" s="49"/>
      <c r="IX861" s="49"/>
      <c r="IY861" s="49"/>
      <c r="IZ861" s="49"/>
      <c r="JA861" s="49"/>
      <c r="JB861" s="49"/>
      <c r="JC861" s="49"/>
      <c r="JD861" s="49"/>
      <c r="JE861" s="49"/>
      <c r="JF861" s="49"/>
      <c r="JG861" s="49"/>
      <c r="JH861" s="49"/>
      <c r="JI861" s="49"/>
      <c r="JJ861" s="49"/>
      <c r="JK861" s="49"/>
      <c r="JL861" s="49"/>
      <c r="JM861" s="49"/>
      <c r="JN861" s="49"/>
      <c r="JO861" s="49"/>
      <c r="JP861" s="49"/>
      <c r="JQ861" s="49"/>
      <c r="JR861" s="49"/>
      <c r="JS861" s="49"/>
      <c r="JT861" s="49"/>
      <c r="JU861" s="49"/>
      <c r="JV861" s="49"/>
      <c r="JW861" s="49"/>
      <c r="JX861" s="49"/>
      <c r="JY861" s="49"/>
      <c r="JZ861" s="49"/>
      <c r="KA861" s="49"/>
      <c r="KB861" s="49"/>
      <c r="KC861" s="49"/>
      <c r="KD861" s="49"/>
      <c r="KE861" s="49"/>
      <c r="KF861" s="49"/>
      <c r="KG861" s="49"/>
      <c r="KH861" s="49"/>
      <c r="KI861" s="49"/>
      <c r="KJ861" s="49"/>
      <c r="KK861" s="49"/>
      <c r="KL861" s="49"/>
      <c r="KM861" s="49"/>
      <c r="KN861" s="208"/>
      <c r="LX861" s="13"/>
      <c r="NN861" s="13"/>
      <c r="NT861" s="13"/>
      <c r="QO861" s="12"/>
      <c r="QR861" s="12"/>
      <c r="RR861" s="13"/>
      <c r="RU861" s="13"/>
      <c r="RX861" s="13"/>
      <c r="SG861" s="13"/>
      <c r="SH861" s="12"/>
    </row>
    <row r="862" spans="47:573" ht="10.75" customHeight="1">
      <c r="AU862" s="12"/>
      <c r="AZ862" s="13"/>
      <c r="BA862" s="12"/>
      <c r="BJ862" s="13"/>
      <c r="BK862" s="42"/>
      <c r="BL862" s="43"/>
      <c r="BM862" s="43"/>
      <c r="BN862" s="12"/>
      <c r="CK862" s="12"/>
      <c r="DH862" s="13"/>
      <c r="DJ862" s="160"/>
      <c r="DK862" s="161"/>
      <c r="DM862" s="12"/>
      <c r="DX862" s="13"/>
      <c r="FA862" s="12"/>
      <c r="FD862" s="18"/>
      <c r="FF862" s="13"/>
      <c r="FG862" s="13"/>
      <c r="FH862" s="43"/>
      <c r="FI862" s="43"/>
      <c r="FJ862" s="45"/>
      <c r="FZ862" s="13"/>
      <c r="IA862" s="12"/>
      <c r="IF862" s="13"/>
      <c r="IG862" s="14"/>
      <c r="IH862" s="15"/>
      <c r="II862" s="15"/>
      <c r="IJ862" s="15"/>
      <c r="IK862" s="15"/>
      <c r="IL862" s="15"/>
      <c r="IM862" s="15"/>
      <c r="IN862" s="15"/>
      <c r="IO862" s="15"/>
      <c r="IP862" s="15"/>
      <c r="IQ862" s="15"/>
      <c r="IR862" s="16"/>
      <c r="IS862" s="258"/>
      <c r="IT862" s="258"/>
      <c r="IU862" s="258"/>
      <c r="IV862" s="258"/>
      <c r="IW862" s="258"/>
      <c r="IX862" s="258"/>
      <c r="IY862" s="258"/>
      <c r="IZ862" s="258"/>
      <c r="JA862" s="258"/>
      <c r="JB862" s="258"/>
      <c r="JC862" s="258"/>
      <c r="JD862" s="258"/>
      <c r="JE862" s="258"/>
      <c r="JF862" s="258"/>
      <c r="JG862" s="258"/>
      <c r="JH862" s="258"/>
      <c r="JI862" s="258"/>
      <c r="JJ862" s="258"/>
      <c r="JK862" s="258"/>
      <c r="JL862" s="258"/>
      <c r="JM862" s="258"/>
      <c r="JN862" s="258"/>
      <c r="JO862" s="258"/>
      <c r="JP862" s="258"/>
      <c r="JQ862" s="258"/>
      <c r="JR862" s="258"/>
      <c r="JS862" s="258"/>
      <c r="JT862" s="258"/>
      <c r="JU862" s="258"/>
      <c r="JV862" s="258"/>
      <c r="JW862" s="258"/>
      <c r="JX862" s="258"/>
      <c r="JY862" s="258"/>
      <c r="JZ862" s="258"/>
      <c r="KA862" s="258"/>
      <c r="KB862" s="258"/>
      <c r="KC862" s="258"/>
      <c r="KD862" s="258"/>
      <c r="KE862" s="258"/>
      <c r="KF862" s="258"/>
      <c r="KG862" s="258"/>
      <c r="KH862" s="258"/>
      <c r="KI862" s="258"/>
      <c r="KJ862" s="258"/>
      <c r="KK862" s="258"/>
      <c r="KL862" s="258"/>
      <c r="KM862" s="258"/>
      <c r="KN862" s="209"/>
      <c r="LX862" s="13"/>
      <c r="NN862" s="13"/>
      <c r="NT862" s="13"/>
      <c r="QO862" s="12"/>
      <c r="QR862" s="12"/>
      <c r="RR862" s="13"/>
      <c r="RU862" s="13"/>
      <c r="RX862" s="13"/>
      <c r="SG862" s="13"/>
      <c r="SH862" s="14"/>
      <c r="SI862" s="15"/>
      <c r="SJ862" s="15"/>
    </row>
    <row r="863" spans="47:573" ht="10.75" customHeight="1">
      <c r="AU863" s="12"/>
      <c r="AZ863" s="13"/>
      <c r="BA863" s="12"/>
      <c r="BJ863" s="13"/>
      <c r="BK863" s="42"/>
      <c r="BL863" s="43"/>
      <c r="BM863" s="43"/>
      <c r="BN863" s="12"/>
      <c r="CK863" s="12"/>
      <c r="DH863" s="13"/>
      <c r="DJ863" s="160"/>
      <c r="DK863" s="161"/>
      <c r="DM863" s="12"/>
      <c r="DX863" s="13"/>
      <c r="FA863" s="12"/>
      <c r="FD863" s="18"/>
      <c r="FF863" s="13"/>
      <c r="FG863" s="13"/>
      <c r="FH863" s="43"/>
      <c r="FI863" s="43"/>
      <c r="FJ863" s="45"/>
      <c r="FZ863" s="13"/>
      <c r="IA863" s="12"/>
      <c r="IF863" s="13"/>
      <c r="IG863" s="9"/>
      <c r="IH863" s="10"/>
      <c r="II863" s="10"/>
      <c r="IJ863" s="10"/>
      <c r="IK863" s="10"/>
      <c r="IL863" s="10"/>
      <c r="IM863" s="10"/>
      <c r="IN863" s="10"/>
      <c r="IO863" s="10"/>
      <c r="IP863" s="10"/>
      <c r="IQ863" s="10"/>
      <c r="IR863" s="11"/>
      <c r="IS863" s="141"/>
      <c r="IT863" s="141"/>
      <c r="IU863" s="141"/>
      <c r="IV863" s="141"/>
      <c r="IW863" s="141"/>
      <c r="IX863" s="141"/>
      <c r="IY863" s="141"/>
      <c r="IZ863" s="141"/>
      <c r="JA863" s="141"/>
      <c r="JB863" s="141"/>
      <c r="JC863" s="141"/>
      <c r="JD863" s="141"/>
      <c r="JE863" s="141"/>
      <c r="JF863" s="141"/>
      <c r="JG863" s="141"/>
      <c r="JH863" s="141"/>
      <c r="JI863" s="141"/>
      <c r="JJ863" s="141"/>
      <c r="JK863" s="141"/>
      <c r="JL863" s="141"/>
      <c r="JM863" s="141"/>
      <c r="JN863" s="141"/>
      <c r="JO863" s="141"/>
      <c r="JP863" s="141"/>
      <c r="JQ863" s="141"/>
      <c r="JR863" s="141"/>
      <c r="JS863" s="141"/>
      <c r="JT863" s="141"/>
      <c r="JU863" s="141"/>
      <c r="JV863" s="141"/>
      <c r="JW863" s="141"/>
      <c r="JX863" s="141"/>
      <c r="JY863" s="141"/>
      <c r="JZ863" s="141"/>
      <c r="KA863" s="141"/>
      <c r="KB863" s="141"/>
      <c r="KC863" s="141"/>
      <c r="KD863" s="141"/>
      <c r="KE863" s="141"/>
      <c r="KF863" s="141"/>
      <c r="KG863" s="141"/>
      <c r="KH863" s="141"/>
      <c r="KI863" s="141"/>
      <c r="KJ863" s="141"/>
      <c r="KK863" s="141"/>
      <c r="KL863" s="141"/>
      <c r="KM863" s="141"/>
      <c r="KN863" s="235"/>
      <c r="KO863" s="9"/>
      <c r="KP863" s="10"/>
      <c r="KQ863" s="10"/>
      <c r="KR863" s="10"/>
      <c r="KS863" s="10"/>
      <c r="KT863" s="10"/>
      <c r="KU863" s="10"/>
      <c r="KV863" s="10"/>
      <c r="KW863" s="10"/>
      <c r="KX863" s="10"/>
      <c r="KY863" s="10"/>
      <c r="KZ863" s="10"/>
      <c r="LA863" s="10"/>
      <c r="LB863" s="10"/>
      <c r="LC863" s="10"/>
      <c r="LD863" s="10"/>
      <c r="LE863" s="10"/>
      <c r="LF863" s="11"/>
      <c r="LX863" s="13"/>
      <c r="NN863" s="13"/>
      <c r="NT863" s="13"/>
      <c r="QO863" s="12"/>
      <c r="QR863" s="12"/>
      <c r="RR863" s="13"/>
      <c r="RU863" s="13"/>
      <c r="RX863" s="13"/>
      <c r="SG863" s="13"/>
    </row>
    <row r="864" spans="47:573" ht="10.75" customHeight="1">
      <c r="AU864" s="12"/>
      <c r="AZ864" s="13"/>
      <c r="BA864" s="14"/>
      <c r="BB864" s="15"/>
      <c r="BC864" s="15"/>
      <c r="BD864" s="15"/>
      <c r="BE864" s="15"/>
      <c r="BF864" s="15"/>
      <c r="BG864" s="15"/>
      <c r="BH864" s="15"/>
      <c r="BI864" s="15"/>
      <c r="BJ864" s="16"/>
      <c r="BK864" s="42"/>
      <c r="BL864" s="43"/>
      <c r="BM864" s="43"/>
      <c r="BN864" s="12"/>
      <c r="CK864" s="12"/>
      <c r="DH864" s="13"/>
      <c r="DJ864" s="160"/>
      <c r="DK864" s="161"/>
      <c r="DM864" s="12"/>
      <c r="DX864" s="13"/>
      <c r="FA864" s="12"/>
      <c r="FD864" s="18"/>
      <c r="FF864" s="13"/>
      <c r="FG864" s="13"/>
      <c r="FH864" s="43"/>
      <c r="FI864" s="43"/>
      <c r="FJ864" s="45"/>
      <c r="FZ864" s="13"/>
      <c r="IA864" s="12"/>
      <c r="IF864" s="13"/>
      <c r="IG864" s="12"/>
      <c r="IR864" s="13"/>
      <c r="IS864" s="49"/>
      <c r="IT864" s="49"/>
      <c r="IU864" s="49"/>
      <c r="IV864" s="49"/>
      <c r="IW864" s="49"/>
      <c r="IX864" s="49"/>
      <c r="IY864" s="49"/>
      <c r="IZ864" s="49"/>
      <c r="JA864" s="49"/>
      <c r="JB864" s="49"/>
      <c r="JC864" s="49"/>
      <c r="JD864" s="49"/>
      <c r="JE864" s="49"/>
      <c r="JF864" s="49"/>
      <c r="JG864" s="49"/>
      <c r="JH864" s="49"/>
      <c r="JI864" s="49"/>
      <c r="JJ864" s="49"/>
      <c r="JK864" s="49"/>
      <c r="JL864" s="49"/>
      <c r="JM864" s="49"/>
      <c r="JN864" s="49"/>
      <c r="JO864" s="49"/>
      <c r="JP864" s="49"/>
      <c r="JQ864" s="49"/>
      <c r="JR864" s="49"/>
      <c r="JS864" s="49"/>
      <c r="JT864" s="49"/>
      <c r="JU864" s="49"/>
      <c r="JV864" s="49"/>
      <c r="JW864" s="49"/>
      <c r="JX864" s="49"/>
      <c r="JY864" s="49"/>
      <c r="JZ864" s="49"/>
      <c r="KA864" s="49"/>
      <c r="KB864" s="49"/>
      <c r="KC864" s="49"/>
      <c r="KD864" s="49"/>
      <c r="KE864" s="49"/>
      <c r="KF864" s="49"/>
      <c r="KG864" s="49"/>
      <c r="KH864" s="49"/>
      <c r="KI864" s="49"/>
      <c r="KJ864" s="49"/>
      <c r="KK864" s="49"/>
      <c r="KL864" s="49"/>
      <c r="KM864" s="49"/>
      <c r="KN864" s="208"/>
      <c r="KO864" s="12"/>
      <c r="LF864" s="13"/>
      <c r="LX864" s="13"/>
      <c r="NN864" s="13"/>
      <c r="NT864" s="13"/>
      <c r="QO864" s="12"/>
      <c r="QR864" s="12"/>
      <c r="RR864" s="13"/>
      <c r="RU864" s="13"/>
      <c r="RX864" s="13"/>
      <c r="SG864" s="13"/>
    </row>
    <row r="865" spans="47:501" ht="10.75" customHeight="1">
      <c r="AU865" s="12"/>
      <c r="AZ865" s="13"/>
      <c r="BA865" s="12"/>
      <c r="BJ865" s="13"/>
      <c r="BK865" s="42"/>
      <c r="BL865" s="43"/>
      <c r="BM865" s="43"/>
      <c r="BN865" s="12"/>
      <c r="CK865" s="12"/>
      <c r="DH865" s="13"/>
      <c r="DJ865" s="160"/>
      <c r="DK865" s="161"/>
      <c r="DM865" s="12"/>
      <c r="DX865" s="13"/>
      <c r="FA865" s="12"/>
      <c r="FD865" s="18"/>
      <c r="FF865" s="13"/>
      <c r="FG865" s="13"/>
      <c r="FH865" s="43"/>
      <c r="FI865" s="43"/>
      <c r="FJ865" s="45"/>
      <c r="FZ865" s="13"/>
      <c r="IA865" s="12"/>
      <c r="IF865" s="13"/>
      <c r="IG865" s="12"/>
      <c r="IR865" s="13"/>
      <c r="IS865" s="49"/>
      <c r="IT865" s="49"/>
      <c r="IU865" s="49"/>
      <c r="IV865" s="49"/>
      <c r="IW865" s="49"/>
      <c r="IX865" s="49"/>
      <c r="IY865" s="49"/>
      <c r="IZ865" s="49"/>
      <c r="JA865" s="49"/>
      <c r="JB865" s="49"/>
      <c r="JC865" s="49"/>
      <c r="JD865" s="49"/>
      <c r="JE865" s="49"/>
      <c r="JF865" s="49"/>
      <c r="JG865" s="49"/>
      <c r="JH865" s="49"/>
      <c r="JI865" s="49"/>
      <c r="JJ865" s="49"/>
      <c r="JK865" s="49"/>
      <c r="JL865" s="49"/>
      <c r="JM865" s="49"/>
      <c r="JN865" s="49"/>
      <c r="JO865" s="49"/>
      <c r="JP865" s="49"/>
      <c r="JQ865" s="49"/>
      <c r="JR865" s="49"/>
      <c r="JS865" s="49"/>
      <c r="JT865" s="49"/>
      <c r="JU865" s="49"/>
      <c r="JV865" s="49"/>
      <c r="JW865" s="49"/>
      <c r="JX865" s="49"/>
      <c r="JY865" s="49"/>
      <c r="JZ865" s="49"/>
      <c r="KA865" s="49"/>
      <c r="KB865" s="49"/>
      <c r="KC865" s="49"/>
      <c r="KD865" s="49"/>
      <c r="KE865" s="49"/>
      <c r="KF865" s="49"/>
      <c r="KG865" s="49"/>
      <c r="KH865" s="49"/>
      <c r="KI865" s="49"/>
      <c r="KJ865" s="49"/>
      <c r="KK865" s="49"/>
      <c r="KL865" s="49"/>
      <c r="KM865" s="49"/>
      <c r="KN865" s="208"/>
      <c r="KO865" s="12"/>
      <c r="LF865" s="13"/>
      <c r="LY865" s="10"/>
      <c r="LZ865" s="10"/>
      <c r="MA865" s="10"/>
      <c r="MB865" s="10"/>
      <c r="MC865" s="10"/>
      <c r="MD865" s="10"/>
      <c r="ME865" s="10"/>
      <c r="MF865" s="10"/>
      <c r="MG865" s="10"/>
      <c r="MH865" s="10"/>
      <c r="MI865" s="10"/>
      <c r="MJ865" s="11"/>
      <c r="NN865" s="13"/>
      <c r="NT865" s="13"/>
      <c r="QO865" s="12"/>
      <c r="QR865" s="12"/>
      <c r="RR865" s="13"/>
      <c r="RU865" s="13"/>
      <c r="RX865" s="13"/>
      <c r="SG865" s="13"/>
    </row>
    <row r="866" spans="47:501" ht="10.75" customHeight="1">
      <c r="AU866" s="12"/>
      <c r="AZ866" s="13"/>
      <c r="BA866" s="12"/>
      <c r="BJ866" s="13"/>
      <c r="BK866" s="42"/>
      <c r="BL866" s="43"/>
      <c r="BM866" s="43"/>
      <c r="BN866" s="12"/>
      <c r="CK866" s="12"/>
      <c r="DH866" s="13"/>
      <c r="DJ866" s="160"/>
      <c r="DK866" s="161"/>
      <c r="DM866" s="12"/>
      <c r="DX866" s="13"/>
      <c r="FA866" s="12"/>
      <c r="FD866" s="18"/>
      <c r="FF866" s="13"/>
      <c r="FG866" s="13"/>
      <c r="FH866" s="43"/>
      <c r="FI866" s="43"/>
      <c r="FJ866" s="45"/>
      <c r="FZ866" s="13"/>
      <c r="IA866" s="12"/>
      <c r="IF866" s="13"/>
      <c r="IG866" s="12"/>
      <c r="IR866" s="13"/>
      <c r="IS866" s="49"/>
      <c r="IT866" s="49"/>
      <c r="IU866" s="49"/>
      <c r="IV866" s="49"/>
      <c r="IW866" s="49"/>
      <c r="IX866" s="49"/>
      <c r="IY866" s="49"/>
      <c r="IZ866" s="49"/>
      <c r="JA866" s="49"/>
      <c r="JB866" s="49"/>
      <c r="JC866" s="49"/>
      <c r="JD866" s="49"/>
      <c r="JE866" s="49"/>
      <c r="JF866" s="49"/>
      <c r="JG866" s="49"/>
      <c r="JH866" s="49"/>
      <c r="JI866" s="49"/>
      <c r="JJ866" s="49"/>
      <c r="JK866" s="49"/>
      <c r="JL866" s="49"/>
      <c r="JM866" s="49"/>
      <c r="JN866" s="49"/>
      <c r="JO866" s="49"/>
      <c r="JP866" s="49"/>
      <c r="JQ866" s="49"/>
      <c r="JR866" s="49"/>
      <c r="JS866" s="49"/>
      <c r="JT866" s="49"/>
      <c r="JU866" s="49"/>
      <c r="JV866" s="49"/>
      <c r="JW866" s="49"/>
      <c r="JX866" s="49"/>
      <c r="JY866" s="49"/>
      <c r="JZ866" s="49"/>
      <c r="KA866" s="49"/>
      <c r="KB866" s="49"/>
      <c r="KC866" s="49"/>
      <c r="KD866" s="49"/>
      <c r="KE866" s="49"/>
      <c r="KF866" s="49"/>
      <c r="KG866" s="49"/>
      <c r="KH866" s="49"/>
      <c r="KI866" s="49"/>
      <c r="KJ866" s="49"/>
      <c r="KK866" s="49"/>
      <c r="KL866" s="49"/>
      <c r="KM866" s="49"/>
      <c r="KN866" s="208"/>
      <c r="KO866" s="12"/>
      <c r="LF866" s="13"/>
      <c r="MJ866" s="13"/>
      <c r="NN866" s="13"/>
      <c r="NT866" s="13"/>
      <c r="QO866" s="12"/>
      <c r="QR866" s="12"/>
      <c r="RR866" s="13"/>
      <c r="RU866" s="13"/>
      <c r="RX866" s="13"/>
      <c r="SG866" s="13"/>
    </row>
    <row r="867" spans="47:501" ht="10.75" customHeight="1">
      <c r="AU867" s="12"/>
      <c r="AZ867" s="13"/>
      <c r="BA867" s="12"/>
      <c r="BJ867" s="13"/>
      <c r="BK867" s="42"/>
      <c r="BL867" s="43"/>
      <c r="BM867" s="43"/>
      <c r="BN867" s="12"/>
      <c r="CK867" s="12"/>
      <c r="DH867" s="13"/>
      <c r="DJ867" s="160"/>
      <c r="DK867" s="161"/>
      <c r="DM867" s="12"/>
      <c r="DX867" s="13"/>
      <c r="FA867" s="12"/>
      <c r="FD867" s="18"/>
      <c r="FF867" s="13"/>
      <c r="FG867" s="13"/>
      <c r="FH867" s="43"/>
      <c r="FI867" s="43"/>
      <c r="FJ867" s="45"/>
      <c r="FZ867" s="13"/>
      <c r="IA867" s="12"/>
      <c r="IF867" s="13"/>
      <c r="IG867" s="12"/>
      <c r="IR867" s="13"/>
      <c r="IS867" s="49"/>
      <c r="IT867" s="49"/>
      <c r="IU867" s="49"/>
      <c r="IV867" s="49"/>
      <c r="IW867" s="49"/>
      <c r="IX867" s="49"/>
      <c r="IY867" s="49"/>
      <c r="IZ867" s="49"/>
      <c r="JA867" s="49"/>
      <c r="JB867" s="49"/>
      <c r="JC867" s="49"/>
      <c r="JD867" s="49"/>
      <c r="JE867" s="49"/>
      <c r="JF867" s="49"/>
      <c r="JG867" s="49"/>
      <c r="JH867" s="49"/>
      <c r="JI867" s="49"/>
      <c r="JJ867" s="49"/>
      <c r="JK867" s="49"/>
      <c r="JL867" s="49"/>
      <c r="JM867" s="49"/>
      <c r="JN867" s="49"/>
      <c r="JO867" s="49"/>
      <c r="JP867" s="49"/>
      <c r="JQ867" s="49"/>
      <c r="JR867" s="49"/>
      <c r="JS867" s="49"/>
      <c r="JT867" s="49"/>
      <c r="JU867" s="49"/>
      <c r="JV867" s="49"/>
      <c r="JW867" s="49"/>
      <c r="JX867" s="49"/>
      <c r="JY867" s="49"/>
      <c r="JZ867" s="49"/>
      <c r="KA867" s="49"/>
      <c r="KB867" s="49"/>
      <c r="KC867" s="49"/>
      <c r="KD867" s="49"/>
      <c r="KE867" s="49"/>
      <c r="KF867" s="49"/>
      <c r="KG867" s="49"/>
      <c r="KH867" s="49"/>
      <c r="KI867" s="49"/>
      <c r="KJ867" s="49"/>
      <c r="KK867" s="49"/>
      <c r="KL867" s="49"/>
      <c r="KM867" s="49"/>
      <c r="KN867" s="208"/>
      <c r="KO867" s="12"/>
      <c r="LF867" s="13"/>
      <c r="MJ867" s="13"/>
      <c r="NN867" s="13"/>
      <c r="NT867" s="13"/>
      <c r="QO867" s="12"/>
      <c r="QR867" s="12"/>
      <c r="RR867" s="13"/>
      <c r="RU867" s="13"/>
      <c r="RX867" s="13"/>
      <c r="SG867" s="13"/>
    </row>
    <row r="868" spans="47:501" ht="10.75" customHeight="1">
      <c r="AU868" s="12"/>
      <c r="AZ868" s="13"/>
      <c r="BA868" s="12"/>
      <c r="BJ868" s="13"/>
      <c r="BK868" s="42"/>
      <c r="BL868" s="43"/>
      <c r="BM868" s="43"/>
      <c r="BN868" s="12"/>
      <c r="CK868" s="12"/>
      <c r="DH868" s="13"/>
      <c r="DJ868" s="160"/>
      <c r="DK868" s="161"/>
      <c r="DM868" s="12"/>
      <c r="DX868" s="13"/>
      <c r="FA868" s="12"/>
      <c r="FD868" s="18"/>
      <c r="FF868" s="13"/>
      <c r="FG868" s="13"/>
      <c r="FH868" s="43"/>
      <c r="FI868" s="43"/>
      <c r="FJ868" s="45"/>
      <c r="FZ868" s="13"/>
      <c r="IA868" s="12"/>
      <c r="IF868" s="13"/>
      <c r="IG868" s="12"/>
      <c r="IR868" s="13"/>
      <c r="IS868" s="49"/>
      <c r="IT868" s="49"/>
      <c r="IU868" s="49"/>
      <c r="IV868" s="49"/>
      <c r="IW868" s="49"/>
      <c r="IX868" s="49"/>
      <c r="IY868" s="49"/>
      <c r="IZ868" s="49"/>
      <c r="JA868" s="49"/>
      <c r="JB868" s="49"/>
      <c r="JC868" s="49"/>
      <c r="JD868" s="49"/>
      <c r="JE868" s="49"/>
      <c r="JF868" s="49"/>
      <c r="JG868" s="49"/>
      <c r="JH868" s="49"/>
      <c r="JI868" s="49"/>
      <c r="JJ868" s="49"/>
      <c r="JK868" s="49"/>
      <c r="JL868" s="49"/>
      <c r="JM868" s="49"/>
      <c r="JN868" s="49"/>
      <c r="JO868" s="49"/>
      <c r="JP868" s="49"/>
      <c r="JQ868" s="49"/>
      <c r="JR868" s="49"/>
      <c r="JS868" s="49"/>
      <c r="JT868" s="49"/>
      <c r="JU868" s="49"/>
      <c r="JV868" s="49"/>
      <c r="JW868" s="49"/>
      <c r="JX868" s="49"/>
      <c r="JY868" s="49"/>
      <c r="JZ868" s="49"/>
      <c r="KA868" s="49"/>
      <c r="KB868" s="49"/>
      <c r="KC868" s="49"/>
      <c r="KD868" s="49"/>
      <c r="KE868" s="49"/>
      <c r="KF868" s="49"/>
      <c r="KG868" s="49"/>
      <c r="KH868" s="49"/>
      <c r="KI868" s="49"/>
      <c r="KJ868" s="49"/>
      <c r="KK868" s="49"/>
      <c r="KL868" s="49"/>
      <c r="KM868" s="49"/>
      <c r="KN868" s="208"/>
      <c r="KO868" s="12"/>
      <c r="LF868" s="13"/>
      <c r="MJ868" s="13"/>
      <c r="NN868" s="13"/>
      <c r="NT868" s="13"/>
      <c r="QO868" s="12"/>
      <c r="QR868" s="12"/>
      <c r="RR868" s="13"/>
      <c r="RU868" s="13"/>
      <c r="RX868" s="13"/>
      <c r="SG868" s="13"/>
    </row>
    <row r="869" spans="47:501" ht="10.75" customHeight="1">
      <c r="AU869" s="12"/>
      <c r="AZ869" s="13"/>
      <c r="BA869" s="9"/>
      <c r="BB869" s="10"/>
      <c r="BC869" s="10"/>
      <c r="BD869" s="10"/>
      <c r="BE869" s="10"/>
      <c r="BF869" s="10"/>
      <c r="BG869" s="10"/>
      <c r="BH869" s="10"/>
      <c r="BI869" s="10"/>
      <c r="BJ869" s="11"/>
      <c r="BK869" s="42"/>
      <c r="BL869" s="43"/>
      <c r="BM869" s="43"/>
      <c r="BN869" s="12"/>
      <c r="CK869" s="12"/>
      <c r="DH869" s="13"/>
      <c r="DJ869" s="160"/>
      <c r="DK869" s="161"/>
      <c r="DM869" s="12"/>
      <c r="DX869" s="13"/>
      <c r="FA869" s="12"/>
      <c r="FD869" s="18"/>
      <c r="FF869" s="13"/>
      <c r="FG869" s="13"/>
      <c r="FH869" s="43"/>
      <c r="FI869" s="43"/>
      <c r="FJ869" s="45"/>
      <c r="FZ869" s="13"/>
      <c r="IA869" s="12"/>
      <c r="IF869" s="13"/>
      <c r="IG869" s="12"/>
      <c r="IR869" s="13"/>
      <c r="IS869" s="49"/>
      <c r="IT869" s="49"/>
      <c r="IU869" s="49"/>
      <c r="IV869" s="49"/>
      <c r="IW869" s="49"/>
      <c r="IX869" s="49"/>
      <c r="IY869" s="49"/>
      <c r="IZ869" s="49"/>
      <c r="JA869" s="49"/>
      <c r="JB869" s="49"/>
      <c r="JC869" s="49"/>
      <c r="JD869" s="49"/>
      <c r="JE869" s="49"/>
      <c r="JF869" s="49"/>
      <c r="JG869" s="49"/>
      <c r="JH869" s="49"/>
      <c r="JI869" s="49"/>
      <c r="JJ869" s="49"/>
      <c r="JK869" s="49"/>
      <c r="JL869" s="49"/>
      <c r="JM869" s="49"/>
      <c r="JN869" s="49"/>
      <c r="JO869" s="49"/>
      <c r="JP869" s="49"/>
      <c r="JQ869" s="49"/>
      <c r="JR869" s="49"/>
      <c r="JS869" s="49"/>
      <c r="JT869" s="49"/>
      <c r="JU869" s="49"/>
      <c r="JV869" s="49"/>
      <c r="JW869" s="49"/>
      <c r="JX869" s="49"/>
      <c r="JY869" s="49"/>
      <c r="JZ869" s="49"/>
      <c r="KA869" s="49"/>
      <c r="KB869" s="49"/>
      <c r="KC869" s="49"/>
      <c r="KD869" s="49"/>
      <c r="KE869" s="49"/>
      <c r="KF869" s="49"/>
      <c r="KG869" s="49"/>
      <c r="KH869" s="49"/>
      <c r="KI869" s="49"/>
      <c r="KJ869" s="49"/>
      <c r="KK869" s="49"/>
      <c r="KL869" s="49"/>
      <c r="KM869" s="49"/>
      <c r="KN869" s="208"/>
      <c r="KO869" s="12"/>
      <c r="LF869" s="13"/>
      <c r="MJ869" s="13"/>
      <c r="NN869" s="13"/>
      <c r="NT869" s="13"/>
      <c r="QO869" s="12"/>
      <c r="QR869" s="12"/>
      <c r="RR869" s="13"/>
      <c r="RU869" s="13"/>
      <c r="RX869" s="13"/>
      <c r="SG869" s="13"/>
    </row>
    <row r="870" spans="47:501" ht="10.75" customHeight="1">
      <c r="AU870" s="12"/>
      <c r="AZ870" s="13"/>
      <c r="BA870" s="12"/>
      <c r="BJ870" s="13"/>
      <c r="BK870" s="42"/>
      <c r="BL870" s="43"/>
      <c r="BM870" s="43"/>
      <c r="BN870" s="12"/>
      <c r="CK870" s="12"/>
      <c r="DH870" s="13"/>
      <c r="DJ870" s="160"/>
      <c r="DK870" s="161"/>
      <c r="DM870" s="12"/>
      <c r="DX870" s="13"/>
      <c r="FA870" s="12"/>
      <c r="FD870" s="18"/>
      <c r="FF870" s="13"/>
      <c r="FG870" s="13"/>
      <c r="FH870" s="43"/>
      <c r="FI870" s="43"/>
      <c r="FJ870" s="45"/>
      <c r="FZ870" s="13"/>
      <c r="IA870" s="12"/>
      <c r="IF870" s="13"/>
      <c r="IG870" s="12"/>
      <c r="IR870" s="13"/>
      <c r="IS870" s="49"/>
      <c r="IT870" s="49"/>
      <c r="IU870" s="49"/>
      <c r="IV870" s="49"/>
      <c r="IW870" s="49"/>
      <c r="IX870" s="49"/>
      <c r="IY870" s="49"/>
      <c r="IZ870" s="49"/>
      <c r="JA870" s="49"/>
      <c r="JB870" s="49"/>
      <c r="JC870" s="49"/>
      <c r="JD870" s="49"/>
      <c r="JE870" s="49"/>
      <c r="JF870" s="49"/>
      <c r="JG870" s="49"/>
      <c r="JH870" s="49"/>
      <c r="JI870" s="49"/>
      <c r="JJ870" s="49"/>
      <c r="JK870" s="49"/>
      <c r="JL870" s="49"/>
      <c r="JM870" s="49"/>
      <c r="JN870" s="49"/>
      <c r="JO870" s="49"/>
      <c r="JP870" s="49"/>
      <c r="JQ870" s="49"/>
      <c r="JR870" s="49"/>
      <c r="JS870" s="49"/>
      <c r="JT870" s="49"/>
      <c r="JU870" s="49"/>
      <c r="JV870" s="49"/>
      <c r="JW870" s="49"/>
      <c r="JX870" s="49"/>
      <c r="JY870" s="49"/>
      <c r="JZ870" s="49"/>
      <c r="KA870" s="49"/>
      <c r="KB870" s="49"/>
      <c r="KC870" s="49"/>
      <c r="KD870" s="49"/>
      <c r="KE870" s="49"/>
      <c r="KF870" s="49"/>
      <c r="KG870" s="49"/>
      <c r="KH870" s="49"/>
      <c r="KI870" s="49"/>
      <c r="KJ870" s="49"/>
      <c r="KK870" s="49"/>
      <c r="KL870" s="49"/>
      <c r="KM870" s="49"/>
      <c r="KN870" s="208"/>
      <c r="KO870" s="12"/>
      <c r="LF870" s="13"/>
      <c r="MJ870" s="13"/>
      <c r="NN870" s="13"/>
      <c r="NU870" s="12"/>
      <c r="QO870" s="12"/>
      <c r="QR870" s="12"/>
      <c r="RR870" s="13"/>
      <c r="RU870" s="13"/>
      <c r="RX870" s="13"/>
      <c r="SG870" s="13"/>
    </row>
    <row r="871" spans="47:501" ht="10.75" customHeight="1">
      <c r="AU871" s="12"/>
      <c r="AZ871" s="13"/>
      <c r="BA871" s="12"/>
      <c r="BJ871" s="13"/>
      <c r="BK871" s="42"/>
      <c r="BL871" s="43"/>
      <c r="BM871" s="43"/>
      <c r="BN871" s="12"/>
      <c r="CK871" s="12"/>
      <c r="DH871" s="13"/>
      <c r="DJ871" s="160"/>
      <c r="DK871" s="161"/>
      <c r="DM871" s="12"/>
      <c r="DX871" s="13"/>
      <c r="FA871" s="12"/>
      <c r="FD871" s="18"/>
      <c r="FF871" s="13"/>
      <c r="FG871" s="13"/>
      <c r="FH871" s="43"/>
      <c r="FI871" s="43"/>
      <c r="FJ871" s="45"/>
      <c r="FZ871" s="13"/>
      <c r="IA871" s="12"/>
      <c r="IF871" s="13"/>
      <c r="IG871" s="12"/>
      <c r="IR871" s="13"/>
      <c r="IS871" s="49"/>
      <c r="IT871" s="49"/>
      <c r="IU871" s="49"/>
      <c r="IV871" s="49"/>
      <c r="IW871" s="49"/>
      <c r="IX871" s="49"/>
      <c r="IY871" s="49"/>
      <c r="IZ871" s="49"/>
      <c r="JA871" s="49"/>
      <c r="JB871" s="49"/>
      <c r="JC871" s="49"/>
      <c r="JD871" s="49"/>
      <c r="JE871" s="49"/>
      <c r="JF871" s="49"/>
      <c r="JG871" s="49"/>
      <c r="JH871" s="49"/>
      <c r="JI871" s="49"/>
      <c r="JJ871" s="49"/>
      <c r="JK871" s="49"/>
      <c r="JL871" s="49"/>
      <c r="JM871" s="49"/>
      <c r="JN871" s="49"/>
      <c r="JO871" s="49"/>
      <c r="JP871" s="49"/>
      <c r="JQ871" s="49"/>
      <c r="JR871" s="49"/>
      <c r="JS871" s="49"/>
      <c r="JT871" s="49"/>
      <c r="JU871" s="49"/>
      <c r="JV871" s="49"/>
      <c r="JW871" s="49"/>
      <c r="JX871" s="49"/>
      <c r="JY871" s="49"/>
      <c r="JZ871" s="49"/>
      <c r="KA871" s="49"/>
      <c r="KB871" s="49"/>
      <c r="KC871" s="49"/>
      <c r="KD871" s="49"/>
      <c r="KE871" s="49"/>
      <c r="KF871" s="49"/>
      <c r="KG871" s="49"/>
      <c r="KH871" s="49"/>
      <c r="KI871" s="49"/>
      <c r="KJ871" s="49"/>
      <c r="KK871" s="49"/>
      <c r="KL871" s="49"/>
      <c r="KM871" s="49"/>
      <c r="KN871" s="208"/>
      <c r="KO871" s="12"/>
      <c r="LF871" s="13"/>
      <c r="MJ871" s="13"/>
      <c r="NN871" s="13"/>
      <c r="NU871" s="12"/>
      <c r="QO871" s="12"/>
      <c r="QR871" s="12"/>
      <c r="RR871" s="13"/>
      <c r="RU871" s="13"/>
      <c r="RX871" s="13"/>
      <c r="SG871" s="13"/>
    </row>
    <row r="872" spans="47:501" ht="10.75" customHeight="1">
      <c r="AU872" s="14"/>
      <c r="AV872" s="15"/>
      <c r="AW872" s="15"/>
      <c r="AX872" s="15"/>
      <c r="AY872" s="15"/>
      <c r="AZ872" s="16"/>
      <c r="BA872" s="14"/>
      <c r="BB872" s="15"/>
      <c r="BC872" s="15"/>
      <c r="BD872" s="15"/>
      <c r="BE872" s="15"/>
      <c r="BF872" s="15"/>
      <c r="BG872" s="15"/>
      <c r="BH872" s="15"/>
      <c r="BI872" s="15"/>
      <c r="BJ872" s="16"/>
      <c r="BK872" s="42"/>
      <c r="BL872" s="43"/>
      <c r="BM872" s="43"/>
      <c r="BN872" s="12"/>
      <c r="CK872" s="12"/>
      <c r="DH872" s="13"/>
      <c r="DJ872" s="160"/>
      <c r="DK872" s="161"/>
      <c r="DM872" s="12"/>
      <c r="DX872" s="13"/>
      <c r="FA872" s="12"/>
      <c r="FD872" s="18"/>
      <c r="FF872" s="13"/>
      <c r="FG872" s="13"/>
      <c r="FH872" s="43"/>
      <c r="FI872" s="43"/>
      <c r="FJ872" s="45"/>
      <c r="FZ872" s="13"/>
      <c r="IA872" s="12"/>
      <c r="IF872" s="13"/>
      <c r="IG872" s="12"/>
      <c r="IR872" s="13"/>
      <c r="IS872" s="49"/>
      <c r="IT872" s="49"/>
      <c r="IU872" s="49"/>
      <c r="IV872" s="49"/>
      <c r="IW872" s="49"/>
      <c r="IX872" s="49"/>
      <c r="IY872" s="49"/>
      <c r="IZ872" s="49"/>
      <c r="JA872" s="49"/>
      <c r="JB872" s="49"/>
      <c r="JC872" s="49"/>
      <c r="JD872" s="49"/>
      <c r="JE872" s="49"/>
      <c r="JF872" s="49"/>
      <c r="JG872" s="49"/>
      <c r="JH872" s="49"/>
      <c r="JI872" s="49"/>
      <c r="JJ872" s="49"/>
      <c r="JK872" s="49"/>
      <c r="JL872" s="49"/>
      <c r="JM872" s="49"/>
      <c r="JN872" s="49"/>
      <c r="JO872" s="49"/>
      <c r="JP872" s="49"/>
      <c r="JQ872" s="49"/>
      <c r="JR872" s="49"/>
      <c r="JS872" s="49"/>
      <c r="JT872" s="49"/>
      <c r="JU872" s="49"/>
      <c r="JV872" s="49"/>
      <c r="JW872" s="49"/>
      <c r="JX872" s="49"/>
      <c r="JY872" s="49"/>
      <c r="JZ872" s="49"/>
      <c r="KA872" s="49"/>
      <c r="KB872" s="49"/>
      <c r="KC872" s="49"/>
      <c r="KD872" s="49"/>
      <c r="KE872" s="49"/>
      <c r="KF872" s="49"/>
      <c r="KG872" s="49"/>
      <c r="KH872" s="49"/>
      <c r="KI872" s="49"/>
      <c r="KJ872" s="49"/>
      <c r="KK872" s="49"/>
      <c r="KL872" s="49"/>
      <c r="KM872" s="49"/>
      <c r="KN872" s="208"/>
      <c r="KO872" s="12"/>
      <c r="LF872" s="13"/>
      <c r="MK872" s="10"/>
      <c r="ML872" s="10"/>
      <c r="MM872" s="10"/>
      <c r="MN872" s="10"/>
      <c r="MO872" s="10"/>
      <c r="MP872" s="10"/>
      <c r="MQ872" s="10"/>
      <c r="MR872" s="10"/>
      <c r="MS872" s="10"/>
      <c r="MT872" s="10"/>
      <c r="MU872" s="10"/>
      <c r="MV872" s="11"/>
      <c r="NN872" s="13"/>
      <c r="NU872" s="12"/>
      <c r="QO872" s="12"/>
      <c r="QR872" s="12"/>
      <c r="RR872" s="13"/>
      <c r="RU872" s="13"/>
      <c r="RX872" s="13"/>
      <c r="SG872" s="13"/>
    </row>
    <row r="873" spans="47:501" ht="10.75" customHeight="1">
      <c r="AU873" s="10"/>
      <c r="AV873" s="10"/>
      <c r="AW873" s="10"/>
      <c r="AX873" s="10"/>
      <c r="AY873" s="10"/>
      <c r="AZ873" s="11"/>
      <c r="BA873" s="12"/>
      <c r="BJ873" s="13"/>
      <c r="BK873" s="42"/>
      <c r="BL873" s="43"/>
      <c r="BM873" s="43"/>
      <c r="BN873" s="12"/>
      <c r="CK873" s="12"/>
      <c r="DH873" s="13"/>
      <c r="DJ873" s="160"/>
      <c r="DK873" s="161"/>
      <c r="DM873" s="12"/>
      <c r="DX873" s="13"/>
      <c r="FA873" s="12"/>
      <c r="FD873" s="18"/>
      <c r="FF873" s="13"/>
      <c r="FG873" s="13"/>
      <c r="FH873" s="43"/>
      <c r="FI873" s="43"/>
      <c r="FJ873" s="45"/>
      <c r="FZ873" s="13"/>
      <c r="IA873" s="12"/>
      <c r="IF873" s="13"/>
      <c r="IG873" s="12"/>
      <c r="IR873" s="13"/>
      <c r="IS873" s="214"/>
      <c r="IT873" s="49"/>
      <c r="IU873" s="49"/>
      <c r="IV873" s="49"/>
      <c r="IW873" s="49"/>
      <c r="IX873" s="49"/>
      <c r="IY873" s="49"/>
      <c r="IZ873" s="49"/>
      <c r="JA873" s="49"/>
      <c r="JB873" s="49"/>
      <c r="JC873" s="49"/>
      <c r="JD873" s="49"/>
      <c r="JE873" s="49"/>
      <c r="JF873" s="49"/>
      <c r="JG873" s="49"/>
      <c r="JH873" s="49"/>
      <c r="JI873" s="49"/>
      <c r="JJ873" s="49"/>
      <c r="JK873" s="49"/>
      <c r="JL873" s="49"/>
      <c r="JM873" s="49"/>
      <c r="JN873" s="49"/>
      <c r="JO873" s="49"/>
      <c r="JP873" s="49"/>
      <c r="JQ873" s="49"/>
      <c r="JR873" s="49"/>
      <c r="JS873" s="49"/>
      <c r="JT873" s="49"/>
      <c r="JU873" s="49"/>
      <c r="JV873" s="49"/>
      <c r="JW873" s="49"/>
      <c r="JX873" s="49"/>
      <c r="JY873" s="49"/>
      <c r="JZ873" s="49"/>
      <c r="KA873" s="49"/>
      <c r="KB873" s="49"/>
      <c r="KC873" s="49"/>
      <c r="KD873" s="49"/>
      <c r="KE873" s="49"/>
      <c r="KF873" s="49"/>
      <c r="KG873" s="49"/>
      <c r="KH873" s="49"/>
      <c r="KI873" s="49"/>
      <c r="KJ873" s="49"/>
      <c r="KK873" s="49"/>
      <c r="KL873" s="49"/>
      <c r="KM873" s="49"/>
      <c r="KN873" s="208"/>
      <c r="KO873" s="12"/>
      <c r="LF873" s="13"/>
      <c r="MV873" s="13"/>
      <c r="NN873" s="13"/>
      <c r="NU873" s="12"/>
      <c r="QO873" s="12"/>
      <c r="QR873" s="12"/>
      <c r="RR873" s="13"/>
      <c r="RU873" s="13"/>
      <c r="RX873" s="13"/>
      <c r="SG873" s="13"/>
    </row>
    <row r="874" spans="47:501" ht="10.75" customHeight="1">
      <c r="AZ874" s="13"/>
      <c r="BA874" s="12"/>
      <c r="BJ874" s="13"/>
      <c r="BK874" s="42"/>
      <c r="BL874" s="43"/>
      <c r="BM874" s="43"/>
      <c r="BN874" s="12"/>
      <c r="BO874" s="9"/>
      <c r="BP874" s="10"/>
      <c r="BQ874" s="10"/>
      <c r="BR874" s="10"/>
      <c r="BS874" s="10"/>
      <c r="BT874" s="11"/>
      <c r="CK874" s="12"/>
      <c r="DH874" s="13"/>
      <c r="DJ874" s="160"/>
      <c r="DK874" s="161"/>
      <c r="DM874" s="12"/>
      <c r="DX874" s="13"/>
      <c r="FA874" s="12"/>
      <c r="FD874" s="19"/>
      <c r="FF874" s="13"/>
      <c r="FG874" s="13"/>
      <c r="FH874" s="43"/>
      <c r="FI874" s="43"/>
      <c r="FJ874" s="45"/>
      <c r="FZ874" s="13"/>
      <c r="IA874" s="12"/>
      <c r="IF874" s="13"/>
      <c r="IG874" s="12"/>
      <c r="IR874" s="13"/>
      <c r="IS874" s="214"/>
      <c r="IT874" s="49"/>
      <c r="IU874" s="49"/>
      <c r="IV874" s="49"/>
      <c r="IW874" s="49"/>
      <c r="IX874" s="49"/>
      <c r="IY874" s="49"/>
      <c r="IZ874" s="49"/>
      <c r="JA874" s="49"/>
      <c r="JB874" s="49"/>
      <c r="JC874" s="49"/>
      <c r="JD874" s="49"/>
      <c r="JE874" s="49"/>
      <c r="JF874" s="49"/>
      <c r="JG874" s="49"/>
      <c r="JH874" s="49"/>
      <c r="JI874" s="49"/>
      <c r="JJ874" s="49"/>
      <c r="JK874" s="49"/>
      <c r="JL874" s="49"/>
      <c r="JM874" s="49"/>
      <c r="JN874" s="49"/>
      <c r="JO874" s="49"/>
      <c r="JP874" s="49"/>
      <c r="JQ874" s="49"/>
      <c r="JR874" s="49"/>
      <c r="JS874" s="49"/>
      <c r="JT874" s="49"/>
      <c r="JU874" s="49"/>
      <c r="JV874" s="49"/>
      <c r="JW874" s="49"/>
      <c r="JX874" s="49"/>
      <c r="JY874" s="49"/>
      <c r="JZ874" s="49"/>
      <c r="KA874" s="49"/>
      <c r="KB874" s="49"/>
      <c r="KC874" s="49"/>
      <c r="KD874" s="49"/>
      <c r="KE874" s="49"/>
      <c r="KF874" s="49"/>
      <c r="KG874" s="49"/>
      <c r="KH874" s="49"/>
      <c r="KI874" s="49"/>
      <c r="KJ874" s="49"/>
      <c r="KK874" s="49"/>
      <c r="KL874" s="49"/>
      <c r="KM874" s="49"/>
      <c r="KN874" s="208"/>
      <c r="KO874" s="12"/>
      <c r="LF874" s="13"/>
      <c r="MV874" s="13"/>
      <c r="NN874" s="13"/>
      <c r="NU874" s="12"/>
      <c r="QO874" s="12"/>
      <c r="QR874" s="12"/>
      <c r="RR874" s="13"/>
      <c r="RU874" s="13"/>
      <c r="RX874" s="13"/>
      <c r="SG874" s="13"/>
    </row>
    <row r="875" spans="47:501" ht="10.75" customHeight="1">
      <c r="AZ875" s="13"/>
      <c r="BA875" s="12"/>
      <c r="BJ875" s="13"/>
      <c r="BK875" s="42"/>
      <c r="BL875" s="43"/>
      <c r="BM875" s="43"/>
      <c r="BN875" s="12"/>
      <c r="BO875" s="12"/>
      <c r="BT875" s="13"/>
      <c r="CK875" s="12"/>
      <c r="DH875" s="13"/>
      <c r="DJ875" s="160"/>
      <c r="DK875" s="161"/>
      <c r="DM875" s="12"/>
      <c r="DX875" s="13"/>
      <c r="FA875" s="14"/>
      <c r="FB875" s="15"/>
      <c r="FC875" s="15"/>
      <c r="FD875" s="15"/>
      <c r="FE875" s="15"/>
      <c r="FF875" s="16"/>
      <c r="FG875" s="13"/>
      <c r="FH875" s="43"/>
      <c r="FI875" s="43"/>
      <c r="FJ875" s="45"/>
      <c r="FZ875" s="13"/>
      <c r="IA875" s="12"/>
      <c r="IF875" s="13"/>
      <c r="IG875" s="12"/>
      <c r="IR875" s="13"/>
      <c r="IS875" s="214"/>
      <c r="IT875" s="49"/>
      <c r="IU875" s="49"/>
      <c r="IV875" s="49"/>
      <c r="IW875" s="49"/>
      <c r="IX875" s="49"/>
      <c r="IY875" s="49"/>
      <c r="IZ875" s="49"/>
      <c r="JA875" s="49"/>
      <c r="JB875" s="49"/>
      <c r="JC875" s="49"/>
      <c r="JD875" s="49"/>
      <c r="JE875" s="49"/>
      <c r="JF875" s="49"/>
      <c r="JG875" s="49"/>
      <c r="JH875" s="49"/>
      <c r="JI875" s="49"/>
      <c r="JJ875" s="49"/>
      <c r="JK875" s="49"/>
      <c r="JL875" s="49"/>
      <c r="JM875" s="49"/>
      <c r="JN875" s="49"/>
      <c r="JO875" s="49"/>
      <c r="JP875" s="49"/>
      <c r="JQ875" s="49"/>
      <c r="JR875" s="49"/>
      <c r="JS875" s="49"/>
      <c r="JT875" s="49"/>
      <c r="JU875" s="49"/>
      <c r="JV875" s="49"/>
      <c r="JW875" s="49"/>
      <c r="JX875" s="49"/>
      <c r="JY875" s="49"/>
      <c r="JZ875" s="49"/>
      <c r="KA875" s="49"/>
      <c r="KB875" s="49"/>
      <c r="KC875" s="49"/>
      <c r="KD875" s="49"/>
      <c r="KE875" s="49"/>
      <c r="KF875" s="49"/>
      <c r="KG875" s="49"/>
      <c r="KH875" s="49"/>
      <c r="KI875" s="49"/>
      <c r="KJ875" s="49"/>
      <c r="KK875" s="49"/>
      <c r="KL875" s="49"/>
      <c r="KM875" s="49"/>
      <c r="KN875" s="208"/>
      <c r="KO875" s="12"/>
      <c r="LF875" s="13"/>
      <c r="MV875" s="13"/>
      <c r="NN875" s="13"/>
      <c r="NU875" s="12"/>
      <c r="QO875" s="12"/>
      <c r="QR875" s="12"/>
      <c r="RR875" s="13"/>
      <c r="RU875" s="13"/>
      <c r="RX875" s="13"/>
      <c r="SG875" s="13"/>
    </row>
    <row r="876" spans="47:501" ht="10.75" customHeight="1">
      <c r="AZ876" s="13"/>
      <c r="BA876" s="12"/>
      <c r="BJ876" s="13"/>
      <c r="BK876" s="42"/>
      <c r="BL876" s="43"/>
      <c r="BM876" s="43"/>
      <c r="BN876" s="12"/>
      <c r="BO876" s="12"/>
      <c r="BT876" s="13"/>
      <c r="CK876" s="12"/>
      <c r="DH876" s="13"/>
      <c r="DJ876" s="160"/>
      <c r="DK876" s="161"/>
      <c r="DM876" s="12"/>
      <c r="DX876" s="13"/>
      <c r="FG876" s="13"/>
      <c r="FH876" s="43"/>
      <c r="FI876" s="43"/>
      <c r="FJ876" s="45"/>
      <c r="FZ876" s="13"/>
      <c r="IA876" s="12"/>
      <c r="IF876" s="13"/>
      <c r="IG876" s="12"/>
      <c r="IR876" s="13"/>
      <c r="IS876" s="214"/>
      <c r="IT876" s="49"/>
      <c r="IU876" s="49"/>
      <c r="IV876" s="49"/>
      <c r="IW876" s="49"/>
      <c r="IX876" s="49"/>
      <c r="IY876" s="49"/>
      <c r="IZ876" s="49"/>
      <c r="JA876" s="49"/>
      <c r="JB876" s="49"/>
      <c r="JC876" s="49"/>
      <c r="JD876" s="49"/>
      <c r="JE876" s="49"/>
      <c r="JF876" s="49"/>
      <c r="JG876" s="49"/>
      <c r="JH876" s="49"/>
      <c r="JI876" s="49"/>
      <c r="JJ876" s="49"/>
      <c r="JK876" s="49"/>
      <c r="JL876" s="49"/>
      <c r="JM876" s="49"/>
      <c r="JN876" s="49"/>
      <c r="JO876" s="49"/>
      <c r="JP876" s="49"/>
      <c r="JQ876" s="49"/>
      <c r="JR876" s="49"/>
      <c r="JS876" s="49"/>
      <c r="JT876" s="49"/>
      <c r="JU876" s="49"/>
      <c r="JV876" s="49"/>
      <c r="JW876" s="49"/>
      <c r="JX876" s="49"/>
      <c r="JY876" s="49"/>
      <c r="JZ876" s="49"/>
      <c r="KA876" s="49"/>
      <c r="KB876" s="49"/>
      <c r="KC876" s="49"/>
      <c r="KD876" s="49"/>
      <c r="KE876" s="49"/>
      <c r="KF876" s="49"/>
      <c r="KG876" s="49"/>
      <c r="KH876" s="49"/>
      <c r="KI876" s="49"/>
      <c r="KJ876" s="49"/>
      <c r="KK876" s="49"/>
      <c r="KL876" s="49"/>
      <c r="KM876" s="49"/>
      <c r="KN876" s="208"/>
      <c r="KO876" s="12"/>
      <c r="LF876" s="13"/>
      <c r="MV876" s="13"/>
      <c r="NN876" s="13"/>
      <c r="NU876" s="12"/>
      <c r="QO876" s="12"/>
      <c r="QR876" s="12"/>
      <c r="RR876" s="13"/>
      <c r="RU876" s="13"/>
      <c r="RX876" s="13"/>
      <c r="SG876" s="13"/>
    </row>
    <row r="877" spans="47:501" ht="10.75" customHeight="1">
      <c r="AZ877" s="13"/>
      <c r="BA877" s="9"/>
      <c r="BB877" s="10"/>
      <c r="BC877" s="10"/>
      <c r="BD877" s="10"/>
      <c r="BE877" s="10"/>
      <c r="BF877" s="10"/>
      <c r="BG877" s="10"/>
      <c r="BH877" s="10"/>
      <c r="BI877" s="10"/>
      <c r="BJ877" s="11"/>
      <c r="BK877" s="42"/>
      <c r="BL877" s="43"/>
      <c r="BM877" s="43"/>
      <c r="BN877" s="12"/>
      <c r="BO877" s="12"/>
      <c r="BT877" s="13"/>
      <c r="CK877" s="12"/>
      <c r="DH877" s="13"/>
      <c r="DJ877" s="160"/>
      <c r="DK877" s="161"/>
      <c r="DM877" s="12"/>
      <c r="DX877" s="13"/>
      <c r="FG877" s="13"/>
      <c r="FH877" s="43"/>
      <c r="FI877" s="43"/>
      <c r="FJ877" s="45"/>
      <c r="FZ877" s="13"/>
      <c r="IA877" s="12"/>
      <c r="IF877" s="13"/>
      <c r="IG877" s="12"/>
      <c r="IR877" s="13"/>
      <c r="IS877" s="214"/>
      <c r="IT877" s="49"/>
      <c r="IU877" s="49"/>
      <c r="IV877" s="49"/>
      <c r="IW877" s="49"/>
      <c r="IX877" s="49"/>
      <c r="IY877" s="49"/>
      <c r="IZ877" s="49"/>
      <c r="JA877" s="49"/>
      <c r="JB877" s="49"/>
      <c r="JC877" s="49"/>
      <c r="JD877" s="49"/>
      <c r="JE877" s="49"/>
      <c r="JF877" s="49"/>
      <c r="JG877" s="49"/>
      <c r="JH877" s="49"/>
      <c r="JI877" s="49"/>
      <c r="JJ877" s="49"/>
      <c r="JK877" s="49"/>
      <c r="JL877" s="49"/>
      <c r="JM877" s="49"/>
      <c r="JN877" s="49"/>
      <c r="JO877" s="49"/>
      <c r="JP877" s="49"/>
      <c r="JQ877" s="49"/>
      <c r="JR877" s="49"/>
      <c r="JS877" s="49"/>
      <c r="JT877" s="49"/>
      <c r="JU877" s="49"/>
      <c r="JV877" s="49"/>
      <c r="JW877" s="49"/>
      <c r="JX877" s="49"/>
      <c r="JY877" s="49"/>
      <c r="JZ877" s="49"/>
      <c r="KA877" s="49"/>
      <c r="KB877" s="49"/>
      <c r="KC877" s="49"/>
      <c r="KD877" s="49"/>
      <c r="KE877" s="49"/>
      <c r="KF877" s="49"/>
      <c r="KG877" s="49"/>
      <c r="KH877" s="49"/>
      <c r="KI877" s="49"/>
      <c r="KJ877" s="49"/>
      <c r="KK877" s="49"/>
      <c r="KL877" s="49"/>
      <c r="KM877" s="49"/>
      <c r="KN877" s="208"/>
      <c r="KO877" s="12"/>
      <c r="LF877" s="13"/>
      <c r="LU877" s="13"/>
      <c r="MV877" s="13"/>
      <c r="NN877" s="13"/>
      <c r="NU877" s="12"/>
      <c r="QO877" s="12"/>
      <c r="QR877" s="12"/>
      <c r="RR877" s="13"/>
      <c r="RU877" s="13"/>
      <c r="RX877" s="13"/>
      <c r="SG877" s="13"/>
    </row>
    <row r="878" spans="47:501" ht="10.75" customHeight="1">
      <c r="AZ878" s="13"/>
      <c r="BA878" s="12"/>
      <c r="BJ878" s="13"/>
      <c r="BK878" s="42"/>
      <c r="BL878" s="43"/>
      <c r="BM878" s="43"/>
      <c r="BN878" s="12"/>
      <c r="BO878" s="12"/>
      <c r="BT878" s="13"/>
      <c r="CK878" s="12"/>
      <c r="DH878" s="13"/>
      <c r="DJ878" s="160"/>
      <c r="DK878" s="161"/>
      <c r="DM878" s="12"/>
      <c r="DX878" s="13"/>
      <c r="FG878" s="13"/>
      <c r="FH878" s="43"/>
      <c r="FI878" s="43"/>
      <c r="FJ878" s="45"/>
      <c r="FZ878" s="13"/>
      <c r="IA878" s="12"/>
      <c r="IF878" s="13"/>
      <c r="IG878" s="12"/>
      <c r="IR878" s="13"/>
      <c r="IS878" s="214"/>
      <c r="IT878" s="49"/>
      <c r="IU878" s="49"/>
      <c r="IV878" s="49"/>
      <c r="IW878" s="49"/>
      <c r="IX878" s="49"/>
      <c r="IY878" s="49"/>
      <c r="IZ878" s="49"/>
      <c r="JA878" s="49"/>
      <c r="JB878" s="49"/>
      <c r="JC878" s="49"/>
      <c r="JD878" s="49"/>
      <c r="JE878" s="49"/>
      <c r="JF878" s="49"/>
      <c r="JG878" s="49"/>
      <c r="JH878" s="49"/>
      <c r="JI878" s="49"/>
      <c r="JJ878" s="49"/>
      <c r="JK878" s="49"/>
      <c r="JL878" s="49"/>
      <c r="JM878" s="49"/>
      <c r="JN878" s="49"/>
      <c r="JO878" s="49"/>
      <c r="JP878" s="49"/>
      <c r="JQ878" s="49"/>
      <c r="JR878" s="49"/>
      <c r="JS878" s="49"/>
      <c r="JT878" s="49"/>
      <c r="JU878" s="49"/>
      <c r="JV878" s="49"/>
      <c r="JW878" s="49"/>
      <c r="JX878" s="49"/>
      <c r="JY878" s="49"/>
      <c r="JZ878" s="49"/>
      <c r="KA878" s="49"/>
      <c r="KB878" s="49"/>
      <c r="KC878" s="49"/>
      <c r="KD878" s="49"/>
      <c r="KE878" s="49"/>
      <c r="KF878" s="49"/>
      <c r="KG878" s="49"/>
      <c r="KH878" s="49"/>
      <c r="KI878" s="49"/>
      <c r="KJ878" s="49"/>
      <c r="KK878" s="49"/>
      <c r="KL878" s="49"/>
      <c r="KM878" s="49"/>
      <c r="KN878" s="208"/>
      <c r="KO878" s="12"/>
      <c r="LF878" s="13"/>
      <c r="LU878" s="13"/>
      <c r="MV878" s="13"/>
      <c r="NU878" s="12"/>
      <c r="QO878" s="12"/>
      <c r="QR878" s="12"/>
      <c r="RR878" s="13"/>
      <c r="RU878" s="13"/>
      <c r="RX878" s="13"/>
      <c r="SG878" s="13"/>
    </row>
    <row r="879" spans="47:501" ht="10.75" customHeight="1">
      <c r="AZ879" s="13"/>
      <c r="BA879" s="12"/>
      <c r="BJ879" s="13"/>
      <c r="BK879" s="42"/>
      <c r="BL879" s="43"/>
      <c r="BM879" s="43"/>
      <c r="BN879" s="12"/>
      <c r="BO879" s="12"/>
      <c r="BT879" s="13"/>
      <c r="CK879" s="14"/>
      <c r="CL879" s="15"/>
      <c r="CM879" s="15"/>
      <c r="CN879" s="15"/>
      <c r="CO879" s="15"/>
      <c r="CP879" s="15"/>
      <c r="CQ879" s="15"/>
      <c r="CR879" s="15"/>
      <c r="CS879" s="15"/>
      <c r="CT879" s="15"/>
      <c r="CU879" s="15"/>
      <c r="CV879" s="15"/>
      <c r="CW879" s="15"/>
      <c r="CX879" s="15"/>
      <c r="CY879" s="15"/>
      <c r="CZ879" s="15"/>
      <c r="DA879" s="15"/>
      <c r="DB879" s="15"/>
      <c r="DC879" s="15"/>
      <c r="DD879" s="15"/>
      <c r="DE879" s="15"/>
      <c r="DF879" s="15"/>
      <c r="DG879" s="15"/>
      <c r="DH879" s="16"/>
      <c r="DJ879" s="160"/>
      <c r="DK879" s="161"/>
      <c r="DM879" s="14"/>
      <c r="DN879" s="15"/>
      <c r="DO879" s="15"/>
      <c r="DP879" s="15"/>
      <c r="DQ879" s="15"/>
      <c r="DR879" s="15"/>
      <c r="DS879" s="15"/>
      <c r="DT879" s="15"/>
      <c r="DU879" s="15"/>
      <c r="DV879" s="15"/>
      <c r="DW879" s="15"/>
      <c r="DX879" s="16"/>
      <c r="FG879" s="13"/>
      <c r="FH879" s="43"/>
      <c r="FI879" s="43"/>
      <c r="FJ879" s="45"/>
      <c r="FZ879" s="13"/>
      <c r="IA879" s="12"/>
      <c r="IF879" s="13"/>
      <c r="IG879" s="12"/>
      <c r="IR879" s="13"/>
      <c r="IS879" s="214"/>
      <c r="IT879" s="49"/>
      <c r="IU879" s="49"/>
      <c r="IV879" s="49"/>
      <c r="IW879" s="49"/>
      <c r="IX879" s="49"/>
      <c r="IY879" s="49"/>
      <c r="IZ879" s="49"/>
      <c r="JA879" s="49"/>
      <c r="JB879" s="49"/>
      <c r="JC879" s="49"/>
      <c r="JD879" s="49"/>
      <c r="JE879" s="49"/>
      <c r="JF879" s="49"/>
      <c r="JG879" s="49"/>
      <c r="JH879" s="49"/>
      <c r="JI879" s="49"/>
      <c r="JJ879" s="49"/>
      <c r="JK879" s="49"/>
      <c r="JL879" s="49"/>
      <c r="JM879" s="49"/>
      <c r="JN879" s="49"/>
      <c r="JO879" s="49"/>
      <c r="JP879" s="49"/>
      <c r="JQ879" s="49"/>
      <c r="JR879" s="49"/>
      <c r="JS879" s="49"/>
      <c r="JT879" s="49"/>
      <c r="JU879" s="49"/>
      <c r="JV879" s="49"/>
      <c r="JW879" s="49"/>
      <c r="JX879" s="49"/>
      <c r="JY879" s="49"/>
      <c r="JZ879" s="49"/>
      <c r="KA879" s="49"/>
      <c r="KB879" s="49"/>
      <c r="KC879" s="49"/>
      <c r="KD879" s="49"/>
      <c r="KE879" s="49"/>
      <c r="KF879" s="49"/>
      <c r="KG879" s="49"/>
      <c r="KH879" s="49"/>
      <c r="KI879" s="49"/>
      <c r="KJ879" s="49"/>
      <c r="KK879" s="49"/>
      <c r="KL879" s="49"/>
      <c r="KM879" s="49"/>
      <c r="KN879" s="208"/>
      <c r="KO879" s="12"/>
      <c r="LF879" s="13"/>
      <c r="LU879" s="13"/>
      <c r="MW879" s="10"/>
      <c r="MX879" s="10"/>
      <c r="MY879" s="10"/>
      <c r="MZ879" s="10"/>
      <c r="NA879" s="10"/>
      <c r="NB879" s="10"/>
      <c r="NC879" s="10"/>
      <c r="ND879" s="10"/>
      <c r="NE879" s="10"/>
      <c r="NF879" s="10"/>
      <c r="NG879" s="10"/>
      <c r="NH879" s="11"/>
      <c r="NU879" s="12"/>
      <c r="QO879" s="12"/>
      <c r="QR879" s="12"/>
      <c r="RR879" s="13"/>
      <c r="RU879" s="13"/>
      <c r="RX879" s="13"/>
      <c r="SG879" s="13"/>
    </row>
    <row r="880" spans="47:501" ht="10.75" customHeight="1" thickBot="1">
      <c r="AZ880" s="13"/>
      <c r="BA880" s="12"/>
      <c r="BJ880" s="13"/>
      <c r="BK880" s="56"/>
      <c r="BL880" s="57"/>
      <c r="BM880" s="58"/>
      <c r="BN880" s="12"/>
      <c r="BO880" s="12"/>
      <c r="BT880" s="13"/>
      <c r="DI880" s="56"/>
      <c r="DJ880" s="56"/>
      <c r="DK880" s="58"/>
      <c r="FG880" s="13"/>
      <c r="FH880" s="56"/>
      <c r="FI880" s="57"/>
      <c r="FJ880" s="58"/>
      <c r="FZ880" s="13"/>
      <c r="IA880" s="12"/>
      <c r="IF880" s="13"/>
      <c r="IG880" s="12"/>
      <c r="IR880" s="13"/>
      <c r="IS880" s="214"/>
      <c r="IT880" s="49"/>
      <c r="IU880" s="49"/>
      <c r="IV880" s="49"/>
      <c r="IW880" s="49"/>
      <c r="IX880" s="49"/>
      <c r="IY880" s="49"/>
      <c r="IZ880" s="49"/>
      <c r="JA880" s="49"/>
      <c r="JB880" s="49"/>
      <c r="JC880" s="49"/>
      <c r="JD880" s="49"/>
      <c r="JE880" s="49"/>
      <c r="JF880" s="49"/>
      <c r="JG880" s="49"/>
      <c r="JH880" s="49"/>
      <c r="JI880" s="49"/>
      <c r="JJ880" s="49"/>
      <c r="JK880" s="49"/>
      <c r="JL880" s="49"/>
      <c r="JM880" s="49"/>
      <c r="JN880" s="49"/>
      <c r="JO880" s="49"/>
      <c r="JP880" s="49"/>
      <c r="JQ880" s="49"/>
      <c r="JR880" s="49"/>
      <c r="JS880" s="49"/>
      <c r="JT880" s="49"/>
      <c r="JU880" s="49"/>
      <c r="JV880" s="49"/>
      <c r="JW880" s="49"/>
      <c r="JX880" s="49"/>
      <c r="JY880" s="49"/>
      <c r="JZ880" s="49"/>
      <c r="KA880" s="49"/>
      <c r="KB880" s="49"/>
      <c r="KC880" s="49"/>
      <c r="KD880" s="49"/>
      <c r="KE880" s="49"/>
      <c r="KF880" s="49"/>
      <c r="KG880" s="49"/>
      <c r="KH880" s="49"/>
      <c r="KI880" s="49"/>
      <c r="KJ880" s="49"/>
      <c r="KK880" s="49"/>
      <c r="KL880" s="49"/>
      <c r="KM880" s="49"/>
      <c r="KN880" s="208"/>
      <c r="KO880" s="12"/>
      <c r="LF880" s="13"/>
      <c r="LU880" s="13"/>
      <c r="NH880" s="13"/>
      <c r="NU880" s="12"/>
      <c r="QO880" s="12"/>
      <c r="QR880" s="12"/>
      <c r="RR880" s="13"/>
      <c r="RU880" s="13"/>
      <c r="RX880" s="13"/>
      <c r="SG880" s="13"/>
    </row>
    <row r="881" spans="52:501" ht="10.75" customHeight="1">
      <c r="AZ881" s="13"/>
      <c r="BA881" s="9"/>
      <c r="BB881" s="10"/>
      <c r="BC881" s="10"/>
      <c r="BD881" s="10"/>
      <c r="BE881" s="10"/>
      <c r="BF881" s="10"/>
      <c r="BG881" s="10"/>
      <c r="BH881" s="10"/>
      <c r="BI881" s="10"/>
      <c r="BJ881" s="11"/>
      <c r="BK881" s="96"/>
      <c r="BL881" s="97"/>
      <c r="BM881" s="98"/>
      <c r="BN881" s="305"/>
      <c r="BO881" s="305"/>
      <c r="BP881" s="306"/>
      <c r="BQ881" s="306"/>
      <c r="BR881" s="306"/>
      <c r="BS881" s="306"/>
      <c r="BT881" s="307"/>
      <c r="BU881" s="306"/>
      <c r="BV881" s="306"/>
      <c r="DI881" s="96"/>
      <c r="DJ881" s="96"/>
      <c r="DK881" s="98"/>
      <c r="EX881" s="306"/>
      <c r="EY881" s="306"/>
      <c r="EZ881" s="306"/>
      <c r="FA881" s="306"/>
      <c r="FB881" s="306"/>
      <c r="FC881" s="306"/>
      <c r="FD881" s="306"/>
      <c r="FE881" s="306"/>
      <c r="FF881" s="306"/>
      <c r="FG881" s="307"/>
      <c r="FH881" s="96"/>
      <c r="FI881" s="97"/>
      <c r="FJ881" s="98"/>
      <c r="FZ881" s="13"/>
      <c r="IA881" s="12"/>
      <c r="IF881" s="13"/>
      <c r="IG881" s="12"/>
      <c r="IR881" s="13"/>
      <c r="IS881" s="214"/>
      <c r="IT881" s="49"/>
      <c r="IU881" s="49"/>
      <c r="IV881" s="49"/>
      <c r="IW881" s="49"/>
      <c r="IX881" s="49"/>
      <c r="IY881" s="49"/>
      <c r="IZ881" s="49"/>
      <c r="JA881" s="49"/>
      <c r="JB881" s="49"/>
      <c r="JC881" s="49"/>
      <c r="JD881" s="49"/>
      <c r="JE881" s="49"/>
      <c r="JF881" s="49"/>
      <c r="JG881" s="49"/>
      <c r="JH881" s="49"/>
      <c r="JI881" s="49"/>
      <c r="JJ881" s="49"/>
      <c r="JK881" s="49"/>
      <c r="JL881" s="49"/>
      <c r="JM881" s="49"/>
      <c r="JN881" s="49"/>
      <c r="JO881" s="49"/>
      <c r="JP881" s="49"/>
      <c r="JQ881" s="49"/>
      <c r="JR881" s="49"/>
      <c r="JS881" s="49"/>
      <c r="JT881" s="49"/>
      <c r="JU881" s="49"/>
      <c r="JV881" s="49"/>
      <c r="JW881" s="49"/>
      <c r="JX881" s="49"/>
      <c r="JY881" s="49"/>
      <c r="JZ881" s="49"/>
      <c r="KA881" s="49"/>
      <c r="KB881" s="49"/>
      <c r="KC881" s="49"/>
      <c r="KD881" s="49"/>
      <c r="KE881" s="49"/>
      <c r="KF881" s="49"/>
      <c r="KG881" s="49"/>
      <c r="KH881" s="49"/>
      <c r="KI881" s="49"/>
      <c r="KJ881" s="49"/>
      <c r="KK881" s="49"/>
      <c r="KL881" s="49"/>
      <c r="KM881" s="49"/>
      <c r="KN881" s="208"/>
      <c r="KO881" s="12"/>
      <c r="LF881" s="13"/>
      <c r="LU881" s="13"/>
      <c r="NH881" s="13"/>
      <c r="NU881" s="12"/>
      <c r="QO881" s="12"/>
      <c r="QR881" s="12"/>
      <c r="RR881" s="13"/>
      <c r="RU881" s="13"/>
      <c r="RX881" s="13"/>
      <c r="SG881" s="13"/>
    </row>
    <row r="882" spans="52:501" ht="10.75" customHeight="1">
      <c r="AZ882" s="13"/>
      <c r="BA882" s="12"/>
      <c r="BJ882" s="13"/>
      <c r="BK882" s="96"/>
      <c r="BL882" s="97"/>
      <c r="BM882" s="98"/>
      <c r="BN882" s="12"/>
      <c r="BO882" s="12"/>
      <c r="BT882" s="13"/>
      <c r="DI882" s="96"/>
      <c r="DJ882" s="96"/>
      <c r="DK882" s="98"/>
      <c r="FG882" s="13"/>
      <c r="FH882" s="96"/>
      <c r="FI882" s="97"/>
      <c r="FJ882" s="98"/>
      <c r="FZ882" s="13"/>
      <c r="IA882" s="12"/>
      <c r="IF882" s="13"/>
      <c r="IG882" s="12"/>
      <c r="IR882" s="13"/>
      <c r="IS882" s="214"/>
      <c r="IT882" s="49"/>
      <c r="IU882" s="49"/>
      <c r="IV882" s="49"/>
      <c r="IW882" s="49"/>
      <c r="IX882" s="49"/>
      <c r="IY882" s="49"/>
      <c r="IZ882" s="49"/>
      <c r="JA882" s="49"/>
      <c r="JB882" s="49"/>
      <c r="JC882" s="49"/>
      <c r="JD882" s="49"/>
      <c r="JE882" s="49"/>
      <c r="JF882" s="49"/>
      <c r="JG882" s="49"/>
      <c r="JH882" s="49"/>
      <c r="JI882" s="49"/>
      <c r="JJ882" s="49"/>
      <c r="JK882" s="49"/>
      <c r="JL882" s="49"/>
      <c r="JM882" s="49"/>
      <c r="JN882" s="49"/>
      <c r="JO882" s="49"/>
      <c r="JP882" s="49"/>
      <c r="JQ882" s="49"/>
      <c r="JR882" s="49"/>
      <c r="JS882" s="49"/>
      <c r="JT882" s="49"/>
      <c r="JU882" s="49"/>
      <c r="JV882" s="49"/>
      <c r="JW882" s="49"/>
      <c r="JX882" s="49"/>
      <c r="JY882" s="49"/>
      <c r="JZ882" s="49"/>
      <c r="KA882" s="49"/>
      <c r="KB882" s="49"/>
      <c r="KC882" s="49"/>
      <c r="KD882" s="49"/>
      <c r="KE882" s="49"/>
      <c r="KF882" s="49"/>
      <c r="KG882" s="49"/>
      <c r="KH882" s="49"/>
      <c r="KI882" s="49"/>
      <c r="KJ882" s="49"/>
      <c r="KK882" s="49"/>
      <c r="KL882" s="49"/>
      <c r="KM882" s="49"/>
      <c r="KN882" s="208"/>
      <c r="KO882" s="12"/>
      <c r="LF882" s="13"/>
      <c r="LU882" s="13"/>
      <c r="NH882" s="13"/>
      <c r="QO882" s="12"/>
      <c r="QR882" s="12"/>
      <c r="RR882" s="13"/>
      <c r="RU882" s="13"/>
      <c r="RX882" s="13"/>
      <c r="SG882" s="13"/>
    </row>
    <row r="883" spans="52:501" ht="10.75" customHeight="1" thickBot="1">
      <c r="AZ883" s="13"/>
      <c r="BA883" s="12"/>
      <c r="BJ883" s="13"/>
      <c r="BK883" s="59"/>
      <c r="BL883" s="60"/>
      <c r="BM883" s="61"/>
      <c r="BN883" s="303"/>
      <c r="BO883" s="303"/>
      <c r="BP883" s="304"/>
      <c r="BQ883" s="304"/>
      <c r="BR883" s="304"/>
      <c r="BS883" s="304"/>
      <c r="BT883" s="308"/>
      <c r="BU883" s="304"/>
      <c r="BV883" s="304"/>
      <c r="DI883" s="59"/>
      <c r="DJ883" s="59"/>
      <c r="DK883" s="61"/>
      <c r="EX883" s="304"/>
      <c r="EY883" s="304"/>
      <c r="EZ883" s="304"/>
      <c r="FA883" s="304"/>
      <c r="FB883" s="304"/>
      <c r="FC883" s="304"/>
      <c r="FD883" s="304"/>
      <c r="FE883" s="304"/>
      <c r="FF883" s="304"/>
      <c r="FG883" s="308"/>
      <c r="FH883" s="59"/>
      <c r="FI883" s="60"/>
      <c r="FJ883" s="61"/>
      <c r="FZ883" s="13"/>
      <c r="IA883" s="12"/>
      <c r="IF883" s="13"/>
      <c r="IG883" s="12"/>
      <c r="IR883" s="13"/>
      <c r="IS883" s="214"/>
      <c r="IT883" s="49"/>
      <c r="IU883" s="49"/>
      <c r="IV883" s="49"/>
      <c r="IW883" s="49"/>
      <c r="IX883" s="49"/>
      <c r="IY883" s="49"/>
      <c r="IZ883" s="49"/>
      <c r="JA883" s="49"/>
      <c r="JB883" s="49"/>
      <c r="JC883" s="49"/>
      <c r="JD883" s="49"/>
      <c r="JE883" s="49"/>
      <c r="JF883" s="49"/>
      <c r="JG883" s="49"/>
      <c r="JH883" s="49"/>
      <c r="JI883" s="49"/>
      <c r="JJ883" s="49"/>
      <c r="JK883" s="49"/>
      <c r="JL883" s="49"/>
      <c r="JM883" s="49"/>
      <c r="JN883" s="49"/>
      <c r="JO883" s="49"/>
      <c r="JP883" s="49"/>
      <c r="JQ883" s="49"/>
      <c r="JR883" s="49"/>
      <c r="JS883" s="49"/>
      <c r="JT883" s="49"/>
      <c r="JU883" s="49"/>
      <c r="JV883" s="49"/>
      <c r="JW883" s="49"/>
      <c r="JX883" s="49"/>
      <c r="JY883" s="49"/>
      <c r="JZ883" s="49"/>
      <c r="KA883" s="49"/>
      <c r="KB883" s="49"/>
      <c r="KC883" s="49"/>
      <c r="KD883" s="49"/>
      <c r="KE883" s="49"/>
      <c r="KF883" s="49"/>
      <c r="KG883" s="49"/>
      <c r="KH883" s="49"/>
      <c r="KI883" s="49"/>
      <c r="KJ883" s="49"/>
      <c r="KK883" s="49"/>
      <c r="KL883" s="49"/>
      <c r="KM883" s="49"/>
      <c r="KN883" s="208"/>
      <c r="KO883" s="12"/>
      <c r="LF883" s="13"/>
      <c r="LU883" s="13"/>
      <c r="NH883" s="13"/>
      <c r="QO883" s="12"/>
      <c r="QR883" s="12"/>
      <c r="RR883" s="13"/>
      <c r="RU883" s="13"/>
      <c r="RX883" s="13"/>
      <c r="SG883" s="13"/>
    </row>
    <row r="884" spans="52:501" ht="10.75" customHeight="1">
      <c r="AZ884" s="13"/>
      <c r="BA884" s="12"/>
      <c r="BJ884" s="13"/>
      <c r="BK884" s="40"/>
      <c r="BL884" s="41"/>
      <c r="BM884" s="44"/>
      <c r="BN884" s="12"/>
      <c r="BO884" s="12"/>
      <c r="BT884" s="13"/>
      <c r="DJ884" s="160"/>
      <c r="DK884" s="161"/>
      <c r="FG884" s="13"/>
      <c r="FH884" s="43"/>
      <c r="FI884" s="43"/>
      <c r="FJ884" s="45"/>
      <c r="FZ884" s="13"/>
      <c r="IA884" s="12"/>
      <c r="IF884" s="13"/>
      <c r="IG884" s="12"/>
      <c r="IR884" s="13"/>
      <c r="IS884" s="214"/>
      <c r="IT884" s="49"/>
      <c r="IU884" s="49"/>
      <c r="IV884" s="49"/>
      <c r="IW884" s="49"/>
      <c r="IX884" s="49"/>
      <c r="IY884" s="49"/>
      <c r="IZ884" s="49"/>
      <c r="JA884" s="49"/>
      <c r="JB884" s="49"/>
      <c r="JC884" s="49"/>
      <c r="JD884" s="49"/>
      <c r="JE884" s="49"/>
      <c r="JF884" s="49"/>
      <c r="JG884" s="49"/>
      <c r="JH884" s="49"/>
      <c r="JI884" s="49"/>
      <c r="JJ884" s="49"/>
      <c r="JK884" s="49"/>
      <c r="JL884" s="49"/>
      <c r="JM884" s="49"/>
      <c r="JN884" s="49"/>
      <c r="JO884" s="49"/>
      <c r="JP884" s="49"/>
      <c r="JQ884" s="49"/>
      <c r="JR884" s="49"/>
      <c r="JS884" s="49"/>
      <c r="JT884" s="49"/>
      <c r="JU884" s="49"/>
      <c r="JV884" s="49"/>
      <c r="JW884" s="49"/>
      <c r="JX884" s="49"/>
      <c r="JY884" s="49"/>
      <c r="JZ884" s="49"/>
      <c r="KA884" s="49"/>
      <c r="KB884" s="49"/>
      <c r="KC884" s="49"/>
      <c r="KD884" s="49"/>
      <c r="KE884" s="49"/>
      <c r="KF884" s="49"/>
      <c r="KG884" s="49"/>
      <c r="KH884" s="49"/>
      <c r="KI884" s="49"/>
      <c r="KJ884" s="49"/>
      <c r="KK884" s="49"/>
      <c r="KL884" s="49"/>
      <c r="KM884" s="49"/>
      <c r="KN884" s="208"/>
      <c r="KO884" s="12"/>
      <c r="LF884" s="13"/>
      <c r="LU884" s="13"/>
      <c r="MG884" s="13"/>
      <c r="NH884" s="13"/>
      <c r="QO884" s="12"/>
      <c r="QR884" s="12"/>
      <c r="RR884" s="13"/>
      <c r="RU884" s="13"/>
      <c r="RX884" s="13"/>
      <c r="SG884" s="13"/>
    </row>
    <row r="885" spans="52:501" ht="10.75" customHeight="1">
      <c r="AZ885" s="13"/>
      <c r="BA885" s="9"/>
      <c r="BB885" s="10"/>
      <c r="BC885" s="10"/>
      <c r="BD885" s="10"/>
      <c r="BE885" s="10"/>
      <c r="BF885" s="10"/>
      <c r="BG885" s="10"/>
      <c r="BH885" s="10"/>
      <c r="BI885" s="10"/>
      <c r="BJ885" s="11"/>
      <c r="BK885" s="42"/>
      <c r="BL885" s="43"/>
      <c r="BM885" s="45"/>
      <c r="BN885" s="12"/>
      <c r="BO885" s="12"/>
      <c r="BT885" s="13"/>
      <c r="DJ885" s="160"/>
      <c r="DK885" s="161"/>
      <c r="FG885" s="13"/>
      <c r="FH885" s="43"/>
      <c r="FI885" s="43"/>
      <c r="FJ885" s="45"/>
      <c r="FZ885" s="13"/>
      <c r="IA885" s="12"/>
      <c r="IF885" s="13"/>
      <c r="IG885" s="12"/>
      <c r="IR885" s="13"/>
      <c r="IS885" s="214"/>
      <c r="IT885" s="49"/>
      <c r="IU885" s="49"/>
      <c r="IV885" s="49"/>
      <c r="IW885" s="49"/>
      <c r="IX885" s="49"/>
      <c r="IY885" s="49"/>
      <c r="IZ885" s="49"/>
      <c r="JA885" s="49"/>
      <c r="JB885" s="49"/>
      <c r="JC885" s="49"/>
      <c r="JD885" s="49"/>
      <c r="JE885" s="49"/>
      <c r="JF885" s="49"/>
      <c r="JG885" s="49"/>
      <c r="JH885" s="49"/>
      <c r="JI885" s="49"/>
      <c r="JJ885" s="49"/>
      <c r="JK885" s="49"/>
      <c r="JL885" s="49"/>
      <c r="JM885" s="49"/>
      <c r="JN885" s="49"/>
      <c r="JO885" s="49"/>
      <c r="JP885" s="49"/>
      <c r="JQ885" s="49"/>
      <c r="JR885" s="49"/>
      <c r="JS885" s="49"/>
      <c r="JT885" s="49"/>
      <c r="JU885" s="49"/>
      <c r="JV885" s="49"/>
      <c r="JW885" s="49"/>
      <c r="JX885" s="49"/>
      <c r="JY885" s="49"/>
      <c r="JZ885" s="49"/>
      <c r="KA885" s="49"/>
      <c r="KB885" s="49"/>
      <c r="KC885" s="49"/>
      <c r="KD885" s="49"/>
      <c r="KE885" s="49"/>
      <c r="KF885" s="49"/>
      <c r="KG885" s="49"/>
      <c r="KH885" s="49"/>
      <c r="KI885" s="49"/>
      <c r="KJ885" s="49"/>
      <c r="KK885" s="49"/>
      <c r="KL885" s="49"/>
      <c r="KM885" s="49"/>
      <c r="KN885" s="208"/>
      <c r="KO885" s="12"/>
      <c r="LF885" s="13"/>
      <c r="LU885" s="13"/>
      <c r="MG885" s="13"/>
      <c r="NH885" s="13"/>
      <c r="QO885" s="12"/>
      <c r="QR885" s="12"/>
      <c r="RR885" s="13"/>
      <c r="RU885" s="13"/>
      <c r="RX885" s="13"/>
      <c r="SG885" s="13"/>
    </row>
    <row r="886" spans="52:501" ht="10.75" customHeight="1">
      <c r="AZ886" s="13"/>
      <c r="BA886" s="12"/>
      <c r="BJ886" s="13"/>
      <c r="BK886" s="42"/>
      <c r="BL886" s="43"/>
      <c r="BM886" s="45"/>
      <c r="BN886" s="12"/>
      <c r="BO886" s="12"/>
      <c r="BT886" s="13"/>
      <c r="DJ886" s="160"/>
      <c r="DK886" s="161"/>
      <c r="FG886" s="13"/>
      <c r="FH886" s="43"/>
      <c r="FI886" s="43"/>
      <c r="FJ886" s="45"/>
      <c r="FZ886" s="13"/>
      <c r="IA886" s="12"/>
      <c r="IF886" s="13"/>
      <c r="IG886" s="12"/>
      <c r="IR886" s="13"/>
      <c r="IS886" s="214"/>
      <c r="IT886" s="49"/>
      <c r="IU886" s="49"/>
      <c r="IV886" s="49"/>
      <c r="IW886" s="49"/>
      <c r="IX886" s="49"/>
      <c r="IY886" s="49"/>
      <c r="IZ886" s="49"/>
      <c r="JA886" s="49"/>
      <c r="JB886" s="49"/>
      <c r="JC886" s="49"/>
      <c r="JD886" s="49"/>
      <c r="JE886" s="49"/>
      <c r="JF886" s="49"/>
      <c r="JG886" s="49"/>
      <c r="JH886" s="49"/>
      <c r="JI886" s="49"/>
      <c r="JJ886" s="49"/>
      <c r="JK886" s="49"/>
      <c r="JL886" s="49"/>
      <c r="JM886" s="49"/>
      <c r="JN886" s="49"/>
      <c r="JO886" s="49"/>
      <c r="JP886" s="49"/>
      <c r="JQ886" s="49"/>
      <c r="JR886" s="49"/>
      <c r="JS886" s="49"/>
      <c r="JT886" s="49"/>
      <c r="JU886" s="49"/>
      <c r="JV886" s="49"/>
      <c r="JW886" s="49"/>
      <c r="JX886" s="49"/>
      <c r="JY886" s="49"/>
      <c r="JZ886" s="49"/>
      <c r="KA886" s="49"/>
      <c r="KB886" s="49"/>
      <c r="KC886" s="49"/>
      <c r="KD886" s="49"/>
      <c r="KE886" s="49"/>
      <c r="KF886" s="49"/>
      <c r="KG886" s="49"/>
      <c r="KH886" s="49"/>
      <c r="KI886" s="49"/>
      <c r="KJ886" s="49"/>
      <c r="KK886" s="49"/>
      <c r="KL886" s="49"/>
      <c r="KM886" s="49"/>
      <c r="KN886" s="208"/>
      <c r="KO886" s="12"/>
      <c r="LF886" s="13"/>
      <c r="LU886" s="13"/>
      <c r="MG886" s="13"/>
      <c r="NI886" s="10"/>
      <c r="NJ886" s="10"/>
      <c r="NK886" s="10"/>
      <c r="NL886" s="10"/>
      <c r="NM886" s="10"/>
      <c r="NN886" s="10"/>
      <c r="NO886" s="10"/>
      <c r="NP886" s="10"/>
      <c r="NQ886" s="10"/>
      <c r="NR886" s="10"/>
      <c r="NS886" s="10"/>
      <c r="NT886" s="11"/>
      <c r="QO886" s="12"/>
      <c r="QR886" s="12"/>
      <c r="RR886" s="13"/>
      <c r="RU886" s="13"/>
      <c r="RX886" s="13"/>
      <c r="SG886" s="13"/>
    </row>
    <row r="887" spans="52:501" ht="10.75" customHeight="1">
      <c r="AZ887" s="13"/>
      <c r="BA887" s="12"/>
      <c r="BJ887" s="13"/>
      <c r="BK887" s="42"/>
      <c r="BL887" s="43"/>
      <c r="BM887" s="45"/>
      <c r="BN887" s="12"/>
      <c r="BO887" s="12"/>
      <c r="BT887" s="13"/>
      <c r="DJ887" s="160"/>
      <c r="DK887" s="161"/>
      <c r="FG887" s="13"/>
      <c r="FH887" s="43"/>
      <c r="FI887" s="43"/>
      <c r="FJ887" s="45"/>
      <c r="FZ887" s="13"/>
      <c r="IA887" s="12"/>
      <c r="IF887" s="13"/>
      <c r="IG887" s="12"/>
      <c r="IR887" s="13"/>
      <c r="IS887" s="214"/>
      <c r="IT887" s="49"/>
      <c r="IU887" s="49"/>
      <c r="IV887" s="49"/>
      <c r="IW887" s="49"/>
      <c r="IX887" s="49"/>
      <c r="IY887" s="49"/>
      <c r="IZ887" s="49"/>
      <c r="JA887" s="49"/>
      <c r="JB887" s="49"/>
      <c r="JC887" s="49"/>
      <c r="JD887" s="49"/>
      <c r="JE887" s="49"/>
      <c r="JF887" s="49"/>
      <c r="JG887" s="49"/>
      <c r="JH887" s="49"/>
      <c r="JI887" s="49"/>
      <c r="JJ887" s="49"/>
      <c r="JK887" s="49"/>
      <c r="JL887" s="49"/>
      <c r="JM887" s="49"/>
      <c r="JN887" s="49"/>
      <c r="JO887" s="49"/>
      <c r="JP887" s="49"/>
      <c r="JQ887" s="49"/>
      <c r="JR887" s="49"/>
      <c r="JS887" s="49"/>
      <c r="JT887" s="49"/>
      <c r="JU887" s="49"/>
      <c r="JV887" s="49"/>
      <c r="JW887" s="49"/>
      <c r="JX887" s="49"/>
      <c r="JY887" s="49"/>
      <c r="JZ887" s="49"/>
      <c r="KA887" s="49"/>
      <c r="KB887" s="49"/>
      <c r="KC887" s="49"/>
      <c r="KD887" s="49"/>
      <c r="KE887" s="49"/>
      <c r="KF887" s="49"/>
      <c r="KG887" s="49"/>
      <c r="KH887" s="49"/>
      <c r="KI887" s="49"/>
      <c r="KJ887" s="49"/>
      <c r="KK887" s="49"/>
      <c r="KL887" s="49"/>
      <c r="KM887" s="49"/>
      <c r="KN887" s="208"/>
      <c r="KO887" s="12"/>
      <c r="LF887" s="13"/>
      <c r="LU887" s="13"/>
      <c r="MG887" s="13"/>
      <c r="NT887" s="13"/>
      <c r="QO887" s="12"/>
      <c r="QR887" s="12"/>
      <c r="RR887" s="13"/>
      <c r="RU887" s="13"/>
      <c r="RX887" s="13"/>
      <c r="SG887" s="13"/>
    </row>
    <row r="888" spans="52:501" ht="10.75" customHeight="1">
      <c r="AZ888" s="13"/>
      <c r="BA888" s="14"/>
      <c r="BB888" s="15"/>
      <c r="BC888" s="15"/>
      <c r="BD888" s="15"/>
      <c r="BE888" s="15"/>
      <c r="BF888" s="15"/>
      <c r="BG888" s="15"/>
      <c r="BH888" s="15"/>
      <c r="BI888" s="15"/>
      <c r="BJ888" s="16"/>
      <c r="BK888" s="42"/>
      <c r="BL888" s="43"/>
      <c r="BM888" s="45"/>
      <c r="BN888" s="12"/>
      <c r="BO888" s="12"/>
      <c r="BT888" s="13"/>
      <c r="DJ888" s="160"/>
      <c r="DK888" s="161"/>
      <c r="FG888" s="13"/>
      <c r="FH888" s="43"/>
      <c r="FI888" s="43"/>
      <c r="FJ888" s="45"/>
      <c r="FZ888" s="13"/>
      <c r="IA888" s="12"/>
      <c r="IF888" s="13"/>
      <c r="IG888" s="12"/>
      <c r="IR888" s="13"/>
      <c r="IS888" s="214"/>
      <c r="IT888" s="49"/>
      <c r="IU888" s="49"/>
      <c r="IV888" s="49"/>
      <c r="IW888" s="49"/>
      <c r="IX888" s="49"/>
      <c r="IY888" s="49"/>
      <c r="IZ888" s="49"/>
      <c r="JA888" s="49"/>
      <c r="JB888" s="49"/>
      <c r="JC888" s="49"/>
      <c r="JD888" s="49"/>
      <c r="JE888" s="49"/>
      <c r="JF888" s="49"/>
      <c r="JG888" s="49"/>
      <c r="JH888" s="49"/>
      <c r="JI888" s="49"/>
      <c r="JJ888" s="49"/>
      <c r="JK888" s="49"/>
      <c r="JL888" s="49"/>
      <c r="JM888" s="49"/>
      <c r="JN888" s="49"/>
      <c r="JO888" s="49"/>
      <c r="JP888" s="49"/>
      <c r="JQ888" s="49"/>
      <c r="JR888" s="49"/>
      <c r="JS888" s="49"/>
      <c r="JT888" s="49"/>
      <c r="JU888" s="49"/>
      <c r="JV888" s="49"/>
      <c r="JW888" s="49"/>
      <c r="JX888" s="49"/>
      <c r="JY888" s="49"/>
      <c r="JZ888" s="49"/>
      <c r="KA888" s="49"/>
      <c r="KB888" s="49"/>
      <c r="KC888" s="49"/>
      <c r="KD888" s="49"/>
      <c r="KE888" s="49"/>
      <c r="KF888" s="49"/>
      <c r="KG888" s="49"/>
      <c r="KH888" s="49"/>
      <c r="KI888" s="49"/>
      <c r="KJ888" s="49"/>
      <c r="KK888" s="49"/>
      <c r="KL888" s="49"/>
      <c r="KM888" s="49"/>
      <c r="KN888" s="208"/>
      <c r="KO888" s="12"/>
      <c r="LF888" s="13"/>
      <c r="LU888" s="13"/>
      <c r="MG888" s="13"/>
      <c r="NT888" s="13"/>
      <c r="QO888" s="12"/>
      <c r="QR888" s="12"/>
      <c r="RR888" s="13"/>
      <c r="RU888" s="13"/>
      <c r="RX888" s="13"/>
      <c r="SG888" s="13"/>
    </row>
    <row r="889" spans="52:501" ht="10.75" customHeight="1">
      <c r="AZ889" s="13"/>
      <c r="BA889" s="9"/>
      <c r="BB889" s="10"/>
      <c r="BC889" s="10"/>
      <c r="BD889" s="10"/>
      <c r="BE889" s="10"/>
      <c r="BF889" s="10"/>
      <c r="BG889" s="10"/>
      <c r="BH889" s="10"/>
      <c r="BI889" s="10"/>
      <c r="BJ889" s="11"/>
      <c r="BK889" s="42"/>
      <c r="BL889" s="43"/>
      <c r="BM889" s="45"/>
      <c r="BN889" s="12"/>
      <c r="BO889" s="12"/>
      <c r="BT889" s="13"/>
      <c r="DJ889" s="160"/>
      <c r="DK889" s="161"/>
      <c r="FG889" s="13"/>
      <c r="FH889" s="43"/>
      <c r="FI889" s="43"/>
      <c r="FJ889" s="45"/>
      <c r="FZ889" s="13"/>
      <c r="IA889" s="12"/>
      <c r="IF889" s="13"/>
      <c r="IG889" s="12"/>
      <c r="IR889" s="13"/>
      <c r="IS889" s="214"/>
      <c r="IT889" s="49"/>
      <c r="IU889" s="49"/>
      <c r="IV889" s="49"/>
      <c r="IW889" s="49"/>
      <c r="IX889" s="49"/>
      <c r="IY889" s="49"/>
      <c r="IZ889" s="49"/>
      <c r="JA889" s="49"/>
      <c r="JB889" s="49"/>
      <c r="JC889" s="49"/>
      <c r="JD889" s="49"/>
      <c r="JE889" s="49"/>
      <c r="JF889" s="49"/>
      <c r="JG889" s="49"/>
      <c r="JH889" s="49"/>
      <c r="JI889" s="49"/>
      <c r="JJ889" s="49"/>
      <c r="JK889" s="49"/>
      <c r="JL889" s="49"/>
      <c r="JM889" s="49"/>
      <c r="JN889" s="49"/>
      <c r="JO889" s="49"/>
      <c r="JP889" s="49"/>
      <c r="JQ889" s="49"/>
      <c r="JR889" s="49"/>
      <c r="JS889" s="49"/>
      <c r="JT889" s="49"/>
      <c r="JU889" s="49"/>
      <c r="JV889" s="49"/>
      <c r="JW889" s="49"/>
      <c r="JX889" s="49"/>
      <c r="JY889" s="49"/>
      <c r="JZ889" s="49"/>
      <c r="KA889" s="49"/>
      <c r="KB889" s="49"/>
      <c r="KC889" s="49"/>
      <c r="KD889" s="49"/>
      <c r="KE889" s="49"/>
      <c r="KF889" s="49"/>
      <c r="KG889" s="49"/>
      <c r="KH889" s="49"/>
      <c r="KI889" s="49"/>
      <c r="KJ889" s="49"/>
      <c r="KK889" s="49"/>
      <c r="KL889" s="49"/>
      <c r="KM889" s="49"/>
      <c r="KN889" s="208"/>
      <c r="KO889" s="12"/>
      <c r="LF889" s="13"/>
      <c r="LU889" s="13"/>
      <c r="MG889" s="13"/>
      <c r="NT889" s="13"/>
      <c r="QO889" s="12"/>
      <c r="QR889" s="12"/>
      <c r="RR889" s="13"/>
      <c r="RU889" s="13"/>
      <c r="RX889" s="13"/>
      <c r="SG889" s="13"/>
    </row>
    <row r="890" spans="52:501" ht="10.75" customHeight="1">
      <c r="AZ890" s="13"/>
      <c r="BA890" s="12"/>
      <c r="BJ890" s="13"/>
      <c r="BK890" s="42"/>
      <c r="BL890" s="43"/>
      <c r="BM890" s="45"/>
      <c r="BN890" s="12"/>
      <c r="BO890" s="12"/>
      <c r="BT890" s="13"/>
      <c r="DJ890" s="160"/>
      <c r="DK890" s="161"/>
      <c r="FG890" s="13"/>
      <c r="FH890" s="43"/>
      <c r="FI890" s="43"/>
      <c r="FJ890" s="45"/>
      <c r="FZ890" s="13"/>
      <c r="IA890" s="12"/>
      <c r="IF890" s="13"/>
      <c r="IG890" s="12"/>
      <c r="IR890" s="13"/>
      <c r="IS890" s="214"/>
      <c r="IT890" s="49"/>
      <c r="IU890" s="49"/>
      <c r="IV890" s="49"/>
      <c r="IW890" s="49"/>
      <c r="IX890" s="49"/>
      <c r="IY890" s="49"/>
      <c r="IZ890" s="49"/>
      <c r="JA890" s="49"/>
      <c r="JB890" s="49"/>
      <c r="JC890" s="49"/>
      <c r="JD890" s="49"/>
      <c r="JE890" s="49"/>
      <c r="JF890" s="49"/>
      <c r="JG890" s="49"/>
      <c r="JH890" s="49"/>
      <c r="JI890" s="49"/>
      <c r="JJ890" s="49"/>
      <c r="JK890" s="49"/>
      <c r="JL890" s="49"/>
      <c r="JM890" s="49"/>
      <c r="JN890" s="49"/>
      <c r="JO890" s="49"/>
      <c r="JP890" s="49"/>
      <c r="JQ890" s="49"/>
      <c r="JR890" s="49"/>
      <c r="JS890" s="49"/>
      <c r="JT890" s="49"/>
      <c r="JU890" s="49"/>
      <c r="JV890" s="49"/>
      <c r="JW890" s="49"/>
      <c r="JX890" s="49"/>
      <c r="JY890" s="49"/>
      <c r="JZ890" s="49"/>
      <c r="KA890" s="49"/>
      <c r="KB890" s="49"/>
      <c r="KC890" s="49"/>
      <c r="KD890" s="49"/>
      <c r="KE890" s="49"/>
      <c r="KF890" s="49"/>
      <c r="KG890" s="49"/>
      <c r="KH890" s="49"/>
      <c r="KI890" s="49"/>
      <c r="KJ890" s="49"/>
      <c r="KK890" s="49"/>
      <c r="KL890" s="49"/>
      <c r="KM890" s="49"/>
      <c r="KN890" s="208"/>
      <c r="KO890" s="12"/>
      <c r="LF890" s="13"/>
      <c r="LU890" s="13"/>
      <c r="MG890" s="13"/>
      <c r="NT890" s="13"/>
      <c r="QO890" s="12"/>
      <c r="QR890" s="12"/>
      <c r="RR890" s="13"/>
      <c r="RU890" s="13"/>
      <c r="RX890" s="13"/>
      <c r="SG890" s="13"/>
    </row>
    <row r="891" spans="52:501" ht="10.75" customHeight="1">
      <c r="AZ891" s="13"/>
      <c r="BA891" s="12"/>
      <c r="BJ891" s="13"/>
      <c r="BK891" s="42"/>
      <c r="BL891" s="43"/>
      <c r="BM891" s="45"/>
      <c r="BN891" s="12"/>
      <c r="BO891" s="12"/>
      <c r="BT891" s="13"/>
      <c r="DJ891" s="160"/>
      <c r="DK891" s="161"/>
      <c r="FG891" s="13"/>
      <c r="FH891" s="43"/>
      <c r="FI891" s="43"/>
      <c r="FJ891" s="45"/>
      <c r="FZ891" s="13"/>
      <c r="IA891" s="12"/>
      <c r="IF891" s="13"/>
      <c r="IG891" s="12"/>
      <c r="IR891" s="13"/>
      <c r="IS891" s="214"/>
      <c r="IT891" s="49"/>
      <c r="IU891" s="49"/>
      <c r="IV891" s="49"/>
      <c r="IW891" s="49"/>
      <c r="IX891" s="49"/>
      <c r="IY891" s="49"/>
      <c r="IZ891" s="49"/>
      <c r="JA891" s="49"/>
      <c r="JB891" s="49"/>
      <c r="JC891" s="49"/>
      <c r="JD891" s="49"/>
      <c r="JE891" s="49"/>
      <c r="JF891" s="49"/>
      <c r="JG891" s="49"/>
      <c r="JH891" s="49"/>
      <c r="JI891" s="49"/>
      <c r="JJ891" s="49"/>
      <c r="JK891" s="49"/>
      <c r="JL891" s="49"/>
      <c r="JM891" s="49"/>
      <c r="JN891" s="49"/>
      <c r="JO891" s="49"/>
      <c r="JP891" s="49"/>
      <c r="JQ891" s="49"/>
      <c r="JR891" s="49"/>
      <c r="JS891" s="49"/>
      <c r="JT891" s="49"/>
      <c r="JU891" s="49"/>
      <c r="JV891" s="49"/>
      <c r="JW891" s="49"/>
      <c r="JX891" s="49"/>
      <c r="JY891" s="49"/>
      <c r="JZ891" s="49"/>
      <c r="KA891" s="49"/>
      <c r="KB891" s="49"/>
      <c r="KC891" s="49"/>
      <c r="KD891" s="49"/>
      <c r="KE891" s="49"/>
      <c r="KF891" s="49"/>
      <c r="KG891" s="49"/>
      <c r="KH891" s="49"/>
      <c r="KI891" s="49"/>
      <c r="KJ891" s="49"/>
      <c r="KK891" s="49"/>
      <c r="KL891" s="49"/>
      <c r="KM891" s="49"/>
      <c r="KN891" s="208"/>
      <c r="KO891" s="12"/>
      <c r="LF891" s="13"/>
      <c r="LU891" s="13"/>
      <c r="MG891" s="13"/>
      <c r="NT891" s="13"/>
      <c r="QO891" s="12"/>
      <c r="QR891" s="12"/>
      <c r="RR891" s="13"/>
      <c r="RU891" s="13"/>
      <c r="RX891" s="13"/>
      <c r="SG891" s="13"/>
    </row>
    <row r="892" spans="52:501" ht="10.75" customHeight="1">
      <c r="AZ892" s="13"/>
      <c r="BA892" s="14"/>
      <c r="BB892" s="15"/>
      <c r="BC892" s="15"/>
      <c r="BD892" s="15"/>
      <c r="BE892" s="15"/>
      <c r="BF892" s="15"/>
      <c r="BG892" s="15"/>
      <c r="BH892" s="15"/>
      <c r="BI892" s="15"/>
      <c r="BJ892" s="16"/>
      <c r="BK892" s="42"/>
      <c r="BL892" s="43"/>
      <c r="BM892" s="45"/>
      <c r="BN892" s="12"/>
      <c r="BO892" s="12"/>
      <c r="BT892" s="13"/>
      <c r="DJ892" s="160"/>
      <c r="DK892" s="161"/>
      <c r="FG892" s="13"/>
      <c r="FH892" s="43"/>
      <c r="FI892" s="43"/>
      <c r="FJ892" s="45"/>
      <c r="FZ892" s="13"/>
      <c r="IA892" s="12"/>
      <c r="IF892" s="13"/>
      <c r="IG892" s="12"/>
      <c r="IR892" s="13"/>
      <c r="IS892" s="214"/>
      <c r="IT892" s="49"/>
      <c r="IU892" s="49"/>
      <c r="IV892" s="49"/>
      <c r="IW892" s="49"/>
      <c r="IX892" s="49"/>
      <c r="IY892" s="49"/>
      <c r="IZ892" s="49"/>
      <c r="JA892" s="49"/>
      <c r="JB892" s="49"/>
      <c r="JC892" s="49"/>
      <c r="JD892" s="49"/>
      <c r="JE892" s="49"/>
      <c r="JF892" s="49"/>
      <c r="JG892" s="49"/>
      <c r="JH892" s="49"/>
      <c r="JI892" s="49"/>
      <c r="JJ892" s="49"/>
      <c r="JK892" s="49"/>
      <c r="JL892" s="49"/>
      <c r="JM892" s="49"/>
      <c r="JN892" s="49"/>
      <c r="JO892" s="49"/>
      <c r="JP892" s="49"/>
      <c r="JQ892" s="49"/>
      <c r="JR892" s="49"/>
      <c r="JS892" s="49"/>
      <c r="JT892" s="49"/>
      <c r="JU892" s="49"/>
      <c r="JV892" s="49"/>
      <c r="JW892" s="49"/>
      <c r="JX892" s="49"/>
      <c r="JY892" s="49"/>
      <c r="JZ892" s="49"/>
      <c r="KA892" s="49"/>
      <c r="KB892" s="49"/>
      <c r="KC892" s="49"/>
      <c r="KD892" s="49"/>
      <c r="KE892" s="49"/>
      <c r="KF892" s="49"/>
      <c r="KG892" s="49"/>
      <c r="KH892" s="49"/>
      <c r="KI892" s="49"/>
      <c r="KJ892" s="49"/>
      <c r="KK892" s="49"/>
      <c r="KL892" s="49"/>
      <c r="KM892" s="49"/>
      <c r="KN892" s="208"/>
      <c r="KO892" s="12"/>
      <c r="LF892" s="13"/>
      <c r="LU892" s="13"/>
      <c r="MG892" s="13"/>
      <c r="NT892" s="13"/>
      <c r="QO892" s="12"/>
      <c r="QR892" s="12"/>
      <c r="RR892" s="13"/>
      <c r="RU892" s="13"/>
      <c r="RX892" s="13"/>
      <c r="SG892" s="13"/>
    </row>
    <row r="893" spans="52:501" ht="10.75" customHeight="1">
      <c r="AZ893" s="13"/>
      <c r="BA893" s="9"/>
      <c r="BB893" s="10"/>
      <c r="BC893" s="10"/>
      <c r="BD893" s="10"/>
      <c r="BE893" s="10"/>
      <c r="BF893" s="10"/>
      <c r="BG893" s="10"/>
      <c r="BH893" s="10"/>
      <c r="BI893" s="10"/>
      <c r="BJ893" s="11"/>
      <c r="BK893" s="42"/>
      <c r="BL893" s="43"/>
      <c r="BM893" s="45"/>
      <c r="BN893" s="12"/>
      <c r="BO893" s="14"/>
      <c r="BP893" s="15"/>
      <c r="BQ893" s="15"/>
      <c r="BR893" s="15"/>
      <c r="BS893" s="15"/>
      <c r="BT893" s="16"/>
      <c r="DJ893" s="160"/>
      <c r="DK893" s="161"/>
      <c r="FG893" s="13"/>
      <c r="FH893" s="43"/>
      <c r="FI893" s="43"/>
      <c r="FJ893" s="45"/>
      <c r="FZ893" s="13"/>
      <c r="IA893" s="12"/>
      <c r="IF893" s="13"/>
      <c r="IG893" s="12"/>
      <c r="IR893" s="13"/>
      <c r="IS893" s="214"/>
      <c r="IT893" s="49"/>
      <c r="IU893" s="49"/>
      <c r="IV893" s="49"/>
      <c r="IW893" s="49"/>
      <c r="IX893" s="49"/>
      <c r="IY893" s="49"/>
      <c r="IZ893" s="49"/>
      <c r="JA893" s="49"/>
      <c r="JB893" s="49"/>
      <c r="JC893" s="49"/>
      <c r="JD893" s="49"/>
      <c r="JE893" s="49"/>
      <c r="JF893" s="49"/>
      <c r="JG893" s="49"/>
      <c r="JH893" s="49"/>
      <c r="JI893" s="49"/>
      <c r="JJ893" s="49"/>
      <c r="JK893" s="49"/>
      <c r="JL893" s="49"/>
      <c r="JM893" s="49"/>
      <c r="JN893" s="49"/>
      <c r="JO893" s="49"/>
      <c r="JP893" s="49"/>
      <c r="JQ893" s="49"/>
      <c r="JR893" s="49"/>
      <c r="JS893" s="49"/>
      <c r="JT893" s="49"/>
      <c r="JU893" s="49"/>
      <c r="JV893" s="49"/>
      <c r="JW893" s="49"/>
      <c r="JX893" s="49"/>
      <c r="JY893" s="49"/>
      <c r="JZ893" s="49"/>
      <c r="KA893" s="49"/>
      <c r="KB893" s="49"/>
      <c r="KC893" s="49"/>
      <c r="KD893" s="49"/>
      <c r="KE893" s="49"/>
      <c r="KF893" s="49"/>
      <c r="KG893" s="49"/>
      <c r="KH893" s="49"/>
      <c r="KI893" s="49"/>
      <c r="KJ893" s="49"/>
      <c r="KK893" s="49"/>
      <c r="KL893" s="49"/>
      <c r="KM893" s="49"/>
      <c r="KN893" s="208"/>
      <c r="KO893" s="12"/>
      <c r="LF893" s="13"/>
      <c r="LU893" s="13"/>
      <c r="MG893" s="13"/>
      <c r="NU893" s="10"/>
      <c r="NV893" s="10"/>
      <c r="NW893" s="10"/>
      <c r="NX893" s="10"/>
      <c r="NY893" s="10"/>
      <c r="NZ893" s="10"/>
      <c r="OA893" s="10"/>
      <c r="OB893" s="10"/>
      <c r="OC893" s="10"/>
      <c r="OD893" s="10"/>
      <c r="OE893" s="10"/>
      <c r="OF893" s="11"/>
      <c r="QO893" s="12"/>
      <c r="QR893" s="12"/>
      <c r="RR893" s="13"/>
      <c r="RU893" s="13"/>
      <c r="RX893" s="13"/>
      <c r="SG893" s="13"/>
    </row>
    <row r="894" spans="52:501" ht="10.75" customHeight="1">
      <c r="AZ894" s="13"/>
      <c r="BA894" s="12"/>
      <c r="BJ894" s="13"/>
      <c r="BK894" s="42"/>
      <c r="BL894" s="43"/>
      <c r="BM894" s="45"/>
      <c r="BN894" s="14"/>
      <c r="BO894" s="15"/>
      <c r="BP894" s="15"/>
      <c r="BQ894" s="15"/>
      <c r="BR894" s="15"/>
      <c r="BS894" s="15"/>
      <c r="BT894" s="15"/>
      <c r="BU894" s="15"/>
      <c r="BV894" s="15"/>
      <c r="BW894" s="15"/>
      <c r="BX894" s="15"/>
      <c r="BY894" s="15"/>
      <c r="BZ894" s="15"/>
      <c r="CA894" s="15"/>
      <c r="CB894" s="15"/>
      <c r="CC894" s="15"/>
      <c r="CD894" s="15"/>
      <c r="CE894" s="15"/>
      <c r="CF894" s="15"/>
      <c r="CG894" s="15"/>
      <c r="CH894" s="15"/>
      <c r="CI894" s="15"/>
      <c r="CJ894" s="15"/>
      <c r="CK894" s="15"/>
      <c r="CL894" s="15"/>
      <c r="CM894" s="15"/>
      <c r="CN894" s="15"/>
      <c r="CO894" s="15"/>
      <c r="CP894" s="15"/>
      <c r="CQ894" s="15"/>
      <c r="CR894" s="15"/>
      <c r="CS894" s="15"/>
      <c r="CT894" s="15"/>
      <c r="CU894" s="15"/>
      <c r="CV894" s="15"/>
      <c r="CW894" s="15"/>
      <c r="CX894" s="15"/>
      <c r="CY894" s="15"/>
      <c r="CZ894" s="15"/>
      <c r="DA894" s="15"/>
      <c r="DB894" s="15"/>
      <c r="DC894" s="15"/>
      <c r="DD894" s="15"/>
      <c r="DE894" s="15"/>
      <c r="DF894" s="15"/>
      <c r="DG894" s="15"/>
      <c r="DH894" s="15"/>
      <c r="DI894" s="15"/>
      <c r="DJ894" s="160"/>
      <c r="DK894" s="161"/>
      <c r="FG894" s="13"/>
      <c r="FH894" s="43"/>
      <c r="FI894" s="43"/>
      <c r="FJ894" s="45"/>
      <c r="FZ894" s="13"/>
      <c r="IA894" s="12"/>
      <c r="IF894" s="13"/>
      <c r="IG894" s="12"/>
      <c r="IR894" s="13"/>
      <c r="IS894" s="214"/>
      <c r="IT894" s="49"/>
      <c r="IU894" s="49"/>
      <c r="IV894" s="49"/>
      <c r="IW894" s="49"/>
      <c r="IX894" s="49"/>
      <c r="IY894" s="49"/>
      <c r="IZ894" s="49"/>
      <c r="JA894" s="49"/>
      <c r="JB894" s="49"/>
      <c r="JC894" s="49"/>
      <c r="JD894" s="49"/>
      <c r="JE894" s="49"/>
      <c r="JF894" s="49"/>
      <c r="JG894" s="49"/>
      <c r="JH894" s="49"/>
      <c r="JI894" s="49"/>
      <c r="JJ894" s="49"/>
      <c r="JK894" s="49"/>
      <c r="JL894" s="49"/>
      <c r="JM894" s="49"/>
      <c r="JN894" s="49"/>
      <c r="JO894" s="49"/>
      <c r="JP894" s="49"/>
      <c r="JQ894" s="49"/>
      <c r="JR894" s="49"/>
      <c r="JS894" s="49"/>
      <c r="JT894" s="49"/>
      <c r="JU894" s="49"/>
      <c r="JV894" s="49"/>
      <c r="JW894" s="49"/>
      <c r="JX894" s="49"/>
      <c r="JY894" s="49"/>
      <c r="JZ894" s="49"/>
      <c r="KA894" s="49"/>
      <c r="KB894" s="49"/>
      <c r="KC894" s="49"/>
      <c r="KD894" s="49"/>
      <c r="KE894" s="49"/>
      <c r="KF894" s="49"/>
      <c r="KG894" s="49"/>
      <c r="KH894" s="49"/>
      <c r="KI894" s="49"/>
      <c r="KJ894" s="49"/>
      <c r="KK894" s="49"/>
      <c r="KL894" s="49"/>
      <c r="KM894" s="49"/>
      <c r="KN894" s="208"/>
      <c r="KO894" s="12"/>
      <c r="LF894" s="13"/>
      <c r="LU894" s="13"/>
      <c r="MG894" s="13"/>
      <c r="OF894" s="13"/>
      <c r="QO894" s="12"/>
      <c r="QR894" s="12"/>
      <c r="RR894" s="13"/>
      <c r="RU894" s="13"/>
      <c r="RX894" s="13"/>
      <c r="SG894" s="13"/>
    </row>
    <row r="895" spans="52:501" ht="10.75" customHeight="1">
      <c r="AZ895" s="13"/>
      <c r="BA895" s="12"/>
      <c r="BJ895" s="13"/>
      <c r="BK895" s="42"/>
      <c r="BL895" s="43"/>
      <c r="BM895" s="45"/>
      <c r="BN895" s="160"/>
      <c r="BO895" s="162"/>
      <c r="BP895" s="162"/>
      <c r="BQ895" s="162"/>
      <c r="BR895" s="162"/>
      <c r="BS895" s="162"/>
      <c r="BT895" s="162"/>
      <c r="BU895" s="162"/>
      <c r="BV895" s="162"/>
      <c r="BW895" s="162"/>
      <c r="BX895" s="162"/>
      <c r="BY895" s="162"/>
      <c r="BZ895" s="162"/>
      <c r="CA895" s="162"/>
      <c r="CB895" s="162"/>
      <c r="CC895" s="162"/>
      <c r="CD895" s="162"/>
      <c r="CE895" s="162"/>
      <c r="CF895" s="162"/>
      <c r="CG895" s="162"/>
      <c r="CH895" s="162"/>
      <c r="CI895" s="162"/>
      <c r="CJ895" s="162"/>
      <c r="CK895" s="162"/>
      <c r="CL895" s="162"/>
      <c r="CM895" s="162"/>
      <c r="CN895" s="162"/>
      <c r="CO895" s="162"/>
      <c r="CP895" s="162"/>
      <c r="CQ895" s="162"/>
      <c r="CR895" s="162"/>
      <c r="CS895" s="162"/>
      <c r="CT895" s="162"/>
      <c r="CU895" s="162"/>
      <c r="CV895" s="162"/>
      <c r="CW895" s="162"/>
      <c r="CX895" s="162"/>
      <c r="CY895" s="162"/>
      <c r="CZ895" s="162"/>
      <c r="DA895" s="162"/>
      <c r="DB895" s="162"/>
      <c r="DC895" s="162"/>
      <c r="DD895" s="162"/>
      <c r="DE895" s="162"/>
      <c r="DF895" s="162"/>
      <c r="DG895" s="162"/>
      <c r="DH895" s="162"/>
      <c r="DI895" s="158"/>
      <c r="DJ895" s="162"/>
      <c r="DK895" s="161"/>
      <c r="FG895" s="13"/>
      <c r="FH895" s="43"/>
      <c r="FI895" s="43"/>
      <c r="FJ895" s="45"/>
      <c r="FZ895" s="13"/>
      <c r="IA895" s="12"/>
      <c r="IF895" s="13"/>
      <c r="IG895" s="12"/>
      <c r="IR895" s="13"/>
      <c r="IS895" s="214"/>
      <c r="IT895" s="49"/>
      <c r="IU895" s="49"/>
      <c r="IV895" s="49"/>
      <c r="IW895" s="49"/>
      <c r="IX895" s="49"/>
      <c r="IY895" s="49"/>
      <c r="IZ895" s="49"/>
      <c r="JA895" s="49"/>
      <c r="JB895" s="49"/>
      <c r="JC895" s="49"/>
      <c r="JD895" s="49"/>
      <c r="JE895" s="49"/>
      <c r="JF895" s="49"/>
      <c r="JG895" s="49"/>
      <c r="JH895" s="49"/>
      <c r="JI895" s="49"/>
      <c r="JJ895" s="49"/>
      <c r="JK895" s="49"/>
      <c r="JL895" s="49"/>
      <c r="JM895" s="49"/>
      <c r="JN895" s="49"/>
      <c r="JO895" s="49"/>
      <c r="JP895" s="49"/>
      <c r="JQ895" s="49"/>
      <c r="JR895" s="49"/>
      <c r="JS895" s="49"/>
      <c r="JT895" s="49"/>
      <c r="JU895" s="49"/>
      <c r="JV895" s="49"/>
      <c r="JW895" s="49"/>
      <c r="JX895" s="49"/>
      <c r="JY895" s="49"/>
      <c r="JZ895" s="49"/>
      <c r="KA895" s="49"/>
      <c r="KB895" s="49"/>
      <c r="KC895" s="49"/>
      <c r="KD895" s="49"/>
      <c r="KE895" s="49"/>
      <c r="KF895" s="49"/>
      <c r="KG895" s="49"/>
      <c r="KH895" s="49"/>
      <c r="KI895" s="49"/>
      <c r="KJ895" s="49"/>
      <c r="KK895" s="49"/>
      <c r="KL895" s="49"/>
      <c r="KM895" s="49"/>
      <c r="KN895" s="208"/>
      <c r="KO895" s="12"/>
      <c r="LF895" s="13"/>
      <c r="LU895" s="13"/>
      <c r="MG895" s="13"/>
      <c r="OF895" s="13"/>
      <c r="QO895" s="12"/>
      <c r="QR895" s="12"/>
      <c r="RR895" s="13"/>
      <c r="RU895" s="13"/>
      <c r="RX895" s="13"/>
      <c r="SG895" s="13"/>
    </row>
    <row r="896" spans="52:501" ht="10.75" customHeight="1">
      <c r="AZ896" s="13"/>
      <c r="BA896" s="12"/>
      <c r="BJ896" s="13"/>
      <c r="BK896" s="42"/>
      <c r="BL896" s="43"/>
      <c r="BM896" s="45"/>
      <c r="BN896" s="160"/>
      <c r="BO896" s="162"/>
      <c r="BP896" s="162"/>
      <c r="BQ896" s="162"/>
      <c r="BR896" s="162"/>
      <c r="BS896" s="162"/>
      <c r="BT896" s="162"/>
      <c r="BU896" s="162"/>
      <c r="BV896" s="162"/>
      <c r="BW896" s="162"/>
      <c r="BX896" s="162"/>
      <c r="BY896" s="162"/>
      <c r="BZ896" s="162"/>
      <c r="CA896" s="162"/>
      <c r="CB896" s="162"/>
      <c r="CC896" s="162"/>
      <c r="CD896" s="162"/>
      <c r="CE896" s="162"/>
      <c r="CF896" s="162"/>
      <c r="CG896" s="162"/>
      <c r="CH896" s="162"/>
      <c r="CI896" s="162"/>
      <c r="CJ896" s="162"/>
      <c r="CK896" s="162"/>
      <c r="CL896" s="162"/>
      <c r="CM896" s="162"/>
      <c r="CN896" s="162"/>
      <c r="CO896" s="162"/>
      <c r="CP896" s="162"/>
      <c r="CQ896" s="162"/>
      <c r="CR896" s="162"/>
      <c r="CS896" s="162"/>
      <c r="CT896" s="162"/>
      <c r="CU896" s="162"/>
      <c r="CV896" s="162"/>
      <c r="CW896" s="162"/>
      <c r="CX896" s="316"/>
      <c r="CY896" s="316"/>
      <c r="CZ896" s="316"/>
      <c r="DA896" s="316"/>
      <c r="DB896" s="316"/>
      <c r="DC896" s="316"/>
      <c r="DD896" s="316"/>
      <c r="DE896" s="316"/>
      <c r="DF896" s="316"/>
      <c r="DG896" s="316"/>
      <c r="DH896" s="162"/>
      <c r="DI896" s="162"/>
      <c r="DJ896" s="162"/>
      <c r="DK896" s="161"/>
      <c r="FG896" s="13"/>
      <c r="FH896" s="43"/>
      <c r="FI896" s="43"/>
      <c r="FJ896" s="45"/>
      <c r="FZ896" s="13"/>
      <c r="IA896" s="12"/>
      <c r="IF896" s="13"/>
      <c r="IG896" s="12"/>
      <c r="IR896" s="13"/>
      <c r="IS896" s="214"/>
      <c r="IT896" s="49"/>
      <c r="IU896" s="49"/>
      <c r="IV896" s="49"/>
      <c r="IW896" s="49"/>
      <c r="IX896" s="49"/>
      <c r="IY896" s="49"/>
      <c r="IZ896" s="49"/>
      <c r="JA896" s="49"/>
      <c r="JB896" s="49"/>
      <c r="JC896" s="49"/>
      <c r="JD896" s="49"/>
      <c r="JE896" s="49"/>
      <c r="JF896" s="49"/>
      <c r="JG896" s="49"/>
      <c r="JH896" s="49"/>
      <c r="JI896" s="49"/>
      <c r="JJ896" s="49"/>
      <c r="JK896" s="49"/>
      <c r="JL896" s="49"/>
      <c r="JM896" s="49"/>
      <c r="JN896" s="49"/>
      <c r="JO896" s="49"/>
      <c r="JP896" s="49"/>
      <c r="JQ896" s="49"/>
      <c r="JR896" s="49"/>
      <c r="JS896" s="49"/>
      <c r="JT896" s="49"/>
      <c r="JU896" s="49"/>
      <c r="JV896" s="49"/>
      <c r="JW896" s="49"/>
      <c r="JX896" s="49"/>
      <c r="JY896" s="49"/>
      <c r="JZ896" s="49"/>
      <c r="KA896" s="49"/>
      <c r="KB896" s="49"/>
      <c r="KC896" s="49"/>
      <c r="KD896" s="49"/>
      <c r="KE896" s="49"/>
      <c r="KF896" s="49"/>
      <c r="KG896" s="49"/>
      <c r="KH896" s="49"/>
      <c r="KI896" s="49"/>
      <c r="KJ896" s="49"/>
      <c r="KK896" s="49"/>
      <c r="KL896" s="49"/>
      <c r="KM896" s="49"/>
      <c r="KN896" s="208"/>
      <c r="KO896" s="12"/>
      <c r="LF896" s="13"/>
      <c r="LU896" s="13"/>
      <c r="MG896" s="13"/>
      <c r="OF896" s="13"/>
      <c r="QO896" s="12"/>
      <c r="QR896" s="12"/>
      <c r="RR896" s="13"/>
      <c r="RU896" s="13"/>
      <c r="RX896" s="13"/>
      <c r="SG896" s="13"/>
    </row>
    <row r="897" spans="52:501" ht="10.75" customHeight="1">
      <c r="AZ897" s="13"/>
      <c r="BA897" s="9"/>
      <c r="BB897" s="10"/>
      <c r="BC897" s="10"/>
      <c r="BD897" s="10"/>
      <c r="BE897" s="10"/>
      <c r="BF897" s="10"/>
      <c r="BG897" s="10"/>
      <c r="BH897" s="10"/>
      <c r="BI897" s="10"/>
      <c r="BJ897" s="11"/>
      <c r="BK897" s="42"/>
      <c r="BL897" s="43"/>
      <c r="BM897" s="43"/>
      <c r="BN897" s="9"/>
      <c r="BO897" s="10"/>
      <c r="BP897" s="10"/>
      <c r="BQ897" s="10"/>
      <c r="BR897" s="10"/>
      <c r="BS897" s="10"/>
      <c r="BT897" s="10"/>
      <c r="BU897" s="10"/>
      <c r="BV897" s="10"/>
      <c r="BW897" s="10"/>
      <c r="BX897" s="10"/>
      <c r="BY897" s="10"/>
      <c r="BZ897" s="10"/>
      <c r="CA897" s="10"/>
      <c r="CB897" s="10"/>
      <c r="CC897" s="10"/>
      <c r="CD897" s="10"/>
      <c r="CE897" s="10"/>
      <c r="CF897" s="10"/>
      <c r="CG897" s="10"/>
      <c r="CH897" s="10"/>
      <c r="CI897" s="10"/>
      <c r="CJ897" s="10"/>
      <c r="CK897" s="10"/>
      <c r="CL897" s="10"/>
      <c r="CM897" s="10"/>
      <c r="CN897" s="10"/>
      <c r="CO897" s="10"/>
      <c r="CP897" s="10"/>
      <c r="CQ897" s="10"/>
      <c r="CR897" s="10"/>
      <c r="CS897" s="11"/>
      <c r="CT897" s="10"/>
      <c r="CU897" s="10"/>
      <c r="CV897" s="10"/>
      <c r="CW897" s="10"/>
      <c r="CX897" s="10"/>
      <c r="CY897" s="10"/>
      <c r="CZ897" s="10"/>
      <c r="DA897" s="10"/>
      <c r="DB897" s="10"/>
      <c r="DC897" s="10"/>
      <c r="DD897" s="10"/>
      <c r="DE897" s="10"/>
      <c r="DF897" s="10"/>
      <c r="DG897" s="10"/>
      <c r="DH897" s="10"/>
      <c r="DI897" s="10"/>
      <c r="DJ897" s="10"/>
      <c r="DK897" s="10"/>
      <c r="FG897" s="13"/>
      <c r="FH897" s="43"/>
      <c r="FI897" s="43"/>
      <c r="FJ897" s="45"/>
      <c r="FZ897" s="13"/>
      <c r="IA897" s="12"/>
      <c r="IF897" s="13"/>
      <c r="IG897" s="12"/>
      <c r="IR897" s="13"/>
      <c r="IS897" s="214"/>
      <c r="IT897" s="49"/>
      <c r="IU897" s="49"/>
      <c r="IV897" s="49"/>
      <c r="IW897" s="49"/>
      <c r="IX897" s="49"/>
      <c r="IY897" s="49"/>
      <c r="IZ897" s="49"/>
      <c r="JA897" s="49"/>
      <c r="JB897" s="49"/>
      <c r="JC897" s="49"/>
      <c r="JD897" s="49"/>
      <c r="JE897" s="49"/>
      <c r="JF897" s="49"/>
      <c r="JG897" s="49"/>
      <c r="JH897" s="49"/>
      <c r="JI897" s="49"/>
      <c r="JJ897" s="49"/>
      <c r="JK897" s="49"/>
      <c r="JL897" s="49"/>
      <c r="JM897" s="49"/>
      <c r="JN897" s="49"/>
      <c r="JO897" s="49"/>
      <c r="JP897" s="49"/>
      <c r="JQ897" s="49"/>
      <c r="JR897" s="49"/>
      <c r="JS897" s="49"/>
      <c r="JT897" s="49"/>
      <c r="JU897" s="49"/>
      <c r="JV897" s="49"/>
      <c r="JW897" s="49"/>
      <c r="JX897" s="49"/>
      <c r="JY897" s="49"/>
      <c r="JZ897" s="49"/>
      <c r="KA897" s="49"/>
      <c r="KB897" s="49"/>
      <c r="KC897" s="49"/>
      <c r="KD897" s="49"/>
      <c r="KE897" s="49"/>
      <c r="KF897" s="49"/>
      <c r="KG897" s="49"/>
      <c r="KH897" s="49"/>
      <c r="KI897" s="49"/>
      <c r="KJ897" s="49"/>
      <c r="KK897" s="49"/>
      <c r="KL897" s="49"/>
      <c r="KM897" s="49"/>
      <c r="KN897" s="208"/>
      <c r="KO897" s="12"/>
      <c r="LF897" s="13"/>
      <c r="LV897" s="12"/>
      <c r="MG897" s="13"/>
      <c r="OF897" s="13"/>
      <c r="QO897" s="12"/>
      <c r="QR897" s="12"/>
      <c r="RR897" s="13"/>
      <c r="RU897" s="13"/>
      <c r="RX897" s="13"/>
      <c r="SG897" s="13"/>
    </row>
    <row r="898" spans="52:501" ht="10.75" customHeight="1">
      <c r="AZ898" s="13"/>
      <c r="BA898" s="12"/>
      <c r="BJ898" s="13"/>
      <c r="BK898" s="42"/>
      <c r="BL898" s="43"/>
      <c r="BM898" s="43"/>
      <c r="BN898" s="12"/>
      <c r="CS898" s="13"/>
      <c r="FG898" s="13"/>
      <c r="FH898" s="43"/>
      <c r="FI898" s="43"/>
      <c r="FJ898" s="45"/>
      <c r="FZ898" s="13"/>
      <c r="IA898" s="12"/>
      <c r="IF898" s="13"/>
      <c r="IG898" s="12"/>
      <c r="IR898" s="13"/>
      <c r="IS898" s="236"/>
      <c r="IT898" s="258"/>
      <c r="IU898" s="258"/>
      <c r="IV898" s="258"/>
      <c r="IW898" s="258"/>
      <c r="IX898" s="258"/>
      <c r="IY898" s="258"/>
      <c r="IZ898" s="258"/>
      <c r="JA898" s="258"/>
      <c r="JB898" s="258"/>
      <c r="JC898" s="258"/>
      <c r="JD898" s="258"/>
      <c r="JE898" s="258"/>
      <c r="JF898" s="258"/>
      <c r="JG898" s="258"/>
      <c r="JH898" s="258"/>
      <c r="JI898" s="258"/>
      <c r="JJ898" s="258"/>
      <c r="JK898" s="258"/>
      <c r="JL898" s="258"/>
      <c r="JM898" s="258"/>
      <c r="JN898" s="258"/>
      <c r="JO898" s="258"/>
      <c r="JP898" s="258"/>
      <c r="JQ898" s="258"/>
      <c r="JR898" s="258"/>
      <c r="JS898" s="258"/>
      <c r="JT898" s="258"/>
      <c r="JU898" s="258"/>
      <c r="JV898" s="258"/>
      <c r="JW898" s="258"/>
      <c r="JX898" s="258"/>
      <c r="JY898" s="258"/>
      <c r="JZ898" s="258"/>
      <c r="KA898" s="258"/>
      <c r="KB898" s="258"/>
      <c r="KC898" s="258"/>
      <c r="KD898" s="258"/>
      <c r="KE898" s="258"/>
      <c r="KF898" s="258"/>
      <c r="KG898" s="258"/>
      <c r="KH898" s="258"/>
      <c r="KI898" s="258"/>
      <c r="KJ898" s="258"/>
      <c r="KK898" s="258"/>
      <c r="KL898" s="258"/>
      <c r="KM898" s="258"/>
      <c r="KN898" s="209"/>
      <c r="KO898" s="14"/>
      <c r="KP898" s="15"/>
      <c r="KQ898" s="15"/>
      <c r="KR898" s="15"/>
      <c r="KS898" s="15"/>
      <c r="KT898" s="15"/>
      <c r="KU898" s="15"/>
      <c r="KV898" s="15"/>
      <c r="KW898" s="15"/>
      <c r="KX898" s="15"/>
      <c r="KY898" s="15"/>
      <c r="KZ898" s="15"/>
      <c r="LA898" s="15"/>
      <c r="LB898" s="15"/>
      <c r="LC898" s="15"/>
      <c r="LD898" s="15"/>
      <c r="LE898" s="15"/>
      <c r="LF898" s="16"/>
      <c r="LV898" s="12"/>
      <c r="MG898" s="13"/>
      <c r="OF898" s="13"/>
      <c r="QO898" s="12"/>
      <c r="QR898" s="12"/>
      <c r="RR898" s="13"/>
      <c r="RU898" s="13"/>
      <c r="RX898" s="13"/>
      <c r="SG898" s="13"/>
    </row>
    <row r="899" spans="52:501" ht="10.75" customHeight="1">
      <c r="AZ899" s="13"/>
      <c r="BA899" s="12"/>
      <c r="BJ899" s="13"/>
      <c r="BK899" s="42"/>
      <c r="BL899" s="43"/>
      <c r="BM899" s="43"/>
      <c r="BN899" s="12"/>
      <c r="CS899" s="13"/>
      <c r="FG899" s="13"/>
      <c r="FH899" s="43"/>
      <c r="FI899" s="43"/>
      <c r="FJ899" s="45"/>
      <c r="FZ899" s="13"/>
      <c r="IA899" s="12"/>
      <c r="IF899" s="13"/>
      <c r="IG899" s="9"/>
      <c r="IH899" s="10"/>
      <c r="II899" s="10"/>
      <c r="IJ899" s="10"/>
      <c r="IK899" s="10"/>
      <c r="IL899" s="10"/>
      <c r="IM899" s="10"/>
      <c r="IN899" s="10"/>
      <c r="IO899" s="10"/>
      <c r="IP899" s="10"/>
      <c r="IQ899" s="10"/>
      <c r="IR899" s="11"/>
      <c r="IS899" s="10"/>
      <c r="IT899" s="10"/>
      <c r="IU899" s="10"/>
      <c r="IV899" s="10"/>
      <c r="IW899" s="10"/>
      <c r="IX899" s="10"/>
      <c r="IY899" s="10"/>
      <c r="IZ899" s="10"/>
      <c r="JA899" s="10"/>
      <c r="JB899" s="10"/>
      <c r="JC899" s="10"/>
      <c r="JD899" s="10"/>
      <c r="JE899" s="10"/>
      <c r="JF899" s="10"/>
      <c r="JG899" s="10"/>
      <c r="JH899" s="10"/>
      <c r="JI899" s="10"/>
      <c r="JJ899" s="10"/>
      <c r="JK899" s="10"/>
      <c r="JL899" s="10"/>
      <c r="JM899" s="10"/>
      <c r="JN899" s="10"/>
      <c r="JO899" s="10"/>
      <c r="JP899" s="10"/>
      <c r="JQ899" s="10"/>
      <c r="JR899" s="10"/>
      <c r="JS899" s="10"/>
      <c r="JT899" s="10"/>
      <c r="JU899" s="10"/>
      <c r="JV899" s="10"/>
      <c r="JW899" s="10"/>
      <c r="JX899" s="10"/>
      <c r="JY899" s="10"/>
      <c r="JZ899" s="10"/>
      <c r="KA899" s="10"/>
      <c r="KB899" s="10"/>
      <c r="KC899" s="10"/>
      <c r="KD899" s="10"/>
      <c r="KE899" s="10"/>
      <c r="KF899" s="10"/>
      <c r="KG899" s="10"/>
      <c r="KH899" s="10"/>
      <c r="KI899" s="10"/>
      <c r="KJ899" s="10"/>
      <c r="KK899" s="10"/>
      <c r="KL899" s="10"/>
      <c r="KM899" s="10"/>
      <c r="KN899" s="10"/>
      <c r="KO899" s="10"/>
      <c r="KP899" s="10"/>
      <c r="KQ899" s="10"/>
      <c r="KR899" s="10"/>
      <c r="KS899" s="10"/>
      <c r="KT899" s="10"/>
      <c r="KU899" s="10"/>
      <c r="KV899" s="10"/>
      <c r="KW899" s="10"/>
      <c r="KX899" s="10"/>
      <c r="KY899" s="10"/>
      <c r="KZ899" s="10"/>
      <c r="LA899" s="10"/>
      <c r="LB899" s="10"/>
      <c r="LC899" s="10"/>
      <c r="LD899" s="10"/>
      <c r="LE899" s="10"/>
      <c r="LF899" s="10"/>
      <c r="LG899" s="10"/>
      <c r="LH899" s="10"/>
      <c r="LI899" s="10"/>
      <c r="LJ899" s="10"/>
      <c r="LK899" s="10"/>
      <c r="LL899" s="10"/>
      <c r="LM899" s="10"/>
      <c r="LN899" s="10"/>
      <c r="LO899" s="10"/>
      <c r="LP899" s="10"/>
      <c r="LV899" s="12"/>
      <c r="MG899" s="13"/>
      <c r="OF899" s="13"/>
      <c r="QO899" s="12"/>
      <c r="QR899" s="12"/>
      <c r="RR899" s="13"/>
      <c r="RU899" s="13"/>
      <c r="RX899" s="13"/>
      <c r="SG899" s="13"/>
    </row>
    <row r="900" spans="52:501" ht="10.75" customHeight="1">
      <c r="AZ900" s="13"/>
      <c r="BA900" s="14"/>
      <c r="BB900" s="15"/>
      <c r="BC900" s="15"/>
      <c r="BD900" s="15"/>
      <c r="BE900" s="15"/>
      <c r="BF900" s="15"/>
      <c r="BG900" s="15"/>
      <c r="BH900" s="15"/>
      <c r="BI900" s="15"/>
      <c r="BJ900" s="16"/>
      <c r="BK900" s="42"/>
      <c r="BL900" s="43"/>
      <c r="BM900" s="43"/>
      <c r="BN900" s="12"/>
      <c r="CS900" s="13"/>
      <c r="FG900" s="13"/>
      <c r="FH900" s="43"/>
      <c r="FI900" s="43"/>
      <c r="FJ900" s="45"/>
      <c r="FZ900" s="13"/>
      <c r="IA900" s="12"/>
      <c r="IF900" s="13"/>
      <c r="IG900" s="12"/>
      <c r="IR900" s="13"/>
      <c r="LV900" s="12"/>
      <c r="MG900" s="13"/>
      <c r="OG900" s="10"/>
      <c r="OH900" s="10"/>
      <c r="OI900" s="10"/>
      <c r="OJ900" s="10"/>
      <c r="OK900" s="10"/>
      <c r="OL900" s="10"/>
      <c r="OM900" s="10"/>
      <c r="ON900" s="10"/>
      <c r="OO900" s="10"/>
      <c r="OP900" s="10"/>
      <c r="OQ900" s="10"/>
      <c r="OR900" s="11"/>
      <c r="QO900" s="12"/>
      <c r="QR900" s="12"/>
      <c r="RR900" s="13"/>
      <c r="RU900" s="13"/>
      <c r="RX900" s="13"/>
      <c r="SG900" s="13"/>
    </row>
    <row r="901" spans="52:501" ht="10.75" customHeight="1">
      <c r="AZ901" s="13"/>
      <c r="BA901" s="9"/>
      <c r="BB901" s="10"/>
      <c r="BC901" s="10"/>
      <c r="BD901" s="10"/>
      <c r="BE901" s="10"/>
      <c r="BF901" s="10"/>
      <c r="BG901" s="10"/>
      <c r="BH901" s="10"/>
      <c r="BI901" s="10"/>
      <c r="BJ901" s="11"/>
      <c r="BK901" s="43"/>
      <c r="BL901" s="43"/>
      <c r="BM901" s="43"/>
      <c r="BN901" s="12"/>
      <c r="CS901" s="13"/>
      <c r="FG901" s="13"/>
      <c r="FH901" s="43"/>
      <c r="FI901" s="43"/>
      <c r="FJ901" s="45"/>
      <c r="FZ901" s="13"/>
      <c r="IA901" s="12"/>
      <c r="IF901" s="13"/>
      <c r="IG901" s="12"/>
      <c r="IR901" s="13"/>
      <c r="LV901" s="12"/>
      <c r="MG901" s="13"/>
      <c r="OR901" s="13"/>
      <c r="QO901" s="12"/>
      <c r="QR901" s="12"/>
      <c r="RR901" s="13"/>
      <c r="RU901" s="13"/>
      <c r="RX901" s="13"/>
      <c r="SG901" s="13"/>
    </row>
    <row r="902" spans="52:501" ht="10.75" customHeight="1">
      <c r="AZ902" s="13"/>
      <c r="BA902" s="12"/>
      <c r="BJ902" s="13"/>
      <c r="BK902" s="42"/>
      <c r="BL902" s="43"/>
      <c r="BM902" s="43"/>
      <c r="BN902" s="12"/>
      <c r="CS902" s="13"/>
      <c r="FG902" s="13"/>
      <c r="FH902" s="43"/>
      <c r="FI902" s="43"/>
      <c r="FJ902" s="45"/>
      <c r="FZ902" s="13"/>
      <c r="IA902" s="12"/>
      <c r="IF902" s="13"/>
      <c r="IG902" s="12"/>
      <c r="IR902" s="13"/>
      <c r="LV902" s="12"/>
      <c r="MG902" s="13"/>
      <c r="NN902" s="13"/>
      <c r="OR902" s="13"/>
      <c r="QO902" s="12"/>
      <c r="QR902" s="12"/>
      <c r="RR902" s="13"/>
      <c r="RU902" s="13"/>
      <c r="RX902" s="13"/>
      <c r="SG902" s="13"/>
    </row>
    <row r="903" spans="52:501" ht="10.75" customHeight="1">
      <c r="AZ903" s="13"/>
      <c r="BA903" s="12"/>
      <c r="BJ903" s="13"/>
      <c r="BK903" s="43"/>
      <c r="BL903" s="43"/>
      <c r="BM903" s="43"/>
      <c r="BN903" s="12"/>
      <c r="CS903" s="13"/>
      <c r="FG903" s="13"/>
      <c r="FH903" s="43"/>
      <c r="FI903" s="43"/>
      <c r="FJ903" s="45"/>
      <c r="FZ903" s="13"/>
      <c r="IA903" s="12"/>
      <c r="IF903" s="13"/>
      <c r="IG903" s="12"/>
      <c r="LV903" s="12"/>
      <c r="MG903" s="13"/>
      <c r="NN903" s="13"/>
      <c r="OR903" s="13"/>
      <c r="QO903" s="12"/>
      <c r="QR903" s="12"/>
      <c r="RR903" s="13"/>
      <c r="RU903" s="13"/>
      <c r="RX903" s="13"/>
      <c r="SG903" s="13"/>
    </row>
    <row r="904" spans="52:501" ht="10.75" customHeight="1">
      <c r="AZ904" s="13"/>
      <c r="BA904" s="14"/>
      <c r="BB904" s="15"/>
      <c r="BC904" s="15"/>
      <c r="BD904" s="15"/>
      <c r="BE904" s="15"/>
      <c r="BF904" s="15"/>
      <c r="BG904" s="15"/>
      <c r="BH904" s="15"/>
      <c r="BI904" s="15"/>
      <c r="BJ904" s="16"/>
      <c r="BK904" s="43"/>
      <c r="BL904" s="43"/>
      <c r="BM904" s="43"/>
      <c r="BN904" s="12"/>
      <c r="CS904" s="13"/>
      <c r="FG904" s="13"/>
      <c r="FH904" s="43"/>
      <c r="FI904" s="43"/>
      <c r="FJ904" s="45"/>
      <c r="FZ904" s="13"/>
      <c r="IA904" s="12"/>
      <c r="IF904" s="13"/>
      <c r="IG904" s="12"/>
      <c r="LV904" s="12"/>
      <c r="MG904" s="13"/>
      <c r="NN904" s="13"/>
      <c r="OR904" s="13"/>
      <c r="QO904" s="12"/>
      <c r="QR904" s="12"/>
      <c r="RR904" s="13"/>
      <c r="RU904" s="13"/>
      <c r="RX904" s="13"/>
      <c r="SG904" s="13"/>
    </row>
    <row r="905" spans="52:501" ht="10.75" customHeight="1">
      <c r="AZ905" s="13"/>
      <c r="BA905" s="9"/>
      <c r="BB905" s="10"/>
      <c r="BC905" s="10"/>
      <c r="BD905" s="10"/>
      <c r="BE905" s="10"/>
      <c r="BF905" s="10"/>
      <c r="BG905" s="10"/>
      <c r="BH905" s="10"/>
      <c r="BI905" s="10"/>
      <c r="BJ905" s="11"/>
      <c r="BK905" s="43"/>
      <c r="BL905" s="43"/>
      <c r="BM905" s="43"/>
      <c r="BN905" s="12"/>
      <c r="BV905" s="9"/>
      <c r="BW905" s="10"/>
      <c r="BX905" s="10"/>
      <c r="BY905" s="10"/>
      <c r="BZ905" s="10"/>
      <c r="CA905" s="10"/>
      <c r="CB905" s="10"/>
      <c r="CC905" s="10"/>
      <c r="CD905" s="10"/>
      <c r="CE905" s="10"/>
      <c r="CF905" s="10"/>
      <c r="CG905" s="10"/>
      <c r="CH905" s="10"/>
      <c r="CI905" s="10"/>
      <c r="CJ905" s="10"/>
      <c r="CK905" s="10"/>
      <c r="CL905" s="10"/>
      <c r="CM905" s="10"/>
      <c r="CN905" s="10"/>
      <c r="CO905" s="10"/>
      <c r="CP905" s="10"/>
      <c r="CQ905" s="10"/>
      <c r="CR905" s="10"/>
      <c r="CS905" s="10"/>
      <c r="FG905" s="13"/>
      <c r="FH905" s="43"/>
      <c r="FI905" s="43"/>
      <c r="FJ905" s="45"/>
      <c r="FZ905" s="13"/>
      <c r="IA905" s="12"/>
      <c r="IF905" s="13"/>
      <c r="IG905" s="12"/>
      <c r="LV905" s="12"/>
      <c r="MG905" s="13"/>
      <c r="NN905" s="13"/>
      <c r="OR905" s="13"/>
      <c r="QO905" s="12"/>
      <c r="QR905" s="12"/>
      <c r="RR905" s="13"/>
      <c r="RU905" s="13"/>
      <c r="RX905" s="13"/>
      <c r="SG905" s="13"/>
    </row>
    <row r="906" spans="52:501" ht="10.75" customHeight="1">
      <c r="AZ906" s="13"/>
      <c r="BA906" s="12"/>
      <c r="BJ906" s="13"/>
      <c r="BK906" s="43"/>
      <c r="BL906" s="43"/>
      <c r="BM906" s="43"/>
      <c r="BN906" s="12"/>
      <c r="BV906" s="12"/>
      <c r="FG906" s="13"/>
      <c r="FH906" s="43"/>
      <c r="FI906" s="43"/>
      <c r="FJ906" s="45"/>
      <c r="FZ906" s="13"/>
      <c r="IA906" s="12"/>
      <c r="IF906" s="13"/>
      <c r="IG906" s="12"/>
      <c r="LV906" s="12"/>
      <c r="MG906" s="13"/>
      <c r="NN906" s="13"/>
      <c r="OR906" s="13"/>
      <c r="QO906" s="12"/>
      <c r="QR906" s="12"/>
      <c r="RR906" s="13"/>
      <c r="RU906" s="13"/>
      <c r="RX906" s="13"/>
      <c r="SG906" s="13"/>
    </row>
    <row r="907" spans="52:501" ht="10.75" customHeight="1">
      <c r="AZ907" s="13"/>
      <c r="BA907" s="12"/>
      <c r="BJ907" s="13"/>
      <c r="BK907" s="43"/>
      <c r="BL907" s="43"/>
      <c r="BM907" s="43"/>
      <c r="BN907" s="240"/>
      <c r="BV907" s="12"/>
      <c r="FG907" s="13"/>
      <c r="FH907" s="43"/>
      <c r="FI907" s="43"/>
      <c r="FJ907" s="45"/>
      <c r="FZ907" s="13"/>
      <c r="IA907" s="12"/>
      <c r="IF907" s="13"/>
      <c r="IG907" s="12"/>
      <c r="LV907" s="12"/>
      <c r="MG907" s="13"/>
      <c r="NN907" s="13"/>
      <c r="NT907" s="13"/>
      <c r="OS907" s="10"/>
      <c r="OT907" s="10"/>
      <c r="OU907" s="10"/>
      <c r="OV907" s="10"/>
      <c r="OW907" s="10"/>
      <c r="OX907" s="10"/>
      <c r="OY907" s="10"/>
      <c r="OZ907" s="10"/>
      <c r="PA907" s="10"/>
      <c r="PB907" s="10"/>
      <c r="PC907" s="10"/>
      <c r="PD907" s="11"/>
      <c r="QO907" s="12"/>
      <c r="QR907" s="12"/>
      <c r="RR907" s="13"/>
      <c r="RU907" s="13"/>
      <c r="RX907" s="13"/>
      <c r="SG907" s="13"/>
    </row>
    <row r="908" spans="52:501" ht="10.75" customHeight="1">
      <c r="AZ908" s="13"/>
      <c r="BA908" s="14"/>
      <c r="BB908" s="15"/>
      <c r="BC908" s="15"/>
      <c r="BD908" s="15"/>
      <c r="BE908" s="15"/>
      <c r="BF908" s="15"/>
      <c r="BG908" s="15"/>
      <c r="BH908" s="15"/>
      <c r="BI908" s="15"/>
      <c r="BJ908" s="16"/>
      <c r="BK908" s="43"/>
      <c r="BL908" s="43"/>
      <c r="BM908" s="43"/>
      <c r="BN908" s="240"/>
      <c r="BV908" s="12"/>
      <c r="FG908" s="13"/>
      <c r="FH908" s="43"/>
      <c r="FI908" s="43"/>
      <c r="FJ908" s="45"/>
      <c r="FZ908" s="13"/>
      <c r="IA908" s="12"/>
      <c r="IF908" s="13"/>
      <c r="IG908" s="12"/>
      <c r="LV908" s="12"/>
      <c r="MG908" s="13"/>
      <c r="NN908" s="13"/>
      <c r="NT908" s="13"/>
      <c r="PD908" s="13"/>
      <c r="QO908" s="12"/>
      <c r="QR908" s="12"/>
      <c r="RR908" s="13"/>
      <c r="RU908" s="13"/>
      <c r="RX908" s="13"/>
      <c r="SG908" s="13"/>
    </row>
    <row r="909" spans="52:501" ht="10.75" customHeight="1">
      <c r="AZ909" s="13"/>
      <c r="BA909" s="12"/>
      <c r="BJ909" s="13"/>
      <c r="BK909" s="43"/>
      <c r="BL909" s="43"/>
      <c r="BM909" s="43"/>
      <c r="BN909" s="240"/>
      <c r="BV909" s="12"/>
      <c r="FG909" s="13"/>
      <c r="FH909" s="43"/>
      <c r="FI909" s="43"/>
      <c r="FJ909" s="45"/>
      <c r="FZ909" s="13"/>
      <c r="IA909" s="12"/>
      <c r="IF909" s="13"/>
      <c r="IG909" s="12"/>
      <c r="LV909" s="12"/>
      <c r="MG909" s="13"/>
      <c r="NN909" s="13"/>
      <c r="NT909" s="13"/>
      <c r="PD909" s="13"/>
      <c r="QO909" s="12"/>
      <c r="QR909" s="12"/>
      <c r="RR909" s="13"/>
      <c r="RU909" s="13"/>
      <c r="RX909" s="13"/>
      <c r="SG909" s="13"/>
    </row>
    <row r="910" spans="52:501" ht="10.75" customHeight="1">
      <c r="AZ910" s="13"/>
      <c r="BA910" s="12"/>
      <c r="BJ910" s="13"/>
      <c r="BK910" s="42"/>
      <c r="BL910" s="43"/>
      <c r="BM910" s="43"/>
      <c r="BN910" s="240"/>
      <c r="BV910" s="12"/>
      <c r="FG910" s="13"/>
      <c r="FH910" s="43"/>
      <c r="FI910" s="43"/>
      <c r="FJ910" s="45"/>
      <c r="FZ910" s="13"/>
      <c r="IA910" s="12"/>
      <c r="IF910" s="13"/>
      <c r="IG910" s="12"/>
      <c r="LV910" s="12"/>
      <c r="MG910" s="13"/>
      <c r="NN910" s="13"/>
      <c r="NT910" s="13"/>
      <c r="PD910" s="13"/>
      <c r="QO910" s="12"/>
      <c r="QR910" s="12"/>
      <c r="RR910" s="13"/>
      <c r="RU910" s="13"/>
      <c r="SG910" s="13"/>
    </row>
    <row r="911" spans="52:501" ht="10.75" customHeight="1">
      <c r="AZ911" s="13"/>
      <c r="BA911" s="12"/>
      <c r="BJ911" s="13"/>
      <c r="BK911" s="43"/>
      <c r="BL911" s="43"/>
      <c r="BM911" s="43"/>
      <c r="BN911" s="240"/>
      <c r="BV911" s="12"/>
      <c r="FG911" s="13"/>
      <c r="FH911" s="43"/>
      <c r="FI911" s="43"/>
      <c r="FJ911" s="45"/>
      <c r="FZ911" s="13"/>
      <c r="IA911" s="12"/>
      <c r="IF911" s="13"/>
      <c r="IG911" s="12"/>
      <c r="LV911" s="12"/>
      <c r="MG911" s="13"/>
      <c r="NN911" s="13"/>
      <c r="NT911" s="13"/>
      <c r="PD911" s="13"/>
      <c r="QO911" s="12"/>
      <c r="QR911" s="12"/>
      <c r="RR911" s="13"/>
      <c r="RU911" s="13"/>
      <c r="SG911" s="13"/>
    </row>
    <row r="912" spans="52:501" ht="10.75" customHeight="1">
      <c r="AZ912" s="13"/>
      <c r="BA912" s="14"/>
      <c r="BB912" s="15"/>
      <c r="BJ912" s="13"/>
      <c r="BK912" s="43"/>
      <c r="BL912" s="43"/>
      <c r="BM912" s="43"/>
      <c r="BN912" s="240"/>
      <c r="BV912" s="12"/>
      <c r="FG912" s="13"/>
      <c r="FH912" s="43"/>
      <c r="FI912" s="43"/>
      <c r="FJ912" s="45"/>
      <c r="FZ912" s="13"/>
      <c r="IA912" s="12"/>
      <c r="IF912" s="13"/>
      <c r="IG912" s="12"/>
      <c r="LV912" s="12"/>
      <c r="MG912" s="13"/>
      <c r="NN912" s="13"/>
      <c r="NT912" s="13"/>
      <c r="PD912" s="13"/>
      <c r="QO912" s="12"/>
      <c r="QR912" s="12"/>
      <c r="RR912" s="13"/>
      <c r="RU912" s="13"/>
      <c r="SG912" s="13"/>
    </row>
    <row r="913" spans="47:501" ht="10.75" customHeight="1">
      <c r="AZ913" s="13"/>
      <c r="BA913" s="12"/>
      <c r="BC913" s="10"/>
      <c r="BD913" s="10"/>
      <c r="BE913" s="10"/>
      <c r="BF913" s="10"/>
      <c r="BG913" s="10"/>
      <c r="BH913" s="10"/>
      <c r="BI913" s="10"/>
      <c r="BJ913" s="11"/>
      <c r="BK913" s="43"/>
      <c r="BL913" s="43"/>
      <c r="BM913" s="43"/>
      <c r="BN913" s="240"/>
      <c r="BV913" s="12"/>
      <c r="EM913" s="17"/>
      <c r="FG913" s="13"/>
      <c r="FH913" s="43"/>
      <c r="FI913" s="43"/>
      <c r="FJ913" s="45"/>
      <c r="FZ913" s="13"/>
      <c r="IA913" s="12"/>
      <c r="IF913" s="13"/>
      <c r="IG913" s="12"/>
      <c r="LV913" s="12"/>
      <c r="MG913" s="13"/>
      <c r="NN913" s="13"/>
      <c r="NT913" s="13"/>
      <c r="PD913" s="13"/>
      <c r="QO913" s="12"/>
      <c r="QR913" s="12"/>
      <c r="RR913" s="13"/>
      <c r="RU913" s="13"/>
      <c r="SG913" s="13"/>
    </row>
    <row r="914" spans="47:501" ht="10.75" customHeight="1">
      <c r="AZ914" s="13"/>
      <c r="BA914" s="12"/>
      <c r="BJ914" s="13"/>
      <c r="BK914" s="43"/>
      <c r="BL914" s="43"/>
      <c r="BM914" s="43"/>
      <c r="BN914" s="240"/>
      <c r="BV914" s="12"/>
      <c r="EM914" s="18"/>
      <c r="FG914" s="13"/>
      <c r="FH914" s="43"/>
      <c r="FI914" s="43"/>
      <c r="FJ914" s="45"/>
      <c r="FZ914" s="13"/>
      <c r="IA914" s="12"/>
      <c r="IF914" s="13"/>
      <c r="IG914" s="12"/>
      <c r="LV914" s="12"/>
      <c r="MG914" s="13"/>
      <c r="NN914" s="13"/>
      <c r="NT914" s="13"/>
      <c r="PE914" s="10"/>
      <c r="PF914" s="10"/>
      <c r="PG914" s="10"/>
      <c r="PH914" s="10"/>
      <c r="PI914" s="10"/>
      <c r="PJ914" s="10"/>
      <c r="PK914" s="10"/>
      <c r="PL914" s="10"/>
      <c r="PM914" s="10"/>
      <c r="PN914" s="10"/>
      <c r="PO914" s="10"/>
      <c r="PP914" s="11"/>
      <c r="QO914" s="12"/>
      <c r="QR914" s="12"/>
      <c r="RR914" s="13"/>
      <c r="RU914" s="13"/>
      <c r="SG914" s="13"/>
    </row>
    <row r="915" spans="47:501" ht="10.75" customHeight="1">
      <c r="AZ915" s="13"/>
      <c r="BA915" s="12"/>
      <c r="BJ915" s="13"/>
      <c r="BK915" s="43"/>
      <c r="BL915" s="43"/>
      <c r="BM915" s="43"/>
      <c r="BN915" s="240"/>
      <c r="BV915" s="12"/>
      <c r="EM915" s="18"/>
      <c r="FG915" s="13"/>
      <c r="FH915" s="43"/>
      <c r="FI915" s="43"/>
      <c r="FJ915" s="45"/>
      <c r="FZ915" s="13"/>
      <c r="IA915" s="12"/>
      <c r="IF915" s="13"/>
      <c r="IG915" s="12"/>
      <c r="LV915" s="12"/>
      <c r="MG915" s="13"/>
      <c r="NN915" s="13"/>
      <c r="NT915" s="13"/>
      <c r="PP915" s="13"/>
      <c r="QO915" s="12"/>
      <c r="QR915" s="12"/>
      <c r="RR915" s="13"/>
      <c r="RU915" s="13"/>
      <c r="SG915" s="13"/>
    </row>
    <row r="916" spans="47:501" ht="10.75" customHeight="1">
      <c r="AZ916" s="13"/>
      <c r="BA916" s="12"/>
      <c r="BJ916" s="13"/>
      <c r="BK916" s="43"/>
      <c r="BL916" s="43"/>
      <c r="BM916" s="43"/>
      <c r="BN916" s="12"/>
      <c r="BV916" s="12"/>
      <c r="EM916" s="18"/>
      <c r="FG916" s="13"/>
      <c r="FH916" s="43"/>
      <c r="FI916" s="43"/>
      <c r="FJ916" s="45"/>
      <c r="FZ916" s="13"/>
      <c r="IA916" s="12"/>
      <c r="IF916" s="13"/>
      <c r="IG916" s="12"/>
      <c r="LV916" s="12"/>
      <c r="MG916" s="13"/>
      <c r="NN916" s="13"/>
      <c r="NT916" s="13"/>
      <c r="PP916" s="13"/>
      <c r="QO916" s="12"/>
      <c r="QR916" s="12"/>
      <c r="RR916" s="13"/>
      <c r="RU916" s="13"/>
      <c r="SG916" s="13"/>
    </row>
    <row r="917" spans="47:501" ht="10.75" customHeight="1">
      <c r="AZ917" s="13"/>
      <c r="BA917" s="9"/>
      <c r="BB917" s="10"/>
      <c r="BC917" s="10"/>
      <c r="BD917" s="10"/>
      <c r="BE917" s="10"/>
      <c r="BF917" s="10"/>
      <c r="BG917" s="10"/>
      <c r="BH917" s="10"/>
      <c r="BI917" s="10"/>
      <c r="BJ917" s="11"/>
      <c r="BK917" s="43"/>
      <c r="BL917" s="43"/>
      <c r="BM917" s="43"/>
      <c r="BN917" s="12"/>
      <c r="BV917" s="12"/>
      <c r="EM917" s="18"/>
      <c r="FG917" s="13"/>
      <c r="FH917" s="43"/>
      <c r="FI917" s="43"/>
      <c r="FJ917" s="45"/>
      <c r="FZ917" s="13"/>
      <c r="IA917" s="12"/>
      <c r="IF917" s="13"/>
      <c r="IG917" s="12"/>
      <c r="LV917" s="12"/>
      <c r="MG917" s="13"/>
      <c r="NN917" s="13"/>
      <c r="NT917" s="13"/>
      <c r="PP917" s="13"/>
      <c r="QO917" s="12"/>
      <c r="QR917" s="12"/>
      <c r="RR917" s="13"/>
      <c r="RU917" s="13"/>
      <c r="SG917" s="13"/>
    </row>
    <row r="918" spans="47:501" ht="10.75" customHeight="1">
      <c r="AZ918" s="13"/>
      <c r="BA918" s="12"/>
      <c r="BJ918" s="13"/>
      <c r="BK918" s="43"/>
      <c r="BL918" s="43"/>
      <c r="BM918" s="43"/>
      <c r="BN918" s="12"/>
      <c r="BV918" s="12"/>
      <c r="EM918" s="18"/>
      <c r="FG918" s="13"/>
      <c r="FH918" s="43"/>
      <c r="FI918" s="43"/>
      <c r="FJ918" s="45"/>
      <c r="FZ918" s="13"/>
      <c r="IA918" s="12"/>
      <c r="IF918" s="13"/>
      <c r="IG918" s="12"/>
      <c r="LV918" s="12"/>
      <c r="MG918" s="13"/>
      <c r="NN918" s="13"/>
      <c r="NT918" s="13"/>
      <c r="PP918" s="13"/>
      <c r="QO918" s="12"/>
      <c r="QR918" s="12"/>
      <c r="RR918" s="13"/>
      <c r="RU918" s="13"/>
      <c r="SG918" s="13"/>
    </row>
    <row r="919" spans="47:501" ht="10.75" customHeight="1">
      <c r="AZ919" s="13"/>
      <c r="BA919" s="12"/>
      <c r="BJ919" s="13"/>
      <c r="BK919" s="43"/>
      <c r="BL919" s="43"/>
      <c r="BM919" s="43"/>
      <c r="BN919" s="12"/>
      <c r="BV919" s="12"/>
      <c r="EM919" s="18"/>
      <c r="FG919" s="13"/>
      <c r="FH919" s="43"/>
      <c r="FI919" s="43"/>
      <c r="FJ919" s="45"/>
      <c r="FZ919" s="13"/>
      <c r="IA919" s="12"/>
      <c r="IF919" s="13"/>
      <c r="IG919" s="12"/>
      <c r="LV919" s="12"/>
      <c r="MG919" s="13"/>
      <c r="NN919" s="13"/>
      <c r="NT919" s="13"/>
      <c r="PP919" s="13"/>
      <c r="QO919" s="12"/>
      <c r="QR919" s="12"/>
      <c r="RR919" s="13"/>
      <c r="RU919" s="13"/>
      <c r="SG919" s="13"/>
    </row>
    <row r="920" spans="47:501" ht="10.75" customHeight="1">
      <c r="AU920" s="15"/>
      <c r="AV920" s="15"/>
      <c r="AW920" s="15"/>
      <c r="AX920" s="15"/>
      <c r="AY920" s="15"/>
      <c r="AZ920" s="16"/>
      <c r="BA920" s="12"/>
      <c r="BJ920" s="13"/>
      <c r="BK920" s="43"/>
      <c r="BL920" s="43"/>
      <c r="BM920" s="43"/>
      <c r="BN920" s="14"/>
      <c r="BO920" s="15"/>
      <c r="BP920" s="15"/>
      <c r="BQ920" s="15"/>
      <c r="BR920" s="15"/>
      <c r="BS920" s="15"/>
      <c r="BT920" s="15"/>
      <c r="BU920" s="15"/>
      <c r="BV920" s="12"/>
      <c r="EM920" s="18"/>
      <c r="FG920" s="13"/>
      <c r="FH920" s="43"/>
      <c r="FI920" s="43"/>
      <c r="FJ920" s="45"/>
      <c r="FZ920" s="13"/>
      <c r="IA920" s="12"/>
      <c r="IF920" s="13"/>
      <c r="IG920" s="12"/>
      <c r="LV920" s="12"/>
      <c r="MG920" s="13"/>
      <c r="NN920" s="13"/>
      <c r="NT920" s="13"/>
      <c r="PP920" s="13"/>
      <c r="QO920" s="12"/>
      <c r="QR920" s="12"/>
      <c r="RR920" s="13"/>
      <c r="RU920" s="13"/>
      <c r="SG920" s="13"/>
    </row>
    <row r="921" spans="47:501" ht="10.75" customHeight="1">
      <c r="AU921" s="12"/>
      <c r="BA921" s="9"/>
      <c r="BB921" s="10"/>
      <c r="BC921" s="10"/>
      <c r="BD921" s="10"/>
      <c r="BE921" s="10"/>
      <c r="BF921" s="10"/>
      <c r="BG921" s="10"/>
      <c r="BH921" s="10"/>
      <c r="BI921" s="10"/>
      <c r="BJ921" s="11"/>
      <c r="BK921" s="43"/>
      <c r="BL921" s="43"/>
      <c r="BM921" s="43"/>
      <c r="BN921" s="9"/>
      <c r="BO921" s="10"/>
      <c r="BP921" s="10"/>
      <c r="BQ921" s="10"/>
      <c r="BR921" s="10"/>
      <c r="BS921" s="10"/>
      <c r="BT921" s="10"/>
      <c r="BU921" s="10"/>
      <c r="EM921" s="18"/>
      <c r="FG921" s="13"/>
      <c r="FH921" s="43"/>
      <c r="FI921" s="43"/>
      <c r="FJ921" s="45"/>
      <c r="FZ921" s="13"/>
      <c r="IA921" s="12"/>
      <c r="IF921" s="13"/>
      <c r="IG921" s="12"/>
      <c r="LV921" s="12"/>
      <c r="MG921" s="13"/>
      <c r="NN921" s="13"/>
      <c r="NT921" s="13"/>
      <c r="PQ921" s="10"/>
      <c r="PR921" s="10"/>
      <c r="PS921" s="10"/>
      <c r="PT921" s="10"/>
      <c r="PU921" s="10"/>
      <c r="PV921" s="10"/>
      <c r="PW921" s="10"/>
      <c r="PX921" s="10"/>
      <c r="PY921" s="10"/>
      <c r="PZ921" s="10"/>
      <c r="QA921" s="10"/>
      <c r="QB921" s="11"/>
      <c r="QO921" s="12"/>
      <c r="QR921" s="12"/>
      <c r="RR921" s="13"/>
      <c r="RU921" s="13"/>
      <c r="SG921" s="13"/>
    </row>
    <row r="922" spans="47:501" ht="10.75" customHeight="1">
      <c r="AU922" s="12"/>
      <c r="BA922" s="12"/>
      <c r="BJ922" s="13"/>
      <c r="BK922" s="43"/>
      <c r="BL922" s="119"/>
      <c r="BM922" s="43"/>
      <c r="BN922" s="12"/>
      <c r="EM922" s="18"/>
      <c r="FG922" s="13"/>
      <c r="FH922" s="43"/>
      <c r="FI922" s="43"/>
      <c r="FJ922" s="45"/>
      <c r="FZ922" s="13"/>
      <c r="IA922" s="12"/>
      <c r="IF922" s="13"/>
      <c r="IG922" s="12"/>
      <c r="LV922" s="12"/>
      <c r="MG922" s="13"/>
      <c r="NN922" s="13"/>
      <c r="NT922" s="13"/>
      <c r="QB922" s="13"/>
      <c r="QO922" s="12"/>
      <c r="QR922" s="12"/>
      <c r="RR922" s="13"/>
      <c r="RU922" s="13"/>
      <c r="SG922" s="13"/>
    </row>
    <row r="923" spans="47:501" ht="10.75" customHeight="1">
      <c r="AU923" s="12"/>
      <c r="BA923" s="12"/>
      <c r="BJ923" s="13"/>
      <c r="BK923" s="43"/>
      <c r="BL923" s="119"/>
      <c r="BM923" s="43"/>
      <c r="BN923" s="12"/>
      <c r="EM923" s="18"/>
      <c r="FG923" s="13"/>
      <c r="FH923" s="43"/>
      <c r="FI923" s="43"/>
      <c r="FJ923" s="45"/>
      <c r="FZ923" s="13"/>
      <c r="IA923" s="12"/>
      <c r="IF923" s="13"/>
      <c r="IG923" s="12"/>
      <c r="LV923" s="12"/>
      <c r="MG923" s="13"/>
      <c r="NO923" s="12"/>
      <c r="NT923" s="13"/>
      <c r="QB923" s="13"/>
      <c r="QO923" s="12"/>
      <c r="QR923" s="12"/>
      <c r="RR923" s="13"/>
      <c r="RU923" s="13"/>
      <c r="RY923" s="12"/>
      <c r="SG923" s="13"/>
    </row>
    <row r="924" spans="47:501" ht="10.75" customHeight="1">
      <c r="AU924" s="12"/>
      <c r="BA924" s="12"/>
      <c r="BJ924" s="13"/>
      <c r="BK924" s="43"/>
      <c r="BL924" s="119"/>
      <c r="BM924" s="43"/>
      <c r="BN924" s="12"/>
      <c r="EM924" s="18"/>
      <c r="FG924" s="13"/>
      <c r="FH924" s="43"/>
      <c r="FI924" s="43"/>
      <c r="FJ924" s="45"/>
      <c r="FZ924" s="13"/>
      <c r="IA924" s="12"/>
      <c r="IF924" s="13"/>
      <c r="IG924" s="12"/>
      <c r="LV924" s="12"/>
      <c r="MG924" s="13"/>
      <c r="NO924" s="12"/>
      <c r="NT924" s="13"/>
      <c r="QB924" s="13"/>
      <c r="QO924" s="12"/>
      <c r="QR924" s="12"/>
      <c r="RR924" s="13"/>
      <c r="RU924" s="13"/>
      <c r="RY924" s="12"/>
      <c r="SG924" s="13"/>
    </row>
    <row r="925" spans="47:501" ht="10.75" customHeight="1">
      <c r="AU925" s="12"/>
      <c r="BA925" s="12"/>
      <c r="BJ925" s="13"/>
      <c r="BK925" s="43"/>
      <c r="BL925" s="119"/>
      <c r="BM925" s="43"/>
      <c r="BN925" s="12"/>
      <c r="CE925" s="13"/>
      <c r="CF925" s="9"/>
      <c r="CG925" s="10"/>
      <c r="CH925" s="10"/>
      <c r="CI925" s="10"/>
      <c r="CJ925" s="10"/>
      <c r="CK925" s="10"/>
      <c r="CL925" s="10"/>
      <c r="CM925" s="10"/>
      <c r="CN925" s="10"/>
      <c r="CO925" s="10"/>
      <c r="CP925" s="10"/>
      <c r="CQ925" s="10"/>
      <c r="CR925" s="10"/>
      <c r="CS925" s="10"/>
      <c r="CT925" s="10"/>
      <c r="CU925" s="10"/>
      <c r="CV925" s="10"/>
      <c r="CW925" s="10"/>
      <c r="CX925" s="10"/>
      <c r="CY925" s="10"/>
      <c r="CZ925" s="10"/>
      <c r="DA925" s="10"/>
      <c r="DB925" s="10"/>
      <c r="DC925" s="11"/>
      <c r="EM925" s="18"/>
      <c r="FG925" s="13"/>
      <c r="FH925" s="43"/>
      <c r="FI925" s="43"/>
      <c r="FJ925" s="45"/>
      <c r="FZ925" s="13"/>
      <c r="IA925" s="12"/>
      <c r="IF925" s="13"/>
      <c r="IG925" s="12"/>
      <c r="LV925" s="12"/>
      <c r="MG925" s="13"/>
      <c r="NO925" s="12"/>
      <c r="NT925" s="13"/>
      <c r="QB925" s="13"/>
      <c r="QO925" s="12"/>
      <c r="QR925" s="12"/>
      <c r="RR925" s="13"/>
      <c r="RU925" s="13"/>
      <c r="RY925" s="12"/>
      <c r="SG925" s="13"/>
    </row>
    <row r="926" spans="47:501" ht="10.75" customHeight="1">
      <c r="AU926" s="12"/>
      <c r="BA926" s="12"/>
      <c r="BJ926" s="13"/>
      <c r="BK926" s="43"/>
      <c r="BL926" s="119"/>
      <c r="BM926" s="43"/>
      <c r="BN926" s="12"/>
      <c r="CE926" s="13"/>
      <c r="CF926" s="12"/>
      <c r="DC926" s="13"/>
      <c r="EM926" s="18"/>
      <c r="FG926" s="13"/>
      <c r="FH926" s="43"/>
      <c r="FI926" s="43"/>
      <c r="FJ926" s="45"/>
      <c r="FZ926" s="13"/>
      <c r="IA926" s="12"/>
      <c r="IF926" s="13"/>
      <c r="IG926" s="12"/>
      <c r="LV926" s="12"/>
      <c r="MG926" s="13"/>
      <c r="NO926" s="12"/>
      <c r="NT926" s="13"/>
      <c r="QB926" s="13"/>
      <c r="QO926" s="12"/>
      <c r="QR926" s="12"/>
      <c r="RR926" s="13"/>
      <c r="RU926" s="13"/>
      <c r="RY926" s="12"/>
      <c r="SG926" s="13"/>
    </row>
    <row r="927" spans="47:501" ht="10.75" customHeight="1">
      <c r="AU927" s="12"/>
      <c r="BA927" s="12"/>
      <c r="BJ927" s="13"/>
      <c r="BK927" s="43"/>
      <c r="BL927" s="119"/>
      <c r="BM927" s="43"/>
      <c r="BN927" s="12"/>
      <c r="CE927" s="13"/>
      <c r="CF927" s="12"/>
      <c r="DC927" s="13"/>
      <c r="EM927" s="18"/>
      <c r="FG927" s="13"/>
      <c r="FH927" s="43"/>
      <c r="FI927" s="43"/>
      <c r="FJ927" s="45"/>
      <c r="FZ927" s="13"/>
      <c r="IA927" s="12"/>
      <c r="IF927" s="13"/>
      <c r="IG927" s="12"/>
      <c r="LV927" s="12"/>
      <c r="MG927" s="13"/>
      <c r="NO927" s="12"/>
      <c r="NT927" s="13"/>
      <c r="QB927" s="13"/>
      <c r="QJ927" s="15"/>
      <c r="QK927" s="15"/>
      <c r="QL927" s="15"/>
      <c r="QM927" s="15"/>
      <c r="QN927" s="15"/>
      <c r="QO927" s="12"/>
      <c r="QR927" s="12"/>
      <c r="RR927" s="13"/>
      <c r="RU927" s="13"/>
      <c r="RY927" s="12"/>
      <c r="SG927" s="13"/>
    </row>
    <row r="928" spans="47:501" ht="10.75" customHeight="1">
      <c r="AU928" s="12"/>
      <c r="BA928" s="12"/>
      <c r="BJ928" s="13"/>
      <c r="BK928" s="43"/>
      <c r="BL928" s="119"/>
      <c r="BM928" s="43"/>
      <c r="BN928" s="12"/>
      <c r="CE928" s="13"/>
      <c r="CF928" s="12"/>
      <c r="DC928" s="13"/>
      <c r="EM928" s="18"/>
      <c r="FG928" s="13"/>
      <c r="FH928" s="43"/>
      <c r="FI928" s="43"/>
      <c r="FJ928" s="45"/>
      <c r="FZ928" s="13"/>
      <c r="IA928" s="12"/>
      <c r="IF928" s="13"/>
      <c r="IG928" s="12"/>
      <c r="LV928" s="12"/>
      <c r="MG928" s="13"/>
      <c r="NO928" s="12"/>
      <c r="NT928" s="13"/>
      <c r="QC928" s="10"/>
      <c r="QD928" s="10"/>
      <c r="QE928" s="10"/>
      <c r="QF928" s="10"/>
      <c r="QG928" s="10"/>
      <c r="QH928" s="10"/>
      <c r="QI928" s="10"/>
      <c r="QJ928" s="10"/>
      <c r="QK928" s="10"/>
      <c r="QL928" s="10"/>
      <c r="QM928" s="10"/>
      <c r="QN928" s="10"/>
      <c r="QO928" s="12"/>
      <c r="QR928" s="14"/>
      <c r="QS928" s="15"/>
      <c r="QT928" s="15"/>
      <c r="QU928" s="15"/>
      <c r="QV928" s="15"/>
      <c r="QW928" s="15"/>
      <c r="QX928" s="15"/>
      <c r="QY928" s="15"/>
      <c r="QZ928" s="15"/>
      <c r="RA928" s="15"/>
      <c r="RB928" s="15"/>
      <c r="RC928" s="15"/>
      <c r="RD928" s="15"/>
      <c r="RE928" s="15"/>
      <c r="RF928" s="15"/>
      <c r="RG928" s="15"/>
      <c r="RH928" s="15"/>
      <c r="RI928" s="15"/>
      <c r="RJ928" s="15"/>
      <c r="RK928" s="15"/>
      <c r="RL928" s="15"/>
      <c r="RM928" s="15"/>
      <c r="RN928" s="15"/>
      <c r="RO928" s="15"/>
      <c r="RP928" s="15"/>
      <c r="RQ928" s="15"/>
      <c r="RR928" s="16"/>
      <c r="RU928" s="13"/>
      <c r="RY928" s="12"/>
      <c r="SG928" s="13"/>
    </row>
    <row r="929" spans="47:527" ht="10.75" customHeight="1">
      <c r="AU929" s="12"/>
      <c r="BA929" s="12"/>
      <c r="BJ929" s="13"/>
      <c r="BK929" s="43"/>
      <c r="BL929" s="119"/>
      <c r="BM929" s="43"/>
      <c r="BN929" s="12"/>
      <c r="CE929" s="13"/>
      <c r="CF929" s="12"/>
      <c r="DC929" s="13"/>
      <c r="EM929" s="18"/>
      <c r="FG929" s="13"/>
      <c r="FH929" s="43"/>
      <c r="FI929" s="43"/>
      <c r="FJ929" s="45"/>
      <c r="FZ929" s="13"/>
      <c r="IA929" s="12"/>
      <c r="IF929" s="13"/>
      <c r="IG929" s="12"/>
      <c r="LV929" s="12"/>
      <c r="MG929" s="13"/>
      <c r="NO929" s="12"/>
      <c r="NT929" s="13"/>
      <c r="QO929" s="9"/>
      <c r="QP929" s="10"/>
      <c r="QQ929" s="10"/>
      <c r="QR929" s="10"/>
      <c r="QS929" s="10"/>
      <c r="QT929" s="10"/>
      <c r="QU929" s="10"/>
      <c r="QV929" s="10"/>
      <c r="QW929" s="10"/>
      <c r="QX929" s="10"/>
      <c r="QY929" s="10"/>
      <c r="QZ929" s="10"/>
      <c r="RA929" s="10"/>
      <c r="RB929" s="10"/>
      <c r="RC929" s="10"/>
      <c r="RD929" s="10"/>
      <c r="RE929" s="10"/>
      <c r="RF929" s="10"/>
      <c r="RG929" s="10"/>
      <c r="RH929" s="10"/>
      <c r="RI929" s="10"/>
      <c r="RJ929" s="10"/>
      <c r="RK929" s="10"/>
      <c r="RL929" s="10"/>
      <c r="RM929" s="10"/>
      <c r="RN929" s="10"/>
      <c r="RO929" s="10"/>
      <c r="RP929" s="10"/>
      <c r="RQ929" s="10"/>
      <c r="RR929" s="10"/>
      <c r="RS929" s="10"/>
      <c r="RT929" s="10"/>
      <c r="RU929" s="11"/>
      <c r="RY929" s="12"/>
      <c r="SG929" s="13"/>
    </row>
    <row r="930" spans="47:527" ht="10.75" customHeight="1">
      <c r="AU930" s="12"/>
      <c r="BA930" s="12"/>
      <c r="BJ930" s="13"/>
      <c r="BK930" s="43"/>
      <c r="BL930" s="119"/>
      <c r="BM930" s="43"/>
      <c r="BN930" s="12"/>
      <c r="CE930" s="13"/>
      <c r="CF930" s="12"/>
      <c r="DC930" s="13"/>
      <c r="EM930" s="18"/>
      <c r="FG930" s="13"/>
      <c r="FH930" s="43"/>
      <c r="FI930" s="43"/>
      <c r="FJ930" s="45"/>
      <c r="FZ930" s="13"/>
      <c r="IA930" s="12"/>
      <c r="IF930" s="13"/>
      <c r="IG930" s="12"/>
      <c r="LV930" s="12"/>
      <c r="MG930" s="13"/>
      <c r="NO930" s="12"/>
      <c r="NT930" s="13"/>
      <c r="QO930" s="12"/>
      <c r="RU930" s="13"/>
      <c r="RY930" s="12"/>
      <c r="SG930" s="13"/>
    </row>
    <row r="931" spans="47:527" ht="10.75" customHeight="1">
      <c r="AU931" s="12"/>
      <c r="BA931" s="12"/>
      <c r="BJ931" s="13"/>
      <c r="BK931" s="43"/>
      <c r="BL931" s="43"/>
      <c r="BM931" s="43"/>
      <c r="BN931" s="12"/>
      <c r="CE931" s="13"/>
      <c r="CF931" s="12"/>
      <c r="DC931" s="13"/>
      <c r="EM931" s="18"/>
      <c r="FG931" s="13"/>
      <c r="FH931" s="43"/>
      <c r="FI931" s="43"/>
      <c r="FJ931" s="45"/>
      <c r="FZ931" s="13"/>
      <c r="IA931" s="12"/>
      <c r="IF931" s="13"/>
      <c r="IG931" s="12"/>
      <c r="LV931" s="12"/>
      <c r="MG931" s="13"/>
      <c r="NO931" s="12"/>
      <c r="NT931" s="13"/>
      <c r="QO931" s="12"/>
      <c r="RU931" s="13"/>
      <c r="RY931" s="12"/>
      <c r="SG931" s="13"/>
    </row>
    <row r="932" spans="47:527" ht="10.75" customHeight="1">
      <c r="AU932" s="12"/>
      <c r="BA932" s="12"/>
      <c r="BJ932" s="13"/>
      <c r="BK932" s="47"/>
      <c r="BL932" s="47"/>
      <c r="BM932" s="47"/>
      <c r="BN932" s="14"/>
      <c r="BO932" s="15"/>
      <c r="BP932" s="15"/>
      <c r="BQ932" s="15"/>
      <c r="BR932" s="15"/>
      <c r="BS932" s="15"/>
      <c r="BT932" s="15"/>
      <c r="BU932" s="15"/>
      <c r="BV932" s="15"/>
      <c r="BW932" s="15"/>
      <c r="BX932" s="15"/>
      <c r="BY932" s="15"/>
      <c r="BZ932" s="15"/>
      <c r="CA932" s="15"/>
      <c r="CB932" s="15"/>
      <c r="CC932" s="15"/>
      <c r="CD932" s="15"/>
      <c r="CE932" s="16"/>
      <c r="CF932" s="14"/>
      <c r="CG932" s="15"/>
      <c r="CH932" s="15"/>
      <c r="CI932" s="15"/>
      <c r="CJ932" s="15"/>
      <c r="CK932" s="15"/>
      <c r="CL932" s="15"/>
      <c r="CM932" s="15"/>
      <c r="CN932" s="15"/>
      <c r="CO932" s="15"/>
      <c r="CP932" s="15"/>
      <c r="CQ932" s="15"/>
      <c r="CR932" s="15"/>
      <c r="CS932" s="15"/>
      <c r="CT932" s="15"/>
      <c r="CU932" s="15"/>
      <c r="CV932" s="15"/>
      <c r="CW932" s="15"/>
      <c r="CX932" s="15"/>
      <c r="CY932" s="15"/>
      <c r="CZ932" s="15"/>
      <c r="DA932" s="15"/>
      <c r="DB932" s="15"/>
      <c r="DC932" s="16"/>
      <c r="DD932" s="15"/>
      <c r="DE932" s="15"/>
      <c r="DF932" s="15"/>
      <c r="DG932" s="15"/>
      <c r="DH932" s="15"/>
      <c r="DI932" s="15"/>
      <c r="DJ932" s="15"/>
      <c r="DK932" s="15"/>
      <c r="DL932" s="15"/>
      <c r="DM932" s="15"/>
      <c r="DN932" s="15"/>
      <c r="DO932" s="15"/>
      <c r="DP932" s="15"/>
      <c r="DQ932" s="15"/>
      <c r="DR932" s="15"/>
      <c r="DS932" s="15"/>
      <c r="DT932" s="15"/>
      <c r="DU932" s="15"/>
      <c r="DV932" s="15"/>
      <c r="DW932" s="15"/>
      <c r="DX932" s="15"/>
      <c r="DY932" s="15"/>
      <c r="DZ932" s="15"/>
      <c r="EA932" s="15"/>
      <c r="EB932" s="15"/>
      <c r="EC932" s="15"/>
      <c r="ED932" s="15"/>
      <c r="EE932" s="15"/>
      <c r="EF932" s="15"/>
      <c r="EG932" s="15"/>
      <c r="EH932" s="15"/>
      <c r="EI932" s="15"/>
      <c r="EJ932" s="20"/>
      <c r="EK932" s="21"/>
      <c r="EL932" s="21"/>
      <c r="EM932" s="131"/>
      <c r="EN932" s="21"/>
      <c r="EO932" s="21"/>
      <c r="EP932" s="22"/>
      <c r="EQ932" s="15"/>
      <c r="ER932" s="15"/>
      <c r="ES932" s="15"/>
      <c r="ET932" s="15"/>
      <c r="EU932" s="15"/>
      <c r="EV932" s="15"/>
      <c r="EW932" s="15"/>
      <c r="EX932" s="15"/>
      <c r="EY932" s="15"/>
      <c r="EZ932" s="15"/>
      <c r="FA932" s="15"/>
      <c r="FB932" s="15"/>
      <c r="FC932" s="15"/>
      <c r="FD932" s="15"/>
      <c r="FE932" s="15"/>
      <c r="FF932" s="15"/>
      <c r="FG932" s="16"/>
      <c r="FH932" s="56"/>
      <c r="FI932" s="57"/>
      <c r="FJ932" s="58"/>
      <c r="FZ932" s="13"/>
      <c r="IA932" s="12"/>
      <c r="IF932" s="13"/>
      <c r="IG932" s="12"/>
      <c r="LV932" s="12"/>
      <c r="MG932" s="13"/>
      <c r="NO932" s="12"/>
      <c r="NT932" s="13"/>
      <c r="QO932" s="12"/>
      <c r="RU932" s="13"/>
      <c r="RY932" s="12"/>
      <c r="SG932" s="13"/>
    </row>
    <row r="933" spans="47:527" ht="10.75" customHeight="1">
      <c r="AU933" s="12"/>
      <c r="BA933" s="12"/>
      <c r="BJ933" s="13"/>
      <c r="BK933" s="57"/>
      <c r="BL933" s="57"/>
      <c r="BM933" s="57"/>
      <c r="BN933" s="98"/>
      <c r="BO933" s="43"/>
      <c r="BP933" s="43"/>
      <c r="BQ933" s="43"/>
      <c r="BR933" s="43"/>
      <c r="BS933" s="43"/>
      <c r="BT933" s="43"/>
      <c r="BU933" s="43"/>
      <c r="BV933" s="43"/>
      <c r="BW933" s="43"/>
      <c r="BX933" s="43"/>
      <c r="BY933" s="43"/>
      <c r="BZ933" s="43"/>
      <c r="CA933" s="43"/>
      <c r="CB933" s="43"/>
      <c r="CC933" s="43"/>
      <c r="CD933" s="43"/>
      <c r="CE933" s="43"/>
      <c r="CF933" s="43"/>
      <c r="CG933" s="43"/>
      <c r="CH933" s="43"/>
      <c r="CI933" s="43"/>
      <c r="CJ933" s="43"/>
      <c r="CK933" s="43"/>
      <c r="CL933" s="43"/>
      <c r="CM933" s="43"/>
      <c r="CN933" s="43"/>
      <c r="CO933" s="43"/>
      <c r="CP933" s="43"/>
      <c r="CQ933" s="43"/>
      <c r="CR933" s="43"/>
      <c r="CS933" s="43"/>
      <c r="CT933" s="43"/>
      <c r="CU933" s="43"/>
      <c r="CV933" s="43"/>
      <c r="CW933" s="43"/>
      <c r="CX933" s="43"/>
      <c r="CY933" s="43"/>
      <c r="CZ933" s="43"/>
      <c r="DA933" s="43"/>
      <c r="DB933" s="43"/>
      <c r="DC933" s="43"/>
      <c r="DD933" s="43"/>
      <c r="DE933" s="43"/>
      <c r="DF933" s="43"/>
      <c r="DG933" s="43"/>
      <c r="DH933" s="43"/>
      <c r="DI933" s="96"/>
      <c r="DJ933" s="97"/>
      <c r="DK933" s="97"/>
      <c r="DL933" s="98"/>
      <c r="DM933" s="43"/>
      <c r="DN933" s="43"/>
      <c r="DO933" s="43"/>
      <c r="DP933" s="43"/>
      <c r="DQ933" s="43"/>
      <c r="DR933" s="43"/>
      <c r="DS933" s="43"/>
      <c r="DT933" s="43"/>
      <c r="DU933" s="43"/>
      <c r="DV933" s="43"/>
      <c r="DW933" s="43"/>
      <c r="DX933" s="43"/>
      <c r="DY933" s="43"/>
      <c r="DZ933" s="43"/>
      <c r="EA933" s="43"/>
      <c r="EB933" s="43"/>
      <c r="EC933" s="43"/>
      <c r="ED933" s="43"/>
      <c r="EE933" s="43"/>
      <c r="EF933" s="43"/>
      <c r="EG933" s="43"/>
      <c r="EH933" s="43"/>
      <c r="EI933" s="43"/>
      <c r="EJ933" s="43"/>
      <c r="EK933" s="43"/>
      <c r="EL933" s="43"/>
      <c r="EM933" s="43"/>
      <c r="EN933" s="43"/>
      <c r="EO933" s="43"/>
      <c r="EP933" s="43"/>
      <c r="EQ933" s="43"/>
      <c r="ER933" s="43"/>
      <c r="ES933" s="43"/>
      <c r="ET933" s="43"/>
      <c r="EU933" s="43"/>
      <c r="EV933" s="43"/>
      <c r="EW933" s="43"/>
      <c r="EX933" s="43"/>
      <c r="EY933" s="43"/>
      <c r="EZ933" s="43"/>
      <c r="FA933" s="43"/>
      <c r="FB933" s="43"/>
      <c r="FC933" s="43"/>
      <c r="FD933" s="43"/>
      <c r="FE933" s="43"/>
      <c r="FF933" s="43"/>
      <c r="FG933" s="43"/>
      <c r="FH933" s="96"/>
      <c r="FI933" s="97"/>
      <c r="FJ933" s="98"/>
      <c r="FZ933" s="13"/>
      <c r="IA933" s="12"/>
      <c r="IF933" s="13"/>
      <c r="IG933" s="12"/>
      <c r="LV933" s="12"/>
      <c r="MG933" s="13"/>
      <c r="NO933" s="12"/>
      <c r="NT933" s="13"/>
      <c r="QO933" s="12"/>
      <c r="RU933" s="13"/>
      <c r="RY933" s="12"/>
      <c r="SG933" s="13"/>
    </row>
    <row r="934" spans="47:527" ht="10.75" customHeight="1">
      <c r="AU934" s="12"/>
      <c r="BA934" s="12"/>
      <c r="BJ934" s="13"/>
      <c r="BK934" s="97"/>
      <c r="BL934" s="97"/>
      <c r="BM934" s="97"/>
      <c r="BN934" s="98"/>
      <c r="BO934" s="43"/>
      <c r="BP934" s="43"/>
      <c r="BQ934" s="43"/>
      <c r="BR934" s="43"/>
      <c r="BS934" s="43"/>
      <c r="BT934" s="43"/>
      <c r="BU934" s="43"/>
      <c r="BV934" s="43"/>
      <c r="BW934" s="43"/>
      <c r="BX934" s="43"/>
      <c r="BY934" s="43"/>
      <c r="BZ934" s="43"/>
      <c r="CA934" s="43"/>
      <c r="CB934" s="43"/>
      <c r="CC934" s="43"/>
      <c r="CD934" s="43"/>
      <c r="CE934" s="43"/>
      <c r="CF934" s="43"/>
      <c r="CG934" s="43"/>
      <c r="CH934" s="43"/>
      <c r="CI934" s="43"/>
      <c r="CJ934" s="43"/>
      <c r="CK934" s="43"/>
      <c r="CL934" s="43"/>
      <c r="CM934" s="43"/>
      <c r="CN934" s="43"/>
      <c r="CO934" s="43"/>
      <c r="CP934" s="43"/>
      <c r="CQ934" s="43"/>
      <c r="CR934" s="43"/>
      <c r="CS934" s="43"/>
      <c r="CT934" s="43"/>
      <c r="CU934" s="43"/>
      <c r="CV934" s="43"/>
      <c r="CW934" s="43"/>
      <c r="CX934" s="43"/>
      <c r="CY934" s="43"/>
      <c r="CZ934" s="43"/>
      <c r="DA934" s="43"/>
      <c r="DB934" s="43"/>
      <c r="DC934" s="43"/>
      <c r="DD934" s="43"/>
      <c r="DE934" s="43"/>
      <c r="DF934" s="43"/>
      <c r="DG934" s="43"/>
      <c r="DH934" s="43"/>
      <c r="DI934" s="96"/>
      <c r="DJ934" s="97"/>
      <c r="DK934" s="97"/>
      <c r="DL934" s="98"/>
      <c r="DM934" s="43"/>
      <c r="DN934" s="43"/>
      <c r="DO934" s="43"/>
      <c r="DP934" s="43"/>
      <c r="DQ934" s="43"/>
      <c r="DR934" s="43"/>
      <c r="DS934" s="43"/>
      <c r="DT934" s="43"/>
      <c r="DU934" s="43"/>
      <c r="DV934" s="43"/>
      <c r="DW934" s="43"/>
      <c r="DX934" s="43"/>
      <c r="DY934" s="43"/>
      <c r="DZ934" s="43"/>
      <c r="EA934" s="43"/>
      <c r="EB934" s="43"/>
      <c r="EC934" s="43"/>
      <c r="ED934" s="43"/>
      <c r="EE934" s="43"/>
      <c r="EF934" s="43"/>
      <c r="EG934" s="43"/>
      <c r="EH934" s="43"/>
      <c r="EI934" s="43"/>
      <c r="EJ934" s="43"/>
      <c r="EK934" s="43"/>
      <c r="EL934" s="43"/>
      <c r="EM934" s="43"/>
      <c r="EN934" s="43"/>
      <c r="EO934" s="43"/>
      <c r="EP934" s="43"/>
      <c r="EQ934" s="43"/>
      <c r="ER934" s="43"/>
      <c r="ES934" s="43"/>
      <c r="ET934" s="119"/>
      <c r="EU934" s="119"/>
      <c r="EV934" s="119"/>
      <c r="EW934" s="119"/>
      <c r="EX934" s="119"/>
      <c r="EY934" s="119"/>
      <c r="EZ934" s="119"/>
      <c r="FA934" s="119"/>
      <c r="FB934" s="119"/>
      <c r="FC934" s="119"/>
      <c r="FD934" s="119"/>
      <c r="FE934" s="119"/>
      <c r="FF934" s="43"/>
      <c r="FG934" s="43"/>
      <c r="FH934" s="96"/>
      <c r="FI934" s="97"/>
      <c r="FJ934" s="98"/>
      <c r="FZ934" s="13"/>
      <c r="IA934" s="12"/>
      <c r="IF934" s="13"/>
      <c r="IG934" s="12"/>
      <c r="KM934" s="15"/>
      <c r="KN934" s="15"/>
      <c r="KO934" s="15"/>
      <c r="KP934" s="15"/>
      <c r="KQ934" s="15"/>
      <c r="KR934" s="15"/>
      <c r="KS934" s="15"/>
      <c r="KT934" s="15"/>
      <c r="KU934" s="15"/>
      <c r="KV934" s="15"/>
      <c r="KW934" s="15"/>
      <c r="KX934" s="15"/>
      <c r="KY934" s="15"/>
      <c r="KZ934" s="15"/>
      <c r="LA934" s="15"/>
      <c r="LB934" s="15"/>
      <c r="LC934" s="15"/>
      <c r="LD934" s="15"/>
      <c r="LE934" s="15"/>
      <c r="LF934" s="15"/>
      <c r="LG934" s="15"/>
      <c r="LH934" s="15"/>
      <c r="LI934" s="15"/>
      <c r="LJ934" s="15"/>
      <c r="LK934" s="15"/>
      <c r="LL934" s="15"/>
      <c r="LM934" s="15"/>
      <c r="LN934" s="15"/>
      <c r="LO934" s="15"/>
      <c r="LP934" s="15"/>
      <c r="LQ934" s="15"/>
      <c r="LR934" s="15"/>
      <c r="LS934" s="15"/>
      <c r="LT934" s="15"/>
      <c r="LU934" s="15"/>
      <c r="LV934" s="14"/>
      <c r="LW934" s="15"/>
      <c r="LX934" s="15"/>
      <c r="LY934" s="15"/>
      <c r="LZ934" s="15"/>
      <c r="MA934" s="15"/>
      <c r="MB934" s="15"/>
      <c r="MC934" s="15"/>
      <c r="MD934" s="15"/>
      <c r="ME934" s="15"/>
      <c r="MF934" s="15"/>
      <c r="MG934" s="16"/>
      <c r="MH934" s="15"/>
      <c r="MI934" s="15"/>
      <c r="MJ934" s="15"/>
      <c r="MK934" s="15"/>
      <c r="ML934" s="15"/>
      <c r="MM934" s="15"/>
      <c r="MN934" s="15"/>
      <c r="MO934" s="15"/>
      <c r="MP934" s="15"/>
      <c r="MQ934" s="15"/>
      <c r="MR934" s="15"/>
      <c r="MS934" s="15"/>
      <c r="MT934" s="15"/>
      <c r="MU934" s="15"/>
      <c r="MV934" s="15"/>
      <c r="MW934" s="15"/>
      <c r="MX934" s="15"/>
      <c r="MY934" s="15"/>
      <c r="MZ934" s="15"/>
      <c r="NA934" s="15"/>
      <c r="NB934" s="15"/>
      <c r="NC934" s="15"/>
      <c r="ND934" s="15"/>
      <c r="NE934" s="15"/>
      <c r="NF934" s="15"/>
      <c r="NG934" s="15"/>
      <c r="NH934" s="15"/>
      <c r="NI934" s="15"/>
      <c r="NJ934" s="15"/>
      <c r="NK934" s="15"/>
      <c r="NL934" s="15"/>
      <c r="NM934" s="15"/>
      <c r="NN934" s="15"/>
      <c r="NO934" s="14"/>
      <c r="NP934" s="15"/>
      <c r="NQ934" s="15"/>
      <c r="NR934" s="15"/>
      <c r="NS934" s="15"/>
      <c r="NT934" s="16"/>
      <c r="NU934" s="15"/>
      <c r="NV934" s="15"/>
      <c r="NW934" s="15"/>
      <c r="NX934" s="15"/>
      <c r="NY934" s="15"/>
      <c r="NZ934" s="15"/>
      <c r="OA934" s="15"/>
      <c r="OB934" s="15"/>
      <c r="OC934" s="15"/>
      <c r="OD934" s="15"/>
      <c r="OE934" s="15"/>
      <c r="OF934" s="15"/>
      <c r="OG934" s="15"/>
      <c r="OH934" s="15"/>
      <c r="OI934" s="15"/>
      <c r="OJ934" s="15"/>
      <c r="OK934" s="15"/>
      <c r="OL934" s="15"/>
      <c r="OM934" s="15"/>
      <c r="ON934" s="15"/>
      <c r="OO934" s="15"/>
      <c r="OP934" s="15"/>
      <c r="OQ934" s="15"/>
      <c r="OR934" s="15"/>
      <c r="OS934" s="15"/>
      <c r="OT934" s="15"/>
      <c r="OU934" s="15"/>
      <c r="OV934" s="15"/>
      <c r="OW934" s="15"/>
      <c r="OX934" s="15"/>
      <c r="OY934" s="15"/>
      <c r="OZ934" s="15"/>
      <c r="PA934" s="15"/>
      <c r="PB934" s="15"/>
      <c r="PC934" s="15"/>
      <c r="PD934" s="15"/>
      <c r="PE934" s="15"/>
      <c r="PF934" s="15"/>
      <c r="PG934" s="15"/>
      <c r="PH934" s="15"/>
      <c r="PI934" s="15"/>
      <c r="PJ934" s="15"/>
      <c r="PK934" s="15"/>
      <c r="PL934" s="15"/>
      <c r="PM934" s="15"/>
      <c r="PN934" s="15"/>
      <c r="PO934" s="15"/>
      <c r="PP934" s="15"/>
      <c r="PQ934" s="15"/>
      <c r="PR934" s="15"/>
      <c r="PS934" s="15"/>
      <c r="PT934" s="15"/>
      <c r="PU934" s="15"/>
      <c r="PV934" s="15"/>
      <c r="PW934" s="15"/>
      <c r="PX934" s="15"/>
      <c r="PY934" s="15"/>
      <c r="PZ934" s="15"/>
      <c r="QA934" s="15"/>
      <c r="QB934" s="15"/>
      <c r="QC934" s="15"/>
      <c r="QD934" s="15"/>
      <c r="QE934" s="15"/>
      <c r="QF934" s="15"/>
      <c r="QG934" s="15"/>
      <c r="QH934" s="15"/>
      <c r="QI934" s="15"/>
      <c r="QJ934" s="15"/>
      <c r="QK934" s="15"/>
      <c r="QL934" s="15"/>
      <c r="QM934" s="15"/>
      <c r="QN934" s="15"/>
      <c r="QO934" s="14"/>
      <c r="QP934" s="15"/>
      <c r="QQ934" s="15"/>
      <c r="QR934" s="15"/>
      <c r="QS934" s="15"/>
      <c r="QT934" s="15"/>
      <c r="QU934" s="15"/>
      <c r="QV934" s="15"/>
      <c r="QW934" s="15"/>
      <c r="QX934" s="15"/>
      <c r="QY934" s="15"/>
      <c r="QZ934" s="15"/>
      <c r="RA934" s="15"/>
      <c r="RB934" s="15"/>
      <c r="RC934" s="15"/>
      <c r="RD934" s="15"/>
      <c r="RE934" s="15"/>
      <c r="RF934" s="15"/>
      <c r="RG934" s="15"/>
      <c r="RH934" s="15"/>
      <c r="RI934" s="15"/>
      <c r="RJ934" s="15"/>
      <c r="RK934" s="15"/>
      <c r="RL934" s="15"/>
      <c r="RM934" s="15"/>
      <c r="RN934" s="15"/>
      <c r="RO934" s="15"/>
      <c r="RU934" s="13"/>
      <c r="RY934" s="14"/>
      <c r="RZ934" s="15"/>
      <c r="SA934" s="15"/>
      <c r="SB934" s="15"/>
      <c r="SC934" s="15"/>
      <c r="SD934" s="15"/>
      <c r="SE934" s="15"/>
      <c r="SF934" s="15"/>
      <c r="SG934" s="16"/>
    </row>
    <row r="935" spans="47:527" ht="10.75" customHeight="1">
      <c r="AU935" s="12"/>
      <c r="BA935" s="14"/>
      <c r="BB935" s="15"/>
      <c r="BC935" s="15"/>
      <c r="BD935" s="15"/>
      <c r="BE935" s="15"/>
      <c r="BF935" s="15"/>
      <c r="BG935" s="15"/>
      <c r="BH935" s="15"/>
      <c r="BI935" s="15"/>
      <c r="BJ935" s="16"/>
      <c r="BK935" s="60"/>
      <c r="BL935" s="60"/>
      <c r="BM935" s="60"/>
      <c r="BN935" s="61"/>
      <c r="BO935" s="47"/>
      <c r="BP935" s="47"/>
      <c r="BQ935" s="47"/>
      <c r="BR935" s="47"/>
      <c r="BS935" s="47"/>
      <c r="BT935" s="47"/>
      <c r="BU935" s="47"/>
      <c r="BV935" s="47"/>
      <c r="BW935" s="47"/>
      <c r="BX935" s="47"/>
      <c r="BY935" s="47"/>
      <c r="BZ935" s="47"/>
      <c r="CA935" s="47"/>
      <c r="CB935" s="47"/>
      <c r="CC935" s="47"/>
      <c r="CD935" s="47"/>
      <c r="CE935" s="47"/>
      <c r="CF935" s="47"/>
      <c r="CG935" s="47"/>
      <c r="CH935" s="47"/>
      <c r="CI935" s="47"/>
      <c r="CJ935" s="47"/>
      <c r="CK935" s="47"/>
      <c r="CL935" s="47"/>
      <c r="CM935" s="47"/>
      <c r="CN935" s="47"/>
      <c r="CO935" s="47"/>
      <c r="CP935" s="47"/>
      <c r="CQ935" s="47"/>
      <c r="CR935" s="47"/>
      <c r="CS935" s="47"/>
      <c r="CT935" s="47"/>
      <c r="CU935" s="47"/>
      <c r="CV935" s="47"/>
      <c r="CW935" s="47"/>
      <c r="CX935" s="47"/>
      <c r="CY935" s="47"/>
      <c r="CZ935" s="47"/>
      <c r="DA935" s="47"/>
      <c r="DB935" s="47"/>
      <c r="DC935" s="47"/>
      <c r="DD935" s="47"/>
      <c r="DE935" s="47"/>
      <c r="DF935" s="47"/>
      <c r="DG935" s="47"/>
      <c r="DH935" s="47"/>
      <c r="DI935" s="59"/>
      <c r="DJ935" s="60"/>
      <c r="DK935" s="60"/>
      <c r="DL935" s="61"/>
      <c r="DM935" s="47"/>
      <c r="DN935" s="47"/>
      <c r="DO935" s="47"/>
      <c r="DP935" s="47"/>
      <c r="DQ935" s="47"/>
      <c r="DR935" s="47"/>
      <c r="DS935" s="47"/>
      <c r="DT935" s="47"/>
      <c r="DU935" s="47"/>
      <c r="DV935" s="47"/>
      <c r="DW935" s="47"/>
      <c r="DX935" s="47"/>
      <c r="DY935" s="47"/>
      <c r="DZ935" s="47"/>
      <c r="EA935" s="47"/>
      <c r="EB935" s="47"/>
      <c r="EC935" s="47"/>
      <c r="ED935" s="47"/>
      <c r="EE935" s="47"/>
      <c r="EF935" s="47"/>
      <c r="EG935" s="47"/>
      <c r="EH935" s="47"/>
      <c r="EI935" s="47"/>
      <c r="EJ935" s="47"/>
      <c r="EK935" s="47"/>
      <c r="EL935" s="47"/>
      <c r="EM935" s="47"/>
      <c r="EN935" s="47"/>
      <c r="EO935" s="47"/>
      <c r="EP935" s="47"/>
      <c r="EQ935" s="47"/>
      <c r="ER935" s="47"/>
      <c r="ES935" s="47"/>
      <c r="ET935" s="47"/>
      <c r="EU935" s="47"/>
      <c r="EV935" s="47"/>
      <c r="EW935" s="47"/>
      <c r="EX935" s="47"/>
      <c r="EY935" s="47"/>
      <c r="EZ935" s="47"/>
      <c r="FA935" s="47"/>
      <c r="FB935" s="47"/>
      <c r="FC935" s="47"/>
      <c r="FD935" s="47"/>
      <c r="FE935" s="47"/>
      <c r="FF935" s="47"/>
      <c r="FG935" s="47"/>
      <c r="FH935" s="59"/>
      <c r="FI935" s="60"/>
      <c r="FJ935" s="61"/>
      <c r="FZ935" s="13"/>
      <c r="HF935" s="10"/>
      <c r="HG935" s="10"/>
      <c r="HH935" s="10"/>
      <c r="HI935" s="10"/>
      <c r="HJ935" s="10"/>
      <c r="HK935" s="10"/>
      <c r="HL935" s="10"/>
      <c r="HM935" s="10"/>
      <c r="HN935" s="10"/>
      <c r="HO935" s="10"/>
      <c r="HP935" s="10"/>
      <c r="HQ935" s="10"/>
      <c r="HR935" s="10"/>
      <c r="HS935" s="10"/>
      <c r="HT935" s="10"/>
      <c r="HU935" s="10"/>
      <c r="HV935" s="10"/>
      <c r="HW935" s="10"/>
      <c r="HX935" s="10"/>
      <c r="HY935" s="10"/>
      <c r="HZ935" s="10"/>
      <c r="IA935" s="10"/>
      <c r="IB935" s="10"/>
      <c r="IC935" s="10"/>
      <c r="ID935" s="10"/>
      <c r="IE935" s="10"/>
      <c r="IF935" s="10"/>
      <c r="IG935" s="10"/>
      <c r="IH935" s="10"/>
      <c r="II935" s="10"/>
      <c r="IJ935" s="10"/>
      <c r="IK935" s="10"/>
      <c r="IL935" s="10"/>
      <c r="IM935" s="10"/>
      <c r="IN935" s="10"/>
      <c r="IO935" s="10"/>
      <c r="IP935" s="10"/>
      <c r="IQ935" s="10"/>
      <c r="IR935" s="10"/>
      <c r="IS935" s="10"/>
      <c r="IT935" s="10"/>
      <c r="IU935" s="10"/>
      <c r="IV935" s="10"/>
      <c r="IW935" s="10"/>
      <c r="IX935" s="10"/>
      <c r="IY935" s="10"/>
      <c r="IZ935" s="10"/>
      <c r="JA935" s="10"/>
      <c r="JB935" s="10"/>
      <c r="JC935" s="10"/>
      <c r="JD935" s="10"/>
      <c r="JE935" s="10"/>
      <c r="JF935" s="10"/>
      <c r="JG935" s="10"/>
      <c r="JH935" s="10"/>
      <c r="JI935" s="10"/>
      <c r="JJ935" s="10"/>
      <c r="JK935" s="10"/>
      <c r="JL935" s="10"/>
      <c r="JM935" s="10"/>
      <c r="JN935" s="10"/>
      <c r="JO935" s="10"/>
      <c r="JP935" s="10"/>
      <c r="JQ935" s="10"/>
      <c r="JR935" s="10"/>
      <c r="JS935" s="10"/>
      <c r="JT935" s="10"/>
      <c r="JU935" s="10"/>
      <c r="JV935" s="10"/>
      <c r="JW935" s="10"/>
      <c r="JX935" s="10"/>
      <c r="JY935" s="10"/>
      <c r="JZ935" s="10"/>
      <c r="KA935" s="10"/>
      <c r="KB935" s="10"/>
      <c r="KC935" s="10"/>
      <c r="KD935" s="10"/>
      <c r="KE935" s="10"/>
      <c r="KF935" s="10"/>
      <c r="KG935" s="10"/>
      <c r="KH935" s="10"/>
      <c r="KI935" s="10"/>
      <c r="KJ935" s="10"/>
      <c r="KK935" s="10"/>
      <c r="KL935" s="10"/>
      <c r="KM935" s="10"/>
      <c r="KN935" s="10"/>
      <c r="KO935" s="10"/>
      <c r="KP935" s="10"/>
      <c r="KQ935" s="10"/>
      <c r="KR935" s="10"/>
      <c r="KS935" s="10"/>
      <c r="KT935" s="10"/>
      <c r="KU935" s="10"/>
      <c r="KV935" s="10"/>
      <c r="KW935" s="10"/>
      <c r="KX935" s="10"/>
      <c r="KY935" s="10"/>
      <c r="KZ935" s="10"/>
      <c r="LA935" s="10"/>
      <c r="LB935" s="10"/>
      <c r="LC935" s="10"/>
      <c r="LD935" s="10"/>
      <c r="LE935" s="10"/>
      <c r="LF935" s="10"/>
      <c r="LG935" s="10"/>
      <c r="LH935" s="10"/>
      <c r="LI935" s="10"/>
      <c r="LJ935" s="10"/>
      <c r="LK935" s="10"/>
      <c r="LL935" s="10"/>
      <c r="LM935" s="10"/>
      <c r="LN935" s="10"/>
      <c r="LO935" s="10"/>
      <c r="LP935" s="10"/>
      <c r="LQ935" s="10"/>
      <c r="LR935" s="10"/>
      <c r="LS935" s="10"/>
      <c r="LT935" s="10"/>
      <c r="LU935" s="10"/>
      <c r="LV935" s="10"/>
      <c r="LW935" s="10"/>
      <c r="LX935" s="10"/>
      <c r="LY935" s="10"/>
      <c r="LZ935" s="10"/>
      <c r="MA935" s="10"/>
      <c r="MB935" s="10"/>
      <c r="MC935" s="10"/>
      <c r="MD935" s="10"/>
      <c r="ME935" s="10"/>
      <c r="MF935" s="10"/>
      <c r="MG935" s="10"/>
      <c r="MH935" s="10"/>
      <c r="MI935" s="10"/>
      <c r="MJ935" s="10"/>
      <c r="MK935" s="10"/>
      <c r="ML935" s="10"/>
      <c r="MM935" s="10"/>
      <c r="MN935" s="10"/>
      <c r="MO935" s="10"/>
      <c r="MP935" s="10"/>
      <c r="MQ935" s="10"/>
      <c r="MR935" s="10"/>
      <c r="MS935" s="10"/>
      <c r="MT935" s="10"/>
      <c r="MU935" s="10"/>
      <c r="MV935" s="10"/>
      <c r="MW935" s="10"/>
      <c r="MX935" s="10"/>
      <c r="MY935" s="10"/>
      <c r="MZ935" s="10"/>
      <c r="NA935" s="10"/>
      <c r="NB935" s="10"/>
      <c r="NC935" s="10"/>
      <c r="ND935" s="10"/>
      <c r="NE935" s="10"/>
      <c r="NF935" s="10"/>
      <c r="NG935" s="10"/>
      <c r="NH935" s="10"/>
      <c r="NI935" s="10"/>
      <c r="NJ935" s="10"/>
      <c r="NK935" s="10"/>
      <c r="NL935" s="10"/>
      <c r="NM935" s="10"/>
      <c r="NN935" s="10"/>
      <c r="NO935" s="10"/>
      <c r="NP935" s="10"/>
      <c r="NQ935" s="10"/>
      <c r="NR935" s="10"/>
      <c r="NS935" s="10"/>
      <c r="NT935" s="10"/>
      <c r="NU935" s="10"/>
      <c r="NV935" s="10"/>
      <c r="NW935" s="10"/>
      <c r="NX935" s="10"/>
      <c r="NY935" s="10"/>
      <c r="NZ935" s="10"/>
      <c r="OA935" s="10"/>
      <c r="OB935" s="10"/>
      <c r="OC935" s="10"/>
      <c r="OD935" s="10"/>
      <c r="OE935" s="10"/>
      <c r="OF935" s="10"/>
      <c r="OG935" s="10"/>
      <c r="OH935" s="10"/>
      <c r="OI935" s="10"/>
      <c r="OJ935" s="10"/>
      <c r="OK935" s="10"/>
      <c r="OL935" s="10"/>
      <c r="OM935" s="10"/>
      <c r="ON935" s="10"/>
      <c r="OO935" s="10"/>
      <c r="OP935" s="10"/>
      <c r="OQ935" s="10"/>
      <c r="OR935" s="10"/>
      <c r="OS935" s="10"/>
      <c r="OT935" s="10"/>
      <c r="OU935" s="10"/>
      <c r="OV935" s="10"/>
      <c r="OW935" s="10"/>
      <c r="OX935" s="10"/>
      <c r="OY935" s="10"/>
      <c r="OZ935" s="10"/>
      <c r="PA935" s="10"/>
      <c r="PB935" s="10"/>
      <c r="PC935" s="10"/>
      <c r="PD935" s="10"/>
      <c r="PE935" s="10"/>
      <c r="PF935" s="10"/>
      <c r="PG935" s="10"/>
      <c r="PH935" s="10"/>
      <c r="PI935" s="10"/>
      <c r="PJ935" s="10"/>
      <c r="PK935" s="10"/>
      <c r="PL935" s="10"/>
      <c r="PM935" s="10"/>
      <c r="PN935" s="10"/>
      <c r="PO935" s="10"/>
      <c r="PP935" s="10"/>
      <c r="PQ935" s="10"/>
      <c r="PR935" s="10"/>
      <c r="PS935" s="10"/>
      <c r="PT935" s="10"/>
      <c r="PU935" s="10"/>
      <c r="PV935" s="10"/>
      <c r="PW935" s="10"/>
      <c r="PX935" s="10"/>
      <c r="PY935" s="10"/>
      <c r="PZ935" s="10"/>
      <c r="QA935" s="10"/>
      <c r="QC935" s="10"/>
      <c r="QD935" s="10"/>
      <c r="QE935" s="10"/>
      <c r="QF935" s="10"/>
      <c r="QG935" s="10"/>
      <c r="QH935" s="10"/>
      <c r="QI935" s="10"/>
      <c r="QJ935" s="10"/>
      <c r="QK935" s="10"/>
      <c r="QL935" s="10"/>
      <c r="QM935" s="10"/>
      <c r="QN935" s="10"/>
      <c r="RP935" s="10"/>
      <c r="RQ935" s="10"/>
      <c r="RR935" s="10"/>
      <c r="RS935" s="10"/>
      <c r="RT935" s="10"/>
      <c r="RU935" s="10"/>
      <c r="RV935" s="10"/>
      <c r="RW935" s="10"/>
      <c r="RX935" s="10"/>
      <c r="RY935" s="10"/>
      <c r="RZ935" s="10"/>
      <c r="SA935" s="10"/>
      <c r="SB935" s="10"/>
      <c r="SC935" s="10"/>
      <c r="SD935" s="10"/>
      <c r="SE935" s="10"/>
      <c r="SF935" s="10"/>
      <c r="SG935" s="10"/>
      <c r="SH935" s="10"/>
      <c r="SI935" s="10"/>
      <c r="SJ935" s="10"/>
      <c r="SK935" s="10"/>
      <c r="SL935" s="10"/>
      <c r="SM935" s="10"/>
      <c r="SN935" s="10"/>
      <c r="SO935" s="10"/>
      <c r="SP935" s="10"/>
      <c r="SQ935" s="10"/>
      <c r="SR935" s="10"/>
      <c r="SS935" s="10"/>
      <c r="ST935" s="10"/>
      <c r="SU935" s="10"/>
      <c r="SV935" s="10"/>
      <c r="SW935" s="10"/>
      <c r="SX935" s="10"/>
      <c r="SY935" s="10"/>
      <c r="SZ935" s="10"/>
      <c r="TA935" s="10"/>
      <c r="TB935" s="10"/>
      <c r="TC935" s="10"/>
      <c r="TD935" s="10"/>
      <c r="TE935" s="10"/>
      <c r="TF935" s="10"/>
      <c r="TG935" s="10"/>
    </row>
    <row r="936" spans="47:527" ht="10.75" customHeight="1">
      <c r="AU936" s="12"/>
      <c r="EO936" s="9"/>
      <c r="EP936" s="10"/>
      <c r="EQ936" s="10"/>
      <c r="ER936" s="10"/>
      <c r="ES936" s="10"/>
      <c r="ET936" s="10"/>
      <c r="EU936" s="10"/>
      <c r="EV936" s="10"/>
      <c r="EW936" s="10"/>
      <c r="EX936" s="10"/>
      <c r="EY936" s="10"/>
      <c r="EZ936" s="10"/>
      <c r="FA936" s="10"/>
      <c r="FB936" s="10"/>
      <c r="FC936" s="10"/>
      <c r="FD936" s="10"/>
      <c r="FE936" s="10"/>
      <c r="FF936" s="10"/>
      <c r="FG936" s="10"/>
      <c r="FH936" s="10"/>
      <c r="FI936" s="10"/>
      <c r="FJ936" s="11"/>
      <c r="FZ936" s="13"/>
    </row>
    <row r="937" spans="47:527" ht="10.75" customHeight="1">
      <c r="AU937" s="12"/>
      <c r="EO937" s="12"/>
      <c r="FJ937" s="13"/>
      <c r="FZ937" s="13"/>
    </row>
    <row r="938" spans="47:527" ht="10.75" customHeight="1">
      <c r="AU938" s="12"/>
      <c r="EO938" s="12"/>
      <c r="FJ938" s="13"/>
      <c r="FZ938" s="13"/>
    </row>
    <row r="939" spans="47:527" ht="10.75" customHeight="1">
      <c r="AU939" s="12"/>
      <c r="EO939" s="12"/>
      <c r="FJ939" s="13"/>
      <c r="FZ939" s="13"/>
    </row>
    <row r="940" spans="47:527" ht="10.75" customHeight="1">
      <c r="AU940" s="12"/>
      <c r="EO940" s="12"/>
      <c r="FJ940" s="13"/>
      <c r="FZ940" s="13"/>
    </row>
    <row r="941" spans="47:527" ht="10.75" customHeight="1">
      <c r="AU941" s="12"/>
      <c r="EO941" s="14"/>
      <c r="EP941" s="15"/>
      <c r="EQ941" s="15"/>
      <c r="ER941" s="15"/>
      <c r="ES941" s="15"/>
      <c r="ET941" s="15"/>
      <c r="EU941" s="15"/>
      <c r="EV941" s="15"/>
      <c r="EW941" s="15"/>
      <c r="EX941" s="15"/>
      <c r="EY941" s="15"/>
      <c r="EZ941" s="15"/>
      <c r="FA941" s="15"/>
      <c r="FB941" s="15"/>
      <c r="FC941" s="15"/>
      <c r="FD941" s="15"/>
      <c r="FE941" s="15"/>
      <c r="FF941" s="15"/>
      <c r="FG941" s="15"/>
      <c r="FH941" s="15"/>
      <c r="FI941" s="15"/>
      <c r="FJ941" s="16"/>
      <c r="FZ941" s="13"/>
    </row>
    <row r="942" spans="47:527" ht="10.75" customHeight="1">
      <c r="AU942" s="12"/>
      <c r="EO942" s="9"/>
      <c r="EP942" s="10"/>
      <c r="EQ942" s="10"/>
      <c r="ER942" s="10"/>
      <c r="ES942" s="10"/>
      <c r="ET942" s="10"/>
      <c r="EU942" s="10"/>
      <c r="EV942" s="10"/>
      <c r="EW942" s="10"/>
      <c r="EX942" s="10"/>
      <c r="EY942" s="10"/>
      <c r="EZ942" s="10"/>
      <c r="FA942" s="10"/>
      <c r="FB942" s="10"/>
      <c r="FC942" s="10"/>
      <c r="FD942" s="10"/>
      <c r="FE942" s="10"/>
      <c r="FF942" s="10"/>
      <c r="FG942" s="10"/>
      <c r="FH942" s="10"/>
      <c r="FI942" s="10"/>
      <c r="FJ942" s="11"/>
      <c r="FZ942" s="13"/>
    </row>
    <row r="943" spans="47:527" ht="10.75" customHeight="1">
      <c r="AU943" s="12"/>
      <c r="EO943" s="12"/>
      <c r="FJ943" s="13"/>
      <c r="FZ943" s="13"/>
    </row>
    <row r="944" spans="47:527" ht="10.75" customHeight="1">
      <c r="AU944" s="12"/>
      <c r="EO944" s="12"/>
      <c r="FJ944" s="13"/>
      <c r="FZ944" s="13"/>
    </row>
    <row r="945" spans="47:526" ht="10.75" customHeight="1">
      <c r="AU945" s="12"/>
      <c r="EO945" s="14"/>
      <c r="EP945" s="15"/>
      <c r="EQ945" s="15"/>
      <c r="ER945" s="15"/>
      <c r="ES945" s="15"/>
      <c r="ET945" s="15"/>
      <c r="EU945" s="15"/>
      <c r="EV945" s="15"/>
      <c r="EW945" s="15"/>
      <c r="EX945" s="15"/>
      <c r="EY945" s="15"/>
      <c r="EZ945" s="15"/>
      <c r="FA945" s="15"/>
      <c r="FB945" s="15"/>
      <c r="FC945" s="15"/>
      <c r="FD945" s="15"/>
      <c r="FE945" s="15"/>
      <c r="FF945" s="15"/>
      <c r="FG945" s="15"/>
      <c r="FH945" s="15"/>
      <c r="FI945" s="15"/>
      <c r="FJ945" s="16"/>
      <c r="FZ945" s="13"/>
    </row>
    <row r="946" spans="47:526" ht="10.75" customHeight="1">
      <c r="AU946" s="12"/>
      <c r="EO946" s="9"/>
      <c r="EP946" s="10"/>
      <c r="EQ946" s="10"/>
      <c r="ER946" s="10"/>
      <c r="ES946" s="10"/>
      <c r="ET946" s="10"/>
      <c r="EU946" s="10"/>
      <c r="EV946" s="10"/>
      <c r="EW946" s="10"/>
      <c r="EX946" s="10"/>
      <c r="EY946" s="10"/>
      <c r="EZ946" s="10"/>
      <c r="FA946" s="10"/>
      <c r="FB946" s="10"/>
      <c r="FC946" s="10"/>
      <c r="FD946" s="10"/>
      <c r="FE946" s="10"/>
      <c r="FF946" s="10"/>
      <c r="FG946" s="10"/>
      <c r="FH946" s="10"/>
      <c r="FI946" s="10"/>
      <c r="FJ946" s="11"/>
      <c r="FZ946" s="13"/>
    </row>
    <row r="947" spans="47:526" ht="10.75" customHeight="1">
      <c r="AU947" s="12"/>
      <c r="EO947" s="12"/>
      <c r="FJ947" s="13"/>
      <c r="FZ947" s="13"/>
    </row>
    <row r="948" spans="47:526" ht="10.75" customHeight="1">
      <c r="AU948" s="12"/>
      <c r="EO948" s="12"/>
      <c r="FJ948" s="13"/>
      <c r="FZ948" s="13"/>
    </row>
    <row r="949" spans="47:526" ht="10.75" customHeight="1">
      <c r="AU949" s="12"/>
      <c r="EO949" s="14"/>
      <c r="EP949" s="15"/>
      <c r="EQ949" s="15"/>
      <c r="ER949" s="15"/>
      <c r="ES949" s="15"/>
      <c r="ET949" s="15"/>
      <c r="EU949" s="15"/>
      <c r="EV949" s="15"/>
      <c r="EW949" s="15"/>
      <c r="EX949" s="15"/>
      <c r="EY949" s="15"/>
      <c r="EZ949" s="15"/>
      <c r="FA949" s="15"/>
      <c r="FB949" s="15"/>
      <c r="FC949" s="15"/>
      <c r="FD949" s="15"/>
      <c r="FE949" s="15"/>
      <c r="FF949" s="15"/>
      <c r="FG949" s="15"/>
      <c r="FH949" s="15"/>
      <c r="FI949" s="15"/>
      <c r="FJ949" s="16"/>
      <c r="FZ949" s="13"/>
    </row>
    <row r="950" spans="47:526" ht="10.75" customHeight="1">
      <c r="AU950" s="12"/>
      <c r="EL950" s="218"/>
      <c r="EO950" s="9"/>
      <c r="EP950" s="10"/>
      <c r="EQ950" s="10"/>
      <c r="ER950" s="10"/>
      <c r="ES950" s="10"/>
      <c r="ET950" s="10"/>
      <c r="EU950" s="10"/>
      <c r="EV950" s="10"/>
      <c r="EW950" s="10"/>
      <c r="EX950" s="10"/>
      <c r="EY950" s="10"/>
      <c r="EZ950" s="10"/>
      <c r="FA950" s="10"/>
      <c r="FB950" s="10"/>
      <c r="FC950" s="10"/>
      <c r="FD950" s="10"/>
      <c r="FE950" s="10"/>
      <c r="FF950" s="10"/>
      <c r="FG950" s="10"/>
      <c r="FH950" s="10"/>
      <c r="FI950" s="10"/>
      <c r="FJ950" s="11"/>
      <c r="FZ950" s="13"/>
    </row>
    <row r="951" spans="47:526" ht="10.75" customHeight="1">
      <c r="AU951" s="12"/>
      <c r="EO951" s="12"/>
      <c r="FJ951" s="13"/>
      <c r="FZ951" s="13"/>
    </row>
    <row r="952" spans="47:526" ht="10.75" customHeight="1">
      <c r="AU952" s="12"/>
      <c r="EO952" s="12"/>
      <c r="FJ952" s="13"/>
      <c r="FZ952" s="13"/>
    </row>
    <row r="953" spans="47:526" ht="10.75" customHeight="1">
      <c r="AU953" s="12"/>
      <c r="EO953" s="14"/>
      <c r="EP953" s="15"/>
      <c r="EQ953" s="15"/>
      <c r="ER953" s="15"/>
      <c r="ES953" s="15"/>
      <c r="ET953" s="15"/>
      <c r="EU953" s="15"/>
      <c r="EV953" s="15"/>
      <c r="EW953" s="15"/>
      <c r="EX953" s="15"/>
      <c r="EY953" s="15"/>
      <c r="EZ953" s="15"/>
      <c r="FA953" s="15"/>
      <c r="FB953" s="15"/>
      <c r="FC953" s="15"/>
      <c r="FD953" s="15"/>
      <c r="FE953" s="15"/>
      <c r="FF953" s="15"/>
      <c r="FG953" s="15"/>
      <c r="FH953" s="15"/>
      <c r="FI953" s="15"/>
      <c r="FJ953" s="16"/>
      <c r="FZ953" s="13"/>
    </row>
    <row r="954" spans="47:526" ht="10.75" customHeight="1">
      <c r="AU954" s="12"/>
      <c r="FZ954" s="13"/>
    </row>
    <row r="955" spans="47:526" ht="10.75" customHeight="1">
      <c r="AU955" s="12"/>
      <c r="FZ955" s="13"/>
    </row>
    <row r="956" spans="47:526" ht="10.75" customHeight="1">
      <c r="AU956" s="12"/>
      <c r="FZ956" s="13"/>
    </row>
    <row r="957" spans="47:526" ht="10.75" customHeight="1">
      <c r="AU957" s="12"/>
      <c r="FZ957" s="13"/>
    </row>
    <row r="958" spans="47:526" ht="10.75" customHeight="1">
      <c r="AU958" s="12"/>
      <c r="FZ958" s="13"/>
      <c r="HF958" s="15"/>
      <c r="HG958" s="15"/>
      <c r="HH958" s="15"/>
      <c r="HI958" s="15"/>
      <c r="HJ958" s="15"/>
      <c r="HK958" s="15"/>
      <c r="HL958" s="15"/>
      <c r="HM958" s="15"/>
      <c r="HN958" s="15"/>
      <c r="HO958" s="15"/>
      <c r="HP958" s="15"/>
      <c r="HQ958" s="15"/>
      <c r="HR958" s="15"/>
      <c r="HS958" s="15"/>
      <c r="HT958" s="15"/>
      <c r="HU958" s="15"/>
      <c r="HV958" s="15"/>
      <c r="HW958" s="15"/>
      <c r="HX958" s="15"/>
      <c r="HY958" s="15"/>
      <c r="HZ958" s="15"/>
      <c r="IA958" s="15"/>
      <c r="IB958" s="15"/>
      <c r="IC958" s="15"/>
      <c r="ID958" s="15"/>
      <c r="IE958" s="15"/>
      <c r="IF958" s="15"/>
      <c r="IG958" s="15"/>
      <c r="IH958" s="15"/>
      <c r="II958" s="15"/>
      <c r="IJ958" s="15"/>
      <c r="IK958" s="15"/>
      <c r="IL958" s="15"/>
      <c r="IM958" s="15"/>
      <c r="IN958" s="15"/>
      <c r="IO958" s="15"/>
      <c r="IP958" s="15"/>
      <c r="IQ958" s="15"/>
      <c r="IR958" s="15"/>
      <c r="IS958" s="15"/>
      <c r="IT958" s="15"/>
      <c r="IU958" s="15"/>
      <c r="IV958" s="15"/>
      <c r="IW958" s="15"/>
      <c r="IX958" s="15"/>
      <c r="IY958" s="15"/>
      <c r="IZ958" s="15"/>
      <c r="JA958" s="15"/>
      <c r="JB958" s="15"/>
      <c r="JC958" s="15"/>
      <c r="JD958" s="15"/>
      <c r="JE958" s="15"/>
      <c r="JF958" s="15"/>
      <c r="JG958" s="15"/>
      <c r="JH958" s="15"/>
      <c r="JI958" s="15"/>
      <c r="JJ958" s="15"/>
      <c r="JK958" s="15"/>
      <c r="JL958" s="15"/>
      <c r="JM958" s="15"/>
      <c r="JN958" s="15"/>
      <c r="JO958" s="15"/>
      <c r="JP958" s="15"/>
      <c r="JQ958" s="15"/>
      <c r="JR958" s="15"/>
      <c r="JS958" s="15"/>
      <c r="JT958" s="15"/>
      <c r="JU958" s="15"/>
      <c r="JV958" s="15"/>
      <c r="JW958" s="15"/>
      <c r="JX958" s="15"/>
      <c r="JY958" s="15"/>
      <c r="JZ958" s="15"/>
      <c r="KA958" s="15"/>
      <c r="KB958" s="15"/>
      <c r="KC958" s="15"/>
      <c r="KD958" s="15"/>
      <c r="KE958" s="15"/>
      <c r="KF958" s="15"/>
      <c r="KG958" s="15"/>
      <c r="KH958" s="15"/>
      <c r="KI958" s="15"/>
      <c r="KJ958" s="15"/>
      <c r="KK958" s="15"/>
      <c r="KL958" s="15"/>
      <c r="KM958" s="15"/>
      <c r="KN958" s="15"/>
      <c r="KO958" s="15"/>
      <c r="KP958" s="15"/>
      <c r="KQ958" s="15"/>
      <c r="KR958" s="15"/>
      <c r="KS958" s="15"/>
      <c r="KT958" s="15"/>
      <c r="KU958" s="15"/>
      <c r="KV958" s="15"/>
      <c r="KW958" s="15"/>
      <c r="KX958" s="15"/>
      <c r="KY958" s="15"/>
      <c r="KZ958" s="15"/>
      <c r="LA958" s="15"/>
      <c r="LB958" s="15"/>
      <c r="LC958" s="15"/>
      <c r="LD958" s="15"/>
      <c r="LE958" s="15"/>
      <c r="LF958" s="15"/>
      <c r="LG958" s="15"/>
      <c r="LH958" s="15"/>
      <c r="LI958" s="15"/>
      <c r="LJ958" s="15"/>
      <c r="LK958" s="15"/>
      <c r="LL958" s="15"/>
      <c r="LM958" s="15"/>
      <c r="LN958" s="15"/>
      <c r="LO958" s="15"/>
      <c r="LP958" s="15"/>
      <c r="LQ958" s="15"/>
      <c r="LR958" s="15"/>
      <c r="LS958" s="15"/>
      <c r="LT958" s="15"/>
      <c r="LU958" s="15"/>
      <c r="LV958" s="15"/>
      <c r="LW958" s="15"/>
      <c r="LX958" s="15"/>
      <c r="LY958" s="15"/>
      <c r="LZ958" s="15"/>
      <c r="MA958" s="15"/>
      <c r="MB958" s="15"/>
      <c r="MC958" s="15"/>
      <c r="MD958" s="15"/>
      <c r="ME958" s="15"/>
      <c r="MF958" s="15"/>
      <c r="MG958" s="15"/>
      <c r="MH958" s="15"/>
      <c r="MI958" s="15"/>
      <c r="MJ958" s="15"/>
      <c r="MK958" s="15"/>
      <c r="ML958" s="15"/>
      <c r="MM958" s="15"/>
      <c r="MN958" s="15"/>
      <c r="MO958" s="15"/>
      <c r="MP958" s="15"/>
      <c r="MQ958" s="15"/>
      <c r="MR958" s="15"/>
      <c r="MS958" s="15"/>
      <c r="MT958" s="15"/>
      <c r="MU958" s="15"/>
      <c r="MV958" s="15"/>
      <c r="MW958" s="15"/>
      <c r="MX958" s="15"/>
      <c r="MY958" s="15"/>
      <c r="MZ958" s="15"/>
      <c r="NA958" s="15"/>
      <c r="NB958" s="15"/>
      <c r="NC958" s="15"/>
      <c r="ND958" s="15"/>
      <c r="NE958" s="15"/>
      <c r="NF958" s="15"/>
      <c r="NG958" s="15"/>
      <c r="NH958" s="15"/>
      <c r="NI958" s="15"/>
      <c r="NJ958" s="15"/>
      <c r="NK958" s="15"/>
      <c r="NL958" s="15"/>
      <c r="NM958" s="15"/>
      <c r="NN958" s="15"/>
      <c r="NO958" s="15"/>
      <c r="NP958" s="15"/>
      <c r="NQ958" s="15"/>
      <c r="NR958" s="15"/>
      <c r="NS958" s="15"/>
      <c r="NT958" s="15"/>
      <c r="NU958" s="15"/>
      <c r="NV958" s="15"/>
      <c r="NW958" s="15"/>
      <c r="NX958" s="15"/>
      <c r="NY958" s="15"/>
      <c r="NZ958" s="15"/>
      <c r="OA958" s="15"/>
      <c r="OB958" s="15"/>
      <c r="OC958" s="15"/>
      <c r="OD958" s="15"/>
      <c r="OE958" s="15"/>
      <c r="OF958" s="15"/>
      <c r="OG958" s="15"/>
      <c r="OH958" s="15"/>
      <c r="OI958" s="15"/>
      <c r="OJ958" s="15"/>
      <c r="OK958" s="15"/>
      <c r="OL958" s="15"/>
      <c r="OM958" s="15"/>
      <c r="ON958" s="15"/>
      <c r="OO958" s="15"/>
      <c r="OP958" s="15"/>
      <c r="OQ958" s="15"/>
      <c r="OR958" s="15"/>
      <c r="OS958" s="15"/>
      <c r="OT958" s="15"/>
      <c r="OU958" s="15"/>
      <c r="OV958" s="15"/>
      <c r="OW958" s="15"/>
      <c r="OX958" s="15"/>
      <c r="OY958" s="15"/>
      <c r="OZ958" s="15"/>
      <c r="PA958" s="15"/>
      <c r="PB958" s="15"/>
      <c r="PC958" s="15"/>
      <c r="PD958" s="15"/>
      <c r="PE958" s="15"/>
      <c r="PF958" s="15"/>
      <c r="PG958" s="15"/>
      <c r="PH958" s="15"/>
      <c r="PI958" s="15"/>
      <c r="PJ958" s="15"/>
      <c r="PK958" s="15"/>
      <c r="PL958" s="15"/>
      <c r="PM958" s="15"/>
      <c r="PN958" s="15"/>
      <c r="PO958" s="15"/>
      <c r="PP958" s="15"/>
      <c r="PQ958" s="15"/>
      <c r="PR958" s="15"/>
      <c r="PS958" s="15"/>
      <c r="PT958" s="15"/>
      <c r="PU958" s="15"/>
      <c r="PV958" s="15"/>
      <c r="PW958" s="15"/>
      <c r="PX958" s="15"/>
      <c r="PY958" s="15"/>
      <c r="PZ958" s="15"/>
      <c r="QA958" s="15"/>
      <c r="QB958" s="15"/>
      <c r="QC958" s="15"/>
      <c r="QD958" s="15"/>
      <c r="QE958" s="15"/>
      <c r="QF958" s="15"/>
      <c r="QG958" s="15"/>
      <c r="QH958" s="15"/>
      <c r="QI958" s="15"/>
      <c r="QJ958" s="15"/>
      <c r="QK958" s="15"/>
      <c r="QL958" s="15"/>
      <c r="QM958" s="15"/>
      <c r="QN958" s="15"/>
      <c r="QO958" s="15"/>
      <c r="QP958" s="15"/>
      <c r="QQ958" s="15"/>
      <c r="QR958" s="15"/>
      <c r="QS958" s="15"/>
      <c r="QT958" s="15"/>
      <c r="QU958" s="15"/>
      <c r="QV958" s="15"/>
      <c r="QW958" s="15"/>
      <c r="QX958" s="15"/>
      <c r="QY958" s="15"/>
      <c r="QZ958" s="15"/>
      <c r="RA958" s="15"/>
      <c r="RB958" s="15"/>
      <c r="RC958" s="15"/>
      <c r="RD958" s="15"/>
      <c r="RE958" s="15"/>
      <c r="RF958" s="15"/>
      <c r="RG958" s="15"/>
      <c r="RH958" s="15"/>
      <c r="RI958" s="15"/>
      <c r="RJ958" s="15"/>
      <c r="RK958" s="15"/>
      <c r="RL958" s="15"/>
      <c r="RM958" s="15"/>
      <c r="RN958" s="15"/>
      <c r="RO958" s="15"/>
      <c r="RP958" s="15"/>
      <c r="RQ958" s="15"/>
      <c r="RR958" s="15"/>
      <c r="RS958" s="15"/>
      <c r="RT958" s="15"/>
      <c r="RU958" s="15"/>
      <c r="RV958" s="15"/>
      <c r="RW958" s="15"/>
      <c r="RX958" s="15"/>
      <c r="RY958" s="15"/>
      <c r="RZ958" s="15"/>
      <c r="SA958" s="15"/>
      <c r="SB958" s="15"/>
      <c r="SC958" s="15"/>
      <c r="SD958" s="15"/>
      <c r="SE958" s="15"/>
      <c r="SF958" s="15"/>
      <c r="SG958" s="15"/>
      <c r="SH958" s="15"/>
      <c r="SI958" s="15"/>
      <c r="SJ958" s="15"/>
      <c r="SK958" s="15"/>
      <c r="SL958" s="15"/>
      <c r="SM958" s="15"/>
      <c r="SN958" s="15"/>
      <c r="SO958" s="15"/>
      <c r="SP958" s="15"/>
      <c r="SQ958" s="15"/>
      <c r="SR958" s="15"/>
      <c r="SS958" s="15"/>
      <c r="ST958" s="15"/>
      <c r="SU958" s="15"/>
      <c r="SV958" s="15"/>
      <c r="SW958" s="15"/>
      <c r="SX958" s="15"/>
      <c r="SY958" s="15"/>
      <c r="SZ958" s="15"/>
      <c r="TA958" s="15"/>
      <c r="TB958" s="15"/>
      <c r="TC958" s="15"/>
      <c r="TD958" s="15"/>
      <c r="TE958" s="15"/>
      <c r="TF958" s="15"/>
    </row>
    <row r="959" spans="47:526" ht="10.75" customHeight="1">
      <c r="AU959" s="14"/>
      <c r="AV959" s="15"/>
      <c r="AW959" s="15"/>
      <c r="AX959" s="15"/>
      <c r="AY959" s="15"/>
      <c r="AZ959" s="15"/>
      <c r="BA959" s="15"/>
      <c r="BB959" s="15"/>
      <c r="BC959" s="15"/>
      <c r="BD959" s="15"/>
      <c r="BE959" s="15"/>
      <c r="BF959" s="15"/>
      <c r="BG959" s="15"/>
      <c r="BH959" s="15"/>
      <c r="BI959" s="15"/>
      <c r="BJ959" s="15"/>
      <c r="BK959" s="15"/>
      <c r="BL959" s="15"/>
      <c r="BM959" s="15"/>
      <c r="BN959" s="15"/>
      <c r="BO959" s="15"/>
      <c r="BP959" s="15"/>
      <c r="BQ959" s="15"/>
      <c r="BR959" s="15"/>
      <c r="BS959" s="15"/>
      <c r="BT959" s="15"/>
      <c r="BU959" s="15"/>
      <c r="BV959" s="15"/>
      <c r="BW959" s="15"/>
      <c r="BX959" s="15"/>
      <c r="BY959" s="15"/>
      <c r="BZ959" s="15"/>
      <c r="CA959" s="15"/>
      <c r="CB959" s="15"/>
      <c r="CC959" s="15"/>
      <c r="CD959" s="15"/>
      <c r="CE959" s="15"/>
      <c r="CF959" s="15"/>
      <c r="CG959" s="15"/>
      <c r="CH959" s="15"/>
      <c r="CI959" s="15"/>
      <c r="CJ959" s="15"/>
      <c r="CK959" s="15"/>
      <c r="CL959" s="15"/>
      <c r="CM959" s="15"/>
      <c r="CN959" s="15"/>
      <c r="CO959" s="15"/>
      <c r="CP959" s="15"/>
      <c r="CQ959" s="15"/>
      <c r="CR959" s="15"/>
      <c r="CS959" s="15"/>
      <c r="CT959" s="15"/>
      <c r="CU959" s="15"/>
      <c r="CV959" s="15"/>
      <c r="CW959" s="15"/>
      <c r="CX959" s="15"/>
      <c r="CY959" s="15"/>
      <c r="CZ959" s="15"/>
      <c r="DA959" s="15"/>
      <c r="DB959" s="15"/>
      <c r="DC959" s="15"/>
      <c r="DD959" s="15"/>
      <c r="DE959" s="15"/>
      <c r="DF959" s="15"/>
      <c r="DG959" s="15"/>
      <c r="DH959" s="15"/>
      <c r="DI959" s="15"/>
      <c r="DJ959" s="15"/>
      <c r="DK959" s="15"/>
      <c r="DL959" s="15"/>
      <c r="DM959" s="15"/>
      <c r="DN959" s="15"/>
      <c r="DO959" s="15"/>
      <c r="DP959" s="15"/>
      <c r="DQ959" s="15"/>
      <c r="DR959" s="15"/>
      <c r="DS959" s="15"/>
      <c r="DT959" s="15"/>
      <c r="DU959" s="15"/>
      <c r="DV959" s="15"/>
      <c r="DW959" s="15"/>
      <c r="DX959" s="15"/>
      <c r="DY959" s="15"/>
      <c r="DZ959" s="15"/>
      <c r="EA959" s="15"/>
      <c r="EB959" s="15"/>
      <c r="EC959" s="15"/>
      <c r="ED959" s="15"/>
      <c r="EE959" s="15"/>
      <c r="EF959" s="15"/>
      <c r="EG959" s="15"/>
      <c r="EH959" s="15"/>
      <c r="EI959" s="15"/>
      <c r="EJ959" s="15"/>
      <c r="EK959" s="15"/>
      <c r="EL959" s="15"/>
      <c r="EM959" s="15"/>
      <c r="EN959" s="15"/>
      <c r="EO959" s="15"/>
      <c r="EP959" s="15"/>
      <c r="EQ959" s="15"/>
      <c r="ER959" s="15"/>
      <c r="ES959" s="15"/>
      <c r="ET959" s="15"/>
      <c r="EU959" s="15"/>
      <c r="EV959" s="15"/>
      <c r="EW959" s="15"/>
      <c r="EX959" s="15"/>
      <c r="EY959" s="15"/>
      <c r="EZ959" s="15"/>
      <c r="FA959" s="15"/>
      <c r="FB959" s="15"/>
      <c r="FC959" s="15"/>
      <c r="FD959" s="15"/>
      <c r="FE959" s="15"/>
      <c r="FF959" s="15"/>
      <c r="FG959" s="15"/>
      <c r="FH959" s="15"/>
      <c r="FI959" s="15"/>
      <c r="FJ959" s="15"/>
      <c r="FK959" s="15"/>
      <c r="FL959" s="15"/>
      <c r="FM959" s="15"/>
      <c r="FN959" s="15"/>
      <c r="FO959" s="15"/>
      <c r="FP959" s="15"/>
      <c r="FQ959" s="15"/>
      <c r="FR959" s="15"/>
      <c r="FS959" s="15"/>
      <c r="FT959" s="15"/>
      <c r="FU959" s="15"/>
      <c r="FV959" s="15"/>
      <c r="FW959" s="15"/>
      <c r="FX959" s="15"/>
      <c r="FY959" s="15"/>
      <c r="FZ959" s="16"/>
    </row>
    <row r="988" spans="281:416" ht="10.75" customHeight="1">
      <c r="JU988" s="9"/>
      <c r="JV988" s="10"/>
      <c r="JW988" s="10"/>
      <c r="JX988" s="10"/>
      <c r="JY988" s="10"/>
      <c r="JZ988" s="10"/>
      <c r="KA988" s="10"/>
      <c r="KB988" s="10"/>
      <c r="KC988" s="10"/>
      <c r="KD988" s="10"/>
      <c r="KE988" s="10"/>
      <c r="KF988" s="10"/>
      <c r="KG988" s="10"/>
      <c r="KH988" s="10"/>
      <c r="KI988" s="10"/>
      <c r="KJ988" s="10"/>
      <c r="KK988" s="10"/>
      <c r="KL988" s="10"/>
      <c r="KM988" s="10"/>
      <c r="KN988" s="10"/>
      <c r="KO988" s="10"/>
      <c r="KP988" s="10"/>
      <c r="KQ988" s="10"/>
      <c r="KR988" s="10"/>
      <c r="KS988" s="10"/>
      <c r="KT988" s="10"/>
      <c r="KU988" s="10"/>
      <c r="KV988" s="10"/>
      <c r="KW988" s="10"/>
      <c r="KX988" s="10"/>
      <c r="KY988" s="10"/>
      <c r="KZ988" s="10"/>
      <c r="LA988" s="10"/>
      <c r="LB988" s="10"/>
      <c r="LC988" s="10"/>
      <c r="LD988" s="10"/>
      <c r="LE988" s="10"/>
      <c r="LF988" s="10"/>
      <c r="LG988" s="10"/>
      <c r="LH988" s="10"/>
      <c r="LI988" s="10"/>
      <c r="LJ988" s="10"/>
      <c r="LK988" s="10"/>
      <c r="LL988" s="10"/>
      <c r="LM988" s="10"/>
      <c r="LN988" s="10"/>
      <c r="LO988" s="10"/>
      <c r="LP988" s="10"/>
      <c r="LQ988" s="10"/>
      <c r="LR988" s="10"/>
      <c r="LS988" s="10"/>
      <c r="LT988" s="10"/>
      <c r="LU988" s="10"/>
      <c r="LV988" s="10"/>
      <c r="LW988" s="10"/>
      <c r="LX988" s="10"/>
      <c r="LY988" s="10"/>
      <c r="LZ988" s="10"/>
      <c r="MA988" s="10"/>
      <c r="MB988" s="10"/>
      <c r="MC988" s="10"/>
      <c r="MD988" s="10"/>
      <c r="ME988" s="10"/>
      <c r="MF988" s="10"/>
      <c r="MG988" s="10"/>
      <c r="MH988" s="10"/>
      <c r="MI988" s="10"/>
      <c r="MJ988" s="10"/>
      <c r="MK988" s="10"/>
      <c r="ML988" s="10"/>
      <c r="MM988" s="10"/>
      <c r="MN988" s="10"/>
      <c r="MO988" s="10"/>
      <c r="MP988" s="10"/>
      <c r="MQ988" s="10"/>
      <c r="MR988" s="10"/>
      <c r="MS988" s="10"/>
      <c r="MT988" s="10"/>
      <c r="MU988" s="10"/>
      <c r="MV988" s="10"/>
      <c r="MW988" s="10"/>
      <c r="MX988" s="10"/>
      <c r="MY988" s="10"/>
      <c r="MZ988" s="10"/>
      <c r="NA988" s="10"/>
      <c r="NB988" s="10"/>
      <c r="NC988" s="10"/>
      <c r="ND988" s="10"/>
      <c r="NE988" s="10"/>
      <c r="NF988" s="10"/>
      <c r="NG988" s="10"/>
      <c r="NH988" s="10"/>
      <c r="NI988" s="10"/>
      <c r="NJ988" s="10"/>
      <c r="NK988" s="10"/>
      <c r="NL988" s="10"/>
      <c r="NM988" s="10"/>
      <c r="NN988" s="10"/>
      <c r="NO988" s="10"/>
      <c r="NP988" s="10"/>
      <c r="NQ988" s="10"/>
      <c r="NR988" s="10"/>
      <c r="NS988" s="10"/>
      <c r="NT988" s="10"/>
      <c r="NU988" s="10"/>
      <c r="NV988" s="10"/>
      <c r="NW988" s="10"/>
      <c r="NX988" s="10"/>
      <c r="NY988" s="10"/>
      <c r="NZ988" s="10"/>
      <c r="OA988" s="10"/>
      <c r="OB988" s="10"/>
      <c r="OC988" s="10"/>
      <c r="OD988" s="10"/>
      <c r="OE988" s="10"/>
      <c r="OF988" s="10"/>
      <c r="OG988" s="10"/>
      <c r="OH988" s="10"/>
      <c r="OI988" s="10"/>
      <c r="OJ988" s="10"/>
      <c r="OK988" s="10"/>
      <c r="OL988" s="10"/>
      <c r="OM988" s="10"/>
      <c r="ON988" s="10"/>
      <c r="OO988" s="10"/>
      <c r="OP988" s="10"/>
      <c r="OQ988" s="10"/>
      <c r="OR988" s="10"/>
      <c r="OS988" s="10"/>
      <c r="OT988" s="10"/>
      <c r="OU988" s="10"/>
      <c r="OV988" s="10"/>
      <c r="OW988" s="10"/>
      <c r="OX988" s="10"/>
      <c r="OY988" s="10"/>
      <c r="OZ988" s="11"/>
    </row>
    <row r="989" spans="281:416" ht="10.75" customHeight="1">
      <c r="JU989" s="12"/>
      <c r="OZ989" s="13"/>
    </row>
    <row r="990" spans="281:416" ht="10.75" customHeight="1">
      <c r="JU990" s="12"/>
      <c r="OZ990" s="13"/>
    </row>
    <row r="991" spans="281:416" ht="10.75" customHeight="1">
      <c r="JU991" s="12"/>
      <c r="OZ991" s="13"/>
    </row>
    <row r="992" spans="281:416" ht="10.75" customHeight="1">
      <c r="JU992" s="12"/>
      <c r="OZ992" s="13"/>
    </row>
    <row r="993" spans="50:416" ht="10.75" customHeight="1">
      <c r="JU993" s="12"/>
      <c r="OZ993" s="13"/>
    </row>
    <row r="994" spans="50:416" ht="10.75" customHeight="1">
      <c r="JU994" s="12"/>
      <c r="OZ994" s="13"/>
    </row>
    <row r="995" spans="50:416" ht="10.75" customHeight="1">
      <c r="JU995" s="12"/>
      <c r="OZ995" s="13"/>
    </row>
    <row r="996" spans="50:416" ht="10.75" customHeight="1">
      <c r="JU996" s="12"/>
      <c r="OZ996" s="13"/>
    </row>
    <row r="997" spans="50:416" ht="10.75" customHeight="1">
      <c r="JU997" s="12"/>
      <c r="OZ997" s="13"/>
    </row>
    <row r="998" spans="50:416" ht="10.75" customHeight="1">
      <c r="JU998" s="12"/>
      <c r="JY998" s="245"/>
      <c r="OZ998" s="13"/>
    </row>
    <row r="999" spans="50:416" ht="10.75" customHeight="1">
      <c r="AX999" s="245"/>
      <c r="JU999" s="12"/>
      <c r="KO999" s="291"/>
      <c r="MK999" s="291"/>
      <c r="MM999" s="291"/>
      <c r="OI999" s="291"/>
      <c r="OZ999" s="13"/>
    </row>
    <row r="1000" spans="50:416" ht="10.75" customHeight="1">
      <c r="BN1000" s="291"/>
      <c r="DJ1000" s="291"/>
      <c r="DL1000" s="291"/>
      <c r="FH1000" s="291"/>
      <c r="JU1000" s="12"/>
      <c r="KO1000" s="293"/>
      <c r="KP1000" s="294"/>
      <c r="KQ1000" s="294"/>
      <c r="KR1000" s="294"/>
      <c r="KS1000" s="294"/>
      <c r="KT1000" s="294"/>
      <c r="KU1000" s="294"/>
      <c r="KV1000" s="294"/>
      <c r="KW1000" s="294"/>
      <c r="KX1000" s="294"/>
      <c r="KY1000" s="294"/>
      <c r="KZ1000" s="294"/>
      <c r="LA1000" s="294"/>
      <c r="LB1000" s="294"/>
      <c r="LC1000" s="294"/>
      <c r="LD1000" s="294"/>
      <c r="LE1000" s="294"/>
      <c r="LF1000" s="294"/>
      <c r="LG1000" s="294"/>
      <c r="LH1000" s="294"/>
      <c r="LI1000" s="294"/>
      <c r="LJ1000" s="294"/>
      <c r="LK1000" s="294"/>
      <c r="LL1000" s="294"/>
      <c r="LM1000" s="294"/>
      <c r="LN1000" s="294"/>
      <c r="LO1000" s="294"/>
      <c r="LP1000" s="294"/>
      <c r="LQ1000" s="294"/>
      <c r="LR1000" s="294"/>
      <c r="LS1000" s="294"/>
      <c r="LT1000" s="294"/>
      <c r="LU1000" s="294"/>
      <c r="LV1000" s="294"/>
      <c r="LW1000" s="294"/>
      <c r="LX1000" s="294"/>
      <c r="LY1000" s="294"/>
      <c r="LZ1000" s="294"/>
      <c r="MA1000" s="294"/>
      <c r="MB1000" s="294"/>
      <c r="MC1000" s="294"/>
      <c r="MD1000" s="294"/>
      <c r="ME1000" s="294"/>
      <c r="MF1000" s="294"/>
      <c r="MG1000" s="294"/>
      <c r="MH1000" s="294"/>
      <c r="MI1000" s="294"/>
      <c r="MJ1000" s="294"/>
      <c r="MK1000" s="291"/>
      <c r="MM1000" s="293"/>
      <c r="MN1000" s="294"/>
      <c r="MO1000" s="294"/>
      <c r="MP1000" s="294"/>
      <c r="MQ1000" s="294"/>
      <c r="MR1000" s="294"/>
      <c r="MS1000" s="294"/>
      <c r="MT1000" s="294"/>
      <c r="MU1000" s="294"/>
      <c r="MV1000" s="294"/>
      <c r="MW1000" s="294"/>
      <c r="MX1000" s="294"/>
      <c r="MY1000" s="294"/>
      <c r="MZ1000" s="294"/>
      <c r="NA1000" s="294"/>
      <c r="NB1000" s="294"/>
      <c r="NC1000" s="294"/>
      <c r="ND1000" s="294"/>
      <c r="NE1000" s="294"/>
      <c r="NF1000" s="294"/>
      <c r="NG1000" s="294"/>
      <c r="NH1000" s="294"/>
      <c r="NI1000" s="294"/>
      <c r="NJ1000" s="294"/>
      <c r="NK1000" s="294"/>
      <c r="NL1000" s="294"/>
      <c r="NM1000" s="294"/>
      <c r="NN1000" s="294"/>
      <c r="NO1000" s="294"/>
      <c r="NP1000" s="294"/>
      <c r="NQ1000" s="294"/>
      <c r="NR1000" s="294"/>
      <c r="NS1000" s="294"/>
      <c r="NT1000" s="294"/>
      <c r="NU1000" s="294"/>
      <c r="NV1000" s="294"/>
      <c r="NW1000" s="294"/>
      <c r="NX1000" s="294"/>
      <c r="NY1000" s="294"/>
      <c r="NZ1000" s="294"/>
      <c r="OA1000" s="294"/>
      <c r="OB1000" s="294"/>
      <c r="OC1000" s="294"/>
      <c r="OD1000" s="294"/>
      <c r="OE1000" s="294"/>
      <c r="OF1000" s="294"/>
      <c r="OG1000" s="294"/>
      <c r="OH1000" s="294"/>
      <c r="OI1000" s="291"/>
      <c r="OZ1000" s="13"/>
    </row>
    <row r="1001" spans="50:416" ht="10.75" customHeight="1">
      <c r="BN1001" s="293"/>
      <c r="BO1001" s="294"/>
      <c r="BP1001" s="294"/>
      <c r="BQ1001" s="294"/>
      <c r="BR1001" s="294"/>
      <c r="BS1001" s="294"/>
      <c r="BT1001" s="294"/>
      <c r="BU1001" s="294"/>
      <c r="BV1001" s="294"/>
      <c r="BW1001" s="294"/>
      <c r="BX1001" s="294"/>
      <c r="BY1001" s="294"/>
      <c r="BZ1001" s="294"/>
      <c r="CA1001" s="294"/>
      <c r="CB1001" s="294"/>
      <c r="CC1001" s="294"/>
      <c r="CD1001" s="294"/>
      <c r="CE1001" s="294"/>
      <c r="CF1001" s="294"/>
      <c r="CG1001" s="294"/>
      <c r="CH1001" s="294"/>
      <c r="CI1001" s="294"/>
      <c r="CJ1001" s="294"/>
      <c r="CK1001" s="294"/>
      <c r="CL1001" s="294"/>
      <c r="CM1001" s="294"/>
      <c r="CN1001" s="294"/>
      <c r="CO1001" s="294"/>
      <c r="CP1001" s="294"/>
      <c r="CQ1001" s="294"/>
      <c r="CR1001" s="294"/>
      <c r="CS1001" s="294"/>
      <c r="CT1001" s="294"/>
      <c r="CU1001" s="294"/>
      <c r="CV1001" s="294"/>
      <c r="CW1001" s="294"/>
      <c r="CX1001" s="294"/>
      <c r="CY1001" s="294"/>
      <c r="CZ1001" s="294"/>
      <c r="DA1001" s="294"/>
      <c r="DB1001" s="294"/>
      <c r="DC1001" s="294"/>
      <c r="DD1001" s="294"/>
      <c r="DE1001" s="294"/>
      <c r="DF1001" s="294"/>
      <c r="DG1001" s="294"/>
      <c r="DH1001" s="294"/>
      <c r="DI1001" s="294"/>
      <c r="DJ1001" s="291"/>
      <c r="DL1001" s="293"/>
      <c r="DM1001" s="294"/>
      <c r="DN1001" s="294"/>
      <c r="DO1001" s="294"/>
      <c r="DP1001" s="294"/>
      <c r="DQ1001" s="294"/>
      <c r="DR1001" s="294"/>
      <c r="DS1001" s="294"/>
      <c r="DT1001" s="294"/>
      <c r="DU1001" s="294"/>
      <c r="DV1001" s="294"/>
      <c r="DW1001" s="294"/>
      <c r="DX1001" s="294"/>
      <c r="DY1001" s="294"/>
      <c r="DZ1001" s="294"/>
      <c r="EA1001" s="294"/>
      <c r="EB1001" s="294"/>
      <c r="EC1001" s="294"/>
      <c r="ED1001" s="294"/>
      <c r="EE1001" s="294"/>
      <c r="EF1001" s="294"/>
      <c r="EG1001" s="294"/>
      <c r="EH1001" s="294"/>
      <c r="EI1001" s="294"/>
      <c r="EJ1001" s="294"/>
      <c r="EK1001" s="294"/>
      <c r="EL1001" s="294"/>
      <c r="EM1001" s="294"/>
      <c r="EN1001" s="294"/>
      <c r="EO1001" s="294"/>
      <c r="EP1001" s="294"/>
      <c r="EQ1001" s="294"/>
      <c r="ER1001" s="294"/>
      <c r="ES1001" s="294"/>
      <c r="ET1001" s="294"/>
      <c r="EU1001" s="294"/>
      <c r="EV1001" s="294"/>
      <c r="EW1001" s="294"/>
      <c r="EX1001" s="294"/>
      <c r="EY1001" s="294"/>
      <c r="EZ1001" s="294"/>
      <c r="FA1001" s="294"/>
      <c r="FB1001" s="294"/>
      <c r="FC1001" s="294"/>
      <c r="FD1001" s="294"/>
      <c r="FE1001" s="294"/>
      <c r="FF1001" s="294"/>
      <c r="FG1001" s="294"/>
      <c r="FH1001" s="291"/>
      <c r="JU1001" s="12"/>
      <c r="KO1001" s="291"/>
      <c r="MK1001" s="291"/>
      <c r="MM1001" s="291"/>
      <c r="OI1001" s="291"/>
      <c r="OZ1001" s="13"/>
    </row>
    <row r="1002" spans="50:416" ht="10.75" customHeight="1">
      <c r="BN1002" s="291"/>
      <c r="DJ1002" s="291"/>
      <c r="DL1002" s="291"/>
      <c r="FH1002" s="291"/>
      <c r="JU1002" s="12"/>
      <c r="KO1002" s="291"/>
      <c r="MK1002" s="291"/>
      <c r="MM1002" s="291"/>
      <c r="OI1002" s="291"/>
      <c r="OZ1002" s="13"/>
    </row>
    <row r="1003" spans="50:416" ht="10.75" customHeight="1">
      <c r="BN1003" s="291"/>
      <c r="DJ1003" s="291"/>
      <c r="DL1003" s="291"/>
      <c r="FH1003" s="291"/>
      <c r="JU1003" s="12"/>
      <c r="OZ1003" s="13"/>
    </row>
    <row r="1004" spans="50:416" ht="10.75" customHeight="1">
      <c r="JU1004" s="12"/>
      <c r="KL1004" s="327"/>
      <c r="KM1004" s="328"/>
      <c r="KN1004" s="329"/>
      <c r="MJ1004" s="327"/>
      <c r="MK1004" s="328"/>
      <c r="ML1004" s="329"/>
      <c r="OZ1004" s="13"/>
    </row>
    <row r="1005" spans="50:416" ht="10.75" customHeight="1">
      <c r="BK1005" s="56"/>
      <c r="BL1005" s="57"/>
      <c r="BM1005" s="58"/>
      <c r="DI1005" s="56"/>
      <c r="DJ1005" s="57"/>
      <c r="DK1005" s="58"/>
      <c r="JU1005" s="12"/>
      <c r="KK1005" s="13"/>
      <c r="KL1005" s="327"/>
      <c r="KM1005" s="328"/>
      <c r="KN1005" s="329"/>
      <c r="KO1005" s="10"/>
      <c r="KP1005" s="10"/>
      <c r="KQ1005" s="10"/>
      <c r="KR1005" s="10"/>
      <c r="KS1005" s="10"/>
      <c r="KT1005" s="10"/>
      <c r="KU1005" s="10"/>
      <c r="KV1005" s="10"/>
      <c r="KW1005" s="10"/>
      <c r="KX1005" s="10"/>
      <c r="KY1005" s="10"/>
      <c r="KZ1005" s="10"/>
      <c r="LA1005" s="10"/>
      <c r="LB1005" s="10"/>
      <c r="LC1005" s="10"/>
      <c r="LD1005" s="10"/>
      <c r="LE1005" s="10"/>
      <c r="LF1005" s="10"/>
      <c r="LG1005" s="10"/>
      <c r="LH1005" s="10"/>
      <c r="LI1005" s="10"/>
      <c r="LJ1005" s="10"/>
      <c r="LK1005" s="10"/>
      <c r="LL1005" s="10"/>
      <c r="LM1005" s="10"/>
      <c r="LN1005" s="10"/>
      <c r="LO1005" s="10"/>
      <c r="LP1005" s="10"/>
      <c r="LQ1005" s="10"/>
      <c r="LR1005" s="10"/>
      <c r="LS1005" s="10"/>
      <c r="LT1005" s="10"/>
      <c r="LU1005" s="10"/>
      <c r="LV1005" s="10"/>
      <c r="LW1005" s="10"/>
      <c r="LX1005" s="10"/>
      <c r="LY1005" s="10"/>
      <c r="LZ1005" s="10"/>
      <c r="MA1005" s="10"/>
      <c r="MB1005" s="10"/>
      <c r="MC1005" s="10"/>
      <c r="MD1005" s="10"/>
      <c r="ME1005" s="10"/>
      <c r="MF1005" s="10"/>
      <c r="MG1005" s="10"/>
      <c r="MH1005" s="10"/>
      <c r="MI1005" s="10"/>
      <c r="MJ1005" s="327"/>
      <c r="MK1005" s="328"/>
      <c r="ML1005" s="329"/>
      <c r="MM1005" s="10"/>
      <c r="MN1005" s="10"/>
      <c r="MO1005" s="10"/>
      <c r="MP1005" s="10"/>
      <c r="MQ1005" s="10"/>
      <c r="MR1005" s="10"/>
      <c r="MS1005" s="10"/>
      <c r="MT1005" s="10"/>
      <c r="MU1005" s="10"/>
      <c r="MV1005" s="10"/>
      <c r="MW1005" s="10"/>
      <c r="MX1005" s="10"/>
      <c r="MY1005" s="10"/>
      <c r="MZ1005" s="10"/>
      <c r="NA1005" s="10"/>
      <c r="NB1005" s="10"/>
      <c r="NC1005" s="10"/>
      <c r="ND1005" s="10"/>
      <c r="NE1005" s="10"/>
      <c r="NF1005" s="10"/>
      <c r="NG1005" s="10"/>
      <c r="NH1005" s="10"/>
      <c r="NI1005" s="10"/>
      <c r="NJ1005" s="10"/>
      <c r="NK1005" s="10"/>
      <c r="NL1005" s="10"/>
      <c r="NM1005" s="10"/>
      <c r="NN1005" s="10"/>
      <c r="NO1005" s="10"/>
      <c r="NP1005" s="10"/>
      <c r="NQ1005" s="10"/>
      <c r="NR1005" s="10"/>
      <c r="NS1005" s="10"/>
      <c r="NT1005" s="10"/>
      <c r="NU1005" s="10"/>
      <c r="NV1005" s="10"/>
      <c r="NW1005" s="10"/>
      <c r="NX1005" s="10"/>
      <c r="NY1005" s="10"/>
      <c r="NZ1005" s="10"/>
      <c r="OA1005" s="10"/>
      <c r="OB1005" s="10"/>
      <c r="OC1005" s="10"/>
      <c r="OD1005" s="10"/>
      <c r="OE1005" s="10"/>
      <c r="OF1005" s="10"/>
      <c r="OG1005" s="10"/>
      <c r="OH1005" s="10"/>
      <c r="OI1005" s="327"/>
      <c r="OJ1005" s="328"/>
      <c r="OK1005" s="329"/>
      <c r="OL1005" s="329"/>
      <c r="OS1005" s="322"/>
      <c r="OT1005" s="322"/>
      <c r="OU1005" s="323"/>
      <c r="OV1005" s="322"/>
      <c r="OZ1005" s="13"/>
    </row>
    <row r="1006" spans="50:416" ht="10.75" customHeight="1">
      <c r="BJ1006" s="13"/>
      <c r="BK1006" s="56"/>
      <c r="BL1006" s="57"/>
      <c r="BM1006" s="58"/>
      <c r="BN1006" s="41"/>
      <c r="BO1006" s="41"/>
      <c r="BP1006" s="41"/>
      <c r="BQ1006" s="41"/>
      <c r="BR1006" s="41"/>
      <c r="BS1006" s="41"/>
      <c r="BT1006" s="41"/>
      <c r="BU1006" s="41"/>
      <c r="BV1006" s="41"/>
      <c r="BW1006" s="41"/>
      <c r="BX1006" s="41"/>
      <c r="BY1006" s="41"/>
      <c r="BZ1006" s="41"/>
      <c r="CA1006" s="41"/>
      <c r="CB1006" s="41"/>
      <c r="CC1006" s="41"/>
      <c r="CD1006" s="41"/>
      <c r="CE1006" s="41"/>
      <c r="CF1006" s="41"/>
      <c r="CG1006" s="41"/>
      <c r="CH1006" s="41"/>
      <c r="CI1006" s="41"/>
      <c r="CJ1006" s="41"/>
      <c r="CK1006" s="41"/>
      <c r="CL1006" s="41"/>
      <c r="CM1006" s="41"/>
      <c r="CN1006" s="41"/>
      <c r="CO1006" s="41"/>
      <c r="CP1006" s="41"/>
      <c r="CQ1006" s="41"/>
      <c r="CR1006" s="41"/>
      <c r="CS1006" s="41"/>
      <c r="CT1006" s="41"/>
      <c r="CU1006" s="41"/>
      <c r="CV1006" s="41"/>
      <c r="CW1006" s="41"/>
      <c r="CX1006" s="41"/>
      <c r="CY1006" s="41"/>
      <c r="CZ1006" s="41"/>
      <c r="DA1006" s="41"/>
      <c r="DB1006" s="41"/>
      <c r="DC1006" s="41"/>
      <c r="DD1006" s="41"/>
      <c r="DE1006" s="41"/>
      <c r="DF1006" s="41"/>
      <c r="DG1006" s="41"/>
      <c r="DH1006" s="41"/>
      <c r="DI1006" s="56"/>
      <c r="DJ1006" s="57"/>
      <c r="DK1006" s="58"/>
      <c r="DL1006" s="41"/>
      <c r="DM1006" s="41"/>
      <c r="DN1006" s="41"/>
      <c r="DO1006" s="41"/>
      <c r="DP1006" s="41"/>
      <c r="DQ1006" s="41"/>
      <c r="DR1006" s="41"/>
      <c r="DS1006" s="41"/>
      <c r="DT1006" s="41"/>
      <c r="DU1006" s="41"/>
      <c r="DV1006" s="41"/>
      <c r="DW1006" s="41"/>
      <c r="DX1006" s="41"/>
      <c r="DY1006" s="41"/>
      <c r="DZ1006" s="41"/>
      <c r="EA1006" s="41"/>
      <c r="EB1006" s="41"/>
      <c r="EC1006" s="41"/>
      <c r="ED1006" s="41"/>
      <c r="EE1006" s="41"/>
      <c r="EF1006" s="41"/>
      <c r="EG1006" s="41"/>
      <c r="EH1006" s="41"/>
      <c r="EI1006" s="41"/>
      <c r="EJ1006" s="41"/>
      <c r="EK1006" s="41"/>
      <c r="EL1006" s="41"/>
      <c r="EM1006" s="41"/>
      <c r="EN1006" s="41"/>
      <c r="EO1006" s="41"/>
      <c r="EP1006" s="41"/>
      <c r="EQ1006" s="41"/>
      <c r="ER1006" s="41"/>
      <c r="ES1006" s="41"/>
      <c r="ET1006" s="41"/>
      <c r="EU1006" s="41"/>
      <c r="EV1006" s="41"/>
      <c r="EW1006" s="41"/>
      <c r="EX1006" s="41"/>
      <c r="EY1006" s="41"/>
      <c r="EZ1006" s="41"/>
      <c r="FA1006" s="41"/>
      <c r="FB1006" s="41"/>
      <c r="FC1006" s="41"/>
      <c r="FD1006" s="41"/>
      <c r="FE1006" s="41"/>
      <c r="FF1006" s="41"/>
      <c r="FG1006" s="41"/>
      <c r="FH1006" s="56"/>
      <c r="FI1006" s="57"/>
      <c r="FJ1006" s="58"/>
      <c r="FK1006" s="58"/>
      <c r="FR1006" s="322"/>
      <c r="FS1006" s="322"/>
      <c r="FT1006" s="323"/>
      <c r="FU1006" s="322"/>
      <c r="JU1006" s="12"/>
      <c r="KK1006" s="13"/>
      <c r="KL1006" s="330"/>
      <c r="KM1006" s="338"/>
      <c r="KN1006" s="331"/>
      <c r="MJ1006" s="330"/>
      <c r="MK1006" s="338"/>
      <c r="ML1006" s="331"/>
      <c r="OI1006" s="330"/>
      <c r="OJ1006" s="338"/>
      <c r="OK1006" s="331"/>
      <c r="OL1006" s="331"/>
      <c r="OU1006" s="291"/>
      <c r="OZ1006" s="13"/>
    </row>
    <row r="1007" spans="50:416" ht="10.75" customHeight="1">
      <c r="BJ1007" s="13"/>
      <c r="BK1007" s="96"/>
      <c r="BL1007" s="97"/>
      <c r="BM1007" s="98"/>
      <c r="BN1007" s="43"/>
      <c r="BO1007" s="43"/>
      <c r="BP1007" s="43"/>
      <c r="BQ1007" s="43"/>
      <c r="BR1007" s="43"/>
      <c r="BS1007" s="43"/>
      <c r="BT1007" s="43"/>
      <c r="BU1007" s="43"/>
      <c r="BV1007" s="43"/>
      <c r="BW1007" s="43"/>
      <c r="BX1007" s="43"/>
      <c r="BY1007" s="43"/>
      <c r="BZ1007" s="43"/>
      <c r="CA1007" s="43"/>
      <c r="CB1007" s="43"/>
      <c r="CC1007" s="43"/>
      <c r="CD1007" s="43"/>
      <c r="CE1007" s="43"/>
      <c r="CF1007" s="43"/>
      <c r="CG1007" s="43"/>
      <c r="CH1007" s="43"/>
      <c r="CI1007" s="43"/>
      <c r="CJ1007" s="43"/>
      <c r="CK1007" s="43"/>
      <c r="CL1007" s="43"/>
      <c r="CM1007" s="43"/>
      <c r="CN1007" s="43"/>
      <c r="CO1007" s="43"/>
      <c r="CP1007" s="43"/>
      <c r="CQ1007" s="43"/>
      <c r="CR1007" s="43"/>
      <c r="CS1007" s="43"/>
      <c r="CT1007" s="43"/>
      <c r="CU1007" s="43"/>
      <c r="CV1007" s="43"/>
      <c r="CW1007" s="43"/>
      <c r="CX1007" s="43"/>
      <c r="CY1007" s="43"/>
      <c r="CZ1007" s="43"/>
      <c r="DA1007" s="43"/>
      <c r="DB1007" s="43"/>
      <c r="DC1007" s="43"/>
      <c r="DD1007" s="43"/>
      <c r="DE1007" s="43"/>
      <c r="DF1007" s="43"/>
      <c r="DG1007" s="43"/>
      <c r="DH1007" s="43"/>
      <c r="DI1007" s="96"/>
      <c r="DJ1007" s="97"/>
      <c r="DK1007" s="98"/>
      <c r="DL1007" s="43"/>
      <c r="DM1007" s="43"/>
      <c r="DN1007" s="43"/>
      <c r="DO1007" s="43"/>
      <c r="DP1007" s="43"/>
      <c r="DQ1007" s="43"/>
      <c r="DR1007" s="43"/>
      <c r="DS1007" s="43"/>
      <c r="DT1007" s="43"/>
      <c r="DU1007" s="43"/>
      <c r="DV1007" s="43"/>
      <c r="DW1007" s="43"/>
      <c r="DX1007" s="43"/>
      <c r="DY1007" s="43"/>
      <c r="DZ1007" s="43"/>
      <c r="EA1007" s="43"/>
      <c r="EB1007" s="43"/>
      <c r="EC1007" s="43"/>
      <c r="ED1007" s="43"/>
      <c r="EE1007" s="43"/>
      <c r="EF1007" s="43"/>
      <c r="EG1007" s="43"/>
      <c r="EH1007" s="43"/>
      <c r="EI1007" s="43"/>
      <c r="EJ1007" s="43"/>
      <c r="EK1007" s="43"/>
      <c r="EL1007" s="43"/>
      <c r="EM1007" s="43"/>
      <c r="EN1007" s="43"/>
      <c r="EO1007" s="43"/>
      <c r="EP1007" s="43"/>
      <c r="EQ1007" s="43"/>
      <c r="ER1007" s="43"/>
      <c r="ES1007" s="43"/>
      <c r="ET1007" s="43"/>
      <c r="EU1007" s="43"/>
      <c r="EV1007" s="43"/>
      <c r="EW1007" s="43"/>
      <c r="EX1007" s="43"/>
      <c r="EY1007" s="43"/>
      <c r="EZ1007" s="43"/>
      <c r="FA1007" s="43"/>
      <c r="FB1007" s="43"/>
      <c r="FC1007" s="43"/>
      <c r="FD1007" s="43"/>
      <c r="FE1007" s="43"/>
      <c r="FF1007" s="43"/>
      <c r="FG1007" s="43"/>
      <c r="FH1007" s="96"/>
      <c r="FI1007" s="97"/>
      <c r="FJ1007" s="98"/>
      <c r="FK1007" s="98"/>
      <c r="FT1007" s="291"/>
      <c r="JU1007" s="12"/>
      <c r="KK1007" s="13"/>
      <c r="KL1007" s="332"/>
      <c r="KM1007" s="333"/>
      <c r="KN1007" s="334"/>
      <c r="KO1007" s="15"/>
      <c r="KR1007" s="15"/>
      <c r="KS1007" s="15"/>
      <c r="KT1007" s="15"/>
      <c r="KU1007" s="15"/>
      <c r="KV1007" s="15"/>
      <c r="KW1007" s="15"/>
      <c r="KX1007" s="15"/>
      <c r="KY1007" s="15"/>
      <c r="KZ1007" s="15"/>
      <c r="LA1007" s="15"/>
      <c r="LB1007" s="15"/>
      <c r="LC1007" s="15"/>
      <c r="LD1007" s="15"/>
      <c r="LE1007" s="15"/>
      <c r="LF1007" s="15"/>
      <c r="LG1007" s="15"/>
      <c r="LH1007" s="15"/>
      <c r="LI1007" s="15"/>
      <c r="LJ1007" s="15"/>
      <c r="LK1007" s="15"/>
      <c r="LL1007" s="15"/>
      <c r="LM1007" s="15"/>
      <c r="LN1007" s="15"/>
      <c r="LO1007" s="15"/>
      <c r="LP1007" s="15"/>
      <c r="LQ1007" s="15"/>
      <c r="LR1007" s="15"/>
      <c r="LS1007" s="15"/>
      <c r="LT1007" s="15"/>
      <c r="LU1007" s="15"/>
      <c r="LV1007" s="15"/>
      <c r="LW1007" s="15"/>
      <c r="LX1007" s="15"/>
      <c r="LY1007" s="15"/>
      <c r="LZ1007" s="15"/>
      <c r="MA1007" s="15"/>
      <c r="MB1007" s="15"/>
      <c r="MC1007" s="15"/>
      <c r="MD1007" s="15"/>
      <c r="ME1007" s="15"/>
      <c r="MF1007" s="15"/>
      <c r="MG1007" s="15"/>
      <c r="MH1007" s="15"/>
      <c r="MI1007" s="15"/>
      <c r="MJ1007" s="332"/>
      <c r="MK1007" s="333"/>
      <c r="ML1007" s="334"/>
      <c r="MM1007" s="15"/>
      <c r="MN1007" s="15"/>
      <c r="MO1007" s="15"/>
      <c r="MP1007" s="15"/>
      <c r="MQ1007" s="15"/>
      <c r="MR1007" s="15"/>
      <c r="MS1007" s="15"/>
      <c r="MT1007" s="15"/>
      <c r="MU1007" s="15"/>
      <c r="MV1007" s="15"/>
      <c r="MW1007" s="15"/>
      <c r="MX1007" s="15"/>
      <c r="MY1007" s="15"/>
      <c r="MZ1007" s="15"/>
      <c r="NA1007" s="15"/>
      <c r="NB1007" s="15"/>
      <c r="NC1007" s="15"/>
      <c r="ND1007" s="15"/>
      <c r="NE1007" s="15"/>
      <c r="NF1007" s="15"/>
      <c r="NG1007" s="15"/>
      <c r="NH1007" s="15"/>
      <c r="NI1007" s="15"/>
      <c r="NJ1007" s="15"/>
      <c r="NK1007" s="15"/>
      <c r="NL1007" s="15"/>
      <c r="NM1007" s="15"/>
      <c r="NN1007" s="15"/>
      <c r="NO1007" s="15"/>
      <c r="NP1007" s="15"/>
      <c r="NQ1007" s="15"/>
      <c r="NR1007" s="15"/>
      <c r="NS1007" s="15"/>
      <c r="NT1007" s="15"/>
      <c r="NU1007" s="15"/>
      <c r="NV1007" s="15"/>
      <c r="NW1007" s="15"/>
      <c r="NX1007" s="15"/>
      <c r="NY1007" s="15"/>
      <c r="NZ1007" s="15"/>
      <c r="OA1007" s="15"/>
      <c r="OB1007" s="15"/>
      <c r="OC1007" s="15"/>
      <c r="OD1007" s="15"/>
      <c r="OE1007" s="15"/>
      <c r="OF1007" s="15"/>
      <c r="OG1007" s="15"/>
      <c r="OH1007" s="15"/>
      <c r="OI1007" s="332"/>
      <c r="OJ1007" s="333"/>
      <c r="OK1007" s="334"/>
      <c r="OL1007" s="334"/>
      <c r="OU1007" s="291"/>
      <c r="OZ1007" s="13"/>
    </row>
    <row r="1008" spans="50:416" ht="10.75" customHeight="1">
      <c r="BJ1008" s="13"/>
      <c r="BK1008" s="59"/>
      <c r="BL1008" s="60"/>
      <c r="BM1008" s="61"/>
      <c r="BN1008" s="47"/>
      <c r="BO1008" s="43"/>
      <c r="BP1008" s="43"/>
      <c r="BQ1008" s="47"/>
      <c r="BR1008" s="47"/>
      <c r="BS1008" s="47"/>
      <c r="BT1008" s="47"/>
      <c r="BU1008" s="47"/>
      <c r="BV1008" s="47"/>
      <c r="BW1008" s="47"/>
      <c r="BX1008" s="47"/>
      <c r="BY1008" s="47"/>
      <c r="BZ1008" s="47"/>
      <c r="CA1008" s="47"/>
      <c r="CB1008" s="47"/>
      <c r="CC1008" s="47"/>
      <c r="CD1008" s="47"/>
      <c r="CE1008" s="47"/>
      <c r="CF1008" s="47"/>
      <c r="CG1008" s="47"/>
      <c r="CH1008" s="47"/>
      <c r="CI1008" s="47"/>
      <c r="CJ1008" s="47"/>
      <c r="CK1008" s="47"/>
      <c r="CL1008" s="47"/>
      <c r="CM1008" s="47"/>
      <c r="CN1008" s="47"/>
      <c r="CO1008" s="47"/>
      <c r="CP1008" s="47"/>
      <c r="CQ1008" s="47"/>
      <c r="CR1008" s="47"/>
      <c r="CS1008" s="47"/>
      <c r="CT1008" s="47"/>
      <c r="CU1008" s="47"/>
      <c r="CV1008" s="47"/>
      <c r="CW1008" s="47"/>
      <c r="CX1008" s="47"/>
      <c r="CY1008" s="47"/>
      <c r="CZ1008" s="47"/>
      <c r="DA1008" s="47"/>
      <c r="DB1008" s="47"/>
      <c r="DC1008" s="47"/>
      <c r="DD1008" s="47"/>
      <c r="DE1008" s="47"/>
      <c r="DF1008" s="47"/>
      <c r="DG1008" s="47"/>
      <c r="DH1008" s="47"/>
      <c r="DI1008" s="59"/>
      <c r="DJ1008" s="60"/>
      <c r="DK1008" s="61"/>
      <c r="DL1008" s="47"/>
      <c r="DM1008" s="47"/>
      <c r="DN1008" s="47"/>
      <c r="DO1008" s="47"/>
      <c r="DP1008" s="47"/>
      <c r="DQ1008" s="47"/>
      <c r="DR1008" s="47"/>
      <c r="DS1008" s="47"/>
      <c r="DT1008" s="47"/>
      <c r="DU1008" s="47"/>
      <c r="DV1008" s="47"/>
      <c r="DW1008" s="47"/>
      <c r="DX1008" s="47"/>
      <c r="DY1008" s="47"/>
      <c r="DZ1008" s="47"/>
      <c r="EA1008" s="47"/>
      <c r="EB1008" s="47"/>
      <c r="EC1008" s="47"/>
      <c r="ED1008" s="47"/>
      <c r="EE1008" s="47"/>
      <c r="EF1008" s="47"/>
      <c r="EG1008" s="47"/>
      <c r="EH1008" s="47"/>
      <c r="EI1008" s="47"/>
      <c r="EJ1008" s="47"/>
      <c r="EK1008" s="47"/>
      <c r="EL1008" s="47"/>
      <c r="EM1008" s="47"/>
      <c r="EN1008" s="47"/>
      <c r="EO1008" s="47"/>
      <c r="EP1008" s="47"/>
      <c r="EQ1008" s="47"/>
      <c r="ER1008" s="47"/>
      <c r="ES1008" s="47"/>
      <c r="ET1008" s="47"/>
      <c r="EU1008" s="47"/>
      <c r="EV1008" s="47"/>
      <c r="EW1008" s="47"/>
      <c r="EX1008" s="47"/>
      <c r="EY1008" s="47"/>
      <c r="EZ1008" s="47"/>
      <c r="FA1008" s="47"/>
      <c r="FB1008" s="47"/>
      <c r="FC1008" s="47"/>
      <c r="FD1008" s="47"/>
      <c r="FE1008" s="47"/>
      <c r="FF1008" s="47"/>
      <c r="FG1008" s="47"/>
      <c r="FH1008" s="59"/>
      <c r="FI1008" s="60"/>
      <c r="FJ1008" s="61"/>
      <c r="FK1008" s="61"/>
      <c r="FT1008" s="291"/>
      <c r="JU1008" s="12"/>
      <c r="KK1008" s="13"/>
      <c r="KL1008" s="12"/>
      <c r="KO1008" s="9"/>
      <c r="KP1008" s="10"/>
      <c r="KQ1008" s="10"/>
      <c r="KR1008" s="10"/>
      <c r="KS1008" s="10"/>
      <c r="KT1008" s="10"/>
      <c r="KU1008" s="10"/>
      <c r="KV1008" s="10"/>
      <c r="KW1008" s="10"/>
      <c r="KX1008" s="10"/>
      <c r="KY1008" s="10"/>
      <c r="KZ1008" s="10"/>
      <c r="LA1008" s="10"/>
      <c r="LB1008" s="17"/>
      <c r="LC1008" s="9"/>
      <c r="LD1008" s="10"/>
      <c r="LE1008" s="10"/>
      <c r="LF1008" s="10"/>
      <c r="LG1008" s="10"/>
      <c r="LH1008" s="10"/>
      <c r="LI1008" s="10"/>
      <c r="LJ1008" s="10"/>
      <c r="LK1008" s="10"/>
      <c r="LL1008" s="10"/>
      <c r="LM1008" s="10"/>
      <c r="LN1008" s="10"/>
      <c r="LO1008" s="10"/>
      <c r="LP1008" s="10"/>
      <c r="LQ1008" s="10"/>
      <c r="LR1008" s="11"/>
      <c r="LS1008" s="9"/>
      <c r="LT1008" s="11"/>
      <c r="LU1008" s="10"/>
      <c r="LV1008" s="10"/>
      <c r="LW1008" s="10"/>
      <c r="LX1008" s="10"/>
      <c r="LY1008" s="10"/>
      <c r="LZ1008" s="10"/>
      <c r="MA1008" s="10"/>
      <c r="MB1008" s="10"/>
      <c r="MC1008" s="10"/>
      <c r="MD1008" s="10"/>
      <c r="ME1008" s="10"/>
      <c r="MF1008" s="10"/>
      <c r="MG1008" s="10"/>
      <c r="MH1008" s="10"/>
      <c r="MI1008" s="10"/>
      <c r="MJ1008" s="10"/>
      <c r="MK1008" s="9"/>
      <c r="ML1008" s="11"/>
      <c r="MM1008" s="10"/>
      <c r="MN1008" s="10"/>
      <c r="MO1008" s="10"/>
      <c r="MP1008" s="10"/>
      <c r="MQ1008" s="10"/>
      <c r="MR1008" s="298"/>
      <c r="MS1008" s="10"/>
      <c r="MT1008" s="10"/>
      <c r="MU1008" s="10"/>
      <c r="MV1008" s="10"/>
      <c r="MW1008" s="10"/>
      <c r="MX1008" s="10"/>
      <c r="MY1008" s="10"/>
      <c r="MZ1008" s="10"/>
      <c r="NA1008" s="10"/>
      <c r="NB1008" s="10"/>
      <c r="NC1008" s="10"/>
      <c r="ND1008" s="10"/>
      <c r="NE1008" s="10"/>
      <c r="NF1008" s="10"/>
      <c r="NG1008" s="10"/>
      <c r="NH1008" s="10"/>
      <c r="NI1008" s="10"/>
      <c r="NJ1008" s="10"/>
      <c r="NK1008" s="10"/>
      <c r="NL1008" s="10"/>
      <c r="NM1008" s="10"/>
      <c r="NN1008" s="10"/>
      <c r="NO1008" s="10"/>
      <c r="NP1008" s="10"/>
      <c r="NQ1008" s="10"/>
      <c r="NR1008" s="10"/>
      <c r="NS1008" s="10"/>
      <c r="NT1008" s="10"/>
      <c r="NU1008" s="10"/>
      <c r="NV1008" s="10"/>
      <c r="NW1008" s="10"/>
      <c r="NX1008" s="10"/>
      <c r="NY1008" s="10"/>
      <c r="NZ1008" s="10"/>
      <c r="OA1008" s="10"/>
      <c r="OB1008" s="10"/>
      <c r="OC1008" s="10"/>
      <c r="OD1008" s="10"/>
      <c r="OE1008" s="10"/>
      <c r="OF1008" s="10"/>
      <c r="OG1008" s="10"/>
      <c r="OH1008" s="11"/>
      <c r="OK1008" s="13"/>
      <c r="OU1008" s="291"/>
      <c r="OZ1008" s="13"/>
    </row>
    <row r="1009" spans="53:416" ht="10.75" customHeight="1">
      <c r="BJ1009" s="13"/>
      <c r="BK1009" s="42"/>
      <c r="BL1009" s="43"/>
      <c r="BM1009" s="43"/>
      <c r="BN1009" s="9"/>
      <c r="BO1009" s="10"/>
      <c r="BP1009" s="10"/>
      <c r="BQ1009" s="10"/>
      <c r="BR1009" s="10"/>
      <c r="BS1009" s="10"/>
      <c r="BT1009" s="10"/>
      <c r="BU1009" s="10"/>
      <c r="BV1009" s="10"/>
      <c r="BW1009" s="10"/>
      <c r="BX1009" s="10"/>
      <c r="BY1009" s="10"/>
      <c r="BZ1009" s="10"/>
      <c r="CA1009" s="10"/>
      <c r="CB1009" s="10"/>
      <c r="CC1009" s="10"/>
      <c r="CD1009" s="10"/>
      <c r="CE1009" s="10"/>
      <c r="CF1009" s="10"/>
      <c r="CG1009" s="10"/>
      <c r="CH1009" s="10"/>
      <c r="CI1009" s="10"/>
      <c r="CJ1009" s="10"/>
      <c r="CK1009" s="10"/>
      <c r="CL1009" s="10"/>
      <c r="CM1009" s="10"/>
      <c r="CN1009" s="10"/>
      <c r="CO1009" s="10"/>
      <c r="CP1009" s="40"/>
      <c r="CQ1009" s="44"/>
      <c r="CR1009" s="10"/>
      <c r="CS1009" s="10"/>
      <c r="CT1009" s="10"/>
      <c r="CU1009" s="10"/>
      <c r="CV1009" s="10"/>
      <c r="CW1009" s="10"/>
      <c r="CX1009" s="10"/>
      <c r="CY1009" s="10"/>
      <c r="CZ1009" s="10"/>
      <c r="DA1009" s="10"/>
      <c r="DB1009" s="10"/>
      <c r="DC1009" s="10"/>
      <c r="DD1009" s="10"/>
      <c r="DE1009" s="10"/>
      <c r="DF1009" s="10"/>
      <c r="DG1009" s="10"/>
      <c r="DH1009" s="10"/>
      <c r="DI1009" s="10"/>
      <c r="DJ1009" s="9"/>
      <c r="DK1009" s="11"/>
      <c r="DL1009" s="10"/>
      <c r="DM1009" s="10"/>
      <c r="DN1009" s="10"/>
      <c r="DO1009" s="10"/>
      <c r="DP1009" s="10"/>
      <c r="DQ1009" s="298"/>
      <c r="DR1009" s="10"/>
      <c r="DS1009" s="10"/>
      <c r="DT1009" s="10"/>
      <c r="DU1009" s="10"/>
      <c r="DV1009" s="10"/>
      <c r="DW1009" s="10"/>
      <c r="DX1009" s="10"/>
      <c r="DY1009" s="10"/>
      <c r="DZ1009" s="10"/>
      <c r="EA1009" s="10"/>
      <c r="EB1009" s="10"/>
      <c r="EC1009" s="10"/>
      <c r="ED1009" s="10"/>
      <c r="EE1009" s="10"/>
      <c r="EF1009" s="10"/>
      <c r="EG1009" s="10"/>
      <c r="EH1009" s="10"/>
      <c r="EI1009" s="10"/>
      <c r="EJ1009" s="10"/>
      <c r="EK1009" s="10"/>
      <c r="EL1009" s="10"/>
      <c r="EM1009" s="10"/>
      <c r="EN1009" s="10"/>
      <c r="EO1009" s="10"/>
      <c r="EP1009" s="10"/>
      <c r="EQ1009" s="10"/>
      <c r="ER1009" s="10"/>
      <c r="ES1009" s="10"/>
      <c r="ET1009" s="10"/>
      <c r="EU1009" s="10"/>
      <c r="EV1009" s="10"/>
      <c r="EW1009" s="10"/>
      <c r="EX1009" s="10"/>
      <c r="EY1009" s="10"/>
      <c r="EZ1009" s="10"/>
      <c r="FA1009" s="10"/>
      <c r="FB1009" s="10"/>
      <c r="FC1009" s="10"/>
      <c r="FD1009" s="10"/>
      <c r="FE1009" s="10"/>
      <c r="FF1009" s="10"/>
      <c r="FG1009" s="11"/>
      <c r="FH1009" s="43"/>
      <c r="FI1009" s="43"/>
      <c r="FJ1009" s="45"/>
      <c r="FT1009" s="291"/>
      <c r="JU1009" s="12"/>
      <c r="KK1009" s="13"/>
      <c r="KL1009" s="12"/>
      <c r="KO1009" s="12"/>
      <c r="LB1009" s="18"/>
      <c r="LC1009" s="12"/>
      <c r="LR1009" s="13"/>
      <c r="LS1009" s="12"/>
      <c r="LT1009" s="13"/>
      <c r="LU1009" s="12"/>
      <c r="MK1009" s="12"/>
      <c r="ML1009" s="13"/>
      <c r="MR1009" s="297"/>
      <c r="OH1009" s="13"/>
      <c r="OK1009" s="13"/>
      <c r="OU1009" s="291"/>
      <c r="OZ1009" s="13"/>
    </row>
    <row r="1010" spans="53:416" ht="10.75" customHeight="1">
      <c r="BJ1010" s="13"/>
      <c r="BK1010" s="42"/>
      <c r="BL1010" s="43"/>
      <c r="BM1010" s="43"/>
      <c r="BN1010" s="12"/>
      <c r="CP1010" s="42"/>
      <c r="CQ1010" s="45"/>
      <c r="DJ1010" s="12"/>
      <c r="DK1010" s="13"/>
      <c r="DQ1010" s="297"/>
      <c r="FG1010" s="13"/>
      <c r="FH1010" s="43"/>
      <c r="FI1010" s="43"/>
      <c r="FJ1010" s="45"/>
      <c r="FT1010" s="291"/>
      <c r="JU1010" s="12"/>
      <c r="KK1010" s="13"/>
      <c r="KL1010" s="12"/>
      <c r="KO1010" s="12"/>
      <c r="LB1010" s="18"/>
      <c r="LC1010" s="12"/>
      <c r="LQ1010" s="9"/>
      <c r="LR1010" s="11"/>
      <c r="LS1010" s="12"/>
      <c r="LT1010" s="13"/>
      <c r="LU1010" s="9"/>
      <c r="LV1010" s="11"/>
      <c r="MK1010" s="12"/>
      <c r="ML1010" s="13"/>
      <c r="MR1010" s="297"/>
      <c r="OH1010" s="13"/>
      <c r="OK1010" s="13"/>
      <c r="OU1010" s="291"/>
      <c r="OZ1010" s="13"/>
    </row>
    <row r="1011" spans="53:416" ht="10.75" customHeight="1">
      <c r="BJ1011" s="13"/>
      <c r="BK1011" s="42"/>
      <c r="BL1011" s="43"/>
      <c r="BM1011" s="43"/>
      <c r="BN1011" s="12"/>
      <c r="CN1011" s="9"/>
      <c r="CO1011" s="10"/>
      <c r="CP1011" s="42"/>
      <c r="CQ1011" s="45"/>
      <c r="CR1011" s="9"/>
      <c r="CS1011" s="11"/>
      <c r="CT1011" s="10"/>
      <c r="CU1011" s="10"/>
      <c r="CV1011" s="10"/>
      <c r="CW1011" s="11"/>
      <c r="DJ1011" s="12"/>
      <c r="DK1011" s="315"/>
      <c r="DQ1011" s="297"/>
      <c r="FG1011" s="13"/>
      <c r="FH1011" s="43"/>
      <c r="FI1011" s="43"/>
      <c r="FJ1011" s="45"/>
      <c r="FT1011" s="291"/>
      <c r="JU1011" s="12"/>
      <c r="KK1011" s="13"/>
      <c r="KL1011" s="12"/>
      <c r="KO1011" s="12"/>
      <c r="LB1011" s="18"/>
      <c r="LC1011" s="12"/>
      <c r="LJ1011" s="9"/>
      <c r="LK1011" s="10"/>
      <c r="LL1011" s="10"/>
      <c r="LM1011" s="10"/>
      <c r="LN1011" s="10"/>
      <c r="LO1011" s="10"/>
      <c r="LP1011" s="11"/>
      <c r="LQ1011" s="12"/>
      <c r="LR1011" s="13"/>
      <c r="LS1011" s="12"/>
      <c r="LT1011" s="13"/>
      <c r="LU1011" s="12"/>
      <c r="LV1011" s="13"/>
      <c r="LW1011" s="10"/>
      <c r="LX1011" s="10"/>
      <c r="LY1011" s="10"/>
      <c r="LZ1011" s="10"/>
      <c r="MA1011" s="10"/>
      <c r="MB1011" s="10"/>
      <c r="MC1011" s="11"/>
      <c r="MK1011" s="12"/>
      <c r="ML1011" s="13"/>
      <c r="MR1011" s="297"/>
      <c r="OH1011" s="13"/>
      <c r="OK1011" s="13"/>
      <c r="OU1011" s="291"/>
      <c r="OZ1011" s="13"/>
    </row>
    <row r="1012" spans="53:416" ht="10.75" customHeight="1">
      <c r="BJ1012" s="13"/>
      <c r="BK1012" s="42"/>
      <c r="BL1012" s="43"/>
      <c r="BM1012" s="43"/>
      <c r="BN1012" s="12"/>
      <c r="CG1012" s="9"/>
      <c r="CH1012" s="10"/>
      <c r="CI1012" s="10"/>
      <c r="CJ1012" s="10"/>
      <c r="CK1012" s="10"/>
      <c r="CL1012" s="10"/>
      <c r="CM1012" s="11"/>
      <c r="CN1012" s="12"/>
      <c r="CP1012" s="42"/>
      <c r="CQ1012" s="45"/>
      <c r="CR1012" s="12"/>
      <c r="CS1012" s="13"/>
      <c r="CW1012" s="13"/>
      <c r="DJ1012" s="12"/>
      <c r="DK1012" s="315"/>
      <c r="DQ1012" s="297"/>
      <c r="FG1012" s="13"/>
      <c r="FH1012" s="43"/>
      <c r="FI1012" s="43"/>
      <c r="FJ1012" s="45"/>
      <c r="FT1012" s="291"/>
      <c r="JU1012" s="12"/>
      <c r="KK1012" s="13"/>
      <c r="KL1012" s="12"/>
      <c r="KO1012" s="12"/>
      <c r="LB1012" s="18"/>
      <c r="LC1012" s="12"/>
      <c r="LJ1012" s="12"/>
      <c r="LP1012" s="13"/>
      <c r="LQ1012" s="12"/>
      <c r="LR1012" s="13"/>
      <c r="LS1012" s="12"/>
      <c r="LT1012" s="13"/>
      <c r="LU1012" s="12"/>
      <c r="LV1012" s="13"/>
      <c r="MC1012" s="13"/>
      <c r="MK1012" s="12"/>
      <c r="ML1012" s="13"/>
      <c r="MR1012" s="297"/>
      <c r="OH1012" s="13"/>
      <c r="OK1012" s="13"/>
      <c r="OU1012" s="291"/>
      <c r="OZ1012" s="13"/>
    </row>
    <row r="1013" spans="53:416" ht="10.75" customHeight="1">
      <c r="BJ1013" s="13"/>
      <c r="BK1013" s="42"/>
      <c r="BL1013" s="43"/>
      <c r="BM1013" s="43"/>
      <c r="BN1013" s="12"/>
      <c r="CG1013" s="12"/>
      <c r="CM1013" s="13"/>
      <c r="CN1013" s="12"/>
      <c r="CP1013" s="42"/>
      <c r="CQ1013" s="45"/>
      <c r="CR1013" s="12"/>
      <c r="CS1013" s="13"/>
      <c r="CW1013" s="13"/>
      <c r="DJ1013" s="12"/>
      <c r="DK1013" s="315"/>
      <c r="DQ1013" s="297"/>
      <c r="FG1013" s="13"/>
      <c r="FH1013" s="43"/>
      <c r="FI1013" s="43"/>
      <c r="FJ1013" s="45"/>
      <c r="FT1013" s="291"/>
      <c r="JU1013" s="12"/>
      <c r="KK1013" s="13"/>
      <c r="KL1013" s="12"/>
      <c r="KO1013" s="12"/>
      <c r="LB1013" s="18"/>
      <c r="LC1013" s="12"/>
      <c r="LJ1013" s="12"/>
      <c r="LP1013" s="13"/>
      <c r="LQ1013" s="12"/>
      <c r="LR1013" s="13"/>
      <c r="LS1013" s="12"/>
      <c r="LT1013" s="13"/>
      <c r="LU1013" s="12"/>
      <c r="LV1013" s="13"/>
      <c r="MC1013" s="13"/>
      <c r="MK1013" s="12"/>
      <c r="ML1013" s="13"/>
      <c r="MR1013" s="297"/>
      <c r="OH1013" s="13"/>
      <c r="OK1013" s="13"/>
      <c r="OU1013" s="291"/>
      <c r="OZ1013" s="13"/>
    </row>
    <row r="1014" spans="53:416" ht="10.75" customHeight="1">
      <c r="BJ1014" s="13"/>
      <c r="BK1014" s="42"/>
      <c r="BL1014" s="43"/>
      <c r="BM1014" s="43"/>
      <c r="BN1014" s="12"/>
      <c r="CG1014" s="12"/>
      <c r="CM1014" s="13"/>
      <c r="CN1014" s="12"/>
      <c r="CP1014" s="42"/>
      <c r="CQ1014" s="45"/>
      <c r="CR1014" s="12"/>
      <c r="CS1014" s="13"/>
      <c r="CW1014" s="13"/>
      <c r="DJ1014" s="12"/>
      <c r="DK1014" s="315"/>
      <c r="DQ1014" s="297"/>
      <c r="FG1014" s="13"/>
      <c r="FH1014" s="43"/>
      <c r="FI1014" s="43"/>
      <c r="FJ1014" s="45"/>
      <c r="FT1014" s="291"/>
      <c r="JU1014" s="12"/>
      <c r="KK1014" s="13"/>
      <c r="KL1014" s="12"/>
      <c r="KO1014" s="12"/>
      <c r="LB1014" s="18"/>
      <c r="LC1014" s="12"/>
      <c r="LJ1014" s="12"/>
      <c r="LP1014" s="13"/>
      <c r="LQ1014" s="12"/>
      <c r="LR1014" s="13"/>
      <c r="LS1014" s="12"/>
      <c r="LT1014" s="13"/>
      <c r="LU1014" s="12"/>
      <c r="LV1014" s="13"/>
      <c r="MC1014" s="13"/>
      <c r="MK1014" s="12"/>
      <c r="ML1014" s="13"/>
      <c r="MR1014" s="297"/>
      <c r="OH1014" s="13"/>
      <c r="OK1014" s="13"/>
      <c r="OU1014" s="291"/>
      <c r="OZ1014" s="13"/>
    </row>
    <row r="1015" spans="53:416" ht="10.75" customHeight="1">
      <c r="BJ1015" s="13"/>
      <c r="BK1015" s="42"/>
      <c r="BL1015" s="43"/>
      <c r="BM1015" s="43"/>
      <c r="BN1015" s="12"/>
      <c r="CG1015" s="12"/>
      <c r="CM1015" s="13"/>
      <c r="CN1015" s="12"/>
      <c r="CP1015" s="42"/>
      <c r="CQ1015" s="45"/>
      <c r="CR1015" s="12"/>
      <c r="CS1015" s="13"/>
      <c r="CW1015" s="13"/>
      <c r="DJ1015" s="12"/>
      <c r="DK1015" s="315"/>
      <c r="DQ1015" s="297"/>
      <c r="FG1015" s="13"/>
      <c r="FH1015" s="43"/>
      <c r="FI1015" s="43"/>
      <c r="FJ1015" s="45"/>
      <c r="FT1015" s="291"/>
      <c r="JU1015" s="12"/>
      <c r="KK1015" s="13"/>
      <c r="KL1015" s="12"/>
      <c r="KO1015" s="12"/>
      <c r="LB1015" s="18"/>
      <c r="LC1015" s="12"/>
      <c r="LJ1015" s="14"/>
      <c r="LK1015" s="15"/>
      <c r="LL1015" s="15"/>
      <c r="LM1015" s="15"/>
      <c r="LN1015" s="15"/>
      <c r="LO1015" s="15"/>
      <c r="LP1015" s="16"/>
      <c r="LQ1015" s="12"/>
      <c r="LR1015" s="13"/>
      <c r="LS1015" s="12"/>
      <c r="LT1015" s="13"/>
      <c r="LU1015" s="12"/>
      <c r="LV1015" s="13"/>
      <c r="LW1015" s="15"/>
      <c r="LX1015" s="15"/>
      <c r="LY1015" s="15"/>
      <c r="LZ1015" s="15"/>
      <c r="MA1015" s="15"/>
      <c r="MB1015" s="15"/>
      <c r="MC1015" s="16"/>
      <c r="MK1015" s="12"/>
      <c r="ML1015" s="17"/>
      <c r="MR1015" s="297"/>
      <c r="OH1015" s="13"/>
      <c r="OK1015" s="13"/>
      <c r="OU1015" s="291"/>
      <c r="OZ1015" s="13"/>
    </row>
    <row r="1016" spans="53:416" ht="10.75" customHeight="1">
      <c r="BJ1016" s="13"/>
      <c r="BK1016" s="42"/>
      <c r="BL1016" s="43"/>
      <c r="BM1016" s="43"/>
      <c r="BN1016" s="12"/>
      <c r="CG1016" s="14"/>
      <c r="CH1016" s="15"/>
      <c r="CI1016" s="15"/>
      <c r="CJ1016" s="15"/>
      <c r="CK1016" s="15"/>
      <c r="CL1016" s="15"/>
      <c r="CM1016" s="16"/>
      <c r="CN1016" s="12"/>
      <c r="CP1016" s="42"/>
      <c r="CQ1016" s="45"/>
      <c r="CR1016" s="12"/>
      <c r="CS1016" s="13"/>
      <c r="CW1016" s="13"/>
      <c r="DJ1016" s="12"/>
      <c r="DK1016" s="315"/>
      <c r="DQ1016" s="297"/>
      <c r="FG1016" s="13"/>
      <c r="FH1016" s="43"/>
      <c r="FI1016" s="43"/>
      <c r="FJ1016" s="45"/>
      <c r="FT1016" s="291"/>
      <c r="JU1016" s="12"/>
      <c r="KK1016" s="13"/>
      <c r="KL1016" s="12"/>
      <c r="KO1016" s="12"/>
      <c r="LB1016" s="18"/>
      <c r="LC1016" s="12"/>
      <c r="LQ1016" s="14"/>
      <c r="LR1016" s="16"/>
      <c r="LS1016" s="12"/>
      <c r="LT1016" s="13"/>
      <c r="LU1016" s="14"/>
      <c r="LV1016" s="16"/>
      <c r="MK1016" s="12"/>
      <c r="ML1016" s="18"/>
      <c r="MR1016" s="297"/>
      <c r="OH1016" s="13"/>
      <c r="OK1016" s="13"/>
      <c r="OU1016" s="291"/>
      <c r="OZ1016" s="13"/>
    </row>
    <row r="1017" spans="53:416" ht="10.75" customHeight="1">
      <c r="BJ1017" s="13"/>
      <c r="BK1017" s="42"/>
      <c r="BL1017" s="43"/>
      <c r="BM1017" s="43"/>
      <c r="BN1017" s="12"/>
      <c r="CN1017" s="14"/>
      <c r="CO1017" s="15"/>
      <c r="CP1017" s="42"/>
      <c r="CQ1017" s="45"/>
      <c r="CR1017" s="14"/>
      <c r="CS1017" s="16"/>
      <c r="CT1017" s="15"/>
      <c r="CU1017" s="15"/>
      <c r="CV1017" s="15"/>
      <c r="CW1017" s="16"/>
      <c r="DJ1017" s="12"/>
      <c r="DK1017" s="315"/>
      <c r="DQ1017" s="297"/>
      <c r="FG1017" s="13"/>
      <c r="FH1017" s="43"/>
      <c r="FI1017" s="43"/>
      <c r="FJ1017" s="45"/>
      <c r="FT1017" s="291"/>
      <c r="JU1017" s="12"/>
      <c r="KK1017" s="13"/>
      <c r="KL1017" s="12"/>
      <c r="KO1017" s="12"/>
      <c r="LB1017" s="18"/>
      <c r="LC1017" s="12"/>
      <c r="LR1017" s="13"/>
      <c r="LS1017" s="12"/>
      <c r="LT1017" s="13"/>
      <c r="LU1017" s="12"/>
      <c r="MK1017" s="12"/>
      <c r="ML1017" s="18"/>
      <c r="MR1017" s="297"/>
      <c r="OH1017" s="13"/>
      <c r="OK1017" s="13"/>
      <c r="OU1017" s="291"/>
      <c r="OZ1017" s="13"/>
    </row>
    <row r="1018" spans="53:416" ht="10.75" customHeight="1">
      <c r="BJ1018" s="13"/>
      <c r="BK1018" s="42"/>
      <c r="BL1018" s="43"/>
      <c r="BM1018" s="43"/>
      <c r="BN1018" s="12"/>
      <c r="CP1018" s="42"/>
      <c r="CQ1018" s="45"/>
      <c r="CR1018" s="12"/>
      <c r="DJ1018" s="12"/>
      <c r="DK1018" s="315"/>
      <c r="DQ1018" s="297"/>
      <c r="FG1018" s="13"/>
      <c r="FH1018" s="43"/>
      <c r="FI1018" s="43"/>
      <c r="FJ1018" s="45"/>
      <c r="FT1018" s="291"/>
      <c r="JU1018" s="12"/>
      <c r="KK1018" s="13"/>
      <c r="KL1018" s="12"/>
      <c r="KO1018" s="12"/>
      <c r="LB1018" s="18"/>
      <c r="LC1018" s="12"/>
      <c r="LR1018" s="13"/>
      <c r="LS1018" s="12"/>
      <c r="LT1018" s="13"/>
      <c r="MK1018" s="12"/>
      <c r="ML1018" s="18"/>
      <c r="MR1018" s="297"/>
      <c r="OH1018" s="13"/>
      <c r="OK1018" s="13"/>
      <c r="OU1018" s="291"/>
      <c r="OZ1018" s="13"/>
    </row>
    <row r="1019" spans="53:416" ht="10.75" customHeight="1">
      <c r="BJ1019" s="13"/>
      <c r="BK1019" s="42"/>
      <c r="BL1019" s="43"/>
      <c r="BM1019" s="43"/>
      <c r="BN1019" s="12"/>
      <c r="CP1019" s="42"/>
      <c r="CQ1019" s="45"/>
      <c r="CR1019" s="12"/>
      <c r="DJ1019" s="12"/>
      <c r="DK1019" s="315"/>
      <c r="DQ1019" s="297"/>
      <c r="FG1019" s="13"/>
      <c r="FH1019" s="43"/>
      <c r="FI1019" s="43"/>
      <c r="FJ1019" s="45"/>
      <c r="FT1019" s="291"/>
      <c r="JU1019" s="12"/>
      <c r="KK1019" s="13"/>
      <c r="KL1019" s="12"/>
      <c r="KO1019" s="12"/>
      <c r="LB1019" s="18"/>
      <c r="LC1019" s="12"/>
      <c r="LM1019" s="9"/>
      <c r="LN1019" s="10"/>
      <c r="LO1019" s="10"/>
      <c r="LP1019" s="11"/>
      <c r="LQ1019" s="9"/>
      <c r="LR1019" s="11"/>
      <c r="LS1019" s="12"/>
      <c r="LU1019" s="9"/>
      <c r="LV1019" s="11"/>
      <c r="LW1019" s="10"/>
      <c r="LX1019" s="10"/>
      <c r="LY1019" s="10"/>
      <c r="LZ1019" s="11"/>
      <c r="MK1019" s="12"/>
      <c r="ML1019" s="18"/>
      <c r="MR1019" s="297"/>
      <c r="OH1019" s="13"/>
      <c r="OK1019" s="13"/>
      <c r="OU1019" s="291"/>
      <c r="OZ1019" s="13"/>
    </row>
    <row r="1020" spans="53:416" ht="10.75" customHeight="1">
      <c r="BJ1020" s="13"/>
      <c r="BK1020" s="42"/>
      <c r="BL1020" s="43"/>
      <c r="BM1020" s="43"/>
      <c r="BN1020" s="12"/>
      <c r="CJ1020" s="9"/>
      <c r="CK1020" s="10"/>
      <c r="CL1020" s="10"/>
      <c r="CM1020" s="11"/>
      <c r="CN1020" s="9"/>
      <c r="CO1020" s="10"/>
      <c r="CP1020" s="42"/>
      <c r="CQ1020" s="43"/>
      <c r="CR1020" s="9"/>
      <c r="CS1020" s="11"/>
      <c r="DJ1020" s="12"/>
      <c r="DK1020" s="13"/>
      <c r="DQ1020" s="297"/>
      <c r="FG1020" s="13"/>
      <c r="FH1020" s="43"/>
      <c r="FI1020" s="43"/>
      <c r="FJ1020" s="45"/>
      <c r="FT1020" s="291"/>
      <c r="JU1020" s="12"/>
      <c r="KK1020" s="13"/>
      <c r="KL1020" s="12"/>
      <c r="KO1020" s="12"/>
      <c r="LB1020" s="18"/>
      <c r="LC1020" s="12"/>
      <c r="LM1020" s="12"/>
      <c r="LP1020" s="13"/>
      <c r="LQ1020" s="12"/>
      <c r="LR1020" s="13"/>
      <c r="LS1020" s="12"/>
      <c r="LU1020" s="12"/>
      <c r="LV1020" s="13"/>
      <c r="LZ1020" s="13"/>
      <c r="MK1020" s="12"/>
      <c r="ML1020" s="18"/>
      <c r="MR1020" s="297"/>
      <c r="OH1020" s="13"/>
      <c r="OK1020" s="13"/>
      <c r="OU1020" s="291"/>
      <c r="OZ1020" s="13"/>
    </row>
    <row r="1021" spans="53:416" ht="10.75" customHeight="1">
      <c r="BA1021" s="9"/>
      <c r="BB1021" s="10"/>
      <c r="BC1021" s="10"/>
      <c r="BD1021" s="10"/>
      <c r="BE1021" s="10"/>
      <c r="BF1021" s="10"/>
      <c r="BG1021" s="10"/>
      <c r="BH1021" s="10"/>
      <c r="BI1021" s="10"/>
      <c r="BJ1021" s="11"/>
      <c r="BK1021" s="42"/>
      <c r="BL1021" s="43"/>
      <c r="BM1021" s="43"/>
      <c r="BN1021" s="12"/>
      <c r="CJ1021" s="12"/>
      <c r="CM1021" s="13"/>
      <c r="CN1021" s="12"/>
      <c r="CP1021" s="42"/>
      <c r="CQ1021" s="43"/>
      <c r="CR1021" s="12"/>
      <c r="CS1021" s="13"/>
      <c r="CT1021" s="10"/>
      <c r="CU1021" s="10"/>
      <c r="CV1021" s="10"/>
      <c r="CW1021" s="10"/>
      <c r="CX1021" s="10"/>
      <c r="CY1021" s="10"/>
      <c r="CZ1021" s="11"/>
      <c r="DJ1021" s="12"/>
      <c r="DK1021" s="13"/>
      <c r="DQ1021" s="297"/>
      <c r="FG1021" s="13"/>
      <c r="FH1021" s="43"/>
      <c r="FI1021" s="43"/>
      <c r="FJ1021" s="45"/>
      <c r="FT1021" s="291"/>
      <c r="JU1021" s="12"/>
      <c r="KK1021" s="13"/>
      <c r="KL1021" s="12"/>
      <c r="KO1021" s="12"/>
      <c r="LB1021" s="18"/>
      <c r="LC1021" s="12"/>
      <c r="LM1021" s="12"/>
      <c r="LP1021" s="13"/>
      <c r="LQ1021" s="12"/>
      <c r="LR1021" s="13"/>
      <c r="LS1021" s="12"/>
      <c r="LU1021" s="12"/>
      <c r="LV1021" s="13"/>
      <c r="LZ1021" s="13"/>
      <c r="MK1021" s="12"/>
      <c r="ML1021" s="18"/>
      <c r="MR1021" s="297"/>
      <c r="OH1021" s="13"/>
      <c r="OK1021" s="13"/>
      <c r="OU1021" s="291"/>
      <c r="OZ1021" s="13"/>
    </row>
    <row r="1022" spans="53:416" ht="10.75" customHeight="1">
      <c r="BA1022" s="12"/>
      <c r="BJ1022" s="13"/>
      <c r="BK1022" s="42"/>
      <c r="BL1022" s="43"/>
      <c r="BM1022" s="43"/>
      <c r="BN1022" s="12"/>
      <c r="CJ1022" s="12"/>
      <c r="CM1022" s="13"/>
      <c r="CN1022" s="12"/>
      <c r="CP1022" s="42"/>
      <c r="CQ1022" s="43"/>
      <c r="CR1022" s="12"/>
      <c r="CS1022" s="13"/>
      <c r="CZ1022" s="13"/>
      <c r="DJ1022" s="12"/>
      <c r="DK1022" s="13"/>
      <c r="DQ1022" s="297"/>
      <c r="FG1022" s="13"/>
      <c r="FH1022" s="43"/>
      <c r="FI1022" s="43"/>
      <c r="FJ1022" s="45"/>
      <c r="FT1022" s="291"/>
      <c r="JU1022" s="12"/>
      <c r="KK1022" s="13"/>
      <c r="KL1022" s="12"/>
      <c r="KO1022" s="12"/>
      <c r="LB1022" s="18"/>
      <c r="LC1022" s="12"/>
      <c r="LM1022" s="12"/>
      <c r="LP1022" s="13"/>
      <c r="LQ1022" s="12"/>
      <c r="LR1022" s="13"/>
      <c r="LS1022" s="12"/>
      <c r="LU1022" s="12"/>
      <c r="LV1022" s="13"/>
      <c r="LZ1022" s="13"/>
      <c r="MK1022" s="12"/>
      <c r="ML1022" s="18"/>
      <c r="MR1022" s="297"/>
      <c r="OH1022" s="13"/>
      <c r="OK1022" s="13"/>
      <c r="OU1022" s="291"/>
      <c r="OZ1022" s="13"/>
    </row>
    <row r="1023" spans="53:416" ht="10.75" customHeight="1">
      <c r="BA1023" s="12"/>
      <c r="BJ1023" s="13"/>
      <c r="BK1023" s="42"/>
      <c r="BL1023" s="43"/>
      <c r="BM1023" s="43"/>
      <c r="BN1023" s="12"/>
      <c r="CJ1023" s="12"/>
      <c r="CM1023" s="13"/>
      <c r="CN1023" s="12"/>
      <c r="CP1023" s="42"/>
      <c r="CQ1023" s="43"/>
      <c r="CR1023" s="12"/>
      <c r="CS1023" s="13"/>
      <c r="CZ1023" s="13"/>
      <c r="DJ1023" s="12"/>
      <c r="DK1023" s="13"/>
      <c r="DQ1023" s="297"/>
      <c r="FG1023" s="13"/>
      <c r="FH1023" s="43"/>
      <c r="FI1023" s="43"/>
      <c r="FJ1023" s="45"/>
      <c r="FT1023" s="291"/>
      <c r="JU1023" s="12"/>
      <c r="KK1023" s="13"/>
      <c r="KL1023" s="12"/>
      <c r="KO1023" s="12"/>
      <c r="LB1023" s="18"/>
      <c r="LC1023" s="12"/>
      <c r="LM1023" s="12"/>
      <c r="LP1023" s="13"/>
      <c r="LQ1023" s="12"/>
      <c r="LR1023" s="13"/>
      <c r="LS1023" s="12"/>
      <c r="LU1023" s="12"/>
      <c r="LV1023" s="13"/>
      <c r="LZ1023" s="13"/>
      <c r="MK1023" s="12"/>
      <c r="ML1023" s="19"/>
      <c r="MR1023" s="297"/>
      <c r="OH1023" s="13"/>
      <c r="OK1023" s="13"/>
      <c r="OU1023" s="291"/>
      <c r="OZ1023" s="13"/>
    </row>
    <row r="1024" spans="53:416" ht="10.75" customHeight="1">
      <c r="BA1024" s="12"/>
      <c r="BJ1024" s="13"/>
      <c r="BK1024" s="42"/>
      <c r="BL1024" s="43"/>
      <c r="BM1024" s="43"/>
      <c r="BN1024" s="12"/>
      <c r="CJ1024" s="12"/>
      <c r="CM1024" s="13"/>
      <c r="CN1024" s="12"/>
      <c r="CP1024" s="42"/>
      <c r="CQ1024" s="43"/>
      <c r="CR1024" s="12"/>
      <c r="CS1024" s="13"/>
      <c r="CZ1024" s="13"/>
      <c r="DJ1024" s="12"/>
      <c r="DK1024" s="13"/>
      <c r="DQ1024" s="297"/>
      <c r="FG1024" s="13"/>
      <c r="FH1024" s="43"/>
      <c r="FI1024" s="43"/>
      <c r="FJ1024" s="45"/>
      <c r="FT1024" s="291"/>
      <c r="JU1024" s="12"/>
      <c r="KB1024" s="9"/>
      <c r="KC1024" s="10"/>
      <c r="KD1024" s="10"/>
      <c r="KE1024" s="10"/>
      <c r="KF1024" s="10"/>
      <c r="KG1024" s="10"/>
      <c r="KH1024" s="10"/>
      <c r="KI1024" s="10"/>
      <c r="KJ1024" s="10"/>
      <c r="KK1024" s="11"/>
      <c r="KL1024" s="12"/>
      <c r="KO1024" s="12"/>
      <c r="LB1024" s="18"/>
      <c r="LC1024" s="12"/>
      <c r="LM1024" s="12"/>
      <c r="LP1024" s="13"/>
      <c r="LQ1024" s="12"/>
      <c r="LR1024" s="13"/>
      <c r="LS1024" s="12"/>
      <c r="LU1024" s="12"/>
      <c r="LV1024" s="13"/>
      <c r="LZ1024" s="13"/>
      <c r="MK1024" s="12"/>
      <c r="ML1024" s="13"/>
      <c r="MR1024" s="297"/>
      <c r="OH1024" s="13"/>
      <c r="OK1024" s="13"/>
      <c r="OU1024" s="291"/>
      <c r="OZ1024" s="13"/>
    </row>
    <row r="1025" spans="45:416" ht="10.75" customHeight="1">
      <c r="BA1025" s="12"/>
      <c r="BJ1025" s="13"/>
      <c r="BK1025" s="42"/>
      <c r="BL1025" s="43"/>
      <c r="BM1025" s="43"/>
      <c r="BN1025" s="12"/>
      <c r="CJ1025" s="12"/>
      <c r="CM1025" s="13"/>
      <c r="CN1025" s="12"/>
      <c r="CP1025" s="42"/>
      <c r="CQ1025" s="43"/>
      <c r="CR1025" s="12"/>
      <c r="CS1025" s="13"/>
      <c r="CT1025" s="15"/>
      <c r="CU1025" s="15"/>
      <c r="CV1025" s="15"/>
      <c r="CW1025" s="15"/>
      <c r="CX1025" s="15"/>
      <c r="CY1025" s="15"/>
      <c r="CZ1025" s="16"/>
      <c r="DJ1025" s="12"/>
      <c r="DK1025" s="13"/>
      <c r="DQ1025" s="297"/>
      <c r="FG1025" s="13"/>
      <c r="FH1025" s="43"/>
      <c r="FI1025" s="43"/>
      <c r="FJ1025" s="45"/>
      <c r="FT1025" s="291"/>
      <c r="JU1025" s="12"/>
      <c r="KB1025" s="12"/>
      <c r="KK1025" s="13"/>
      <c r="KL1025" s="12"/>
      <c r="KO1025" s="12"/>
      <c r="LB1025" s="18"/>
      <c r="LC1025" s="12"/>
      <c r="LM1025" s="14"/>
      <c r="LN1025" s="15"/>
      <c r="LO1025" s="15"/>
      <c r="LP1025" s="16"/>
      <c r="LQ1025" s="14"/>
      <c r="LR1025" s="16"/>
      <c r="LS1025" s="12"/>
      <c r="LU1025" s="14"/>
      <c r="LV1025" s="16"/>
      <c r="LW1025" s="15"/>
      <c r="LX1025" s="15"/>
      <c r="LY1025" s="15"/>
      <c r="LZ1025" s="16"/>
      <c r="MK1025" s="12"/>
      <c r="ML1025" s="13"/>
      <c r="MR1025" s="297"/>
      <c r="OH1025" s="13"/>
      <c r="OK1025" s="13"/>
      <c r="OU1025" s="291"/>
      <c r="OZ1025" s="13"/>
    </row>
    <row r="1026" spans="45:416" ht="10.75" customHeight="1">
      <c r="BA1026" s="12"/>
      <c r="BJ1026" s="13"/>
      <c r="BK1026" s="42"/>
      <c r="BL1026" s="43"/>
      <c r="BM1026" s="43"/>
      <c r="BN1026" s="12"/>
      <c r="CJ1026" s="14"/>
      <c r="CK1026" s="15"/>
      <c r="CL1026" s="15"/>
      <c r="CM1026" s="16"/>
      <c r="CN1026" s="14"/>
      <c r="CO1026" s="15"/>
      <c r="CP1026" s="42"/>
      <c r="CQ1026" s="43"/>
      <c r="CR1026" s="14"/>
      <c r="CS1026" s="16"/>
      <c r="DJ1026" s="12"/>
      <c r="DK1026" s="13"/>
      <c r="DQ1026" s="297"/>
      <c r="FG1026" s="13"/>
      <c r="FH1026" s="43"/>
      <c r="FI1026" s="43"/>
      <c r="FJ1026" s="45"/>
      <c r="FT1026" s="291"/>
      <c r="JU1026" s="12"/>
      <c r="KB1026" s="12"/>
      <c r="KK1026" s="13"/>
      <c r="KL1026" s="12"/>
      <c r="KO1026" s="12"/>
      <c r="LB1026" s="18"/>
      <c r="LC1026" s="12"/>
      <c r="LR1026" s="13"/>
      <c r="LS1026" s="12"/>
      <c r="LT1026" s="13"/>
      <c r="LU1026" s="12"/>
      <c r="MK1026" s="12"/>
      <c r="ML1026" s="13"/>
      <c r="MR1026" s="297"/>
      <c r="OH1026" s="13"/>
      <c r="OK1026" s="13"/>
      <c r="OU1026" s="291"/>
      <c r="OZ1026" s="13"/>
    </row>
    <row r="1027" spans="45:416" ht="10.75" customHeight="1">
      <c r="BA1027" s="12"/>
      <c r="BJ1027" s="13"/>
      <c r="BK1027" s="42"/>
      <c r="BL1027" s="43"/>
      <c r="BM1027" s="43"/>
      <c r="BN1027" s="12"/>
      <c r="CP1027" s="42"/>
      <c r="CQ1027" s="45"/>
      <c r="DJ1027" s="12"/>
      <c r="DK1027" s="13"/>
      <c r="DQ1027" s="297"/>
      <c r="FG1027" s="13"/>
      <c r="FH1027" s="43"/>
      <c r="FI1027" s="43"/>
      <c r="FJ1027" s="45"/>
      <c r="FT1027" s="291"/>
      <c r="JU1027" s="12"/>
      <c r="KB1027" s="12"/>
      <c r="KK1027" s="13"/>
      <c r="KL1027" s="12"/>
      <c r="KO1027" s="12"/>
      <c r="LB1027" s="19"/>
      <c r="LC1027" s="14"/>
      <c r="LD1027" s="15"/>
      <c r="LE1027" s="15"/>
      <c r="LF1027" s="15"/>
      <c r="LG1027" s="15"/>
      <c r="LH1027" s="15"/>
      <c r="LI1027" s="15"/>
      <c r="LJ1027" s="15"/>
      <c r="LK1027" s="15"/>
      <c r="LL1027" s="15"/>
      <c r="LM1027" s="15"/>
      <c r="LN1027" s="15"/>
      <c r="LO1027" s="15"/>
      <c r="LP1027" s="15"/>
      <c r="LQ1027" s="15"/>
      <c r="LR1027" s="16"/>
      <c r="LS1027" s="14"/>
      <c r="LT1027" s="16"/>
      <c r="MK1027" s="12"/>
      <c r="ML1027" s="13"/>
      <c r="MR1027" s="297"/>
      <c r="OH1027" s="13"/>
      <c r="OK1027" s="13"/>
      <c r="OU1027" s="291"/>
      <c r="OZ1027" s="13"/>
    </row>
    <row r="1028" spans="45:416" ht="10.75" customHeight="1">
      <c r="BA1028" s="12"/>
      <c r="BJ1028" s="13"/>
      <c r="BK1028" s="42"/>
      <c r="BL1028" s="43"/>
      <c r="BM1028" s="43"/>
      <c r="BN1028" s="12"/>
      <c r="CP1028" s="46"/>
      <c r="CQ1028" s="48"/>
      <c r="DJ1028" s="12"/>
      <c r="DK1028" s="13"/>
      <c r="DQ1028" s="297"/>
      <c r="FG1028" s="13"/>
      <c r="FH1028" s="43"/>
      <c r="FI1028" s="43"/>
      <c r="FJ1028" s="45"/>
      <c r="FT1028" s="291"/>
      <c r="JU1028" s="12"/>
      <c r="KB1028" s="12"/>
      <c r="KK1028" s="13"/>
      <c r="KL1028" s="12"/>
      <c r="KO1028" s="9"/>
      <c r="KP1028" s="10"/>
      <c r="KQ1028" s="10"/>
      <c r="KR1028" s="10"/>
      <c r="KS1028" s="10"/>
      <c r="KT1028" s="10"/>
      <c r="KU1028" s="10"/>
      <c r="KV1028" s="10"/>
      <c r="KW1028" s="10"/>
      <c r="KX1028" s="10"/>
      <c r="KY1028" s="10"/>
      <c r="KZ1028" s="10"/>
      <c r="LA1028" s="10"/>
      <c r="LB1028" s="10"/>
      <c r="LC1028" s="10"/>
      <c r="LD1028" s="10"/>
      <c r="LE1028" s="10"/>
      <c r="LF1028" s="10"/>
      <c r="LG1028" s="10"/>
      <c r="LH1028" s="10"/>
      <c r="LI1028" s="10"/>
      <c r="LJ1028" s="10"/>
      <c r="LK1028" s="10"/>
      <c r="LL1028" s="10"/>
      <c r="LM1028" s="10"/>
      <c r="LN1028" s="10"/>
      <c r="LO1028" s="10"/>
      <c r="LP1028" s="10"/>
      <c r="LQ1028" s="10"/>
      <c r="LR1028" s="10"/>
      <c r="LS1028" s="10"/>
      <c r="LT1028" s="10"/>
      <c r="LU1028" s="10"/>
      <c r="LV1028" s="10"/>
      <c r="LW1028" s="10"/>
      <c r="LX1028" s="10"/>
      <c r="LY1028" s="10"/>
      <c r="LZ1028" s="10"/>
      <c r="MA1028" s="10"/>
      <c r="MB1028" s="10"/>
      <c r="MC1028" s="10"/>
      <c r="MD1028" s="10"/>
      <c r="ME1028" s="10"/>
      <c r="MF1028" s="10"/>
      <c r="MG1028" s="10"/>
      <c r="MH1028" s="10"/>
      <c r="MI1028" s="10"/>
      <c r="MJ1028" s="10"/>
      <c r="ML1028" s="13"/>
      <c r="MQ1028" s="322"/>
      <c r="MR1028" s="322"/>
      <c r="MS1028" s="322"/>
      <c r="MT1028" s="322"/>
      <c r="OH1028" s="13"/>
      <c r="OK1028" s="13"/>
      <c r="OU1028" s="291"/>
      <c r="OZ1028" s="13"/>
    </row>
    <row r="1029" spans="45:416" ht="10.75" customHeight="1">
      <c r="BA1029" s="12"/>
      <c r="BJ1029" s="13"/>
      <c r="BK1029" s="42"/>
      <c r="BL1029" s="43"/>
      <c r="BM1029" s="43"/>
      <c r="BN1029" s="40"/>
      <c r="BO1029" s="41"/>
      <c r="BP1029" s="41"/>
      <c r="BQ1029" s="41"/>
      <c r="BR1029" s="41"/>
      <c r="BS1029" s="41"/>
      <c r="BT1029" s="41"/>
      <c r="BU1029" s="41"/>
      <c r="BV1029" s="41"/>
      <c r="BW1029" s="41"/>
      <c r="BX1029" s="41"/>
      <c r="BY1029" s="41"/>
      <c r="BZ1029" s="41"/>
      <c r="CA1029" s="41"/>
      <c r="CB1029" s="41"/>
      <c r="CC1029" s="41"/>
      <c r="CD1029" s="41"/>
      <c r="CE1029" s="41"/>
      <c r="CF1029" s="41"/>
      <c r="CG1029" s="41"/>
      <c r="CH1029" s="41"/>
      <c r="CI1029" s="41"/>
      <c r="CJ1029" s="41"/>
      <c r="CK1029" s="41"/>
      <c r="CL1029" s="41"/>
      <c r="CM1029" s="41"/>
      <c r="CN1029" s="41"/>
      <c r="CO1029" s="41"/>
      <c r="CP1029" s="41"/>
      <c r="CQ1029" s="41"/>
      <c r="CR1029" s="41"/>
      <c r="CS1029" s="41"/>
      <c r="CT1029" s="41"/>
      <c r="CU1029" s="41"/>
      <c r="CV1029" s="41"/>
      <c r="CW1029" s="41"/>
      <c r="CX1029" s="41"/>
      <c r="CY1029" s="41"/>
      <c r="CZ1029" s="41"/>
      <c r="DA1029" s="41"/>
      <c r="DB1029" s="41"/>
      <c r="DC1029" s="41"/>
      <c r="DD1029" s="41"/>
      <c r="DE1029" s="41"/>
      <c r="DF1029" s="41"/>
      <c r="DG1029" s="41"/>
      <c r="DH1029" s="41"/>
      <c r="DI1029" s="41"/>
      <c r="DJ1029" s="41"/>
      <c r="DK1029" s="44"/>
      <c r="DP1029" s="322"/>
      <c r="DQ1029" s="322"/>
      <c r="DR1029" s="322"/>
      <c r="DS1029" s="322"/>
      <c r="FG1029" s="13"/>
      <c r="FH1029" s="43"/>
      <c r="FI1029" s="43"/>
      <c r="FJ1029" s="45"/>
      <c r="FT1029" s="291"/>
      <c r="JU1029" s="12"/>
      <c r="KB1029" s="12"/>
      <c r="KK1029" s="13"/>
      <c r="KL1029" s="12"/>
      <c r="KO1029" s="12"/>
      <c r="LD1029" s="20"/>
      <c r="LE1029" s="21"/>
      <c r="LF1029" s="21"/>
      <c r="LG1029" s="21"/>
      <c r="LH1029" s="21"/>
      <c r="LI1029" s="21"/>
      <c r="LJ1029" s="21"/>
      <c r="LK1029" s="21"/>
      <c r="LL1029" s="22"/>
      <c r="MJ1029" s="15"/>
      <c r="ML1029" s="13"/>
      <c r="OH1029" s="13"/>
      <c r="OK1029" s="13"/>
      <c r="OU1029" s="291"/>
      <c r="OZ1029" s="13"/>
    </row>
    <row r="1030" spans="45:416" ht="10.75" customHeight="1">
      <c r="BA1030" s="12"/>
      <c r="BJ1030" s="13"/>
      <c r="BK1030" s="42"/>
      <c r="BL1030" s="43"/>
      <c r="BM1030" s="43"/>
      <c r="BN1030" s="42"/>
      <c r="BO1030" s="43"/>
      <c r="BP1030" s="43"/>
      <c r="BQ1030" s="43"/>
      <c r="BR1030" s="43"/>
      <c r="BS1030" s="43"/>
      <c r="BT1030" s="43"/>
      <c r="BU1030" s="43"/>
      <c r="BV1030" s="43"/>
      <c r="BW1030" s="43"/>
      <c r="BX1030" s="43"/>
      <c r="BY1030" s="43"/>
      <c r="BZ1030" s="314"/>
      <c r="CA1030" s="314"/>
      <c r="CB1030" s="314"/>
      <c r="CC1030" s="314"/>
      <c r="CD1030" s="314"/>
      <c r="CE1030" s="314"/>
      <c r="CF1030" s="314"/>
      <c r="CG1030" s="314"/>
      <c r="CH1030" s="314"/>
      <c r="CI1030" s="43"/>
      <c r="CJ1030" s="43"/>
      <c r="CK1030" s="43"/>
      <c r="CL1030" s="43"/>
      <c r="CM1030" s="43"/>
      <c r="CN1030" s="43"/>
      <c r="CO1030" s="43"/>
      <c r="CP1030" s="43"/>
      <c r="CQ1030" s="43"/>
      <c r="CR1030" s="43"/>
      <c r="CS1030" s="43"/>
      <c r="CT1030" s="43"/>
      <c r="CU1030" s="43"/>
      <c r="CV1030" s="43"/>
      <c r="CW1030" s="43"/>
      <c r="CX1030" s="43"/>
      <c r="CY1030" s="43"/>
      <c r="CZ1030" s="43"/>
      <c r="DA1030" s="43"/>
      <c r="DB1030" s="43"/>
      <c r="DC1030" s="43"/>
      <c r="DD1030" s="43"/>
      <c r="DE1030" s="43"/>
      <c r="DF1030" s="43"/>
      <c r="DG1030" s="43"/>
      <c r="DH1030" s="43"/>
      <c r="DI1030" s="47"/>
      <c r="DJ1030" s="43"/>
      <c r="DK1030" s="45"/>
      <c r="FG1030" s="13"/>
      <c r="FH1030" s="43"/>
      <c r="FI1030" s="43"/>
      <c r="FJ1030" s="45"/>
      <c r="FT1030" s="291"/>
      <c r="JU1030" s="12"/>
      <c r="KB1030" s="12"/>
      <c r="KK1030" s="13"/>
      <c r="KL1030" s="12"/>
      <c r="KO1030" s="9"/>
      <c r="KP1030" s="10"/>
      <c r="KQ1030" s="10"/>
      <c r="KR1030" s="10"/>
      <c r="KS1030" s="10"/>
      <c r="KT1030" s="10"/>
      <c r="KU1030" s="10"/>
      <c r="KV1030" s="10"/>
      <c r="KW1030" s="10"/>
      <c r="KX1030" s="10"/>
      <c r="KY1030" s="10"/>
      <c r="KZ1030" s="10"/>
      <c r="LA1030" s="10"/>
      <c r="LB1030" s="10"/>
      <c r="LC1030" s="10"/>
      <c r="LD1030" s="10"/>
      <c r="LE1030" s="10"/>
      <c r="LF1030" s="10"/>
      <c r="LG1030" s="10"/>
      <c r="LH1030" s="10"/>
      <c r="LI1030" s="10"/>
      <c r="LJ1030" s="10"/>
      <c r="LK1030" s="10"/>
      <c r="LL1030" s="10"/>
      <c r="LM1030" s="10"/>
      <c r="LN1030" s="10"/>
      <c r="LO1030" s="10"/>
      <c r="LP1030" s="10"/>
      <c r="LQ1030" s="10"/>
      <c r="LR1030" s="10"/>
      <c r="LS1030" s="10"/>
      <c r="LT1030" s="10"/>
      <c r="LU1030" s="10"/>
      <c r="LV1030" s="10"/>
      <c r="LW1030" s="10"/>
      <c r="LX1030" s="10"/>
      <c r="LY1030" s="10"/>
      <c r="LZ1030" s="10"/>
      <c r="MA1030" s="10"/>
      <c r="MB1030" s="10"/>
      <c r="MC1030" s="10"/>
      <c r="MD1030" s="10"/>
      <c r="ME1030" s="10"/>
      <c r="MF1030" s="10"/>
      <c r="MG1030" s="10"/>
      <c r="MH1030" s="10"/>
      <c r="MI1030" s="10"/>
      <c r="MJ1030" s="10"/>
      <c r="MK1030" s="12"/>
      <c r="ML1030" s="13"/>
      <c r="MQ1030" s="322"/>
      <c r="MR1030" s="322"/>
      <c r="MS1030" s="323"/>
      <c r="MT1030" s="322"/>
      <c r="OH1030" s="13"/>
      <c r="OK1030" s="13"/>
      <c r="OU1030" s="291"/>
      <c r="OZ1030" s="13"/>
    </row>
    <row r="1031" spans="45:416" ht="10.75" customHeight="1">
      <c r="BA1031" s="12"/>
      <c r="BJ1031" s="13"/>
      <c r="BK1031" s="42"/>
      <c r="BL1031" s="43"/>
      <c r="BM1031" s="43"/>
      <c r="BN1031" s="9"/>
      <c r="BO1031" s="10"/>
      <c r="BP1031" s="10"/>
      <c r="BQ1031" s="10"/>
      <c r="BR1031" s="10"/>
      <c r="BS1031" s="10"/>
      <c r="BT1031" s="10"/>
      <c r="BU1031" s="10"/>
      <c r="BV1031" s="10"/>
      <c r="BW1031" s="10"/>
      <c r="BX1031" s="10"/>
      <c r="BY1031" s="10"/>
      <c r="BZ1031" s="10"/>
      <c r="CA1031" s="10"/>
      <c r="CB1031" s="10"/>
      <c r="CC1031" s="10"/>
      <c r="CD1031" s="10"/>
      <c r="CE1031" s="10"/>
      <c r="CF1031" s="10"/>
      <c r="CG1031" s="10"/>
      <c r="CH1031" s="10"/>
      <c r="CI1031" s="10"/>
      <c r="CJ1031" s="10"/>
      <c r="CK1031" s="10"/>
      <c r="CL1031" s="10"/>
      <c r="CM1031" s="10"/>
      <c r="CN1031" s="10"/>
      <c r="CO1031" s="10"/>
      <c r="CP1031" s="10"/>
      <c r="CQ1031" s="10"/>
      <c r="CR1031" s="10"/>
      <c r="CS1031" s="10"/>
      <c r="CT1031" s="10"/>
      <c r="CU1031" s="10"/>
      <c r="CV1031" s="10"/>
      <c r="CW1031" s="10"/>
      <c r="CX1031" s="10"/>
      <c r="CY1031" s="10"/>
      <c r="CZ1031" s="10"/>
      <c r="DA1031" s="10"/>
      <c r="DB1031" s="10"/>
      <c r="DC1031" s="10"/>
      <c r="DD1031" s="10"/>
      <c r="DE1031" s="10"/>
      <c r="DF1031" s="10"/>
      <c r="DG1031" s="10"/>
      <c r="DH1031" s="10"/>
      <c r="DI1031" s="10"/>
      <c r="DJ1031" s="42"/>
      <c r="DK1031" s="45"/>
      <c r="DP1031" s="322"/>
      <c r="DQ1031" s="322"/>
      <c r="DR1031" s="323"/>
      <c r="DS1031" s="322"/>
      <c r="FG1031" s="13"/>
      <c r="FH1031" s="43"/>
      <c r="FI1031" s="43"/>
      <c r="FJ1031" s="45"/>
      <c r="FT1031" s="291"/>
      <c r="JU1031" s="12"/>
      <c r="KB1031" s="12"/>
      <c r="KK1031" s="13"/>
      <c r="KL1031" s="12"/>
      <c r="KO1031" s="12"/>
      <c r="MK1031" s="12"/>
      <c r="ML1031" s="13"/>
      <c r="MS1031" s="291"/>
      <c r="OH1031" s="13"/>
      <c r="OK1031" s="13"/>
      <c r="OU1031" s="291"/>
      <c r="OZ1031" s="13"/>
    </row>
    <row r="1032" spans="45:416" ht="10.75" customHeight="1">
      <c r="BA1032" s="12"/>
      <c r="BJ1032" s="13"/>
      <c r="BK1032" s="42"/>
      <c r="BL1032" s="43"/>
      <c r="BM1032" s="43"/>
      <c r="BN1032" s="12"/>
      <c r="DJ1032" s="42"/>
      <c r="DK1032" s="45"/>
      <c r="DR1032" s="291"/>
      <c r="FG1032" s="13"/>
      <c r="FH1032" s="43"/>
      <c r="FI1032" s="43"/>
      <c r="FJ1032" s="45"/>
      <c r="FT1032" s="291"/>
      <c r="JU1032" s="12"/>
      <c r="KB1032" s="12"/>
      <c r="KK1032" s="13"/>
      <c r="KL1032" s="12"/>
      <c r="KO1032" s="12"/>
      <c r="MK1032" s="12"/>
      <c r="ML1032" s="13"/>
      <c r="MS1032" s="291"/>
      <c r="OH1032" s="13"/>
      <c r="OK1032" s="13"/>
      <c r="OU1032" s="291"/>
      <c r="OZ1032" s="13"/>
    </row>
    <row r="1033" spans="45:416" ht="10.75" customHeight="1">
      <c r="BA1033" s="12"/>
      <c r="BJ1033" s="13"/>
      <c r="BK1033" s="42"/>
      <c r="BL1033" s="43"/>
      <c r="BM1033" s="43"/>
      <c r="BN1033" s="12"/>
      <c r="DJ1033" s="42"/>
      <c r="DK1033" s="45"/>
      <c r="DR1033" s="291"/>
      <c r="FG1033" s="13"/>
      <c r="FH1033" s="43"/>
      <c r="FI1033" s="43"/>
      <c r="FJ1033" s="45"/>
      <c r="FT1033" s="291"/>
      <c r="JU1033" s="12"/>
      <c r="KB1033" s="12"/>
      <c r="KK1033" s="13"/>
      <c r="KL1033" s="12"/>
      <c r="KO1033" s="12"/>
      <c r="MK1033" s="12"/>
      <c r="ML1033" s="13"/>
      <c r="MS1033" s="291"/>
      <c r="OH1033" s="13"/>
      <c r="OK1033" s="13"/>
      <c r="OU1033" s="291"/>
      <c r="OZ1033" s="13"/>
    </row>
    <row r="1034" spans="45:416" ht="10.75" customHeight="1">
      <c r="BA1034" s="14"/>
      <c r="BB1034" s="15"/>
      <c r="BC1034" s="15"/>
      <c r="BD1034" s="15"/>
      <c r="BE1034" s="15"/>
      <c r="BF1034" s="15"/>
      <c r="BG1034" s="15"/>
      <c r="BH1034" s="15"/>
      <c r="BI1034" s="15"/>
      <c r="BJ1034" s="16"/>
      <c r="BK1034" s="42"/>
      <c r="BL1034" s="43"/>
      <c r="BM1034" s="43"/>
      <c r="BN1034" s="12"/>
      <c r="DJ1034" s="42"/>
      <c r="DK1034" s="45"/>
      <c r="DR1034" s="291"/>
      <c r="FG1034" s="13"/>
      <c r="FH1034" s="43"/>
      <c r="FI1034" s="43"/>
      <c r="FJ1034" s="45"/>
      <c r="FT1034" s="291"/>
      <c r="JU1034" s="12"/>
      <c r="KB1034" s="12"/>
      <c r="KK1034" s="13"/>
      <c r="KL1034" s="12"/>
      <c r="KO1034" s="12"/>
      <c r="LS1034" s="325"/>
      <c r="LT1034" s="326"/>
      <c r="MK1034" s="12"/>
      <c r="ML1034" s="13"/>
      <c r="MS1034" s="291"/>
      <c r="OH1034" s="13"/>
      <c r="OK1034" s="13"/>
      <c r="OU1034" s="291"/>
      <c r="OZ1034" s="13"/>
    </row>
    <row r="1035" spans="45:416" ht="10.75" customHeight="1">
      <c r="AS1035" s="322"/>
      <c r="AT1035" s="322"/>
      <c r="AU1035" s="323"/>
      <c r="AV1035" s="322"/>
      <c r="BA1035" s="9"/>
      <c r="BB1035" s="10"/>
      <c r="BC1035" s="10"/>
      <c r="BD1035" s="10"/>
      <c r="BE1035" s="10"/>
      <c r="BF1035" s="10"/>
      <c r="BG1035" s="10"/>
      <c r="BH1035" s="10"/>
      <c r="BI1035" s="10"/>
      <c r="BJ1035" s="11"/>
      <c r="BK1035" s="42"/>
      <c r="BL1035" s="43"/>
      <c r="BM1035" s="43"/>
      <c r="BN1035" s="12"/>
      <c r="DJ1035" s="42"/>
      <c r="DK1035" s="45"/>
      <c r="DR1035" s="291"/>
      <c r="FG1035" s="13"/>
      <c r="FH1035" s="43"/>
      <c r="FI1035" s="43"/>
      <c r="FJ1035" s="45"/>
      <c r="FT1035" s="291"/>
      <c r="JU1035" s="12"/>
      <c r="KB1035" s="12"/>
      <c r="KK1035" s="13"/>
      <c r="KL1035" s="12"/>
      <c r="KO1035" s="295"/>
      <c r="KP1035" s="294"/>
      <c r="KQ1035" s="294"/>
      <c r="KR1035" s="294"/>
      <c r="KS1035" s="294"/>
      <c r="KT1035" s="294"/>
      <c r="KU1035" s="294"/>
      <c r="KV1035" s="294"/>
      <c r="KW1035" s="294"/>
      <c r="KX1035" s="294"/>
      <c r="KY1035" s="294"/>
      <c r="KZ1035" s="294"/>
      <c r="LA1035" s="294"/>
      <c r="LB1035" s="294"/>
      <c r="LC1035" s="294"/>
      <c r="LD1035" s="294"/>
      <c r="LE1035" s="294"/>
      <c r="LF1035" s="294"/>
      <c r="LG1035" s="294"/>
      <c r="LH1035" s="294"/>
      <c r="LI1035" s="294"/>
      <c r="LJ1035" s="294"/>
      <c r="LK1035" s="294"/>
      <c r="LL1035" s="294"/>
      <c r="LM1035" s="294"/>
      <c r="LN1035" s="294"/>
      <c r="LO1035" s="294"/>
      <c r="LP1035" s="294"/>
      <c r="LQ1035" s="294"/>
      <c r="LR1035" s="294"/>
      <c r="LS1035" s="325"/>
      <c r="LT1035" s="326"/>
      <c r="LU1035" s="294"/>
      <c r="LV1035" s="294"/>
      <c r="LW1035" s="294"/>
      <c r="LX1035" s="294"/>
      <c r="LY1035" s="294"/>
      <c r="LZ1035" s="294"/>
      <c r="MA1035" s="294"/>
      <c r="MB1035" s="294"/>
      <c r="MC1035" s="294"/>
      <c r="MD1035" s="294"/>
      <c r="ME1035" s="294"/>
      <c r="MF1035" s="294"/>
      <c r="MG1035" s="294"/>
      <c r="MH1035" s="294"/>
      <c r="MI1035" s="294"/>
      <c r="MJ1035" s="296"/>
      <c r="MK1035" s="12"/>
      <c r="ML1035" s="13"/>
      <c r="MS1035" s="291"/>
      <c r="OH1035" s="13"/>
      <c r="OK1035" s="13"/>
      <c r="OU1035" s="291"/>
      <c r="OZ1035" s="13"/>
    </row>
    <row r="1036" spans="45:416" ht="10.75" customHeight="1">
      <c r="AU1036" s="291"/>
      <c r="BA1036" s="12"/>
      <c r="BJ1036" s="13"/>
      <c r="BK1036" s="42"/>
      <c r="BL1036" s="43"/>
      <c r="BM1036" s="43"/>
      <c r="BN1036" s="12"/>
      <c r="DJ1036" s="42"/>
      <c r="DK1036" s="45"/>
      <c r="DR1036" s="291"/>
      <c r="FG1036" s="13"/>
      <c r="FH1036" s="43"/>
      <c r="FI1036" s="43"/>
      <c r="FJ1036" s="45"/>
      <c r="FT1036" s="291"/>
      <c r="JU1036" s="12"/>
      <c r="KB1036" s="12"/>
      <c r="KK1036" s="13"/>
      <c r="KL1036" s="12"/>
      <c r="KO1036" s="12"/>
      <c r="LS1036" s="325"/>
      <c r="LT1036" s="326"/>
      <c r="MK1036" s="12"/>
      <c r="ML1036" s="13"/>
      <c r="MS1036" s="291"/>
      <c r="OH1036" s="13"/>
      <c r="OK1036" s="13"/>
      <c r="OU1036" s="291"/>
      <c r="OZ1036" s="13"/>
    </row>
    <row r="1037" spans="45:416" ht="10.75" customHeight="1">
      <c r="AU1037" s="291"/>
      <c r="BA1037" s="12"/>
      <c r="BJ1037" s="13"/>
      <c r="BK1037" s="42"/>
      <c r="BL1037" s="43"/>
      <c r="BM1037" s="43"/>
      <c r="BN1037" s="12"/>
      <c r="DJ1037" s="42"/>
      <c r="DK1037" s="45"/>
      <c r="DR1037" s="291"/>
      <c r="FG1037" s="13"/>
      <c r="FH1037" s="43"/>
      <c r="FI1037" s="43"/>
      <c r="FJ1037" s="45"/>
      <c r="FT1037" s="291"/>
      <c r="JU1037" s="12"/>
      <c r="KB1037" s="14"/>
      <c r="KC1037" s="15"/>
      <c r="KD1037" s="15"/>
      <c r="KE1037" s="15"/>
      <c r="KF1037" s="15"/>
      <c r="KG1037" s="15"/>
      <c r="KH1037" s="15"/>
      <c r="KI1037" s="15"/>
      <c r="KJ1037" s="15"/>
      <c r="KK1037" s="16"/>
      <c r="KL1037" s="12"/>
      <c r="KO1037" s="12"/>
      <c r="LS1037" s="325"/>
      <c r="LT1037" s="326"/>
      <c r="MK1037" s="12"/>
      <c r="ML1037" s="13"/>
      <c r="MS1037" s="291"/>
      <c r="OH1037" s="13"/>
      <c r="OK1037" s="13"/>
      <c r="OU1037" s="291"/>
      <c r="OZ1037" s="13"/>
    </row>
    <row r="1038" spans="45:416" ht="10.75" customHeight="1">
      <c r="AU1038" s="291"/>
      <c r="BA1038" s="12"/>
      <c r="BJ1038" s="13"/>
      <c r="BK1038" s="42"/>
      <c r="BL1038" s="43"/>
      <c r="BM1038" s="43"/>
      <c r="BN1038" s="12"/>
      <c r="DJ1038" s="42"/>
      <c r="DK1038" s="45"/>
      <c r="DR1038" s="291"/>
      <c r="FG1038" s="13"/>
      <c r="FH1038" s="43"/>
      <c r="FI1038" s="43"/>
      <c r="FJ1038" s="45"/>
      <c r="FT1038" s="291"/>
      <c r="JU1038" s="12"/>
      <c r="KB1038" s="9"/>
      <c r="KC1038" s="10"/>
      <c r="KD1038" s="10"/>
      <c r="KE1038" s="10"/>
      <c r="KF1038" s="10"/>
      <c r="KG1038" s="10"/>
      <c r="KH1038" s="10"/>
      <c r="KI1038" s="10"/>
      <c r="KJ1038" s="10"/>
      <c r="KK1038" s="11"/>
      <c r="KL1038" s="12"/>
      <c r="KO1038" s="12"/>
      <c r="MK1038" s="12"/>
      <c r="ML1038" s="13"/>
      <c r="MS1038" s="291"/>
      <c r="OH1038" s="13"/>
      <c r="OK1038" s="13"/>
      <c r="OU1038" s="291"/>
      <c r="OZ1038" s="13"/>
    </row>
    <row r="1039" spans="45:416" ht="10.75" customHeight="1">
      <c r="AU1039" s="291"/>
      <c r="BA1039" s="9"/>
      <c r="BB1039" s="10"/>
      <c r="BC1039" s="10"/>
      <c r="BD1039" s="10"/>
      <c r="BE1039" s="10"/>
      <c r="BF1039" s="10"/>
      <c r="BG1039" s="10"/>
      <c r="BH1039" s="10"/>
      <c r="BI1039" s="10"/>
      <c r="BJ1039" s="11"/>
      <c r="BK1039" s="42"/>
      <c r="BL1039" s="43"/>
      <c r="BM1039" s="43"/>
      <c r="BN1039" s="12"/>
      <c r="DJ1039" s="42"/>
      <c r="DK1039" s="45"/>
      <c r="DR1039" s="291"/>
      <c r="FG1039" s="13"/>
      <c r="FH1039" s="43"/>
      <c r="FI1039" s="43"/>
      <c r="FJ1039" s="45"/>
      <c r="FT1039" s="291"/>
      <c r="JU1039" s="12"/>
      <c r="KB1039" s="12"/>
      <c r="KK1039" s="13"/>
      <c r="KL1039" s="12"/>
      <c r="KO1039" s="12"/>
      <c r="MK1039" s="12"/>
      <c r="ML1039" s="13"/>
      <c r="MS1039" s="291"/>
      <c r="OH1039" s="13"/>
      <c r="OK1039" s="13"/>
      <c r="OU1039" s="291"/>
      <c r="OZ1039" s="13"/>
    </row>
    <row r="1040" spans="45:416" ht="10.75" customHeight="1">
      <c r="AU1040" s="291"/>
      <c r="BA1040" s="12"/>
      <c r="BJ1040" s="13"/>
      <c r="BK1040" s="42"/>
      <c r="BL1040" s="43"/>
      <c r="BM1040" s="43"/>
      <c r="BN1040" s="12"/>
      <c r="DJ1040" s="42"/>
      <c r="DK1040" s="45"/>
      <c r="DR1040" s="291"/>
      <c r="FG1040" s="13"/>
      <c r="FH1040" s="43"/>
      <c r="FI1040" s="43"/>
      <c r="FJ1040" s="45"/>
      <c r="FT1040" s="291"/>
      <c r="JU1040" s="12"/>
      <c r="KB1040" s="12"/>
      <c r="KK1040" s="13"/>
      <c r="KL1040" s="12"/>
      <c r="KO1040" s="12"/>
      <c r="MK1040" s="12"/>
      <c r="ML1040" s="13"/>
      <c r="MS1040" s="291"/>
      <c r="OH1040" s="13"/>
      <c r="OK1040" s="13"/>
      <c r="OU1040" s="291"/>
      <c r="OZ1040" s="13"/>
    </row>
    <row r="1041" spans="47:416" ht="10.75" customHeight="1">
      <c r="AU1041" s="291"/>
      <c r="BA1041" s="12"/>
      <c r="BJ1041" s="13"/>
      <c r="BK1041" s="42"/>
      <c r="BL1041" s="43"/>
      <c r="BM1041" s="43"/>
      <c r="BN1041" s="12"/>
      <c r="DJ1041" s="42"/>
      <c r="DK1041" s="45"/>
      <c r="DR1041" s="291"/>
      <c r="FG1041" s="13"/>
      <c r="FH1041" s="43"/>
      <c r="FI1041" s="43"/>
      <c r="FJ1041" s="45"/>
      <c r="FT1041" s="291"/>
      <c r="JU1041" s="12"/>
      <c r="KB1041" s="12"/>
      <c r="KK1041" s="13"/>
      <c r="KL1041" s="12"/>
      <c r="KO1041" s="12"/>
      <c r="MK1041" s="12"/>
      <c r="ML1041" s="13"/>
      <c r="MS1041" s="291"/>
      <c r="OH1041" s="13"/>
      <c r="OK1041" s="13"/>
      <c r="OU1041" s="291"/>
      <c r="OZ1041" s="13"/>
    </row>
    <row r="1042" spans="47:416" ht="10.75" customHeight="1">
      <c r="AU1042" s="291"/>
      <c r="BA1042" s="12"/>
      <c r="BJ1042" s="13"/>
      <c r="BK1042" s="42"/>
      <c r="BL1042" s="43"/>
      <c r="BM1042" s="43"/>
      <c r="BN1042" s="12"/>
      <c r="CP1042" s="325"/>
      <c r="CQ1042" s="326"/>
      <c r="DJ1042" s="42"/>
      <c r="DK1042" s="45"/>
      <c r="DR1042" s="291"/>
      <c r="FG1042" s="13"/>
      <c r="FH1042" s="43"/>
      <c r="FI1042" s="43"/>
      <c r="FJ1042" s="45"/>
      <c r="FT1042" s="291"/>
      <c r="JU1042" s="12"/>
      <c r="KB1042" s="9"/>
      <c r="KC1042" s="10"/>
      <c r="KD1042" s="10"/>
      <c r="KE1042" s="10"/>
      <c r="KF1042" s="10"/>
      <c r="KG1042" s="10"/>
      <c r="KH1042" s="10"/>
      <c r="KI1042" s="10"/>
      <c r="KJ1042" s="10"/>
      <c r="KK1042" s="11"/>
      <c r="KL1042" s="12"/>
      <c r="KO1042" s="12"/>
      <c r="MK1042" s="12"/>
      <c r="ML1042" s="13"/>
      <c r="MS1042" s="291"/>
      <c r="OH1042" s="13"/>
      <c r="OK1042" s="13"/>
      <c r="OU1042" s="291"/>
      <c r="OZ1042" s="13"/>
    </row>
    <row r="1043" spans="47:416" ht="10.75" customHeight="1">
      <c r="AU1043" s="291"/>
      <c r="BA1043" s="9"/>
      <c r="BB1043" s="10"/>
      <c r="BC1043" s="10"/>
      <c r="BD1043" s="10"/>
      <c r="BE1043" s="10"/>
      <c r="BF1043" s="10"/>
      <c r="BG1043" s="10"/>
      <c r="BH1043" s="10"/>
      <c r="BI1043" s="10"/>
      <c r="BJ1043" s="11"/>
      <c r="BK1043" s="42"/>
      <c r="BL1043" s="43"/>
      <c r="BM1043" s="43"/>
      <c r="BN1043" s="295"/>
      <c r="BO1043" s="294"/>
      <c r="BP1043" s="294"/>
      <c r="BQ1043" s="294"/>
      <c r="BR1043" s="294"/>
      <c r="BS1043" s="294"/>
      <c r="BT1043" s="294"/>
      <c r="BU1043" s="294"/>
      <c r="BV1043" s="294"/>
      <c r="BW1043" s="294"/>
      <c r="BX1043" s="294"/>
      <c r="BY1043" s="294"/>
      <c r="BZ1043" s="294"/>
      <c r="CA1043" s="294"/>
      <c r="CB1043" s="294"/>
      <c r="CC1043" s="294"/>
      <c r="CD1043" s="294"/>
      <c r="CE1043" s="294"/>
      <c r="CF1043" s="294"/>
      <c r="CG1043" s="294"/>
      <c r="CH1043" s="294"/>
      <c r="CI1043" s="294"/>
      <c r="CJ1043" s="294"/>
      <c r="CK1043" s="294"/>
      <c r="CL1043" s="294"/>
      <c r="CM1043" s="294"/>
      <c r="CN1043" s="294"/>
      <c r="CO1043" s="294"/>
      <c r="CP1043" s="325"/>
      <c r="CQ1043" s="326"/>
      <c r="CR1043" s="294"/>
      <c r="CS1043" s="294"/>
      <c r="CT1043" s="294"/>
      <c r="CU1043" s="294"/>
      <c r="CV1043" s="294"/>
      <c r="CW1043" s="294"/>
      <c r="CX1043" s="294"/>
      <c r="CY1043" s="294"/>
      <c r="CZ1043" s="294"/>
      <c r="DA1043" s="294"/>
      <c r="DB1043" s="294"/>
      <c r="DC1043" s="294"/>
      <c r="DD1043" s="294"/>
      <c r="DE1043" s="294"/>
      <c r="DF1043" s="294"/>
      <c r="DG1043" s="294"/>
      <c r="DH1043" s="294"/>
      <c r="DI1043" s="296"/>
      <c r="DJ1043" s="42"/>
      <c r="DK1043" s="45"/>
      <c r="DR1043" s="291"/>
      <c r="FG1043" s="13"/>
      <c r="FH1043" s="43"/>
      <c r="FI1043" s="43"/>
      <c r="FJ1043" s="45"/>
      <c r="FT1043" s="291"/>
      <c r="JU1043" s="12"/>
      <c r="KB1043" s="12"/>
      <c r="KK1043" s="13"/>
      <c r="KL1043" s="12"/>
      <c r="KO1043" s="12"/>
      <c r="MK1043" s="12"/>
      <c r="ML1043" s="13"/>
      <c r="MS1043" s="291"/>
      <c r="OH1043" s="13"/>
      <c r="OK1043" s="13"/>
      <c r="OU1043" s="291"/>
      <c r="OZ1043" s="13"/>
    </row>
    <row r="1044" spans="47:416" ht="10.75" customHeight="1">
      <c r="AU1044" s="291"/>
      <c r="BA1044" s="12"/>
      <c r="BJ1044" s="13"/>
      <c r="BK1044" s="42"/>
      <c r="BL1044" s="43"/>
      <c r="BM1044" s="43"/>
      <c r="BN1044" s="12"/>
      <c r="CP1044" s="325"/>
      <c r="CQ1044" s="326"/>
      <c r="DJ1044" s="42"/>
      <c r="DK1044" s="45"/>
      <c r="DR1044" s="291"/>
      <c r="FG1044" s="13"/>
      <c r="FH1044" s="43"/>
      <c r="FI1044" s="43"/>
      <c r="FJ1044" s="45"/>
      <c r="FT1044" s="291"/>
      <c r="JU1044" s="12"/>
      <c r="KB1044" s="12"/>
      <c r="KK1044" s="13"/>
      <c r="KL1044" s="12"/>
      <c r="KO1044" s="12"/>
      <c r="MK1044" s="12"/>
      <c r="ML1044" s="13"/>
      <c r="MS1044" s="291"/>
      <c r="OH1044" s="13"/>
      <c r="OK1044" s="13"/>
      <c r="OU1044" s="291"/>
      <c r="OZ1044" s="13"/>
    </row>
    <row r="1045" spans="47:416" ht="10.75" customHeight="1">
      <c r="AU1045" s="291"/>
      <c r="BA1045" s="12"/>
      <c r="BJ1045" s="13"/>
      <c r="BK1045" s="42"/>
      <c r="BL1045" s="43"/>
      <c r="BM1045" s="43"/>
      <c r="BN1045" s="12"/>
      <c r="CP1045" s="325"/>
      <c r="CQ1045" s="326"/>
      <c r="DJ1045" s="42"/>
      <c r="DK1045" s="45"/>
      <c r="DR1045" s="291"/>
      <c r="FG1045" s="13"/>
      <c r="FH1045" s="43"/>
      <c r="FI1045" s="43"/>
      <c r="FJ1045" s="45"/>
      <c r="FT1045" s="291"/>
      <c r="JU1045" s="12"/>
      <c r="KB1045" s="12"/>
      <c r="KK1045" s="13"/>
      <c r="KL1045" s="12"/>
      <c r="KO1045" s="12"/>
      <c r="MK1045" s="12"/>
      <c r="ML1045" s="13"/>
      <c r="MS1045" s="291"/>
      <c r="OH1045" s="13"/>
      <c r="OK1045" s="13"/>
      <c r="OU1045" s="291"/>
      <c r="OZ1045" s="13"/>
    </row>
    <row r="1046" spans="47:416" ht="10.75" customHeight="1">
      <c r="AU1046" s="291"/>
      <c r="BA1046" s="14"/>
      <c r="BB1046" s="15"/>
      <c r="BC1046" s="15"/>
      <c r="BD1046" s="15"/>
      <c r="BE1046" s="15"/>
      <c r="BF1046" s="15"/>
      <c r="BG1046" s="15"/>
      <c r="BH1046" s="15"/>
      <c r="BI1046" s="15"/>
      <c r="BJ1046" s="16"/>
      <c r="BK1046" s="42"/>
      <c r="BL1046" s="43"/>
      <c r="BM1046" s="43"/>
      <c r="BN1046" s="12"/>
      <c r="DJ1046" s="42"/>
      <c r="DK1046" s="45"/>
      <c r="DR1046" s="291"/>
      <c r="FG1046" s="13"/>
      <c r="FH1046" s="43"/>
      <c r="FI1046" s="43"/>
      <c r="FJ1046" s="45"/>
      <c r="FT1046" s="291"/>
      <c r="JU1046" s="12"/>
      <c r="KB1046" s="9"/>
      <c r="KC1046" s="10"/>
      <c r="KD1046" s="10"/>
      <c r="KE1046" s="10"/>
      <c r="KF1046" s="10"/>
      <c r="KG1046" s="10"/>
      <c r="KH1046" s="10"/>
      <c r="KI1046" s="10"/>
      <c r="KJ1046" s="10"/>
      <c r="KK1046" s="11"/>
      <c r="KL1046" s="12"/>
      <c r="KO1046" s="12"/>
      <c r="MK1046" s="12"/>
      <c r="ML1046" s="13"/>
      <c r="MS1046" s="291"/>
      <c r="OH1046" s="13"/>
      <c r="OK1046" s="13"/>
      <c r="OU1046" s="291"/>
      <c r="OZ1046" s="13"/>
    </row>
    <row r="1047" spans="47:416" ht="10.75" customHeight="1">
      <c r="AU1047" s="291"/>
      <c r="BA1047" s="12"/>
      <c r="BJ1047" s="13"/>
      <c r="BK1047" s="42"/>
      <c r="BL1047" s="43"/>
      <c r="BM1047" s="43"/>
      <c r="BN1047" s="12"/>
      <c r="DJ1047" s="42"/>
      <c r="DK1047" s="45"/>
      <c r="DR1047" s="291"/>
      <c r="FG1047" s="13"/>
      <c r="FH1047" s="43"/>
      <c r="FI1047" s="43"/>
      <c r="FJ1047" s="45"/>
      <c r="FT1047" s="291"/>
      <c r="JU1047" s="12"/>
      <c r="KB1047" s="12"/>
      <c r="KK1047" s="13"/>
      <c r="KL1047" s="12"/>
      <c r="KO1047" s="12"/>
      <c r="MK1047" s="12"/>
      <c r="ML1047" s="13"/>
      <c r="MS1047" s="291"/>
      <c r="OH1047" s="13"/>
      <c r="OK1047" s="13"/>
      <c r="OU1047" s="291"/>
      <c r="OZ1047" s="13"/>
    </row>
    <row r="1048" spans="47:416" ht="10.75" customHeight="1">
      <c r="AU1048" s="291"/>
      <c r="BA1048" s="12"/>
      <c r="BJ1048" s="13"/>
      <c r="BK1048" s="42"/>
      <c r="BL1048" s="43"/>
      <c r="BM1048" s="43"/>
      <c r="BN1048" s="12"/>
      <c r="DJ1048" s="42"/>
      <c r="DK1048" s="45"/>
      <c r="DR1048" s="291"/>
      <c r="FG1048" s="13"/>
      <c r="FH1048" s="43"/>
      <c r="FI1048" s="43"/>
      <c r="FJ1048" s="45"/>
      <c r="FT1048" s="291"/>
      <c r="JU1048" s="12"/>
      <c r="KB1048" s="12"/>
      <c r="KK1048" s="13"/>
      <c r="KL1048" s="12"/>
      <c r="KO1048" s="12"/>
      <c r="MK1048" s="12"/>
      <c r="ML1048" s="13"/>
      <c r="MS1048" s="291"/>
      <c r="OH1048" s="13"/>
      <c r="OK1048" s="13"/>
      <c r="OU1048" s="291"/>
      <c r="OZ1048" s="13"/>
    </row>
    <row r="1049" spans="47:416" ht="10.75" customHeight="1">
      <c r="AU1049" s="291"/>
      <c r="BA1049" s="12"/>
      <c r="BJ1049" s="13"/>
      <c r="BK1049" s="42"/>
      <c r="BL1049" s="43"/>
      <c r="BM1049" s="43"/>
      <c r="BN1049" s="12"/>
      <c r="DJ1049" s="42"/>
      <c r="DK1049" s="45"/>
      <c r="DR1049" s="291"/>
      <c r="FG1049" s="13"/>
      <c r="FH1049" s="43"/>
      <c r="FI1049" s="43"/>
      <c r="FJ1049" s="45"/>
      <c r="FT1049" s="291"/>
      <c r="JU1049" s="12"/>
      <c r="KB1049" s="14"/>
      <c r="KC1049" s="15"/>
      <c r="KD1049" s="15"/>
      <c r="KE1049" s="15"/>
      <c r="KF1049" s="15"/>
      <c r="KG1049" s="15"/>
      <c r="KH1049" s="15"/>
      <c r="KI1049" s="15"/>
      <c r="KJ1049" s="15"/>
      <c r="KK1049" s="16"/>
      <c r="KL1049" s="12"/>
      <c r="KO1049" s="12"/>
      <c r="MK1049" s="12"/>
      <c r="ML1049" s="13"/>
      <c r="MS1049" s="291"/>
      <c r="OH1049" s="13"/>
      <c r="OK1049" s="13"/>
      <c r="OU1049" s="291"/>
      <c r="OZ1049" s="13"/>
    </row>
    <row r="1050" spans="47:416" ht="10.75" customHeight="1">
      <c r="AU1050" s="291"/>
      <c r="BA1050" s="12"/>
      <c r="BJ1050" s="13"/>
      <c r="BK1050" s="42"/>
      <c r="BL1050" s="43"/>
      <c r="BM1050" s="43"/>
      <c r="BN1050" s="12"/>
      <c r="DJ1050" s="42"/>
      <c r="DK1050" s="45"/>
      <c r="DR1050" s="291"/>
      <c r="FG1050" s="13"/>
      <c r="FH1050" s="43"/>
      <c r="FI1050" s="43"/>
      <c r="FJ1050" s="45"/>
      <c r="FT1050" s="291"/>
      <c r="JU1050" s="12"/>
      <c r="KB1050" s="12"/>
      <c r="KK1050" s="13"/>
      <c r="KL1050" s="12"/>
      <c r="KO1050" s="12"/>
      <c r="MK1050" s="12"/>
      <c r="ML1050" s="13"/>
      <c r="MS1050" s="291"/>
      <c r="OH1050" s="13"/>
      <c r="OK1050" s="13"/>
      <c r="OU1050" s="291"/>
      <c r="OZ1050" s="13"/>
    </row>
    <row r="1051" spans="47:416" ht="10.75" customHeight="1">
      <c r="AU1051" s="291"/>
      <c r="BA1051" s="9"/>
      <c r="BB1051" s="10"/>
      <c r="BC1051" s="10"/>
      <c r="BD1051" s="10"/>
      <c r="BE1051" s="10"/>
      <c r="BF1051" s="10"/>
      <c r="BG1051" s="10"/>
      <c r="BH1051" s="10"/>
      <c r="BI1051" s="10"/>
      <c r="BJ1051" s="11"/>
      <c r="BK1051" s="42"/>
      <c r="BL1051" s="43"/>
      <c r="BM1051" s="43"/>
      <c r="BN1051" s="12"/>
      <c r="DJ1051" s="42"/>
      <c r="DK1051" s="45"/>
      <c r="DR1051" s="291"/>
      <c r="FG1051" s="13"/>
      <c r="FH1051" s="43"/>
      <c r="FI1051" s="43"/>
      <c r="FJ1051" s="45"/>
      <c r="FT1051" s="291"/>
      <c r="JU1051" s="12"/>
      <c r="KB1051" s="12"/>
      <c r="KK1051" s="13"/>
      <c r="KL1051" s="12"/>
      <c r="KO1051" s="12"/>
      <c r="MK1051" s="12"/>
      <c r="ML1051" s="13"/>
      <c r="MS1051" s="291"/>
      <c r="OH1051" s="13"/>
      <c r="OK1051" s="13"/>
      <c r="OU1051" s="291"/>
      <c r="OZ1051" s="13"/>
    </row>
    <row r="1052" spans="47:416" ht="10.75" customHeight="1">
      <c r="AU1052" s="291"/>
      <c r="BA1052" s="12"/>
      <c r="BJ1052" s="13"/>
      <c r="BK1052" s="42"/>
      <c r="BL1052" s="43"/>
      <c r="BM1052" s="43"/>
      <c r="BN1052" s="12"/>
      <c r="DJ1052" s="42"/>
      <c r="DK1052" s="45"/>
      <c r="DR1052" s="291"/>
      <c r="FG1052" s="13"/>
      <c r="FH1052" s="43"/>
      <c r="FI1052" s="43"/>
      <c r="FJ1052" s="45"/>
      <c r="FT1052" s="291"/>
      <c r="JU1052" s="12"/>
      <c r="KB1052" s="12"/>
      <c r="KK1052" s="13"/>
      <c r="KL1052" s="12"/>
      <c r="KO1052" s="12"/>
      <c r="MK1052" s="12"/>
      <c r="ML1052" s="13"/>
      <c r="MS1052" s="291"/>
      <c r="OH1052" s="13"/>
      <c r="OK1052" s="13"/>
      <c r="OU1052" s="291"/>
      <c r="OZ1052" s="13"/>
    </row>
    <row r="1053" spans="47:416" ht="10.75" customHeight="1">
      <c r="AU1053" s="291"/>
      <c r="BA1053" s="12"/>
      <c r="BJ1053" s="13"/>
      <c r="BK1053" s="42"/>
      <c r="BL1053" s="43"/>
      <c r="BM1053" s="43"/>
      <c r="BN1053" s="12"/>
      <c r="DJ1053" s="42"/>
      <c r="DK1053" s="45"/>
      <c r="DR1053" s="291"/>
      <c r="FG1053" s="13"/>
      <c r="FH1053" s="43"/>
      <c r="FI1053" s="43"/>
      <c r="FJ1053" s="45"/>
      <c r="FT1053" s="291"/>
      <c r="JU1053" s="12"/>
      <c r="KB1053" s="12"/>
      <c r="KK1053" s="13"/>
      <c r="KL1053" s="12"/>
      <c r="KO1053" s="12"/>
      <c r="MK1053" s="12"/>
      <c r="ML1053" s="13"/>
      <c r="MS1053" s="291"/>
      <c r="OH1053" s="13"/>
      <c r="OK1053" s="13"/>
      <c r="OU1053" s="291"/>
      <c r="OZ1053" s="13"/>
    </row>
    <row r="1054" spans="47:416" ht="10.75" customHeight="1">
      <c r="AU1054" s="291"/>
      <c r="BA1054" s="14"/>
      <c r="BB1054" s="15"/>
      <c r="BC1054" s="15"/>
      <c r="BD1054" s="15"/>
      <c r="BE1054" s="15"/>
      <c r="BF1054" s="15"/>
      <c r="BG1054" s="15"/>
      <c r="BH1054" s="15"/>
      <c r="BI1054" s="15"/>
      <c r="BJ1054" s="16"/>
      <c r="BK1054" s="42"/>
      <c r="BL1054" s="43"/>
      <c r="BM1054" s="43"/>
      <c r="BN1054" s="12"/>
      <c r="DJ1054" s="42"/>
      <c r="DK1054" s="45"/>
      <c r="DR1054" s="291"/>
      <c r="FG1054" s="13"/>
      <c r="FH1054" s="43"/>
      <c r="FI1054" s="43"/>
      <c r="FJ1054" s="45"/>
      <c r="FT1054" s="291"/>
      <c r="JU1054" s="12"/>
      <c r="KB1054" s="9"/>
      <c r="KC1054" s="10"/>
      <c r="KD1054" s="10"/>
      <c r="KE1054" s="10"/>
      <c r="KF1054" s="10"/>
      <c r="KG1054" s="10"/>
      <c r="KH1054" s="10"/>
      <c r="KI1054" s="10"/>
      <c r="KJ1054" s="10"/>
      <c r="KK1054" s="11"/>
      <c r="KL1054" s="12"/>
      <c r="KO1054" s="12"/>
      <c r="MK1054" s="12"/>
      <c r="ML1054" s="13"/>
      <c r="MS1054" s="291"/>
      <c r="OH1054" s="13"/>
      <c r="OK1054" s="13"/>
      <c r="OU1054" s="291"/>
      <c r="OZ1054" s="13"/>
    </row>
    <row r="1055" spans="47:416" ht="10.75" customHeight="1">
      <c r="AU1055" s="291"/>
      <c r="BA1055" s="12"/>
      <c r="BJ1055" s="13"/>
      <c r="BK1055" s="42"/>
      <c r="BL1055" s="43"/>
      <c r="BM1055" s="43"/>
      <c r="BN1055" s="12"/>
      <c r="DJ1055" s="42"/>
      <c r="DK1055" s="45"/>
      <c r="DR1055" s="291"/>
      <c r="FG1055" s="13"/>
      <c r="FH1055" s="43"/>
      <c r="FI1055" s="43"/>
      <c r="FJ1055" s="45"/>
      <c r="FT1055" s="291"/>
      <c r="JU1055" s="12"/>
      <c r="KB1055" s="12"/>
      <c r="KK1055" s="13"/>
      <c r="KL1055" s="12"/>
      <c r="KO1055" s="12"/>
      <c r="MK1055" s="12"/>
      <c r="ML1055" s="13"/>
      <c r="MS1055" s="291"/>
      <c r="OH1055" s="13"/>
      <c r="OK1055" s="13"/>
      <c r="OU1055" s="291"/>
      <c r="OZ1055" s="13"/>
    </row>
    <row r="1056" spans="47:416" ht="10.75" customHeight="1">
      <c r="AU1056" s="291"/>
      <c r="BA1056" s="12"/>
      <c r="BJ1056" s="13"/>
      <c r="BK1056" s="42"/>
      <c r="BL1056" s="43"/>
      <c r="BM1056" s="43"/>
      <c r="BN1056" s="12"/>
      <c r="DJ1056" s="42"/>
      <c r="DK1056" s="45"/>
      <c r="DR1056" s="291"/>
      <c r="FG1056" s="13"/>
      <c r="FH1056" s="43"/>
      <c r="FI1056" s="43"/>
      <c r="FJ1056" s="45"/>
      <c r="FT1056" s="291"/>
      <c r="JU1056" s="12"/>
      <c r="KB1056" s="12"/>
      <c r="KK1056" s="13"/>
      <c r="KL1056" s="12"/>
      <c r="KO1056" s="12"/>
      <c r="MK1056" s="12"/>
      <c r="ML1056" s="13"/>
      <c r="MS1056" s="291"/>
      <c r="OH1056" s="13"/>
      <c r="OK1056" s="13"/>
      <c r="OU1056" s="291"/>
      <c r="OZ1056" s="13"/>
    </row>
    <row r="1057" spans="47:416" ht="10.75" customHeight="1">
      <c r="AU1057" s="291"/>
      <c r="BA1057" s="12"/>
      <c r="BJ1057" s="13"/>
      <c r="BK1057" s="42"/>
      <c r="BL1057" s="43"/>
      <c r="BM1057" s="43"/>
      <c r="BN1057" s="12"/>
      <c r="DJ1057" s="42"/>
      <c r="DK1057" s="45"/>
      <c r="DR1057" s="291"/>
      <c r="FG1057" s="13"/>
      <c r="FH1057" s="43"/>
      <c r="FI1057" s="43"/>
      <c r="FJ1057" s="45"/>
      <c r="FT1057" s="291"/>
      <c r="JU1057" s="12"/>
      <c r="KB1057" s="14"/>
      <c r="KC1057" s="15"/>
      <c r="KD1057" s="15"/>
      <c r="KE1057" s="15"/>
      <c r="KF1057" s="15"/>
      <c r="KG1057" s="15"/>
      <c r="KH1057" s="15"/>
      <c r="KI1057" s="15"/>
      <c r="KJ1057" s="15"/>
      <c r="KK1057" s="16"/>
      <c r="KL1057" s="12"/>
      <c r="KO1057" s="12"/>
      <c r="MK1057" s="12"/>
      <c r="ML1057" s="13"/>
      <c r="MS1057" s="291"/>
      <c r="OH1057" s="13"/>
      <c r="OK1057" s="13"/>
      <c r="OU1057" s="291"/>
      <c r="OZ1057" s="13"/>
    </row>
    <row r="1058" spans="47:416" ht="10.75" customHeight="1">
      <c r="AU1058" s="291"/>
      <c r="BA1058" s="12"/>
      <c r="BJ1058" s="13"/>
      <c r="BK1058" s="42"/>
      <c r="BL1058" s="43"/>
      <c r="BM1058" s="43"/>
      <c r="BN1058" s="12"/>
      <c r="DJ1058" s="42"/>
      <c r="DK1058" s="45"/>
      <c r="DR1058" s="291"/>
      <c r="FG1058" s="13"/>
      <c r="FH1058" s="43"/>
      <c r="FI1058" s="43"/>
      <c r="FJ1058" s="45"/>
      <c r="FT1058" s="291"/>
      <c r="JU1058" s="10"/>
      <c r="JV1058" s="10"/>
      <c r="JW1058" s="10"/>
      <c r="JX1058" s="10"/>
      <c r="JY1058" s="10"/>
      <c r="JZ1058" s="10"/>
      <c r="KA1058" s="11"/>
      <c r="KB1058" s="12"/>
      <c r="KK1058" s="13"/>
      <c r="KL1058" s="12"/>
      <c r="KO1058" s="12"/>
      <c r="MK1058" s="12"/>
      <c r="ML1058" s="13"/>
      <c r="MS1058" s="291"/>
      <c r="OH1058" s="13"/>
      <c r="OK1058" s="13"/>
      <c r="OU1058" s="291"/>
      <c r="OZ1058" s="13"/>
    </row>
    <row r="1059" spans="47:416" ht="10.75" customHeight="1">
      <c r="AU1059" s="291"/>
      <c r="BA1059" s="9"/>
      <c r="BB1059" s="10"/>
      <c r="BC1059" s="10"/>
      <c r="BD1059" s="10"/>
      <c r="BE1059" s="10"/>
      <c r="BF1059" s="10"/>
      <c r="BG1059" s="10"/>
      <c r="BH1059" s="10"/>
      <c r="BI1059" s="10"/>
      <c r="BJ1059" s="11"/>
      <c r="BK1059" s="42"/>
      <c r="BL1059" s="43"/>
      <c r="BM1059" s="43"/>
      <c r="BN1059" s="12"/>
      <c r="DJ1059" s="42"/>
      <c r="DK1059" s="45"/>
      <c r="DR1059" s="291"/>
      <c r="FG1059" s="13"/>
      <c r="FH1059" s="43"/>
      <c r="FI1059" s="43"/>
      <c r="FJ1059" s="45"/>
      <c r="FT1059" s="291"/>
      <c r="KA1059" s="13"/>
      <c r="KB1059" s="12"/>
      <c r="KK1059" s="13"/>
      <c r="KL1059" s="12"/>
      <c r="KO1059" s="12"/>
      <c r="MK1059" s="12"/>
      <c r="ML1059" s="13"/>
      <c r="MS1059" s="291"/>
      <c r="OH1059" s="13"/>
      <c r="OK1059" s="13"/>
      <c r="OU1059" s="291"/>
      <c r="OZ1059" s="13"/>
    </row>
    <row r="1060" spans="47:416" ht="10.75" customHeight="1">
      <c r="AU1060" s="291"/>
      <c r="BA1060" s="12"/>
      <c r="BJ1060" s="13"/>
      <c r="BK1060" s="42"/>
      <c r="BL1060" s="43"/>
      <c r="BM1060" s="43"/>
      <c r="BN1060" s="12"/>
      <c r="DJ1060" s="42"/>
      <c r="DK1060" s="45"/>
      <c r="DR1060" s="291"/>
      <c r="FG1060" s="13"/>
      <c r="FH1060" s="43"/>
      <c r="FI1060" s="43"/>
      <c r="FJ1060" s="45"/>
      <c r="FT1060" s="291"/>
      <c r="KA1060" s="13"/>
      <c r="KB1060" s="12"/>
      <c r="KK1060" s="13"/>
      <c r="KL1060" s="12"/>
      <c r="KO1060" s="12"/>
      <c r="MK1060" s="12"/>
      <c r="ML1060" s="13"/>
      <c r="MS1060" s="291"/>
      <c r="OH1060" s="13"/>
      <c r="OK1060" s="13"/>
      <c r="OU1060" s="291"/>
      <c r="OZ1060" s="13"/>
    </row>
    <row r="1061" spans="47:416" ht="10.75" customHeight="1" thickBot="1">
      <c r="AU1061" s="291"/>
      <c r="BA1061" s="12"/>
      <c r="BJ1061" s="13"/>
      <c r="BK1061" s="42"/>
      <c r="BL1061" s="43"/>
      <c r="BM1061" s="43"/>
      <c r="BN1061" s="12"/>
      <c r="DJ1061" s="42"/>
      <c r="DK1061" s="45"/>
      <c r="DR1061" s="291"/>
      <c r="FG1061" s="13"/>
      <c r="FH1061" s="43"/>
      <c r="FI1061" s="43"/>
      <c r="FJ1061" s="45"/>
      <c r="FT1061" s="291"/>
      <c r="KA1061" s="13"/>
      <c r="KB1061" s="12"/>
      <c r="KK1061" s="13"/>
      <c r="KL1061" s="327"/>
      <c r="KM1061" s="328"/>
      <c r="KN1061" s="328"/>
      <c r="KO1061" s="12"/>
      <c r="MJ1061" s="327"/>
      <c r="MK1061" s="327"/>
      <c r="ML1061" s="329"/>
      <c r="MS1061" s="291"/>
      <c r="OH1061" s="13"/>
      <c r="OK1061" s="13"/>
      <c r="OU1061" s="291"/>
      <c r="OZ1061" s="13"/>
    </row>
    <row r="1062" spans="47:416" ht="10.75" customHeight="1" thickBot="1">
      <c r="AU1062" s="291"/>
      <c r="BA1062" s="12"/>
      <c r="BJ1062" s="13"/>
      <c r="BK1062" s="56"/>
      <c r="BL1062" s="57"/>
      <c r="BM1062" s="57"/>
      <c r="BN1062" s="12"/>
      <c r="DI1062" s="56"/>
      <c r="DJ1062" s="56"/>
      <c r="DK1062" s="58"/>
      <c r="DR1062" s="291"/>
      <c r="FG1062" s="13"/>
      <c r="FH1062" s="43"/>
      <c r="FI1062" s="43"/>
      <c r="FJ1062" s="45"/>
      <c r="FT1062" s="291"/>
      <c r="KA1062" s="13"/>
      <c r="KB1062" s="9"/>
      <c r="KC1062" s="10"/>
      <c r="KD1062" s="10"/>
      <c r="KE1062" s="10"/>
      <c r="KF1062" s="10"/>
      <c r="KG1062" s="10"/>
      <c r="KH1062" s="10"/>
      <c r="KI1062" s="10"/>
      <c r="KJ1062" s="10"/>
      <c r="KK1062" s="11"/>
      <c r="KL1062" s="330"/>
      <c r="KM1062" s="338"/>
      <c r="KN1062" s="338"/>
      <c r="KO1062" s="305"/>
      <c r="KP1062" s="306"/>
      <c r="KQ1062" s="306"/>
      <c r="KR1062" s="306"/>
      <c r="KS1062" s="306"/>
      <c r="KT1062" s="306"/>
      <c r="KU1062" s="306"/>
      <c r="KV1062" s="306"/>
      <c r="KW1062" s="306"/>
      <c r="KX1062" s="306"/>
      <c r="MJ1062" s="330"/>
      <c r="MK1062" s="330"/>
      <c r="ML1062" s="331"/>
      <c r="MS1062" s="291"/>
      <c r="NY1062" s="306"/>
      <c r="NZ1062" s="306"/>
      <c r="OA1062" s="306"/>
      <c r="OB1062" s="306"/>
      <c r="OC1062" s="306"/>
      <c r="OD1062" s="306"/>
      <c r="OE1062" s="306"/>
      <c r="OF1062" s="306"/>
      <c r="OG1062" s="306"/>
      <c r="OH1062" s="307"/>
      <c r="OI1062" s="327"/>
      <c r="OJ1062" s="328"/>
      <c r="OK1062" s="329"/>
      <c r="OL1062" s="329"/>
      <c r="OU1062" s="291"/>
      <c r="OZ1062" s="13"/>
    </row>
    <row r="1063" spans="47:416" ht="10.75" customHeight="1">
      <c r="AU1063" s="291"/>
      <c r="BA1063" s="9"/>
      <c r="BB1063" s="10"/>
      <c r="BC1063" s="10"/>
      <c r="BD1063" s="10"/>
      <c r="BE1063" s="10"/>
      <c r="BF1063" s="10"/>
      <c r="BG1063" s="10"/>
      <c r="BH1063" s="10"/>
      <c r="BI1063" s="10"/>
      <c r="BJ1063" s="11"/>
      <c r="BK1063" s="96"/>
      <c r="BL1063" s="97"/>
      <c r="BM1063" s="97"/>
      <c r="BN1063" s="305"/>
      <c r="BO1063" s="306"/>
      <c r="BP1063" s="306"/>
      <c r="BQ1063" s="306"/>
      <c r="BR1063" s="306"/>
      <c r="BS1063" s="306"/>
      <c r="BT1063" s="306"/>
      <c r="BU1063" s="306"/>
      <c r="BV1063" s="306"/>
      <c r="BW1063" s="306"/>
      <c r="DI1063" s="96"/>
      <c r="DJ1063" s="96"/>
      <c r="DK1063" s="98"/>
      <c r="DR1063" s="291"/>
      <c r="EX1063" s="306"/>
      <c r="EY1063" s="306"/>
      <c r="EZ1063" s="306"/>
      <c r="FA1063" s="306"/>
      <c r="FB1063" s="306"/>
      <c r="FC1063" s="306"/>
      <c r="FD1063" s="306"/>
      <c r="FE1063" s="306"/>
      <c r="FF1063" s="306"/>
      <c r="FG1063" s="307"/>
      <c r="FH1063" s="56"/>
      <c r="FI1063" s="57"/>
      <c r="FJ1063" s="58"/>
      <c r="FK1063" s="58"/>
      <c r="FT1063" s="291"/>
      <c r="KA1063" s="13"/>
      <c r="KB1063" s="12"/>
      <c r="KK1063" s="13"/>
      <c r="KL1063" s="330"/>
      <c r="KM1063" s="338"/>
      <c r="KN1063" s="338"/>
      <c r="KO1063" s="12"/>
      <c r="MJ1063" s="330"/>
      <c r="MK1063" s="330"/>
      <c r="ML1063" s="331"/>
      <c r="MS1063" s="291"/>
      <c r="OH1063" s="13"/>
      <c r="OI1063" s="330"/>
      <c r="OJ1063" s="338"/>
      <c r="OK1063" s="331"/>
      <c r="OL1063" s="331"/>
      <c r="OU1063" s="291"/>
      <c r="OZ1063" s="13"/>
    </row>
    <row r="1064" spans="47:416" ht="10.75" customHeight="1" thickBot="1">
      <c r="AU1064" s="291"/>
      <c r="BA1064" s="12"/>
      <c r="BJ1064" s="13"/>
      <c r="BK1064" s="96"/>
      <c r="BL1064" s="97"/>
      <c r="BM1064" s="97"/>
      <c r="BN1064" s="12"/>
      <c r="DI1064" s="96"/>
      <c r="DJ1064" s="96"/>
      <c r="DK1064" s="98"/>
      <c r="DR1064" s="291"/>
      <c r="FG1064" s="13"/>
      <c r="FH1064" s="96"/>
      <c r="FI1064" s="97"/>
      <c r="FJ1064" s="98"/>
      <c r="FK1064" s="98"/>
      <c r="FT1064" s="291"/>
      <c r="KA1064" s="13"/>
      <c r="KB1064" s="12"/>
      <c r="KK1064" s="13"/>
      <c r="KL1064" s="332"/>
      <c r="KM1064" s="333"/>
      <c r="KN1064" s="333"/>
      <c r="KO1064" s="303"/>
      <c r="KP1064" s="304"/>
      <c r="KQ1064" s="304"/>
      <c r="KR1064" s="304"/>
      <c r="KS1064" s="304"/>
      <c r="KT1064" s="304"/>
      <c r="KU1064" s="304"/>
      <c r="KV1064" s="304"/>
      <c r="KW1064" s="304"/>
      <c r="KX1064" s="304"/>
      <c r="MJ1064" s="332"/>
      <c r="MK1064" s="332"/>
      <c r="ML1064" s="334"/>
      <c r="MS1064" s="291"/>
      <c r="NY1064" s="304"/>
      <c r="NZ1064" s="304"/>
      <c r="OA1064" s="304"/>
      <c r="OB1064" s="304"/>
      <c r="OC1064" s="304"/>
      <c r="OD1064" s="304"/>
      <c r="OE1064" s="304"/>
      <c r="OF1064" s="304"/>
      <c r="OG1064" s="304"/>
      <c r="OH1064" s="308"/>
      <c r="OI1064" s="332"/>
      <c r="OJ1064" s="333"/>
      <c r="OK1064" s="334"/>
      <c r="OL1064" s="334"/>
      <c r="OU1064" s="291"/>
      <c r="OZ1064" s="13"/>
    </row>
    <row r="1065" spans="47:416" ht="10.75" customHeight="1" thickBot="1">
      <c r="AU1065" s="291"/>
      <c r="BA1065" s="12"/>
      <c r="BJ1065" s="13"/>
      <c r="BK1065" s="59"/>
      <c r="BL1065" s="60"/>
      <c r="BM1065" s="60"/>
      <c r="BN1065" s="303"/>
      <c r="BO1065" s="304"/>
      <c r="BP1065" s="304"/>
      <c r="BQ1065" s="304"/>
      <c r="BR1065" s="304"/>
      <c r="BS1065" s="304"/>
      <c r="BT1065" s="304"/>
      <c r="BU1065" s="304"/>
      <c r="BV1065" s="304"/>
      <c r="BW1065" s="304"/>
      <c r="DI1065" s="59"/>
      <c r="DJ1065" s="59"/>
      <c r="DK1065" s="61"/>
      <c r="DR1065" s="291"/>
      <c r="EX1065" s="304"/>
      <c r="EY1065" s="304"/>
      <c r="EZ1065" s="304"/>
      <c r="FA1065" s="304"/>
      <c r="FB1065" s="304"/>
      <c r="FC1065" s="304"/>
      <c r="FD1065" s="304"/>
      <c r="FE1065" s="304"/>
      <c r="FF1065" s="304"/>
      <c r="FG1065" s="308"/>
      <c r="FH1065" s="59"/>
      <c r="FI1065" s="60"/>
      <c r="FJ1065" s="61"/>
      <c r="FK1065" s="61"/>
      <c r="FT1065" s="291"/>
      <c r="KA1065" s="13"/>
      <c r="KB1065" s="12"/>
      <c r="KK1065" s="13"/>
      <c r="KL1065" s="9"/>
      <c r="KM1065" s="10"/>
      <c r="KN1065" s="10"/>
      <c r="KO1065" s="12"/>
      <c r="MK1065" s="12"/>
      <c r="ML1065" s="13"/>
      <c r="MS1065" s="291"/>
      <c r="OH1065" s="13"/>
      <c r="OK1065" s="13"/>
      <c r="OU1065" s="291"/>
      <c r="OZ1065" s="13"/>
    </row>
    <row r="1066" spans="47:416" ht="10.75" customHeight="1">
      <c r="AU1066" s="291"/>
      <c r="BA1066" s="12"/>
      <c r="BJ1066" s="13"/>
      <c r="BK1066" s="40"/>
      <c r="BL1066" s="41"/>
      <c r="BM1066" s="41"/>
      <c r="BN1066" s="12"/>
      <c r="DJ1066" s="42"/>
      <c r="DK1066" s="45"/>
      <c r="DR1066" s="291"/>
      <c r="FG1066" s="13"/>
      <c r="FH1066" s="43"/>
      <c r="FI1066" s="43"/>
      <c r="FJ1066" s="45"/>
      <c r="FT1066" s="291"/>
      <c r="KA1066" s="13"/>
      <c r="KB1066" s="9"/>
      <c r="KC1066" s="10"/>
      <c r="KD1066" s="10"/>
      <c r="KE1066" s="10"/>
      <c r="KF1066" s="10"/>
      <c r="KG1066" s="10"/>
      <c r="KH1066" s="10"/>
      <c r="KI1066" s="10"/>
      <c r="KJ1066" s="10"/>
      <c r="KK1066" s="11"/>
      <c r="KL1066" s="12"/>
      <c r="KO1066" s="12"/>
      <c r="MK1066" s="12"/>
      <c r="ML1066" s="13"/>
      <c r="MS1066" s="291"/>
      <c r="OH1066" s="13"/>
      <c r="OK1066" s="13"/>
      <c r="OU1066" s="291"/>
      <c r="OZ1066" s="13"/>
    </row>
    <row r="1067" spans="47:416" ht="10.75" customHeight="1">
      <c r="AU1067" s="291"/>
      <c r="BA1067" s="9"/>
      <c r="BB1067" s="10"/>
      <c r="BC1067" s="10"/>
      <c r="BD1067" s="10"/>
      <c r="BE1067" s="10"/>
      <c r="BF1067" s="10"/>
      <c r="BG1067" s="10"/>
      <c r="BH1067" s="10"/>
      <c r="BI1067" s="10"/>
      <c r="BJ1067" s="11"/>
      <c r="BK1067" s="42"/>
      <c r="BL1067" s="43"/>
      <c r="BM1067" s="43"/>
      <c r="BN1067" s="12"/>
      <c r="DJ1067" s="42"/>
      <c r="DK1067" s="45"/>
      <c r="DR1067" s="291"/>
      <c r="FG1067" s="13"/>
      <c r="FH1067" s="43"/>
      <c r="FI1067" s="43"/>
      <c r="FJ1067" s="45"/>
      <c r="FT1067" s="291"/>
      <c r="KA1067" s="13"/>
      <c r="KB1067" s="12"/>
      <c r="KK1067" s="13"/>
      <c r="KL1067" s="12"/>
      <c r="KO1067" s="12"/>
      <c r="MK1067" s="12"/>
      <c r="ML1067" s="13"/>
      <c r="MS1067" s="291"/>
      <c r="OH1067" s="13"/>
      <c r="OK1067" s="13"/>
      <c r="OU1067" s="291"/>
      <c r="OZ1067" s="13"/>
    </row>
    <row r="1068" spans="47:416" ht="10.75" customHeight="1">
      <c r="AU1068" s="291"/>
      <c r="BA1068" s="12"/>
      <c r="BJ1068" s="13"/>
      <c r="BK1068" s="42"/>
      <c r="BL1068" s="43"/>
      <c r="BM1068" s="43"/>
      <c r="BN1068" s="12"/>
      <c r="DJ1068" s="42"/>
      <c r="DK1068" s="45"/>
      <c r="DR1068" s="291"/>
      <c r="FG1068" s="13"/>
      <c r="FH1068" s="43"/>
      <c r="FI1068" s="43"/>
      <c r="FJ1068" s="45"/>
      <c r="FT1068" s="291"/>
      <c r="KA1068" s="13"/>
      <c r="KB1068" s="12"/>
      <c r="KK1068" s="13"/>
      <c r="KL1068" s="12"/>
      <c r="KO1068" s="12"/>
      <c r="MK1068" s="12"/>
      <c r="ML1068" s="13"/>
      <c r="MS1068" s="291"/>
      <c r="OH1068" s="13"/>
      <c r="OK1068" s="13"/>
      <c r="OU1068" s="291"/>
      <c r="OZ1068" s="13"/>
    </row>
    <row r="1069" spans="47:416" ht="10.75" customHeight="1">
      <c r="AU1069" s="291"/>
      <c r="BA1069" s="12"/>
      <c r="BJ1069" s="13"/>
      <c r="BK1069" s="42"/>
      <c r="BL1069" s="43"/>
      <c r="BM1069" s="43"/>
      <c r="BN1069" s="12"/>
      <c r="DJ1069" s="42"/>
      <c r="DK1069" s="45"/>
      <c r="DR1069" s="291"/>
      <c r="FG1069" s="13"/>
      <c r="FH1069" s="43"/>
      <c r="FI1069" s="43"/>
      <c r="FJ1069" s="45"/>
      <c r="FT1069" s="291"/>
      <c r="KA1069" s="13"/>
      <c r="KB1069" s="14"/>
      <c r="KC1069" s="15"/>
      <c r="KD1069" s="15"/>
      <c r="KE1069" s="15"/>
      <c r="KF1069" s="15"/>
      <c r="KG1069" s="15"/>
      <c r="KH1069" s="15"/>
      <c r="KI1069" s="15"/>
      <c r="KJ1069" s="15"/>
      <c r="KK1069" s="16"/>
      <c r="KL1069" s="12"/>
      <c r="KO1069" s="12"/>
      <c r="MK1069" s="12"/>
      <c r="ML1069" s="13"/>
      <c r="MS1069" s="291"/>
      <c r="OH1069" s="13"/>
      <c r="OK1069" s="13"/>
      <c r="OU1069" s="291"/>
      <c r="OZ1069" s="13"/>
    </row>
    <row r="1070" spans="47:416" ht="10.75" customHeight="1">
      <c r="AU1070" s="291"/>
      <c r="BA1070" s="14"/>
      <c r="BB1070" s="15"/>
      <c r="BC1070" s="15"/>
      <c r="BD1070" s="15"/>
      <c r="BE1070" s="15"/>
      <c r="BF1070" s="15"/>
      <c r="BG1070" s="15"/>
      <c r="BH1070" s="15"/>
      <c r="BI1070" s="15"/>
      <c r="BJ1070" s="16"/>
      <c r="BK1070" s="42"/>
      <c r="BL1070" s="43"/>
      <c r="BM1070" s="43"/>
      <c r="BN1070" s="12"/>
      <c r="DJ1070" s="42"/>
      <c r="DK1070" s="45"/>
      <c r="DR1070" s="291"/>
      <c r="FG1070" s="13"/>
      <c r="FH1070" s="43"/>
      <c r="FI1070" s="43"/>
      <c r="FJ1070" s="45"/>
      <c r="FT1070" s="291"/>
      <c r="KA1070" s="13"/>
      <c r="KB1070" s="9"/>
      <c r="KC1070" s="10"/>
      <c r="KD1070" s="10"/>
      <c r="KE1070" s="10"/>
      <c r="KF1070" s="10"/>
      <c r="KG1070" s="10"/>
      <c r="KH1070" s="10"/>
      <c r="KI1070" s="10"/>
      <c r="KJ1070" s="10"/>
      <c r="KK1070" s="11"/>
      <c r="KL1070" s="12"/>
      <c r="KO1070" s="12"/>
      <c r="MK1070" s="12"/>
      <c r="ML1070" s="13"/>
      <c r="MS1070" s="291"/>
      <c r="OH1070" s="13"/>
      <c r="OK1070" s="13"/>
      <c r="OU1070" s="291"/>
      <c r="OZ1070" s="13"/>
    </row>
    <row r="1071" spans="47:416" ht="10.75" customHeight="1">
      <c r="AU1071" s="291"/>
      <c r="BA1071" s="9"/>
      <c r="BB1071" s="10"/>
      <c r="BC1071" s="10"/>
      <c r="BD1071" s="10"/>
      <c r="BE1071" s="10"/>
      <c r="BF1071" s="10"/>
      <c r="BG1071" s="10"/>
      <c r="BH1071" s="10"/>
      <c r="BI1071" s="10"/>
      <c r="BJ1071" s="11"/>
      <c r="BK1071" s="42"/>
      <c r="BL1071" s="43"/>
      <c r="BM1071" s="43"/>
      <c r="BN1071" s="12"/>
      <c r="DJ1071" s="42"/>
      <c r="DK1071" s="45"/>
      <c r="DR1071" s="291"/>
      <c r="FG1071" s="13"/>
      <c r="FH1071" s="43"/>
      <c r="FI1071" s="43"/>
      <c r="FJ1071" s="45"/>
      <c r="FT1071" s="291"/>
      <c r="KA1071" s="13"/>
      <c r="KB1071" s="12"/>
      <c r="KK1071" s="13"/>
      <c r="KL1071" s="12"/>
      <c r="KO1071" s="12"/>
      <c r="MK1071" s="12"/>
      <c r="ML1071" s="13"/>
      <c r="MS1071" s="291"/>
      <c r="OH1071" s="13"/>
      <c r="OK1071" s="13"/>
      <c r="OU1071" s="291"/>
      <c r="OZ1071" s="13"/>
    </row>
    <row r="1072" spans="47:416" ht="10.75" customHeight="1">
      <c r="AU1072" s="291"/>
      <c r="BA1072" s="12"/>
      <c r="BJ1072" s="13"/>
      <c r="BK1072" s="42"/>
      <c r="BL1072" s="43"/>
      <c r="BM1072" s="43"/>
      <c r="BN1072" s="12"/>
      <c r="DJ1072" s="42"/>
      <c r="DK1072" s="45"/>
      <c r="DR1072" s="291"/>
      <c r="FG1072" s="13"/>
      <c r="FH1072" s="43"/>
      <c r="FI1072" s="43"/>
      <c r="FJ1072" s="45"/>
      <c r="FT1072" s="291"/>
      <c r="KA1072" s="13"/>
      <c r="KB1072" s="12"/>
      <c r="KK1072" s="13"/>
      <c r="KL1072" s="12"/>
      <c r="KO1072" s="12"/>
      <c r="MK1072" s="12"/>
      <c r="ML1072" s="13"/>
      <c r="MS1072" s="291"/>
      <c r="OH1072" s="13"/>
      <c r="OK1072" s="13"/>
      <c r="OU1072" s="291"/>
      <c r="OZ1072" s="13"/>
    </row>
    <row r="1073" spans="25:416" ht="10.75" customHeight="1">
      <c r="AQ1073" t="s">
        <v>240</v>
      </c>
      <c r="AU1073" s="291"/>
      <c r="BA1073" s="12"/>
      <c r="BJ1073" s="13"/>
      <c r="BK1073" s="42"/>
      <c r="BL1073" s="43"/>
      <c r="BM1073" s="43"/>
      <c r="BN1073" s="12"/>
      <c r="DJ1073" s="42"/>
      <c r="DK1073" s="45"/>
      <c r="DR1073" s="291"/>
      <c r="FG1073" s="13"/>
      <c r="FH1073" s="43"/>
      <c r="FI1073" s="43"/>
      <c r="FJ1073" s="45"/>
      <c r="FT1073" s="291"/>
      <c r="KA1073" s="13"/>
      <c r="KB1073" s="14"/>
      <c r="KC1073" s="15"/>
      <c r="KD1073" s="15"/>
      <c r="KE1073" s="15"/>
      <c r="KF1073" s="15"/>
      <c r="KG1073" s="15"/>
      <c r="KH1073" s="15"/>
      <c r="KI1073" s="15"/>
      <c r="KJ1073" s="15"/>
      <c r="KK1073" s="16"/>
      <c r="KL1073" s="12"/>
      <c r="KO1073" s="12"/>
      <c r="MK1073" s="12"/>
      <c r="ML1073" s="13"/>
      <c r="MS1073" s="291"/>
      <c r="OH1073" s="13"/>
      <c r="OK1073" s="13"/>
      <c r="OU1073" s="291"/>
      <c r="OZ1073" s="13"/>
    </row>
    <row r="1074" spans="25:416" ht="10.75" customHeight="1">
      <c r="AU1074" s="291"/>
      <c r="BA1074" s="14"/>
      <c r="BB1074" s="15"/>
      <c r="BC1074" s="15"/>
      <c r="BD1074" s="15"/>
      <c r="BE1074" s="15"/>
      <c r="BF1074" s="15"/>
      <c r="BG1074" s="15"/>
      <c r="BH1074" s="15"/>
      <c r="BI1074" s="15"/>
      <c r="BJ1074" s="16"/>
      <c r="BK1074" s="42"/>
      <c r="BL1074" s="43"/>
      <c r="BM1074" s="43"/>
      <c r="BN1074" s="12"/>
      <c r="DJ1074" s="42"/>
      <c r="DK1074" s="45"/>
      <c r="DR1074" s="291"/>
      <c r="FG1074" s="13"/>
      <c r="FH1074" s="43"/>
      <c r="FI1074" s="43"/>
      <c r="FJ1074" s="45"/>
      <c r="FT1074" s="291"/>
      <c r="KA1074" s="13"/>
      <c r="KB1074" s="9"/>
      <c r="KC1074" s="10"/>
      <c r="KD1074" s="10"/>
      <c r="KE1074" s="10"/>
      <c r="KF1074" s="10"/>
      <c r="KG1074" s="10"/>
      <c r="KH1074" s="10"/>
      <c r="KI1074" s="10"/>
      <c r="KJ1074" s="10"/>
      <c r="KK1074" s="11"/>
      <c r="KL1074" s="12"/>
      <c r="KO1074" s="12"/>
      <c r="MK1074" s="12"/>
      <c r="ML1074" s="13"/>
      <c r="MS1074" s="291"/>
      <c r="OH1074" s="13"/>
      <c r="OK1074" s="13"/>
      <c r="OU1074" s="291"/>
      <c r="OZ1074" s="13"/>
    </row>
    <row r="1075" spans="25:416" ht="10.75" customHeight="1">
      <c r="AU1075" s="291"/>
      <c r="BA1075" s="9"/>
      <c r="BB1075" s="10"/>
      <c r="BC1075" s="10"/>
      <c r="BD1075" s="10"/>
      <c r="BE1075" s="10"/>
      <c r="BF1075" s="10"/>
      <c r="BG1075" s="10"/>
      <c r="BH1075" s="10"/>
      <c r="BI1075" s="10"/>
      <c r="BJ1075" s="11"/>
      <c r="BK1075" s="42"/>
      <c r="BL1075" s="43"/>
      <c r="BM1075" s="43"/>
      <c r="BN1075" s="12"/>
      <c r="DJ1075" s="42"/>
      <c r="DK1075" s="45"/>
      <c r="DR1075" s="291"/>
      <c r="FG1075" s="13"/>
      <c r="FH1075" s="43"/>
      <c r="FI1075" s="43"/>
      <c r="FJ1075" s="45"/>
      <c r="FT1075" s="291"/>
      <c r="KA1075" s="13"/>
      <c r="KB1075" s="12"/>
      <c r="KK1075" s="13"/>
      <c r="KL1075" s="12"/>
      <c r="KO1075" s="12"/>
      <c r="MK1075" s="12"/>
      <c r="ML1075" s="13"/>
      <c r="MS1075" s="291"/>
      <c r="OH1075" s="13"/>
      <c r="OK1075" s="13"/>
      <c r="OU1075" s="291"/>
      <c r="OZ1075" s="13"/>
    </row>
    <row r="1076" spans="25:416" ht="10.75" customHeight="1">
      <c r="AU1076" s="291"/>
      <c r="BA1076" s="12"/>
      <c r="BJ1076" s="13"/>
      <c r="BK1076" s="42"/>
      <c r="BL1076" s="43"/>
      <c r="BM1076" s="43"/>
      <c r="BN1076" s="14"/>
      <c r="BO1076" s="15"/>
      <c r="BP1076" s="15"/>
      <c r="BQ1076" s="15"/>
      <c r="BR1076" s="15"/>
      <c r="BS1076" s="15"/>
      <c r="BT1076" s="15"/>
      <c r="BU1076" s="15"/>
      <c r="BV1076" s="15"/>
      <c r="BW1076" s="15"/>
      <c r="BX1076" s="15"/>
      <c r="BY1076" s="15"/>
      <c r="BZ1076" s="15"/>
      <c r="CA1076" s="15"/>
      <c r="CB1076" s="15"/>
      <c r="CC1076" s="15"/>
      <c r="CD1076" s="15"/>
      <c r="CE1076" s="15"/>
      <c r="CF1076" s="15"/>
      <c r="CG1076" s="15"/>
      <c r="CH1076" s="15"/>
      <c r="CI1076" s="15"/>
      <c r="CJ1076" s="15"/>
      <c r="CK1076" s="15"/>
      <c r="CL1076" s="15"/>
      <c r="CM1076" s="15"/>
      <c r="CN1076" s="15"/>
      <c r="CO1076" s="15"/>
      <c r="CP1076" s="15"/>
      <c r="CQ1076" s="15"/>
      <c r="CR1076" s="15"/>
      <c r="CS1076" s="15"/>
      <c r="CT1076" s="15"/>
      <c r="CU1076" s="15"/>
      <c r="CV1076" s="15"/>
      <c r="CW1076" s="15"/>
      <c r="CX1076" s="15"/>
      <c r="CY1076" s="15"/>
      <c r="CZ1076" s="15"/>
      <c r="DA1076" s="15"/>
      <c r="DB1076" s="15"/>
      <c r="DC1076" s="15"/>
      <c r="DD1076" s="15"/>
      <c r="DE1076" s="15"/>
      <c r="DF1076" s="15"/>
      <c r="DG1076" s="15"/>
      <c r="DH1076" s="15"/>
      <c r="DI1076" s="15"/>
      <c r="DJ1076" s="42"/>
      <c r="DK1076" s="45"/>
      <c r="DR1076" s="291"/>
      <c r="FG1076" s="13"/>
      <c r="FH1076" s="43"/>
      <c r="FI1076" s="43"/>
      <c r="FJ1076" s="45"/>
      <c r="FT1076" s="291"/>
      <c r="JR1076" t="s">
        <v>240</v>
      </c>
      <c r="KA1076" s="13"/>
      <c r="KB1076" s="12"/>
      <c r="KK1076" s="13"/>
      <c r="KL1076" s="12"/>
      <c r="KO1076" s="12"/>
      <c r="MK1076" s="12"/>
      <c r="ML1076" s="13"/>
      <c r="MS1076" s="291"/>
      <c r="OH1076" s="13"/>
      <c r="OK1076" s="13"/>
      <c r="OU1076" s="291"/>
      <c r="OZ1076" s="13"/>
    </row>
    <row r="1077" spans="25:416" ht="10.75" customHeight="1">
      <c r="AU1077" s="291"/>
      <c r="BA1077" s="12"/>
      <c r="BJ1077" s="13"/>
      <c r="BK1077" s="42"/>
      <c r="BL1077" s="43"/>
      <c r="BM1077" s="43"/>
      <c r="BN1077" s="42"/>
      <c r="BO1077" s="43"/>
      <c r="BP1077" s="43"/>
      <c r="BQ1077" s="43"/>
      <c r="BR1077" s="43"/>
      <c r="BS1077" s="43"/>
      <c r="BT1077" s="43"/>
      <c r="BU1077" s="43"/>
      <c r="BV1077" s="43"/>
      <c r="BW1077" s="43"/>
      <c r="BX1077" s="43"/>
      <c r="BY1077" s="43"/>
      <c r="BZ1077" s="43"/>
      <c r="CA1077" s="43"/>
      <c r="CB1077" s="43"/>
      <c r="CC1077" s="43"/>
      <c r="CD1077" s="43"/>
      <c r="CE1077" s="43"/>
      <c r="CF1077" s="43"/>
      <c r="CG1077" s="43"/>
      <c r="CH1077" s="43"/>
      <c r="CI1077" s="43"/>
      <c r="CJ1077" s="43"/>
      <c r="CK1077" s="43"/>
      <c r="CL1077" s="43"/>
      <c r="CM1077" s="43"/>
      <c r="CN1077" s="43"/>
      <c r="CO1077" s="43"/>
      <c r="CP1077" s="43"/>
      <c r="CQ1077" s="43"/>
      <c r="CR1077" s="43"/>
      <c r="CS1077" s="43"/>
      <c r="CT1077" s="43"/>
      <c r="CU1077" s="43"/>
      <c r="CV1077" s="43"/>
      <c r="CW1077" s="43"/>
      <c r="CX1077" s="43"/>
      <c r="CY1077" s="43"/>
      <c r="CZ1077" s="43"/>
      <c r="DA1077" s="43"/>
      <c r="DB1077" s="43"/>
      <c r="DC1077" s="43"/>
      <c r="DD1077" s="43"/>
      <c r="DE1077" s="43"/>
      <c r="DF1077" s="43"/>
      <c r="DG1077" s="43"/>
      <c r="DH1077" s="43"/>
      <c r="DI1077" s="41"/>
      <c r="DJ1077" s="43"/>
      <c r="DK1077" s="45"/>
      <c r="DP1077" s="322"/>
      <c r="DQ1077" s="322"/>
      <c r="DR1077" s="322"/>
      <c r="DS1077" s="322"/>
      <c r="FG1077" s="13"/>
      <c r="FH1077" s="43"/>
      <c r="FI1077" s="43"/>
      <c r="FJ1077" s="45"/>
      <c r="FT1077" s="291"/>
      <c r="KA1077" s="13"/>
      <c r="KB1077" s="14"/>
      <c r="KC1077" s="15"/>
      <c r="KD1077" s="15"/>
      <c r="KE1077" s="15"/>
      <c r="KF1077" s="15"/>
      <c r="KG1077" s="15"/>
      <c r="KH1077" s="15"/>
      <c r="KI1077" s="15"/>
      <c r="KJ1077" s="15"/>
      <c r="KK1077" s="16"/>
      <c r="KL1077" s="12"/>
      <c r="KO1077" s="12"/>
      <c r="MK1077" s="12"/>
      <c r="ML1077" s="13"/>
      <c r="MS1077" s="291"/>
      <c r="OH1077" s="13"/>
      <c r="OK1077" s="13"/>
      <c r="OU1077" s="291"/>
      <c r="OZ1077" s="13"/>
    </row>
    <row r="1078" spans="25:416" ht="10.75" customHeight="1">
      <c r="AU1078" s="291"/>
      <c r="BA1078" s="12"/>
      <c r="BJ1078" s="13"/>
      <c r="BK1078" s="42"/>
      <c r="BL1078" s="43"/>
      <c r="BM1078" s="43"/>
      <c r="BN1078" s="42"/>
      <c r="BO1078" s="43"/>
      <c r="BP1078" s="43"/>
      <c r="BQ1078" s="43"/>
      <c r="BR1078" s="43"/>
      <c r="BS1078" s="43"/>
      <c r="BT1078" s="43"/>
      <c r="BU1078" s="43"/>
      <c r="BV1078" s="43"/>
      <c r="BW1078" s="43"/>
      <c r="BX1078" s="43"/>
      <c r="BY1078" s="43"/>
      <c r="BZ1078" s="43"/>
      <c r="CA1078" s="43"/>
      <c r="CB1078" s="43"/>
      <c r="CC1078" s="43"/>
      <c r="CD1078" s="43"/>
      <c r="CE1078" s="43"/>
      <c r="CF1078" s="43"/>
      <c r="CG1078" s="43"/>
      <c r="CH1078" s="43"/>
      <c r="CI1078" s="43"/>
      <c r="CJ1078" s="43"/>
      <c r="CK1078" s="43"/>
      <c r="CL1078" s="43"/>
      <c r="CM1078" s="43"/>
      <c r="CN1078" s="43"/>
      <c r="CO1078" s="43"/>
      <c r="CP1078" s="43"/>
      <c r="CQ1078" s="43"/>
      <c r="CR1078" s="43"/>
      <c r="CS1078" s="43"/>
      <c r="CT1078" s="43"/>
      <c r="CU1078" s="43"/>
      <c r="CV1078" s="43"/>
      <c r="CW1078" s="43"/>
      <c r="CX1078" s="316"/>
      <c r="CY1078" s="316"/>
      <c r="CZ1078" s="316"/>
      <c r="DA1078" s="316"/>
      <c r="DB1078" s="316"/>
      <c r="DC1078" s="316"/>
      <c r="DD1078" s="316"/>
      <c r="DE1078" s="316"/>
      <c r="DF1078" s="316"/>
      <c r="DG1078" s="316"/>
      <c r="DH1078" s="43"/>
      <c r="DI1078" s="43"/>
      <c r="DJ1078" s="43"/>
      <c r="DK1078" s="45"/>
      <c r="FG1078" s="13"/>
      <c r="FH1078" s="43"/>
      <c r="FI1078" s="43"/>
      <c r="FJ1078" s="45"/>
      <c r="FT1078" s="291"/>
      <c r="KA1078" s="13"/>
      <c r="KB1078" s="9"/>
      <c r="KC1078" s="10"/>
      <c r="KD1078" s="10"/>
      <c r="KE1078" s="10"/>
      <c r="KF1078" s="10"/>
      <c r="KG1078" s="10"/>
      <c r="KH1078" s="10"/>
      <c r="KI1078" s="10"/>
      <c r="KJ1078" s="10"/>
      <c r="KK1078" s="11"/>
      <c r="KL1078" s="12"/>
      <c r="KO1078" s="12"/>
      <c r="MK1078" s="12"/>
      <c r="ML1078" s="13"/>
      <c r="MS1078" s="291"/>
      <c r="OH1078" s="13"/>
      <c r="OK1078" s="13"/>
      <c r="OU1078" s="291"/>
      <c r="OZ1078" s="13"/>
    </row>
    <row r="1079" spans="25:416" ht="10.75" customHeight="1">
      <c r="Y1079" s="311"/>
      <c r="AU1079" s="291"/>
      <c r="BA1079" s="9"/>
      <c r="BB1079" s="10"/>
      <c r="BC1079" s="10"/>
      <c r="BD1079" s="10"/>
      <c r="BE1079" s="10"/>
      <c r="BF1079" s="10"/>
      <c r="BG1079" s="10"/>
      <c r="BH1079" s="10"/>
      <c r="BI1079" s="10"/>
      <c r="BJ1079" s="11"/>
      <c r="BK1079" s="42"/>
      <c r="BL1079" s="43"/>
      <c r="BM1079" s="43"/>
      <c r="BN1079" s="9"/>
      <c r="BO1079" s="10"/>
      <c r="BP1079" s="10"/>
      <c r="BQ1079" s="10"/>
      <c r="BR1079" s="10"/>
      <c r="BS1079" s="10"/>
      <c r="BT1079" s="10"/>
      <c r="BU1079" s="10"/>
      <c r="BV1079" s="10"/>
      <c r="BW1079" s="10"/>
      <c r="BX1079" s="10"/>
      <c r="BY1079" s="10"/>
      <c r="BZ1079" s="10"/>
      <c r="CA1079" s="10"/>
      <c r="CB1079" s="10"/>
      <c r="CC1079" s="10"/>
      <c r="CD1079" s="10"/>
      <c r="CE1079" s="10"/>
      <c r="CF1079" s="10"/>
      <c r="CG1079" s="10"/>
      <c r="CH1079" s="10"/>
      <c r="CI1079" s="10"/>
      <c r="CJ1079" s="10"/>
      <c r="CK1079" s="10"/>
      <c r="CL1079" s="10"/>
      <c r="CM1079" s="10"/>
      <c r="CN1079" s="10"/>
      <c r="CO1079" s="10"/>
      <c r="CP1079" s="10"/>
      <c r="CQ1079" s="10"/>
      <c r="CR1079" s="10"/>
      <c r="CS1079" s="10"/>
      <c r="CT1079" s="10"/>
      <c r="CU1079" s="10"/>
      <c r="CV1079" s="10"/>
      <c r="CW1079" s="10"/>
      <c r="CX1079" s="10"/>
      <c r="CY1079" s="10"/>
      <c r="CZ1079" s="10"/>
      <c r="DA1079" s="10"/>
      <c r="DB1079" s="10"/>
      <c r="DC1079" s="10"/>
      <c r="DD1079" s="10"/>
      <c r="DE1079" s="10"/>
      <c r="DF1079" s="10"/>
      <c r="DG1079" s="10"/>
      <c r="DH1079" s="10"/>
      <c r="DI1079" s="10"/>
      <c r="DJ1079" s="10"/>
      <c r="DK1079" s="10"/>
      <c r="DP1079" s="322"/>
      <c r="DQ1079" s="324"/>
      <c r="DR1079" s="322"/>
      <c r="DS1079" s="322"/>
      <c r="FG1079" s="13"/>
      <c r="FH1079" s="43"/>
      <c r="FI1079" s="43"/>
      <c r="FJ1079" s="45"/>
      <c r="FT1079" s="291"/>
      <c r="KA1079" s="13"/>
      <c r="KB1079" s="12"/>
      <c r="KK1079" s="13"/>
      <c r="KL1079" s="12"/>
      <c r="KO1079" s="14"/>
      <c r="KP1079" s="15"/>
      <c r="KQ1079" s="15"/>
      <c r="KR1079" s="15"/>
      <c r="KS1079" s="15"/>
      <c r="KT1079" s="15"/>
      <c r="KU1079" s="15"/>
      <c r="KV1079" s="15"/>
      <c r="KW1079" s="15"/>
      <c r="KX1079" s="15"/>
      <c r="KY1079" s="15"/>
      <c r="KZ1079" s="15"/>
      <c r="LA1079" s="15"/>
      <c r="LB1079" s="15"/>
      <c r="LC1079" s="15"/>
      <c r="LD1079" s="15"/>
      <c r="LE1079" s="15"/>
      <c r="LF1079" s="15"/>
      <c r="LG1079" s="15"/>
      <c r="LH1079" s="15"/>
      <c r="LI1079" s="15"/>
      <c r="LJ1079" s="15"/>
      <c r="LK1079" s="15"/>
      <c r="LL1079" s="15"/>
      <c r="LM1079" s="15"/>
      <c r="LN1079" s="15"/>
      <c r="LO1079" s="15"/>
      <c r="LP1079" s="15"/>
      <c r="LQ1079" s="15"/>
      <c r="LR1079" s="15"/>
      <c r="LS1079" s="15"/>
      <c r="LT1079" s="15"/>
      <c r="LU1079" s="15"/>
      <c r="LV1079" s="15"/>
      <c r="LW1079" s="15"/>
      <c r="LX1079" s="15"/>
      <c r="LY1079" s="15"/>
      <c r="LZ1079" s="15"/>
      <c r="MA1079" s="15"/>
      <c r="MB1079" s="15"/>
      <c r="MC1079" s="15"/>
      <c r="MD1079" s="15"/>
      <c r="ME1079" s="15"/>
      <c r="MF1079" s="15"/>
      <c r="MG1079" s="15"/>
      <c r="MH1079" s="15"/>
      <c r="MI1079" s="15"/>
      <c r="MJ1079" s="15"/>
      <c r="MK1079" s="12"/>
      <c r="ML1079" s="13"/>
      <c r="MS1079" s="291"/>
      <c r="OH1079" s="13"/>
      <c r="OK1079" s="13"/>
      <c r="OU1079" s="291"/>
      <c r="OZ1079" s="13"/>
    </row>
    <row r="1080" spans="25:416" ht="10.75" customHeight="1">
      <c r="AU1080" s="291"/>
      <c r="BA1080" s="12"/>
      <c r="BJ1080" s="13"/>
      <c r="BK1080" s="42"/>
      <c r="BL1080" s="43"/>
      <c r="BM1080" s="43"/>
      <c r="BN1080" s="12"/>
      <c r="DQ1080" s="297"/>
      <c r="FG1080" s="13"/>
      <c r="FH1080" s="43"/>
      <c r="FI1080" s="43"/>
      <c r="FJ1080" s="45"/>
      <c r="FT1080" s="291"/>
      <c r="KA1080" s="13"/>
      <c r="KB1080" s="12"/>
      <c r="KK1080" s="13"/>
      <c r="KL1080" s="12"/>
      <c r="KO1080" s="12"/>
      <c r="MJ1080" s="10"/>
      <c r="ML1080" s="13"/>
      <c r="MQ1080" s="322"/>
      <c r="MR1080" s="322"/>
      <c r="MS1080" s="322"/>
      <c r="MT1080" s="322"/>
      <c r="OH1080" s="13"/>
      <c r="OK1080" s="13"/>
      <c r="OU1080" s="291"/>
      <c r="OZ1080" s="13"/>
    </row>
    <row r="1081" spans="25:416" ht="10.75" customHeight="1">
      <c r="AU1081" s="291"/>
      <c r="BA1081" s="12"/>
      <c r="BJ1081" s="13"/>
      <c r="BK1081" s="42"/>
      <c r="BL1081" s="43"/>
      <c r="BM1081" s="43"/>
      <c r="BN1081" s="12"/>
      <c r="DQ1081" s="297"/>
      <c r="FG1081" s="13"/>
      <c r="FH1081" s="43"/>
      <c r="FI1081" s="43"/>
      <c r="FJ1081" s="45"/>
      <c r="FT1081" s="291"/>
      <c r="KA1081" s="13"/>
      <c r="KB1081" s="12"/>
      <c r="KK1081" s="13"/>
      <c r="KL1081" s="12"/>
      <c r="KO1081" s="12"/>
      <c r="LY1081" s="20"/>
      <c r="LZ1081" s="21"/>
      <c r="MA1081" s="21"/>
      <c r="MB1081" s="21"/>
      <c r="MC1081" s="21"/>
      <c r="MD1081" s="21"/>
      <c r="ME1081" s="21"/>
      <c r="MF1081" s="21"/>
      <c r="MG1081" s="21"/>
      <c r="MH1081" s="22"/>
      <c r="ML1081" s="13"/>
      <c r="OH1081" s="13"/>
      <c r="OK1081" s="13"/>
      <c r="OU1081" s="291"/>
      <c r="OZ1081" s="13"/>
    </row>
    <row r="1082" spans="25:416" ht="10.75" customHeight="1">
      <c r="AU1082" s="291"/>
      <c r="BA1082" s="14"/>
      <c r="BB1082" s="15"/>
      <c r="BC1082" s="15"/>
      <c r="BD1082" s="15"/>
      <c r="BE1082" s="15"/>
      <c r="BF1082" s="15"/>
      <c r="BG1082" s="15"/>
      <c r="BH1082" s="15"/>
      <c r="BI1082" s="15"/>
      <c r="BJ1082" s="16"/>
      <c r="BK1082" s="42"/>
      <c r="BL1082" s="43"/>
      <c r="BM1082" s="43"/>
      <c r="BN1082" s="12"/>
      <c r="DQ1082" s="297"/>
      <c r="FG1082" s="13"/>
      <c r="FH1082" s="43"/>
      <c r="FI1082" s="43"/>
      <c r="FJ1082" s="45"/>
      <c r="FT1082" s="291"/>
      <c r="KA1082" s="13"/>
      <c r="KB1082" s="9"/>
      <c r="KC1082" s="10"/>
      <c r="KD1082" s="10"/>
      <c r="KE1082" s="10"/>
      <c r="KF1082" s="10"/>
      <c r="KG1082" s="10"/>
      <c r="KH1082" s="10"/>
      <c r="KI1082" s="10"/>
      <c r="KJ1082" s="10"/>
      <c r="KK1082" s="11"/>
      <c r="KL1082" s="12"/>
      <c r="KO1082" s="9"/>
      <c r="KP1082" s="10"/>
      <c r="KQ1082" s="10"/>
      <c r="KR1082" s="10"/>
      <c r="KS1082" s="10"/>
      <c r="KT1082" s="10"/>
      <c r="KU1082" s="10"/>
      <c r="KV1082" s="10"/>
      <c r="KW1082" s="10"/>
      <c r="KX1082" s="10"/>
      <c r="KY1082" s="10"/>
      <c r="KZ1082" s="10"/>
      <c r="LA1082" s="10"/>
      <c r="LB1082" s="10"/>
      <c r="LC1082" s="10"/>
      <c r="LD1082" s="10"/>
      <c r="LE1082" s="10"/>
      <c r="LF1082" s="10"/>
      <c r="LG1082" s="10"/>
      <c r="LH1082" s="10"/>
      <c r="LI1082" s="10"/>
      <c r="LJ1082" s="10"/>
      <c r="LK1082" s="10"/>
      <c r="LL1082" s="10"/>
      <c r="LM1082" s="10"/>
      <c r="LN1082" s="10"/>
      <c r="LO1082" s="10"/>
      <c r="LP1082" s="10"/>
      <c r="LQ1082" s="10"/>
      <c r="LR1082" s="10"/>
      <c r="LS1082" s="10"/>
      <c r="LT1082" s="11"/>
      <c r="LU1082" s="10"/>
      <c r="LV1082" s="10"/>
      <c r="LW1082" s="10"/>
      <c r="LX1082" s="10"/>
      <c r="LY1082" s="10"/>
      <c r="LZ1082" s="10"/>
      <c r="MA1082" s="10"/>
      <c r="MB1082" s="10"/>
      <c r="MC1082" s="10"/>
      <c r="MD1082" s="10"/>
      <c r="ME1082" s="10"/>
      <c r="MF1082" s="10"/>
      <c r="MG1082" s="10"/>
      <c r="MH1082" s="10"/>
      <c r="MI1082" s="10"/>
      <c r="MJ1082" s="10"/>
      <c r="MK1082" s="10"/>
      <c r="ML1082" s="17"/>
      <c r="MQ1082" s="322"/>
      <c r="MR1082" s="324"/>
      <c r="MS1082" s="322"/>
      <c r="MT1082" s="322"/>
      <c r="OH1082" s="13"/>
      <c r="OK1082" s="13"/>
      <c r="OU1082" s="291"/>
      <c r="OZ1082" s="13"/>
    </row>
    <row r="1083" spans="25:416" ht="10.75" customHeight="1">
      <c r="AU1083" s="291"/>
      <c r="BA1083" s="9"/>
      <c r="BB1083" s="10"/>
      <c r="BC1083" s="10"/>
      <c r="BD1083" s="10"/>
      <c r="BE1083" s="10"/>
      <c r="BF1083" s="10"/>
      <c r="BG1083" s="10"/>
      <c r="BH1083" s="10"/>
      <c r="BI1083" s="10"/>
      <c r="BJ1083" s="11"/>
      <c r="BK1083" s="43"/>
      <c r="BL1083" s="43"/>
      <c r="BM1083" s="43"/>
      <c r="BN1083" s="12"/>
      <c r="DQ1083" s="297"/>
      <c r="FG1083" s="13"/>
      <c r="FH1083" s="43"/>
      <c r="FI1083" s="43"/>
      <c r="FJ1083" s="45"/>
      <c r="FT1083" s="291"/>
      <c r="KA1083" s="13"/>
      <c r="KB1083" s="12"/>
      <c r="KK1083" s="13"/>
      <c r="KL1083" s="12"/>
      <c r="KO1083" s="12"/>
      <c r="LT1083" s="13"/>
      <c r="ML1083" s="18"/>
      <c r="MR1083" s="297"/>
      <c r="OH1083" s="13"/>
      <c r="OK1083" s="13"/>
      <c r="OU1083" s="291"/>
      <c r="OZ1083" s="13"/>
    </row>
    <row r="1084" spans="25:416" ht="10.75" customHeight="1">
      <c r="AU1084" s="291"/>
      <c r="BA1084" s="12"/>
      <c r="BJ1084" s="13"/>
      <c r="BK1084" s="42"/>
      <c r="BL1084" s="43"/>
      <c r="BM1084" s="43"/>
      <c r="BN1084" s="12"/>
      <c r="DQ1084" s="297"/>
      <c r="FG1084" s="13"/>
      <c r="FH1084" s="43"/>
      <c r="FI1084" s="43"/>
      <c r="FJ1084" s="45"/>
      <c r="FT1084" s="291"/>
      <c r="KA1084" s="13"/>
      <c r="KB1084" s="12"/>
      <c r="KK1084" s="13"/>
      <c r="KL1084" s="12"/>
      <c r="KO1084" s="12"/>
      <c r="LT1084" s="13"/>
      <c r="ML1084" s="18"/>
      <c r="MR1084" s="297"/>
      <c r="OH1084" s="13"/>
      <c r="OK1084" s="13"/>
      <c r="OU1084" s="291"/>
      <c r="OZ1084" s="13"/>
    </row>
    <row r="1085" spans="25:416" ht="10.75" customHeight="1">
      <c r="AU1085" s="291"/>
      <c r="BA1085" s="12"/>
      <c r="BJ1085" s="13"/>
      <c r="BK1085" s="43"/>
      <c r="BL1085" s="43"/>
      <c r="BM1085" s="43"/>
      <c r="BN1085" s="12"/>
      <c r="DQ1085" s="297"/>
      <c r="FG1085" s="13"/>
      <c r="FH1085" s="43"/>
      <c r="FI1085" s="43"/>
      <c r="FJ1085" s="45"/>
      <c r="FT1085" s="291"/>
      <c r="KA1085" s="13"/>
      <c r="KB1085" s="14"/>
      <c r="KC1085" s="15"/>
      <c r="KD1085" s="15"/>
      <c r="KE1085" s="15"/>
      <c r="KF1085" s="15"/>
      <c r="KG1085" s="15"/>
      <c r="KH1085" s="15"/>
      <c r="KI1085" s="15"/>
      <c r="KJ1085" s="15"/>
      <c r="KK1085" s="16"/>
      <c r="KL1085" s="12"/>
      <c r="KO1085" s="12"/>
      <c r="LT1085" s="13"/>
      <c r="ML1085" s="18"/>
      <c r="MR1085" s="297"/>
      <c r="OH1085" s="13"/>
      <c r="OK1085" s="13"/>
      <c r="OU1085" s="291"/>
      <c r="OZ1085" s="13"/>
    </row>
    <row r="1086" spans="25:416" ht="10.75" customHeight="1">
      <c r="AU1086" s="291"/>
      <c r="BA1086" s="14"/>
      <c r="BB1086" s="15"/>
      <c r="BC1086" s="15"/>
      <c r="BD1086" s="15"/>
      <c r="BE1086" s="15"/>
      <c r="BF1086" s="15"/>
      <c r="BG1086" s="15"/>
      <c r="BH1086" s="15"/>
      <c r="BI1086" s="15"/>
      <c r="BJ1086" s="16"/>
      <c r="BK1086" s="43"/>
      <c r="BL1086" s="43"/>
      <c r="BM1086" s="43"/>
      <c r="BN1086" s="12"/>
      <c r="DQ1086" s="297"/>
      <c r="FG1086" s="13"/>
      <c r="FH1086" s="43"/>
      <c r="FI1086" s="43"/>
      <c r="FJ1086" s="45"/>
      <c r="FT1086" s="291"/>
      <c r="KA1086" s="13"/>
      <c r="KB1086" s="9"/>
      <c r="KC1086" s="10"/>
      <c r="KD1086" s="10"/>
      <c r="KE1086" s="10"/>
      <c r="KF1086" s="10"/>
      <c r="KG1086" s="10"/>
      <c r="KH1086" s="10"/>
      <c r="KI1086" s="10"/>
      <c r="KJ1086" s="10"/>
      <c r="KK1086" s="11"/>
      <c r="KO1086" s="12"/>
      <c r="LT1086" s="13"/>
      <c r="ML1086" s="18"/>
      <c r="MR1086" s="297"/>
      <c r="OH1086" s="13"/>
      <c r="OK1086" s="13"/>
      <c r="OU1086" s="291"/>
      <c r="OZ1086" s="13"/>
    </row>
    <row r="1087" spans="25:416" ht="10.75" customHeight="1">
      <c r="AU1087" s="291"/>
      <c r="BA1087" s="9"/>
      <c r="BB1087" s="10"/>
      <c r="BC1087" s="10"/>
      <c r="BD1087" s="10"/>
      <c r="BE1087" s="10"/>
      <c r="BF1087" s="10"/>
      <c r="BG1087" s="10"/>
      <c r="BH1087" s="10"/>
      <c r="BI1087" s="10"/>
      <c r="BJ1087" s="11"/>
      <c r="BK1087" s="43"/>
      <c r="BL1087" s="43"/>
      <c r="BM1087" s="43"/>
      <c r="BN1087" s="12"/>
      <c r="DQ1087" s="297"/>
      <c r="FG1087" s="13"/>
      <c r="FH1087" s="43"/>
      <c r="FI1087" s="43"/>
      <c r="FJ1087" s="45"/>
      <c r="FT1087" s="291"/>
      <c r="KA1087" s="13"/>
      <c r="KB1087" s="12"/>
      <c r="KK1087" s="13"/>
      <c r="KL1087" s="12"/>
      <c r="KO1087" s="12"/>
      <c r="LT1087" s="13"/>
      <c r="ML1087" s="18"/>
      <c r="MR1087" s="297"/>
      <c r="OH1087" s="13"/>
      <c r="OK1087" s="13"/>
      <c r="OU1087" s="291"/>
      <c r="OZ1087" s="13"/>
    </row>
    <row r="1088" spans="25:416" ht="10.75" customHeight="1">
      <c r="AU1088" s="291"/>
      <c r="BA1088" s="12"/>
      <c r="BJ1088" s="13"/>
      <c r="BK1088" s="43"/>
      <c r="BL1088" s="43"/>
      <c r="BM1088" s="43"/>
      <c r="BN1088" s="12"/>
      <c r="DQ1088" s="297"/>
      <c r="FG1088" s="13"/>
      <c r="FH1088" s="43"/>
      <c r="FI1088" s="43"/>
      <c r="FJ1088" s="45"/>
      <c r="FT1088" s="291"/>
      <c r="KA1088" s="13"/>
      <c r="KB1088" s="12"/>
      <c r="KK1088" s="13"/>
      <c r="KO1088" s="12"/>
      <c r="LT1088" s="13"/>
      <c r="ML1088" s="18"/>
      <c r="MR1088" s="297"/>
      <c r="OH1088" s="13"/>
      <c r="OK1088" s="13"/>
      <c r="OU1088" s="291"/>
      <c r="OZ1088" s="13"/>
    </row>
    <row r="1089" spans="45:416" ht="10.75" customHeight="1">
      <c r="AU1089" s="291"/>
      <c r="BA1089" s="12"/>
      <c r="BJ1089" s="13"/>
      <c r="BK1089" s="43"/>
      <c r="BL1089" s="43"/>
      <c r="BM1089" s="43"/>
      <c r="BN1089" s="12"/>
      <c r="DQ1089" s="297"/>
      <c r="FG1089" s="13"/>
      <c r="FH1089" s="43"/>
      <c r="FI1089" s="43"/>
      <c r="FJ1089" s="45"/>
      <c r="FT1089" s="291"/>
      <c r="KA1089" s="13"/>
      <c r="KB1089" s="14"/>
      <c r="KC1089" s="15"/>
      <c r="KD1089" s="15"/>
      <c r="KE1089" s="15"/>
      <c r="KF1089" s="15"/>
      <c r="KG1089" s="15"/>
      <c r="KH1089" s="15"/>
      <c r="KI1089" s="15"/>
      <c r="KJ1089" s="15"/>
      <c r="KK1089" s="16"/>
      <c r="KO1089" s="12"/>
      <c r="LT1089" s="13"/>
      <c r="ML1089" s="18"/>
      <c r="MR1089" s="297"/>
      <c r="OH1089" s="13"/>
      <c r="OK1089" s="13"/>
      <c r="OU1089" s="291"/>
      <c r="OZ1089" s="13"/>
    </row>
    <row r="1090" spans="45:416" ht="10.75" customHeight="1">
      <c r="AU1090" s="291"/>
      <c r="BA1090" s="14"/>
      <c r="BB1090" s="15"/>
      <c r="BC1090" s="15"/>
      <c r="BD1090" s="15"/>
      <c r="BE1090" s="15"/>
      <c r="BF1090" s="15"/>
      <c r="BG1090" s="15"/>
      <c r="BH1090" s="15"/>
      <c r="BI1090" s="15"/>
      <c r="BJ1090" s="16"/>
      <c r="BK1090" s="43"/>
      <c r="BL1090" s="43"/>
      <c r="BM1090" s="43"/>
      <c r="BN1090" s="12"/>
      <c r="DQ1090" s="297"/>
      <c r="FG1090" s="13"/>
      <c r="FH1090" s="43"/>
      <c r="FI1090" s="43"/>
      <c r="FJ1090" s="45"/>
      <c r="FT1090" s="291"/>
      <c r="KA1090" s="13"/>
      <c r="KB1090" s="9"/>
      <c r="KC1090" s="10"/>
      <c r="KD1090" s="10"/>
      <c r="KE1090" s="10"/>
      <c r="KF1090" s="10"/>
      <c r="KG1090" s="10"/>
      <c r="KH1090" s="10"/>
      <c r="KI1090" s="10"/>
      <c r="KJ1090" s="10"/>
      <c r="KK1090" s="11"/>
      <c r="KO1090" s="12"/>
      <c r="KW1090" s="9"/>
      <c r="KX1090" s="10"/>
      <c r="KY1090" s="10"/>
      <c r="KZ1090" s="10"/>
      <c r="LA1090" s="10"/>
      <c r="LB1090" s="10"/>
      <c r="LC1090" s="10"/>
      <c r="LD1090" s="10"/>
      <c r="LE1090" s="10"/>
      <c r="LF1090" s="10"/>
      <c r="LG1090" s="10"/>
      <c r="LH1090" s="10"/>
      <c r="LI1090" s="10"/>
      <c r="LJ1090" s="10"/>
      <c r="LK1090" s="10"/>
      <c r="LL1090" s="10"/>
      <c r="LM1090" s="10"/>
      <c r="LN1090" s="10"/>
      <c r="LO1090" s="10"/>
      <c r="LP1090" s="10"/>
      <c r="LQ1090" s="10"/>
      <c r="LR1090" s="10"/>
      <c r="LS1090" s="10"/>
      <c r="LT1090" s="10"/>
      <c r="ML1090" s="19"/>
      <c r="MR1090" s="297"/>
      <c r="OH1090" s="13"/>
      <c r="OK1090" s="13"/>
      <c r="OU1090" s="291"/>
      <c r="OZ1090" s="13"/>
    </row>
    <row r="1091" spans="45:416" ht="10.75" customHeight="1">
      <c r="AU1091" s="291"/>
      <c r="BA1091" s="12"/>
      <c r="BJ1091" s="13"/>
      <c r="BK1091" s="43"/>
      <c r="BL1091" s="43"/>
      <c r="BM1091" s="43"/>
      <c r="BN1091" s="12"/>
      <c r="DQ1091" s="297"/>
      <c r="FG1091" s="13"/>
      <c r="FH1091" s="43"/>
      <c r="FI1091" s="43"/>
      <c r="FJ1091" s="45"/>
      <c r="FT1091" s="291"/>
      <c r="KA1091" s="13"/>
      <c r="KB1091" s="12"/>
      <c r="KK1091" s="13"/>
      <c r="KO1091" s="12"/>
      <c r="KW1091" s="12"/>
      <c r="MR1091" s="297"/>
      <c r="OH1091" s="13"/>
      <c r="OK1091" s="13"/>
      <c r="OU1091" s="291"/>
      <c r="OZ1091" s="13"/>
    </row>
    <row r="1092" spans="45:416" ht="10.75" customHeight="1">
      <c r="AU1092" s="291"/>
      <c r="BA1092" s="12"/>
      <c r="BJ1092" s="13"/>
      <c r="BK1092" s="42"/>
      <c r="BL1092" s="43"/>
      <c r="BM1092" s="43"/>
      <c r="BN1092" s="12"/>
      <c r="DQ1092" s="297"/>
      <c r="FG1092" s="13"/>
      <c r="FH1092" s="43"/>
      <c r="FI1092" s="43"/>
      <c r="FJ1092" s="45"/>
      <c r="FT1092" s="291"/>
      <c r="KA1092" s="13"/>
      <c r="KB1092" s="12"/>
      <c r="KK1092" s="13"/>
      <c r="KO1092" s="240"/>
      <c r="KW1092" s="12"/>
      <c r="MR1092" s="297"/>
      <c r="OH1092" s="13"/>
      <c r="OK1092" s="13"/>
      <c r="OU1092" s="291"/>
      <c r="OZ1092" s="13"/>
    </row>
    <row r="1093" spans="45:416" ht="10.75" customHeight="1">
      <c r="AU1093" s="291"/>
      <c r="BA1093" s="12"/>
      <c r="BJ1093" s="13"/>
      <c r="BK1093" s="43"/>
      <c r="BL1093" s="43"/>
      <c r="BM1093" s="43"/>
      <c r="BN1093" s="12"/>
      <c r="DQ1093" s="297"/>
      <c r="FG1093" s="13"/>
      <c r="FH1093" s="43"/>
      <c r="FI1093" s="43"/>
      <c r="FJ1093" s="45"/>
      <c r="FT1093" s="291"/>
      <c r="KA1093" s="13"/>
      <c r="KB1093" s="14"/>
      <c r="KC1093" s="15"/>
      <c r="KD1093" s="15"/>
      <c r="KE1093" s="15"/>
      <c r="KF1093" s="15"/>
      <c r="KG1093" s="15"/>
      <c r="KH1093" s="15"/>
      <c r="KI1093" s="15"/>
      <c r="KJ1093" s="15"/>
      <c r="KK1093" s="16"/>
      <c r="KO1093" s="240"/>
      <c r="KW1093" s="12"/>
      <c r="MR1093" s="297"/>
      <c r="OH1093" s="13"/>
      <c r="OK1093" s="13"/>
      <c r="OU1093" s="291"/>
      <c r="OZ1093" s="13"/>
    </row>
    <row r="1094" spans="45:416" ht="10.75" customHeight="1">
      <c r="AU1094" s="291"/>
      <c r="BA1094" s="14"/>
      <c r="BB1094" s="15"/>
      <c r="BJ1094" s="13"/>
      <c r="BK1094" s="43"/>
      <c r="BL1094" s="43"/>
      <c r="BM1094" s="43"/>
      <c r="BN1094" s="12"/>
      <c r="DQ1094" s="297"/>
      <c r="FG1094" s="13"/>
      <c r="FH1094" s="43"/>
      <c r="FI1094" s="43"/>
      <c r="FJ1094" s="45"/>
      <c r="FT1094" s="291"/>
      <c r="KA1094" s="13"/>
      <c r="KB1094" s="12"/>
      <c r="KK1094" s="13"/>
      <c r="KO1094" s="240"/>
      <c r="KW1094" s="12"/>
      <c r="MR1094" s="297"/>
      <c r="OH1094" s="13"/>
      <c r="OK1094" s="13"/>
      <c r="OU1094" s="291"/>
      <c r="OZ1094" s="13"/>
    </row>
    <row r="1095" spans="45:416" ht="10.75" customHeight="1">
      <c r="AU1095" s="291"/>
      <c r="BA1095" s="12"/>
      <c r="BC1095" s="10"/>
      <c r="BD1095" s="10"/>
      <c r="BE1095" s="10"/>
      <c r="BF1095" s="10"/>
      <c r="BG1095" s="10"/>
      <c r="BH1095" s="10"/>
      <c r="BI1095" s="10"/>
      <c r="BJ1095" s="11"/>
      <c r="BK1095" s="43"/>
      <c r="BL1095" s="43"/>
      <c r="BM1095" s="43"/>
      <c r="BN1095" s="12"/>
      <c r="DQ1095" s="297"/>
      <c r="FG1095" s="13"/>
      <c r="FH1095" s="43"/>
      <c r="FI1095" s="43"/>
      <c r="FJ1095" s="45"/>
      <c r="FT1095" s="291"/>
      <c r="KA1095" s="13"/>
      <c r="KB1095" s="12"/>
      <c r="KK1095" s="13"/>
      <c r="KL1095" s="12"/>
      <c r="KO1095" s="240"/>
      <c r="KW1095" s="12"/>
      <c r="MR1095" s="297"/>
      <c r="OH1095" s="13"/>
      <c r="OK1095" s="13"/>
      <c r="OU1095" s="291"/>
      <c r="OZ1095" s="13"/>
    </row>
    <row r="1096" spans="45:416" ht="10.75" customHeight="1">
      <c r="AU1096" s="291"/>
      <c r="BA1096" s="12"/>
      <c r="BJ1096" s="13"/>
      <c r="BK1096" s="43"/>
      <c r="BL1096" s="43"/>
      <c r="BM1096" s="43"/>
      <c r="BN1096" s="12"/>
      <c r="DQ1096" s="297"/>
      <c r="FG1096" s="13"/>
      <c r="FH1096" s="43"/>
      <c r="FI1096" s="43"/>
      <c r="FJ1096" s="45"/>
      <c r="FT1096" s="291"/>
      <c r="KA1096" s="13"/>
      <c r="KB1096" s="12"/>
      <c r="KK1096" s="13"/>
      <c r="KO1096" s="240"/>
      <c r="KW1096" s="12"/>
      <c r="MR1096" s="297"/>
      <c r="OH1096" s="13"/>
      <c r="OK1096" s="13"/>
      <c r="OU1096" s="291"/>
      <c r="OZ1096" s="13"/>
    </row>
    <row r="1097" spans="45:416" ht="10.75" customHeight="1">
      <c r="AU1097" s="291"/>
      <c r="BA1097" s="12"/>
      <c r="BJ1097" s="13"/>
      <c r="BK1097" s="43"/>
      <c r="BL1097" s="43"/>
      <c r="BM1097" s="43"/>
      <c r="BN1097" s="12"/>
      <c r="DQ1097" s="297"/>
      <c r="FG1097" s="13"/>
      <c r="FH1097" s="43"/>
      <c r="FI1097" s="43"/>
      <c r="FJ1097" s="45"/>
      <c r="FT1097" s="291"/>
      <c r="KA1097" s="13"/>
      <c r="KB1097" s="14"/>
      <c r="KC1097" s="15"/>
      <c r="KK1097" s="13"/>
      <c r="KO1097" s="240"/>
      <c r="KW1097" s="12"/>
      <c r="MR1097" s="297"/>
      <c r="OH1097" s="13"/>
      <c r="OK1097" s="13"/>
      <c r="OU1097" s="291"/>
      <c r="OZ1097" s="13"/>
    </row>
    <row r="1098" spans="45:416" ht="10.75" customHeight="1">
      <c r="AU1098" s="291"/>
      <c r="BA1098" s="12"/>
      <c r="BJ1098" s="13"/>
      <c r="BK1098" s="43"/>
      <c r="BL1098" s="43"/>
      <c r="BM1098" s="43"/>
      <c r="BN1098" s="12"/>
      <c r="DQ1098" s="297"/>
      <c r="FG1098" s="13"/>
      <c r="FH1098" s="43"/>
      <c r="FI1098" s="43"/>
      <c r="FJ1098" s="45"/>
      <c r="FT1098" s="291"/>
      <c r="KA1098" s="13"/>
      <c r="KB1098" s="12"/>
      <c r="KD1098" s="10"/>
      <c r="KE1098" s="10"/>
      <c r="KF1098" s="10"/>
      <c r="KG1098" s="10"/>
      <c r="KH1098" s="10"/>
      <c r="KI1098" s="10"/>
      <c r="KJ1098" s="10"/>
      <c r="KK1098" s="11"/>
      <c r="KO1098" s="240"/>
      <c r="KW1098" s="12"/>
      <c r="MR1098" s="297"/>
      <c r="NN1098" s="17"/>
      <c r="OH1098" s="13"/>
      <c r="OK1098" s="13"/>
      <c r="OU1098" s="291"/>
      <c r="OZ1098" s="13"/>
    </row>
    <row r="1099" spans="45:416" ht="10.75" customHeight="1">
      <c r="AU1099" s="291"/>
      <c r="BA1099" s="9"/>
      <c r="BB1099" s="10"/>
      <c r="BC1099" s="10"/>
      <c r="BD1099" s="10"/>
      <c r="BE1099" s="10"/>
      <c r="BF1099" s="10"/>
      <c r="BG1099" s="10"/>
      <c r="BH1099" s="10"/>
      <c r="BI1099" s="10"/>
      <c r="BJ1099" s="11"/>
      <c r="BK1099" s="43"/>
      <c r="BL1099" s="43"/>
      <c r="BM1099" s="43"/>
      <c r="BN1099" s="12"/>
      <c r="DQ1099" s="297"/>
      <c r="FG1099" s="13"/>
      <c r="FH1099" s="43"/>
      <c r="FI1099" s="43"/>
      <c r="FJ1099" s="45"/>
      <c r="FT1099" s="291"/>
      <c r="KA1099" s="13"/>
      <c r="KB1099" s="12"/>
      <c r="KK1099" s="13"/>
      <c r="KO1099" s="240"/>
      <c r="KW1099" s="12"/>
      <c r="MR1099" s="297"/>
      <c r="NN1099" s="18"/>
      <c r="OH1099" s="13"/>
      <c r="OK1099" s="13"/>
      <c r="OU1099" s="291"/>
      <c r="OZ1099" s="13"/>
    </row>
    <row r="1100" spans="45:416" ht="10.75" customHeight="1">
      <c r="AU1100" s="291"/>
      <c r="BA1100" s="12"/>
      <c r="BJ1100" s="13"/>
      <c r="BK1100" s="43"/>
      <c r="BL1100" s="43"/>
      <c r="BM1100" s="43"/>
      <c r="BN1100" s="12"/>
      <c r="DQ1100" s="297"/>
      <c r="FG1100" s="13"/>
      <c r="FH1100" s="43"/>
      <c r="FI1100" s="43"/>
      <c r="FJ1100" s="45"/>
      <c r="FT1100" s="291"/>
      <c r="KA1100" s="13"/>
      <c r="KB1100" s="12"/>
      <c r="KK1100" s="13"/>
      <c r="KO1100" s="240"/>
      <c r="KW1100" s="12"/>
      <c r="MR1100" s="297"/>
      <c r="NN1100" s="18"/>
      <c r="OH1100" s="13"/>
      <c r="OK1100" s="13"/>
      <c r="OU1100" s="291"/>
      <c r="OZ1100" s="13"/>
    </row>
    <row r="1101" spans="45:416" ht="10.75" customHeight="1">
      <c r="AU1101" s="291"/>
      <c r="BA1101" s="12"/>
      <c r="BJ1101" s="13"/>
      <c r="BK1101" s="43"/>
      <c r="BL1101" s="43"/>
      <c r="BM1101" s="43"/>
      <c r="BN1101" s="12"/>
      <c r="DQ1101" s="297"/>
      <c r="FG1101" s="13"/>
      <c r="FH1101" s="43"/>
      <c r="FI1101" s="43"/>
      <c r="FJ1101" s="45"/>
      <c r="FT1101" s="291"/>
      <c r="KA1101" s="13"/>
      <c r="KB1101" s="12"/>
      <c r="KK1101" s="13"/>
      <c r="KO1101" s="12"/>
      <c r="KW1101" s="12"/>
      <c r="MR1101" s="297"/>
      <c r="NN1101" s="18"/>
      <c r="OH1101" s="13"/>
      <c r="OK1101" s="13"/>
      <c r="OU1101" s="291"/>
      <c r="OZ1101" s="13"/>
    </row>
    <row r="1102" spans="45:416" ht="10.75" customHeight="1">
      <c r="AU1102" s="291"/>
      <c r="BA1102" s="12"/>
      <c r="BJ1102" s="13"/>
      <c r="BK1102" s="43"/>
      <c r="BL1102" s="43"/>
      <c r="BM1102" s="43"/>
      <c r="BN1102" s="12"/>
      <c r="DQ1102" s="297"/>
      <c r="FG1102" s="13"/>
      <c r="FH1102" s="43"/>
      <c r="FI1102" s="43"/>
      <c r="FJ1102" s="45"/>
      <c r="FT1102" s="291"/>
      <c r="KA1102" s="13"/>
      <c r="KB1102" s="9"/>
      <c r="KC1102" s="10"/>
      <c r="KD1102" s="10"/>
      <c r="KE1102" s="10"/>
      <c r="KF1102" s="10"/>
      <c r="KG1102" s="10"/>
      <c r="KH1102" s="10"/>
      <c r="KI1102" s="10"/>
      <c r="KJ1102" s="10"/>
      <c r="KK1102" s="11"/>
      <c r="KO1102" s="12"/>
      <c r="KW1102" s="12"/>
      <c r="MR1102" s="297"/>
      <c r="NN1102" s="18"/>
      <c r="OH1102" s="13"/>
      <c r="OK1102" s="13"/>
      <c r="OU1102" s="291"/>
      <c r="OZ1102" s="13"/>
    </row>
    <row r="1103" spans="45:416" ht="10.75" customHeight="1">
      <c r="AS1103" s="322"/>
      <c r="AT1103" s="322"/>
      <c r="AU1103" s="322"/>
      <c r="AV1103" s="322"/>
      <c r="BA1103" s="9"/>
      <c r="BB1103" s="10"/>
      <c r="BC1103" s="10"/>
      <c r="BD1103" s="10"/>
      <c r="BE1103" s="10"/>
      <c r="BF1103" s="10"/>
      <c r="BG1103" s="10"/>
      <c r="BH1103" s="10"/>
      <c r="BI1103" s="10"/>
      <c r="BJ1103" s="11"/>
      <c r="BK1103" s="43"/>
      <c r="BL1103" s="43"/>
      <c r="BM1103" s="43"/>
      <c r="BN1103" s="12"/>
      <c r="DQ1103" s="297"/>
      <c r="FG1103" s="13"/>
      <c r="FH1103" s="43"/>
      <c r="FI1103" s="43"/>
      <c r="FJ1103" s="45"/>
      <c r="FT1103" s="291"/>
      <c r="KA1103" s="13"/>
      <c r="KB1103" s="12"/>
      <c r="KK1103" s="13"/>
      <c r="KO1103" s="12"/>
      <c r="KW1103" s="12"/>
      <c r="MR1103" s="297"/>
      <c r="NN1103" s="18"/>
      <c r="OH1103" s="13"/>
      <c r="OK1103" s="13"/>
      <c r="OU1103" s="291"/>
      <c r="OZ1103" s="13"/>
    </row>
    <row r="1104" spans="45:416" ht="10.75" customHeight="1">
      <c r="BA1104" s="12"/>
      <c r="BJ1104" s="13"/>
      <c r="BK1104" s="43"/>
      <c r="BL1104" s="119"/>
      <c r="BM1104" s="43"/>
      <c r="BN1104" s="12"/>
      <c r="DQ1104" s="297"/>
      <c r="FG1104" s="13"/>
      <c r="FH1104" s="43"/>
      <c r="FI1104" s="43"/>
      <c r="FJ1104" s="45"/>
      <c r="FT1104" s="291"/>
      <c r="KA1104" s="13"/>
      <c r="KB1104" s="12"/>
      <c r="KK1104" s="13"/>
      <c r="KO1104" s="12"/>
      <c r="KW1104" s="12"/>
      <c r="MR1104" s="297"/>
      <c r="NN1104" s="18"/>
      <c r="OH1104" s="13"/>
      <c r="OK1104" s="13"/>
      <c r="OU1104" s="291"/>
      <c r="OZ1104" s="13"/>
    </row>
    <row r="1105" spans="53:416" ht="10.75" customHeight="1">
      <c r="BA1105" s="12"/>
      <c r="BJ1105" s="13"/>
      <c r="BK1105" s="43"/>
      <c r="BL1105" s="119"/>
      <c r="BM1105" s="43"/>
      <c r="BN1105" s="12"/>
      <c r="DQ1105" s="297"/>
      <c r="FG1105" s="13"/>
      <c r="FH1105" s="43"/>
      <c r="FI1105" s="43"/>
      <c r="FJ1105" s="45"/>
      <c r="FT1105" s="291"/>
      <c r="JU1105" s="15"/>
      <c r="JV1105" s="15"/>
      <c r="JW1105" s="15"/>
      <c r="JX1105" s="15"/>
      <c r="JY1105" s="15"/>
      <c r="JZ1105" s="15"/>
      <c r="KA1105" s="16"/>
      <c r="KB1105" s="12"/>
      <c r="KK1105" s="13"/>
      <c r="KO1105" s="14"/>
      <c r="KP1105" s="15"/>
      <c r="KQ1105" s="15"/>
      <c r="KR1105" s="15"/>
      <c r="KS1105" s="15"/>
      <c r="KT1105" s="15"/>
      <c r="KU1105" s="15"/>
      <c r="KV1105" s="15"/>
      <c r="KW1105" s="12"/>
      <c r="MR1105" s="297"/>
      <c r="NN1105" s="18"/>
      <c r="OH1105" s="13"/>
      <c r="OK1105" s="13"/>
      <c r="OU1105" s="291"/>
      <c r="OZ1105" s="13"/>
    </row>
    <row r="1106" spans="53:416" ht="10.75" customHeight="1">
      <c r="BA1106" s="12"/>
      <c r="BJ1106" s="13"/>
      <c r="BK1106" s="43"/>
      <c r="BL1106" s="119"/>
      <c r="BM1106" s="43"/>
      <c r="BN1106" s="12"/>
      <c r="DQ1106" s="297"/>
      <c r="FG1106" s="13"/>
      <c r="FH1106" s="43"/>
      <c r="FI1106" s="43"/>
      <c r="FJ1106" s="45"/>
      <c r="FT1106" s="291"/>
      <c r="JU1106" s="12"/>
      <c r="KB1106" s="9"/>
      <c r="KC1106" s="10"/>
      <c r="KD1106" s="10"/>
      <c r="KE1106" s="10"/>
      <c r="KF1106" s="10"/>
      <c r="KG1106" s="10"/>
      <c r="KH1106" s="10"/>
      <c r="KI1106" s="10"/>
      <c r="KJ1106" s="10"/>
      <c r="KK1106" s="11"/>
      <c r="KO1106" s="9"/>
      <c r="KP1106" s="10"/>
      <c r="KQ1106" s="10"/>
      <c r="KR1106" s="10"/>
      <c r="KS1106" s="10"/>
      <c r="KT1106" s="10"/>
      <c r="KU1106" s="10"/>
      <c r="KV1106" s="10"/>
      <c r="MR1106" s="297"/>
      <c r="NN1106" s="18"/>
      <c r="OH1106" s="13"/>
      <c r="OK1106" s="13"/>
      <c r="OU1106" s="291"/>
      <c r="OZ1106" s="13"/>
    </row>
    <row r="1107" spans="53:416" ht="10.75" customHeight="1">
      <c r="BA1107" s="12"/>
      <c r="BJ1107" s="13"/>
      <c r="BK1107" s="43"/>
      <c r="BL1107" s="119"/>
      <c r="BM1107" s="43"/>
      <c r="BN1107" s="12"/>
      <c r="DQ1107" s="297"/>
      <c r="FG1107" s="13"/>
      <c r="FH1107" s="43"/>
      <c r="FI1107" s="43"/>
      <c r="FJ1107" s="45"/>
      <c r="FT1107" s="291"/>
      <c r="JU1107" s="12"/>
      <c r="KB1107" s="12"/>
      <c r="KK1107" s="13"/>
      <c r="KO1107" s="12"/>
      <c r="MR1107" s="297"/>
      <c r="NN1107" s="18"/>
      <c r="OH1107" s="13"/>
      <c r="OK1107" s="13"/>
      <c r="OU1107" s="291"/>
      <c r="OZ1107" s="13"/>
    </row>
    <row r="1108" spans="53:416" ht="10.75" customHeight="1">
      <c r="BA1108" s="12"/>
      <c r="BJ1108" s="13"/>
      <c r="BK1108" s="43"/>
      <c r="BL1108" s="119"/>
      <c r="BM1108" s="43"/>
      <c r="BN1108" s="12"/>
      <c r="DI1108" s="317"/>
      <c r="DK1108" s="319"/>
      <c r="DQ1108" s="297"/>
      <c r="FG1108" s="13"/>
      <c r="FH1108" s="43"/>
      <c r="FI1108" s="43"/>
      <c r="FJ1108" s="45"/>
      <c r="FT1108" s="291"/>
      <c r="JU1108" s="12"/>
      <c r="KB1108" s="12"/>
      <c r="KK1108" s="13"/>
      <c r="KM1108" s="17"/>
      <c r="KO1108" s="12"/>
      <c r="MR1108" s="297"/>
      <c r="NN1108" s="18"/>
      <c r="OH1108" s="13"/>
      <c r="OK1108" s="13"/>
      <c r="OU1108" s="291"/>
      <c r="OZ1108" s="13"/>
    </row>
    <row r="1109" spans="53:416" ht="10.75" customHeight="1">
      <c r="BA1109" s="12"/>
      <c r="BJ1109" s="13"/>
      <c r="BK1109" s="43"/>
      <c r="BL1109" s="119"/>
      <c r="BM1109" s="43"/>
      <c r="BN1109" s="12"/>
      <c r="DI1109" s="317"/>
      <c r="DK1109" s="319"/>
      <c r="DQ1109" s="297"/>
      <c r="FG1109" s="13"/>
      <c r="FH1109" s="43"/>
      <c r="FI1109" s="43"/>
      <c r="FJ1109" s="45"/>
      <c r="FT1109" s="291"/>
      <c r="JU1109" s="12"/>
      <c r="KB1109" s="12"/>
      <c r="KK1109" s="13"/>
      <c r="KM1109" s="18"/>
      <c r="KO1109" s="12"/>
      <c r="MR1109" s="297"/>
      <c r="NN1109" s="18"/>
      <c r="OH1109" s="13"/>
      <c r="OK1109" s="13"/>
      <c r="OU1109" s="291"/>
      <c r="OZ1109" s="13"/>
    </row>
    <row r="1110" spans="53:416" ht="10.75" customHeight="1">
      <c r="BA1110" s="12"/>
      <c r="BJ1110" s="13"/>
      <c r="BK1110" s="43"/>
      <c r="BL1110" s="119"/>
      <c r="BM1110" s="43"/>
      <c r="BN1110" s="12"/>
      <c r="DI1110" s="317"/>
      <c r="DK1110" s="319"/>
      <c r="DQ1110" s="297"/>
      <c r="FG1110" s="13"/>
      <c r="FH1110" s="43"/>
      <c r="FI1110" s="43"/>
      <c r="FJ1110" s="45"/>
      <c r="FT1110" s="291"/>
      <c r="JU1110" s="12"/>
      <c r="KB1110" s="12"/>
      <c r="KK1110" s="13"/>
      <c r="KM1110" s="18"/>
      <c r="KO1110" s="12"/>
      <c r="LF1110" s="13"/>
      <c r="LG1110" s="9"/>
      <c r="LH1110" s="10"/>
      <c r="LI1110" s="10"/>
      <c r="LJ1110" s="10"/>
      <c r="LK1110" s="10"/>
      <c r="LL1110" s="10"/>
      <c r="LM1110" s="10"/>
      <c r="LN1110" s="10"/>
      <c r="LO1110" s="10"/>
      <c r="LP1110" s="10"/>
      <c r="LQ1110" s="10"/>
      <c r="LR1110" s="10"/>
      <c r="LS1110" s="10"/>
      <c r="LT1110" s="10"/>
      <c r="LU1110" s="10"/>
      <c r="LV1110" s="10"/>
      <c r="LW1110" s="10"/>
      <c r="LX1110" s="10"/>
      <c r="LY1110" s="10"/>
      <c r="LZ1110" s="10"/>
      <c r="MA1110" s="10"/>
      <c r="MB1110" s="10"/>
      <c r="MC1110" s="10"/>
      <c r="MD1110" s="11"/>
      <c r="MR1110" s="297"/>
      <c r="NN1110" s="18"/>
      <c r="OH1110" s="13"/>
      <c r="OK1110" s="13"/>
      <c r="OU1110" s="291"/>
      <c r="OZ1110" s="13"/>
    </row>
    <row r="1111" spans="53:416" ht="10.75" customHeight="1">
      <c r="BA1111" s="12"/>
      <c r="BJ1111" s="13"/>
      <c r="BK1111" s="43"/>
      <c r="BL1111" s="119"/>
      <c r="BM1111" s="43"/>
      <c r="BN1111" s="12"/>
      <c r="DI1111" s="317"/>
      <c r="DK1111" s="319"/>
      <c r="DQ1111" s="297"/>
      <c r="FG1111" s="13"/>
      <c r="FH1111" s="43"/>
      <c r="FI1111" s="43"/>
      <c r="FJ1111" s="45"/>
      <c r="FT1111" s="291"/>
      <c r="JU1111" s="12"/>
      <c r="KB1111" s="12"/>
      <c r="KK1111" s="13"/>
      <c r="KM1111" s="18"/>
      <c r="KO1111" s="12"/>
      <c r="LF1111" s="13"/>
      <c r="LG1111" s="12"/>
      <c r="MD1111" s="13"/>
      <c r="MJ1111" s="317"/>
      <c r="ML1111" s="319"/>
      <c r="MR1111" s="297"/>
      <c r="NN1111" s="18"/>
      <c r="OH1111" s="13"/>
      <c r="OK1111" s="13"/>
      <c r="OU1111" s="291"/>
      <c r="OZ1111" s="13"/>
    </row>
    <row r="1112" spans="53:416" ht="10.75" customHeight="1">
      <c r="BA1112" s="12"/>
      <c r="BJ1112" s="13"/>
      <c r="BK1112" s="43"/>
      <c r="BL1112" s="119"/>
      <c r="BM1112" s="43"/>
      <c r="BN1112" s="12"/>
      <c r="DI1112" s="317"/>
      <c r="DK1112" s="319"/>
      <c r="DQ1112" s="297"/>
      <c r="FG1112" s="13"/>
      <c r="FH1112" s="43"/>
      <c r="FI1112" s="43"/>
      <c r="FJ1112" s="45"/>
      <c r="FT1112" s="291"/>
      <c r="JU1112" s="12"/>
      <c r="KB1112" s="12"/>
      <c r="KK1112" s="13"/>
      <c r="KM1112" s="18"/>
      <c r="KO1112" s="12"/>
      <c r="LF1112" s="13"/>
      <c r="LG1112" s="12"/>
      <c r="MD1112" s="13"/>
      <c r="MJ1112" s="317"/>
      <c r="ML1112" s="319"/>
      <c r="MR1112" s="297"/>
      <c r="NN1112" s="18"/>
      <c r="OH1112" s="13"/>
      <c r="OK1112" s="13"/>
      <c r="OU1112" s="291"/>
      <c r="OZ1112" s="13"/>
    </row>
    <row r="1113" spans="53:416" ht="10.75" customHeight="1">
      <c r="BA1113" s="12"/>
      <c r="BJ1113" s="13"/>
      <c r="BK1113" s="43"/>
      <c r="BL1113" s="43"/>
      <c r="BM1113" s="43"/>
      <c r="BN1113" s="12"/>
      <c r="DI1113" s="317"/>
      <c r="DK1113" s="319"/>
      <c r="DQ1113" s="297"/>
      <c r="FG1113" s="13"/>
      <c r="FH1113" s="43"/>
      <c r="FI1113" s="43"/>
      <c r="FJ1113" s="45"/>
      <c r="FT1113" s="291"/>
      <c r="JU1113" s="12"/>
      <c r="KB1113" s="12"/>
      <c r="KK1113" s="13"/>
      <c r="KM1113" s="18"/>
      <c r="KO1113" s="12"/>
      <c r="LF1113" s="13"/>
      <c r="LG1113" s="12"/>
      <c r="MD1113" s="13"/>
      <c r="MJ1113" s="317"/>
      <c r="ML1113" s="319"/>
      <c r="MR1113" s="297"/>
      <c r="NN1113" s="18"/>
      <c r="OH1113" s="13"/>
      <c r="OK1113" s="13"/>
      <c r="OU1113" s="291"/>
      <c r="OZ1113" s="13"/>
    </row>
    <row r="1114" spans="53:416" ht="10.75" customHeight="1">
      <c r="BA1114" s="12"/>
      <c r="BJ1114" s="13"/>
      <c r="BK1114" s="47"/>
      <c r="BL1114" s="47"/>
      <c r="BM1114" s="47"/>
      <c r="BN1114" s="14"/>
      <c r="BO1114" s="15"/>
      <c r="BP1114" s="15"/>
      <c r="BQ1114" s="15"/>
      <c r="BR1114" s="15"/>
      <c r="BS1114" s="15"/>
      <c r="BT1114" s="15"/>
      <c r="BU1114" s="15"/>
      <c r="BV1114" s="15"/>
      <c r="BW1114" s="15"/>
      <c r="BX1114" s="15"/>
      <c r="BY1114" s="15"/>
      <c r="BZ1114" s="15"/>
      <c r="CA1114" s="15"/>
      <c r="CB1114" s="15"/>
      <c r="CC1114" s="15"/>
      <c r="CD1114" s="15"/>
      <c r="CE1114" s="15"/>
      <c r="CF1114" s="15"/>
      <c r="CG1114" s="15"/>
      <c r="CH1114" s="15"/>
      <c r="CI1114" s="15"/>
      <c r="CJ1114" s="15"/>
      <c r="CK1114" s="15"/>
      <c r="CL1114" s="15"/>
      <c r="CM1114" s="15"/>
      <c r="CN1114" s="15"/>
      <c r="CO1114" s="15"/>
      <c r="CP1114" s="15"/>
      <c r="CQ1114" s="15"/>
      <c r="CR1114" s="15"/>
      <c r="CS1114" s="15"/>
      <c r="CT1114" s="15"/>
      <c r="CU1114" s="15"/>
      <c r="CV1114" s="15"/>
      <c r="CW1114" s="15"/>
      <c r="CX1114" s="15"/>
      <c r="CY1114" s="15"/>
      <c r="CZ1114" s="15"/>
      <c r="DA1114" s="15"/>
      <c r="DB1114" s="15"/>
      <c r="DC1114" s="15"/>
      <c r="DD1114" s="15"/>
      <c r="DE1114" s="15"/>
      <c r="DF1114" s="15"/>
      <c r="DG1114" s="15"/>
      <c r="DH1114" s="15"/>
      <c r="DI1114" s="318"/>
      <c r="DJ1114" s="15"/>
      <c r="DK1114" s="320"/>
      <c r="DL1114" s="15"/>
      <c r="DM1114" s="15"/>
      <c r="DN1114" s="15"/>
      <c r="DO1114" s="15"/>
      <c r="DP1114" s="15"/>
      <c r="DQ1114" s="321"/>
      <c r="DR1114" s="15"/>
      <c r="DS1114" s="15"/>
      <c r="DT1114" s="15"/>
      <c r="DU1114" s="15"/>
      <c r="DV1114" s="15"/>
      <c r="DW1114" s="15"/>
      <c r="DX1114" s="15"/>
      <c r="DY1114" s="15"/>
      <c r="DZ1114" s="15"/>
      <c r="EA1114" s="15"/>
      <c r="EB1114" s="15"/>
      <c r="EC1114" s="15"/>
      <c r="ED1114" s="15"/>
      <c r="EE1114" s="15"/>
      <c r="EF1114" s="15"/>
      <c r="EG1114" s="15"/>
      <c r="EH1114" s="15"/>
      <c r="EI1114" s="15"/>
      <c r="EJ1114" s="15"/>
      <c r="EK1114" s="15"/>
      <c r="EL1114" s="15"/>
      <c r="EM1114" s="15"/>
      <c r="EN1114" s="15"/>
      <c r="EO1114" s="15"/>
      <c r="EP1114" s="15"/>
      <c r="EQ1114" s="15"/>
      <c r="ER1114" s="15"/>
      <c r="ES1114" s="15"/>
      <c r="ET1114" s="15"/>
      <c r="EU1114" s="15"/>
      <c r="EV1114" s="15"/>
      <c r="EW1114" s="15"/>
      <c r="EX1114" s="15"/>
      <c r="EY1114" s="15"/>
      <c r="EZ1114" s="15"/>
      <c r="FA1114" s="15"/>
      <c r="FB1114" s="15"/>
      <c r="FC1114" s="15"/>
      <c r="FD1114" s="15"/>
      <c r="FE1114" s="15"/>
      <c r="FF1114" s="15"/>
      <c r="FG1114" s="16"/>
      <c r="FH1114" s="43"/>
      <c r="FI1114" s="43"/>
      <c r="FJ1114" s="45"/>
      <c r="FT1114" s="291"/>
      <c r="JU1114" s="12"/>
      <c r="KB1114" s="12"/>
      <c r="KK1114" s="13"/>
      <c r="KM1114" s="18"/>
      <c r="KO1114" s="12"/>
      <c r="LF1114" s="13"/>
      <c r="LG1114" s="12"/>
      <c r="MD1114" s="13"/>
      <c r="MJ1114" s="317"/>
      <c r="ML1114" s="319"/>
      <c r="MR1114" s="297"/>
      <c r="NN1114" s="18"/>
      <c r="OH1114" s="13"/>
      <c r="OK1114" s="13"/>
      <c r="OU1114" s="291"/>
      <c r="OZ1114" s="13"/>
    </row>
    <row r="1115" spans="53:416" ht="10.75" customHeight="1">
      <c r="BA1115" s="12"/>
      <c r="BK1115" s="56"/>
      <c r="BL1115" s="57"/>
      <c r="BM1115" s="58"/>
      <c r="BN1115" s="43"/>
      <c r="BO1115" s="43"/>
      <c r="BP1115" s="43"/>
      <c r="BQ1115" s="43"/>
      <c r="BR1115" s="43"/>
      <c r="BS1115" s="43"/>
      <c r="BT1115" s="43"/>
      <c r="BU1115" s="43"/>
      <c r="BV1115" s="43"/>
      <c r="BW1115" s="43"/>
      <c r="BX1115" s="43"/>
      <c r="BY1115" s="43"/>
      <c r="BZ1115" s="43"/>
      <c r="CA1115" s="43"/>
      <c r="CB1115" s="43"/>
      <c r="CC1115" s="43"/>
      <c r="CD1115" s="43"/>
      <c r="CE1115" s="43"/>
      <c r="CF1115" s="43"/>
      <c r="CG1115" s="43"/>
      <c r="CH1115" s="43"/>
      <c r="CI1115" s="43"/>
      <c r="CJ1115" s="43"/>
      <c r="CK1115" s="43"/>
      <c r="CL1115" s="43"/>
      <c r="CM1115" s="43"/>
      <c r="CN1115" s="43"/>
      <c r="CO1115" s="43"/>
      <c r="CP1115" s="43"/>
      <c r="CQ1115" s="43"/>
      <c r="CR1115" s="43"/>
      <c r="CS1115" s="43"/>
      <c r="CT1115" s="43"/>
      <c r="CU1115" s="43"/>
      <c r="CV1115" s="43"/>
      <c r="CW1115" s="43"/>
      <c r="CX1115" s="43"/>
      <c r="CY1115" s="43"/>
      <c r="CZ1115" s="43"/>
      <c r="DA1115" s="43"/>
      <c r="DB1115" s="43"/>
      <c r="DC1115" s="43"/>
      <c r="DD1115" s="43"/>
      <c r="DE1115" s="43"/>
      <c r="DF1115" s="43"/>
      <c r="DG1115" s="43"/>
      <c r="DH1115" s="43"/>
      <c r="DI1115" s="96"/>
      <c r="DJ1115" s="97"/>
      <c r="DK1115" s="98"/>
      <c r="DL1115" s="43"/>
      <c r="DM1115" s="43"/>
      <c r="DN1115" s="43"/>
      <c r="DO1115" s="43"/>
      <c r="DP1115" s="43"/>
      <c r="DQ1115" s="43"/>
      <c r="DR1115" s="43"/>
      <c r="DS1115" s="43"/>
      <c r="DT1115" s="43"/>
      <c r="DU1115" s="43"/>
      <c r="DV1115" s="43"/>
      <c r="DW1115" s="43"/>
      <c r="DX1115" s="43"/>
      <c r="DY1115" s="43"/>
      <c r="DZ1115" s="43"/>
      <c r="EA1115" s="43"/>
      <c r="EB1115" s="43"/>
      <c r="EC1115" s="43"/>
      <c r="ED1115" s="43"/>
      <c r="EE1115" s="43"/>
      <c r="EF1115" s="43"/>
      <c r="EG1115" s="43"/>
      <c r="EH1115" s="43"/>
      <c r="EI1115" s="43"/>
      <c r="EJ1115" s="43"/>
      <c r="EK1115" s="43"/>
      <c r="EL1115" s="43"/>
      <c r="EM1115" s="43"/>
      <c r="EN1115" s="43"/>
      <c r="EO1115" s="43"/>
      <c r="EP1115" s="43"/>
      <c r="EQ1115" s="43"/>
      <c r="ER1115" s="43"/>
      <c r="ES1115" s="43"/>
      <c r="ET1115" s="43"/>
      <c r="EU1115" s="43"/>
      <c r="EV1115" s="43"/>
      <c r="EW1115" s="43"/>
      <c r="EX1115" s="43"/>
      <c r="EY1115" s="43"/>
      <c r="EZ1115" s="43"/>
      <c r="FA1115" s="43"/>
      <c r="FB1115" s="43"/>
      <c r="FC1115" s="43"/>
      <c r="FD1115" s="43"/>
      <c r="FE1115" s="43"/>
      <c r="FF1115" s="43"/>
      <c r="FG1115" s="43"/>
      <c r="FH1115" s="56"/>
      <c r="FI1115" s="57"/>
      <c r="FJ1115" s="58"/>
      <c r="FT1115" s="291"/>
      <c r="JU1115" s="12"/>
      <c r="KB1115" s="12"/>
      <c r="KK1115" s="13"/>
      <c r="KM1115" s="18"/>
      <c r="KO1115" s="12"/>
      <c r="LF1115" s="13"/>
      <c r="LG1115" s="12"/>
      <c r="MD1115" s="13"/>
      <c r="MJ1115" s="317"/>
      <c r="ML1115" s="319"/>
      <c r="MR1115" s="297"/>
      <c r="NN1115" s="18"/>
      <c r="OH1115" s="13"/>
      <c r="OK1115" s="13"/>
      <c r="OU1115" s="291"/>
      <c r="OZ1115" s="13"/>
    </row>
    <row r="1116" spans="53:416" ht="10.75" customHeight="1">
      <c r="BA1116" s="12"/>
      <c r="BK1116" s="96"/>
      <c r="BL1116" s="97"/>
      <c r="BM1116" s="98"/>
      <c r="BN1116" s="43"/>
      <c r="BO1116" s="43"/>
      <c r="BP1116" s="43"/>
      <c r="BQ1116" s="43"/>
      <c r="BR1116" s="43"/>
      <c r="BS1116" s="43"/>
      <c r="BT1116" s="43"/>
      <c r="BU1116" s="43"/>
      <c r="BV1116" s="43"/>
      <c r="BW1116" s="43"/>
      <c r="BX1116" s="43"/>
      <c r="BY1116" s="43"/>
      <c r="BZ1116" s="43"/>
      <c r="CA1116" s="43"/>
      <c r="CB1116" s="43"/>
      <c r="CC1116" s="43"/>
      <c r="CD1116" s="43"/>
      <c r="CE1116" s="43"/>
      <c r="CF1116" s="43"/>
      <c r="CG1116" s="43"/>
      <c r="CH1116" s="43"/>
      <c r="CI1116" s="43"/>
      <c r="CJ1116" s="43"/>
      <c r="CK1116" s="43"/>
      <c r="CL1116" s="43"/>
      <c r="CM1116" s="43"/>
      <c r="CN1116" s="43"/>
      <c r="CO1116" s="43"/>
      <c r="CP1116" s="43"/>
      <c r="CQ1116" s="43"/>
      <c r="CR1116" s="43"/>
      <c r="CS1116" s="43"/>
      <c r="CT1116" s="43"/>
      <c r="CU1116" s="43"/>
      <c r="CV1116" s="43"/>
      <c r="CW1116" s="43"/>
      <c r="CX1116" s="43"/>
      <c r="CY1116" s="43"/>
      <c r="CZ1116" s="43"/>
      <c r="DA1116" s="43"/>
      <c r="DB1116" s="43"/>
      <c r="DC1116" s="43"/>
      <c r="DD1116" s="43"/>
      <c r="DE1116" s="43"/>
      <c r="DF1116" s="43"/>
      <c r="DG1116" s="43"/>
      <c r="DH1116" s="43"/>
      <c r="DI1116" s="96"/>
      <c r="DJ1116" s="97"/>
      <c r="DK1116" s="98"/>
      <c r="DL1116" s="43"/>
      <c r="DM1116" s="43"/>
      <c r="DN1116" s="43"/>
      <c r="DO1116" s="43"/>
      <c r="DP1116" s="43"/>
      <c r="DQ1116" s="43"/>
      <c r="DR1116" s="43"/>
      <c r="DS1116" s="43"/>
      <c r="DT1116" s="43"/>
      <c r="DU1116" s="43"/>
      <c r="DV1116" s="43"/>
      <c r="DW1116" s="43"/>
      <c r="DX1116" s="43"/>
      <c r="DY1116" s="43"/>
      <c r="DZ1116" s="43"/>
      <c r="EA1116" s="43"/>
      <c r="EB1116" s="43"/>
      <c r="EC1116" s="43"/>
      <c r="ED1116" s="43"/>
      <c r="EE1116" s="43"/>
      <c r="EF1116" s="43"/>
      <c r="EG1116" s="43"/>
      <c r="EH1116" s="43"/>
      <c r="EI1116" s="43"/>
      <c r="EJ1116" s="43"/>
      <c r="EK1116" s="43"/>
      <c r="EL1116" s="43"/>
      <c r="EM1116" s="43"/>
      <c r="EN1116" s="43"/>
      <c r="EO1116" s="43"/>
      <c r="EP1116" s="43"/>
      <c r="EQ1116" s="43"/>
      <c r="ER1116" s="43"/>
      <c r="ES1116" s="43"/>
      <c r="ET1116" s="119"/>
      <c r="EU1116" s="119"/>
      <c r="EV1116" s="119"/>
      <c r="EW1116" s="119"/>
      <c r="EX1116" s="119"/>
      <c r="EY1116" s="119"/>
      <c r="EZ1116" s="119"/>
      <c r="FA1116" s="119"/>
      <c r="FB1116" s="119"/>
      <c r="FC1116" s="119"/>
      <c r="FD1116" s="119"/>
      <c r="FE1116" s="119"/>
      <c r="FF1116" s="43"/>
      <c r="FG1116" s="43"/>
      <c r="FH1116" s="96"/>
      <c r="FI1116" s="97"/>
      <c r="FJ1116" s="98"/>
      <c r="FT1116" s="291"/>
      <c r="JU1116" s="12"/>
      <c r="KB1116" s="12"/>
      <c r="KK1116" s="13"/>
      <c r="KM1116" s="19"/>
      <c r="KO1116" s="12"/>
      <c r="LF1116" s="13"/>
      <c r="LG1116" s="12"/>
      <c r="MD1116" s="13"/>
      <c r="MJ1116" s="317"/>
      <c r="ML1116" s="319"/>
      <c r="MR1116" s="297"/>
      <c r="NN1116" s="18"/>
      <c r="OH1116" s="13"/>
      <c r="OK1116" s="13"/>
      <c r="OU1116" s="291"/>
      <c r="OZ1116" s="13"/>
    </row>
    <row r="1117" spans="53:416" ht="10.75" customHeight="1">
      <c r="BA1117" s="14"/>
      <c r="BB1117" s="15"/>
      <c r="BC1117" s="15"/>
      <c r="BD1117" s="15"/>
      <c r="BE1117" s="15"/>
      <c r="BF1117" s="15"/>
      <c r="BG1117" s="15"/>
      <c r="BH1117" s="15"/>
      <c r="BI1117" s="15"/>
      <c r="BJ1117" s="15"/>
      <c r="BK1117" s="59"/>
      <c r="BL1117" s="60"/>
      <c r="BM1117" s="61"/>
      <c r="BN1117" s="47"/>
      <c r="BO1117" s="47"/>
      <c r="BP1117" s="47"/>
      <c r="BQ1117" s="47"/>
      <c r="BR1117" s="47"/>
      <c r="BS1117" s="47"/>
      <c r="BT1117" s="47"/>
      <c r="BU1117" s="47"/>
      <c r="BV1117" s="47"/>
      <c r="BW1117" s="47"/>
      <c r="BX1117" s="47"/>
      <c r="BY1117" s="47"/>
      <c r="BZ1117" s="47"/>
      <c r="CA1117" s="47"/>
      <c r="CB1117" s="47"/>
      <c r="CC1117" s="47"/>
      <c r="CD1117" s="47"/>
      <c r="CE1117" s="47"/>
      <c r="CF1117" s="47"/>
      <c r="CG1117" s="47"/>
      <c r="CH1117" s="47"/>
      <c r="CI1117" s="47"/>
      <c r="CJ1117" s="47"/>
      <c r="CK1117" s="47"/>
      <c r="CL1117" s="47"/>
      <c r="CM1117" s="47"/>
      <c r="CN1117" s="47"/>
      <c r="CO1117" s="47"/>
      <c r="CP1117" s="47"/>
      <c r="CQ1117" s="47"/>
      <c r="CR1117" s="47"/>
      <c r="CS1117" s="47"/>
      <c r="CT1117" s="47"/>
      <c r="CU1117" s="47"/>
      <c r="CV1117" s="47"/>
      <c r="CW1117" s="47"/>
      <c r="CX1117" s="47"/>
      <c r="CY1117" s="47"/>
      <c r="CZ1117" s="47"/>
      <c r="DA1117" s="47"/>
      <c r="DB1117" s="47"/>
      <c r="DC1117" s="47"/>
      <c r="DD1117" s="47"/>
      <c r="DE1117" s="47"/>
      <c r="DF1117" s="47"/>
      <c r="DG1117" s="47"/>
      <c r="DH1117" s="47"/>
      <c r="DI1117" s="59"/>
      <c r="DJ1117" s="60"/>
      <c r="DK1117" s="61"/>
      <c r="DL1117" s="47"/>
      <c r="DM1117" s="47"/>
      <c r="DN1117" s="47"/>
      <c r="DO1117" s="47"/>
      <c r="DP1117" s="47"/>
      <c r="DQ1117" s="47"/>
      <c r="DR1117" s="47"/>
      <c r="DS1117" s="47"/>
      <c r="DT1117" s="47"/>
      <c r="DU1117" s="47"/>
      <c r="DV1117" s="47"/>
      <c r="DW1117" s="47"/>
      <c r="DX1117" s="47"/>
      <c r="DY1117" s="47"/>
      <c r="DZ1117" s="47"/>
      <c r="EA1117" s="47"/>
      <c r="EB1117" s="47"/>
      <c r="EC1117" s="47"/>
      <c r="ED1117" s="47"/>
      <c r="EE1117" s="47"/>
      <c r="EF1117" s="47"/>
      <c r="EG1117" s="47"/>
      <c r="EH1117" s="47"/>
      <c r="EI1117" s="47"/>
      <c r="EJ1117" s="47"/>
      <c r="EK1117" s="47"/>
      <c r="EL1117" s="47"/>
      <c r="EM1117" s="47"/>
      <c r="EN1117" s="47"/>
      <c r="EO1117" s="47"/>
      <c r="EP1117" s="47"/>
      <c r="EQ1117" s="47"/>
      <c r="ER1117" s="47"/>
      <c r="ES1117" s="47"/>
      <c r="ET1117" s="47"/>
      <c r="EU1117" s="47"/>
      <c r="EV1117" s="47"/>
      <c r="EW1117" s="47"/>
      <c r="EX1117" s="47"/>
      <c r="EY1117" s="47"/>
      <c r="EZ1117" s="47"/>
      <c r="FA1117" s="47"/>
      <c r="FB1117" s="47"/>
      <c r="FC1117" s="47"/>
      <c r="FD1117" s="47"/>
      <c r="FE1117" s="47"/>
      <c r="FF1117" s="47"/>
      <c r="FG1117" s="47"/>
      <c r="FH1117" s="96"/>
      <c r="FI1117" s="97"/>
      <c r="FJ1117" s="98"/>
      <c r="FT1117" s="291"/>
      <c r="JU1117" s="12"/>
      <c r="KB1117" s="12"/>
      <c r="KK1117" s="13"/>
      <c r="KL1117" s="15"/>
      <c r="KM1117" s="15"/>
      <c r="KN1117" s="15"/>
      <c r="KO1117" s="14"/>
      <c r="KP1117" s="15"/>
      <c r="KQ1117" s="15"/>
      <c r="KR1117" s="15"/>
      <c r="KS1117" s="15"/>
      <c r="KT1117" s="15"/>
      <c r="KU1117" s="15"/>
      <c r="KV1117" s="15"/>
      <c r="KW1117" s="15"/>
      <c r="KX1117" s="15"/>
      <c r="KY1117" s="15"/>
      <c r="KZ1117" s="15"/>
      <c r="LA1117" s="15"/>
      <c r="LB1117" s="15"/>
      <c r="LC1117" s="15"/>
      <c r="LD1117" s="15"/>
      <c r="LE1117" s="15"/>
      <c r="LF1117" s="16"/>
      <c r="LG1117" s="14"/>
      <c r="LH1117" s="15"/>
      <c r="LI1117" s="15"/>
      <c r="LJ1117" s="15"/>
      <c r="LK1117" s="15"/>
      <c r="LL1117" s="15"/>
      <c r="LM1117" s="15"/>
      <c r="LN1117" s="15"/>
      <c r="LO1117" s="15"/>
      <c r="LP1117" s="15"/>
      <c r="LQ1117" s="15"/>
      <c r="LR1117" s="15"/>
      <c r="LS1117" s="15"/>
      <c r="LT1117" s="15"/>
      <c r="LU1117" s="15"/>
      <c r="LV1117" s="15"/>
      <c r="LW1117" s="15"/>
      <c r="LX1117" s="15"/>
      <c r="LY1117" s="15"/>
      <c r="LZ1117" s="15"/>
      <c r="MA1117" s="15"/>
      <c r="MB1117" s="15"/>
      <c r="MC1117" s="15"/>
      <c r="MD1117" s="16"/>
      <c r="ME1117" s="15"/>
      <c r="MF1117" s="15"/>
      <c r="MG1117" s="15"/>
      <c r="MH1117" s="15"/>
      <c r="MI1117" s="15"/>
      <c r="MJ1117" s="318"/>
      <c r="MK1117" s="15"/>
      <c r="ML1117" s="320"/>
      <c r="MM1117" s="15"/>
      <c r="MN1117" s="15"/>
      <c r="MO1117" s="15"/>
      <c r="MP1117" s="15"/>
      <c r="MQ1117" s="15"/>
      <c r="MR1117" s="321"/>
      <c r="MS1117" s="15"/>
      <c r="MT1117" s="15"/>
      <c r="MU1117" s="15"/>
      <c r="MV1117" s="15"/>
      <c r="MW1117" s="15"/>
      <c r="MX1117" s="15"/>
      <c r="MY1117" s="15"/>
      <c r="MZ1117" s="15"/>
      <c r="NA1117" s="15"/>
      <c r="NB1117" s="15"/>
      <c r="NC1117" s="15"/>
      <c r="ND1117" s="15"/>
      <c r="NE1117" s="15"/>
      <c r="NF1117" s="15"/>
      <c r="NG1117" s="15"/>
      <c r="NH1117" s="15"/>
      <c r="NI1117" s="15"/>
      <c r="NJ1117" s="15"/>
      <c r="NK1117" s="15"/>
      <c r="NL1117" s="15"/>
      <c r="NM1117" s="15"/>
      <c r="NN1117" s="19"/>
      <c r="NO1117" s="15"/>
      <c r="NP1117" s="15"/>
      <c r="NQ1117" s="15"/>
      <c r="NR1117" s="15"/>
      <c r="NS1117" s="15"/>
      <c r="NT1117" s="15"/>
      <c r="NU1117" s="15"/>
      <c r="NV1117" s="15"/>
      <c r="NW1117" s="15"/>
      <c r="NX1117" s="15"/>
      <c r="NY1117" s="15"/>
      <c r="NZ1117" s="15"/>
      <c r="OA1117" s="15"/>
      <c r="OB1117" s="15"/>
      <c r="OC1117" s="15"/>
      <c r="OD1117" s="15"/>
      <c r="OE1117" s="15"/>
      <c r="OF1117" s="15"/>
      <c r="OG1117" s="15"/>
      <c r="OH1117" s="16"/>
      <c r="OK1117" s="13"/>
      <c r="OU1117" s="291"/>
      <c r="OZ1117" s="13"/>
    </row>
    <row r="1118" spans="53:416" ht="10.75" customHeight="1">
      <c r="BK1118" s="59"/>
      <c r="BL1118" s="60"/>
      <c r="BM1118" s="61"/>
      <c r="DI1118" s="59"/>
      <c r="DJ1118" s="60"/>
      <c r="DK1118" s="61"/>
      <c r="FG1118" s="10"/>
      <c r="FH1118" s="59"/>
      <c r="FI1118" s="60"/>
      <c r="FJ1118" s="61"/>
      <c r="FR1118" s="322"/>
      <c r="FS1118" s="322"/>
      <c r="FT1118" s="322"/>
      <c r="FU1118" s="322"/>
      <c r="JU1118" s="12"/>
      <c r="KB1118" s="12"/>
      <c r="KL1118" s="327"/>
      <c r="KM1118" s="328"/>
      <c r="KN1118" s="329"/>
      <c r="MJ1118" s="330"/>
      <c r="MK1118" s="338"/>
      <c r="ML1118" s="331"/>
      <c r="OI1118" s="327"/>
      <c r="OJ1118" s="328"/>
      <c r="OK1118" s="329"/>
      <c r="OU1118" s="291"/>
      <c r="OZ1118" s="13"/>
    </row>
    <row r="1119" spans="53:416" ht="10.75" customHeight="1">
      <c r="JU1119" s="12"/>
      <c r="KB1119" s="12"/>
      <c r="KL1119" s="330"/>
      <c r="KM1119" s="338"/>
      <c r="KN1119" s="331"/>
      <c r="MJ1119" s="330"/>
      <c r="MK1119" s="338"/>
      <c r="ML1119" s="331"/>
      <c r="NU1119" s="20"/>
      <c r="NV1119" s="21"/>
      <c r="NW1119" s="21"/>
      <c r="NX1119" s="21"/>
      <c r="NY1119" s="21"/>
      <c r="NZ1119" s="21"/>
      <c r="OA1119" s="21"/>
      <c r="OB1119" s="21"/>
      <c r="OC1119" s="21"/>
      <c r="OD1119" s="21"/>
      <c r="OE1119" s="22"/>
      <c r="OI1119" s="330"/>
      <c r="OJ1119" s="338"/>
      <c r="OK1119" s="331"/>
      <c r="OU1119" s="291"/>
      <c r="OZ1119" s="13"/>
    </row>
    <row r="1120" spans="53:416" ht="10.75" customHeight="1">
      <c r="JU1120" s="12"/>
      <c r="KB1120" s="14"/>
      <c r="KC1120" s="15"/>
      <c r="KD1120" s="15"/>
      <c r="KE1120" s="15"/>
      <c r="KF1120" s="15"/>
      <c r="KG1120" s="15"/>
      <c r="KH1120" s="15"/>
      <c r="KI1120" s="15"/>
      <c r="KJ1120" s="15"/>
      <c r="KK1120" s="15"/>
      <c r="KL1120" s="332"/>
      <c r="KM1120" s="333"/>
      <c r="KN1120" s="334"/>
      <c r="KO1120" s="15"/>
      <c r="KP1120" s="15"/>
      <c r="KQ1120" s="15"/>
      <c r="KR1120" s="15"/>
      <c r="KS1120" s="15"/>
      <c r="KT1120" s="15"/>
      <c r="KU1120" s="15"/>
      <c r="KV1120" s="15"/>
      <c r="KW1120" s="15"/>
      <c r="KX1120" s="15"/>
      <c r="KY1120" s="15"/>
      <c r="KZ1120" s="15"/>
      <c r="LA1120" s="15"/>
      <c r="LB1120" s="15"/>
      <c r="LC1120" s="15"/>
      <c r="LD1120" s="15"/>
      <c r="LE1120" s="15"/>
      <c r="LF1120" s="15"/>
      <c r="LG1120" s="15"/>
      <c r="LH1120" s="15"/>
      <c r="LI1120" s="15"/>
      <c r="LJ1120" s="15"/>
      <c r="LK1120" s="15"/>
      <c r="LL1120" s="15"/>
      <c r="LM1120" s="15"/>
      <c r="LN1120" s="15"/>
      <c r="LO1120" s="15"/>
      <c r="LP1120" s="15"/>
      <c r="LQ1120" s="15"/>
      <c r="LR1120" s="15"/>
      <c r="LS1120" s="15"/>
      <c r="LT1120" s="15"/>
      <c r="LU1120" s="15"/>
      <c r="LV1120" s="15"/>
      <c r="LW1120" s="15"/>
      <c r="LX1120" s="15"/>
      <c r="LY1120" s="15"/>
      <c r="LZ1120" s="15"/>
      <c r="MA1120" s="15"/>
      <c r="MB1120" s="15"/>
      <c r="MC1120" s="15"/>
      <c r="MD1120" s="15"/>
      <c r="ME1120" s="15"/>
      <c r="MF1120" s="15"/>
      <c r="MG1120" s="15"/>
      <c r="MH1120" s="15"/>
      <c r="MI1120" s="15"/>
      <c r="MJ1120" s="332"/>
      <c r="MK1120" s="333"/>
      <c r="ML1120" s="334"/>
      <c r="MM1120" s="15"/>
      <c r="MN1120" s="15"/>
      <c r="MO1120" s="15"/>
      <c r="MP1120" s="15"/>
      <c r="MQ1120" s="15"/>
      <c r="MR1120" s="15"/>
      <c r="MS1120" s="15"/>
      <c r="MT1120" s="15"/>
      <c r="MU1120" s="15"/>
      <c r="MV1120" s="15"/>
      <c r="MW1120" s="15"/>
      <c r="MX1120" s="15"/>
      <c r="MY1120" s="15"/>
      <c r="MZ1120" s="15"/>
      <c r="NA1120" s="15"/>
      <c r="NB1120" s="15"/>
      <c r="NC1120" s="15"/>
      <c r="ND1120" s="15"/>
      <c r="NE1120" s="15"/>
      <c r="NF1120" s="15"/>
      <c r="NG1120" s="15"/>
      <c r="NH1120" s="15"/>
      <c r="NI1120" s="15"/>
      <c r="NJ1120" s="15"/>
      <c r="NK1120" s="15"/>
      <c r="NL1120" s="15"/>
      <c r="NM1120" s="15"/>
      <c r="NN1120" s="15"/>
      <c r="NO1120" s="15"/>
      <c r="NP1120" s="15"/>
      <c r="NQ1120" s="15"/>
      <c r="NR1120" s="15"/>
      <c r="NS1120" s="15"/>
      <c r="NT1120" s="15"/>
      <c r="NU1120" s="15"/>
      <c r="NV1120" s="15"/>
      <c r="NW1120" s="15"/>
      <c r="NX1120" s="15"/>
      <c r="NY1120" s="15"/>
      <c r="NZ1120" s="15"/>
      <c r="OA1120" s="15"/>
      <c r="OB1120" s="15"/>
      <c r="OC1120" s="15"/>
      <c r="OD1120" s="15"/>
      <c r="OE1120" s="15"/>
      <c r="OF1120" s="15"/>
      <c r="OG1120" s="15"/>
      <c r="OH1120" s="15"/>
      <c r="OI1120" s="330"/>
      <c r="OJ1120" s="338"/>
      <c r="OK1120" s="331"/>
      <c r="OU1120" s="291"/>
      <c r="OZ1120" s="13"/>
    </row>
    <row r="1121" spans="63:416" ht="10.75" customHeight="1">
      <c r="JU1121" s="12"/>
      <c r="KL1121" s="332"/>
      <c r="KM1121" s="333"/>
      <c r="KN1121" s="334"/>
      <c r="MJ1121" s="332"/>
      <c r="MK1121" s="333"/>
      <c r="ML1121" s="334"/>
      <c r="NQ1121" s="9"/>
      <c r="NR1121" s="10"/>
      <c r="NS1121" s="10"/>
      <c r="NT1121" s="10"/>
      <c r="NU1121" s="10"/>
      <c r="NV1121" s="10"/>
      <c r="NW1121" s="10"/>
      <c r="NX1121" s="10"/>
      <c r="NY1121" s="10"/>
      <c r="NZ1121" s="10"/>
      <c r="OA1121" s="10"/>
      <c r="OB1121" s="10"/>
      <c r="OC1121" s="10"/>
      <c r="OD1121" s="10"/>
      <c r="OE1121" s="10"/>
      <c r="OF1121" s="10"/>
      <c r="OG1121" s="10"/>
      <c r="OH1121" s="11"/>
      <c r="OI1121" s="333"/>
      <c r="OJ1121" s="333"/>
      <c r="OK1121" s="334"/>
      <c r="OS1121" s="322"/>
      <c r="OT1121" s="322"/>
      <c r="OU1121" s="322"/>
      <c r="OV1121" s="322"/>
      <c r="OZ1121" s="13"/>
    </row>
    <row r="1122" spans="63:416" ht="10.75" customHeight="1">
      <c r="JU1122" s="12"/>
      <c r="NQ1122" s="12"/>
      <c r="OH1122" s="13"/>
      <c r="OZ1122" s="13"/>
    </row>
    <row r="1123" spans="63:416" ht="10.75" customHeight="1">
      <c r="BK1123" s="291"/>
      <c r="FK1123" s="291"/>
      <c r="JU1123" s="12"/>
      <c r="NQ1123" s="12"/>
      <c r="OH1123" s="13"/>
      <c r="OZ1123" s="13"/>
    </row>
    <row r="1124" spans="63:416" ht="10.75" customHeight="1">
      <c r="BK1124" s="293"/>
      <c r="BL1124" s="294"/>
      <c r="BM1124" s="294"/>
      <c r="BN1124" s="294"/>
      <c r="BO1124" s="294"/>
      <c r="BP1124" s="294"/>
      <c r="BQ1124" s="294"/>
      <c r="BR1124" s="294"/>
      <c r="BS1124" s="294"/>
      <c r="BT1124" s="294"/>
      <c r="BU1124" s="294"/>
      <c r="BV1124" s="294"/>
      <c r="BW1124" s="294"/>
      <c r="BX1124" s="294"/>
      <c r="BY1124" s="294"/>
      <c r="BZ1124" s="294"/>
      <c r="CA1124" s="294"/>
      <c r="CB1124" s="294"/>
      <c r="CC1124" s="294"/>
      <c r="CD1124" s="294"/>
      <c r="CE1124" s="294"/>
      <c r="CF1124" s="294"/>
      <c r="CG1124" s="294"/>
      <c r="CH1124" s="294"/>
      <c r="CI1124" s="294"/>
      <c r="CJ1124" s="294"/>
      <c r="CK1124" s="294"/>
      <c r="CL1124" s="294"/>
      <c r="CM1124" s="294"/>
      <c r="CN1124" s="294"/>
      <c r="CO1124" s="294"/>
      <c r="CP1124" s="294"/>
      <c r="CQ1124" s="294"/>
      <c r="CR1124" s="294"/>
      <c r="CS1124" s="294"/>
      <c r="CT1124" s="294"/>
      <c r="CU1124" s="294"/>
      <c r="CV1124" s="294"/>
      <c r="CW1124" s="294"/>
      <c r="CX1124" s="294"/>
      <c r="CY1124" s="294"/>
      <c r="CZ1124" s="294"/>
      <c r="DA1124" s="294"/>
      <c r="DB1124" s="294"/>
      <c r="DC1124" s="294"/>
      <c r="DD1124" s="294"/>
      <c r="DE1124" s="294"/>
      <c r="DF1124" s="294"/>
      <c r="DG1124" s="294"/>
      <c r="DH1124" s="294"/>
      <c r="DI1124" s="294"/>
      <c r="DJ1124" s="294"/>
      <c r="DK1124" s="294"/>
      <c r="DL1124" s="294"/>
      <c r="DM1124" s="294"/>
      <c r="DN1124" s="294"/>
      <c r="DO1124" s="294"/>
      <c r="DP1124" s="294"/>
      <c r="DQ1124" s="294"/>
      <c r="DR1124" s="294"/>
      <c r="DS1124" s="294"/>
      <c r="DT1124" s="294"/>
      <c r="DU1124" s="294"/>
      <c r="DV1124" s="294"/>
      <c r="DW1124" s="294"/>
      <c r="DX1124" s="294"/>
      <c r="DY1124" s="294"/>
      <c r="DZ1124" s="294"/>
      <c r="EA1124" s="294"/>
      <c r="EB1124" s="294"/>
      <c r="EC1124" s="294"/>
      <c r="ED1124" s="294"/>
      <c r="EE1124" s="294"/>
      <c r="EF1124" s="294"/>
      <c r="EG1124" s="294"/>
      <c r="EH1124" s="294"/>
      <c r="EI1124" s="294"/>
      <c r="EJ1124" s="294"/>
      <c r="EK1124" s="294"/>
      <c r="EL1124" s="294"/>
      <c r="EM1124" s="294"/>
      <c r="EN1124" s="294"/>
      <c r="EO1124" s="294"/>
      <c r="EP1124" s="294"/>
      <c r="EQ1124" s="294"/>
      <c r="ER1124" s="294"/>
      <c r="ES1124" s="294"/>
      <c r="ET1124" s="294"/>
      <c r="EU1124" s="294"/>
      <c r="EV1124" s="294"/>
      <c r="EW1124" s="294"/>
      <c r="EX1124" s="294"/>
      <c r="EY1124" s="294"/>
      <c r="EZ1124" s="294"/>
      <c r="FA1124" s="294"/>
      <c r="FB1124" s="294"/>
      <c r="FC1124" s="294"/>
      <c r="FD1124" s="294"/>
      <c r="FE1124" s="294"/>
      <c r="FF1124" s="294"/>
      <c r="FG1124" s="294"/>
      <c r="FH1124" s="294"/>
      <c r="FI1124" s="294"/>
      <c r="FJ1124" s="294"/>
      <c r="FK1124" s="291"/>
      <c r="JU1124" s="12"/>
      <c r="NQ1124" s="12"/>
      <c r="OH1124" s="13"/>
      <c r="OZ1124" s="13"/>
    </row>
    <row r="1125" spans="63:416" ht="10.75" customHeight="1">
      <c r="BK1125" s="291"/>
      <c r="FK1125" s="291"/>
      <c r="JU1125" s="12"/>
      <c r="NQ1125" s="12"/>
      <c r="OH1125" s="13"/>
      <c r="OZ1125" s="13"/>
    </row>
    <row r="1126" spans="63:416" ht="10.75" customHeight="1">
      <c r="BK1126" s="291"/>
      <c r="FK1126" s="291"/>
      <c r="JU1126" s="12"/>
      <c r="KL1126" s="291"/>
      <c r="NQ1126" s="14"/>
      <c r="NR1126" s="15"/>
      <c r="NS1126" s="15"/>
      <c r="NT1126" s="15"/>
      <c r="NU1126" s="15"/>
      <c r="NV1126" s="15"/>
      <c r="NW1126" s="15"/>
      <c r="NX1126" s="15"/>
      <c r="NY1126" s="15"/>
      <c r="NZ1126" s="15"/>
      <c r="OA1126" s="15"/>
      <c r="OB1126" s="15"/>
      <c r="OC1126" s="15"/>
      <c r="OD1126" s="15"/>
      <c r="OE1126" s="15"/>
      <c r="OF1126" s="15"/>
      <c r="OG1126" s="15"/>
      <c r="OH1126" s="16"/>
      <c r="OL1126" s="291"/>
      <c r="OZ1126" s="13"/>
    </row>
    <row r="1127" spans="63:416" ht="10.75" customHeight="1">
      <c r="JU1127" s="12"/>
      <c r="KL1127" s="293"/>
      <c r="KM1127" s="294"/>
      <c r="KN1127" s="294"/>
      <c r="KO1127" s="294"/>
      <c r="KP1127" s="294"/>
      <c r="KQ1127" s="294"/>
      <c r="KR1127" s="294"/>
      <c r="KS1127" s="294"/>
      <c r="KT1127" s="294"/>
      <c r="KU1127" s="294"/>
      <c r="KV1127" s="294"/>
      <c r="KW1127" s="294"/>
      <c r="KX1127" s="294"/>
      <c r="KY1127" s="294"/>
      <c r="KZ1127" s="294"/>
      <c r="LA1127" s="294"/>
      <c r="LB1127" s="294"/>
      <c r="LC1127" s="294"/>
      <c r="LD1127" s="294"/>
      <c r="LE1127" s="294"/>
      <c r="LF1127" s="294"/>
      <c r="LG1127" s="294"/>
      <c r="LH1127" s="294"/>
      <c r="LI1127" s="294"/>
      <c r="LJ1127" s="294"/>
      <c r="LK1127" s="294"/>
      <c r="LL1127" s="294"/>
      <c r="LM1127" s="294"/>
      <c r="LN1127" s="294"/>
      <c r="LO1127" s="294"/>
      <c r="LP1127" s="294"/>
      <c r="LQ1127" s="294"/>
      <c r="LR1127" s="294"/>
      <c r="LS1127" s="294"/>
      <c r="LT1127" s="294"/>
      <c r="LU1127" s="294"/>
      <c r="LV1127" s="294"/>
      <c r="LW1127" s="294"/>
      <c r="LX1127" s="294"/>
      <c r="LY1127" s="294"/>
      <c r="LZ1127" s="294"/>
      <c r="MA1127" s="294"/>
      <c r="MB1127" s="294"/>
      <c r="MC1127" s="294"/>
      <c r="MD1127" s="294"/>
      <c r="ME1127" s="294"/>
      <c r="MF1127" s="294"/>
      <c r="MG1127" s="294"/>
      <c r="MH1127" s="294"/>
      <c r="MI1127" s="294"/>
      <c r="MJ1127" s="294"/>
      <c r="MK1127" s="294"/>
      <c r="ML1127" s="294"/>
      <c r="MM1127" s="294"/>
      <c r="MN1127" s="294"/>
      <c r="MO1127" s="294"/>
      <c r="MP1127" s="294"/>
      <c r="MQ1127" s="294"/>
      <c r="MR1127" s="294"/>
      <c r="MS1127" s="294"/>
      <c r="MT1127" s="294"/>
      <c r="MU1127" s="294"/>
      <c r="MV1127" s="294"/>
      <c r="MW1127" s="294"/>
      <c r="MX1127" s="294"/>
      <c r="MY1127" s="294"/>
      <c r="MZ1127" s="294"/>
      <c r="NA1127" s="294"/>
      <c r="NB1127" s="294"/>
      <c r="NC1127" s="294"/>
      <c r="ND1127" s="294"/>
      <c r="NE1127" s="294"/>
      <c r="NF1127" s="294"/>
      <c r="NG1127" s="294"/>
      <c r="NH1127" s="294"/>
      <c r="NI1127" s="294"/>
      <c r="NJ1127" s="294"/>
      <c r="NK1127" s="294"/>
      <c r="NL1127" s="294"/>
      <c r="NM1127" s="294"/>
      <c r="NN1127" s="294"/>
      <c r="NO1127" s="294"/>
      <c r="NP1127" s="294"/>
      <c r="NQ1127" s="335"/>
      <c r="NR1127" s="336"/>
      <c r="NS1127" s="336"/>
      <c r="NT1127" s="336"/>
      <c r="NU1127" s="336"/>
      <c r="NV1127" s="336"/>
      <c r="NW1127" s="336"/>
      <c r="NX1127" s="336"/>
      <c r="NY1127" s="336"/>
      <c r="NZ1127" s="336"/>
      <c r="OA1127" s="336"/>
      <c r="OB1127" s="336"/>
      <c r="OC1127" s="336"/>
      <c r="OD1127" s="336"/>
      <c r="OE1127" s="336"/>
      <c r="OF1127" s="336"/>
      <c r="OG1127" s="336"/>
      <c r="OH1127" s="337"/>
      <c r="OI1127" s="294"/>
      <c r="OJ1127" s="294"/>
      <c r="OK1127" s="294"/>
      <c r="OL1127" s="291"/>
      <c r="OZ1127" s="13"/>
    </row>
    <row r="1128" spans="63:416" ht="10.75" customHeight="1">
      <c r="JU1128" s="12"/>
      <c r="KL1128" s="291"/>
      <c r="NQ1128" s="12"/>
      <c r="OH1128" s="13"/>
      <c r="OL1128" s="291"/>
      <c r="OZ1128" s="13"/>
    </row>
    <row r="1129" spans="63:416" ht="10.75" customHeight="1">
      <c r="JU1129" s="12"/>
      <c r="KL1129" s="291"/>
      <c r="NQ1129" s="12"/>
      <c r="OH1129" s="13"/>
      <c r="OL1129" s="291"/>
      <c r="OZ1129" s="13"/>
    </row>
    <row r="1130" spans="63:416" ht="10.75" customHeight="1">
      <c r="JU1130" s="12"/>
      <c r="NQ1130" s="14"/>
      <c r="NR1130" s="15"/>
      <c r="NS1130" s="15"/>
      <c r="NT1130" s="15"/>
      <c r="NU1130" s="15"/>
      <c r="NV1130" s="15"/>
      <c r="NW1130" s="15"/>
      <c r="NX1130" s="15"/>
      <c r="NY1130" s="15"/>
      <c r="NZ1130" s="15"/>
      <c r="OA1130" s="15"/>
      <c r="OB1130" s="15"/>
      <c r="OC1130" s="15"/>
      <c r="OD1130" s="15"/>
      <c r="OE1130" s="15"/>
      <c r="OF1130" s="15"/>
      <c r="OG1130" s="15"/>
      <c r="OH1130" s="16"/>
      <c r="OZ1130" s="13"/>
    </row>
    <row r="1131" spans="63:416" ht="10.75" customHeight="1">
      <c r="JU1131" s="12"/>
      <c r="NQ1131" s="9"/>
      <c r="NR1131" s="10"/>
      <c r="NS1131" s="10"/>
      <c r="NT1131" s="10"/>
      <c r="NU1131" s="10"/>
      <c r="NV1131" s="10"/>
      <c r="NW1131" s="10"/>
      <c r="NX1131" s="10"/>
      <c r="NY1131" s="10"/>
      <c r="NZ1131" s="10"/>
      <c r="OA1131" s="10"/>
      <c r="OB1131" s="10"/>
      <c r="OC1131" s="10"/>
      <c r="OD1131" s="10"/>
      <c r="OE1131" s="10"/>
      <c r="OF1131" s="10"/>
      <c r="OG1131" s="10"/>
      <c r="OH1131" s="11"/>
      <c r="OZ1131" s="13"/>
    </row>
    <row r="1132" spans="63:416" ht="10.75" customHeight="1">
      <c r="JU1132" s="12"/>
      <c r="NQ1132" s="12"/>
      <c r="OH1132" s="13"/>
      <c r="OZ1132" s="13"/>
    </row>
    <row r="1133" spans="63:416" ht="10.75" customHeight="1">
      <c r="JU1133" s="12"/>
      <c r="NQ1133" s="12"/>
      <c r="OH1133" s="13"/>
      <c r="OZ1133" s="13"/>
    </row>
    <row r="1134" spans="63:416" ht="10.75" customHeight="1">
      <c r="JU1134" s="12"/>
      <c r="NQ1134" s="14"/>
      <c r="NR1134" s="15"/>
      <c r="NS1134" s="15"/>
      <c r="NT1134" s="15"/>
      <c r="NU1134" s="15"/>
      <c r="NV1134" s="15"/>
      <c r="NW1134" s="15"/>
      <c r="NX1134" s="15"/>
      <c r="NY1134" s="15"/>
      <c r="NZ1134" s="15"/>
      <c r="OA1134" s="15"/>
      <c r="OB1134" s="15"/>
      <c r="OC1134" s="15"/>
      <c r="OD1134" s="15"/>
      <c r="OE1134" s="15"/>
      <c r="OF1134" s="15"/>
      <c r="OG1134" s="15"/>
      <c r="OH1134" s="16"/>
      <c r="OZ1134" s="13"/>
    </row>
    <row r="1135" spans="63:416" ht="10.75" customHeight="1">
      <c r="JU1135" s="12"/>
      <c r="NQ1135" s="9"/>
      <c r="NR1135" s="10"/>
      <c r="NS1135" s="10"/>
      <c r="NT1135" s="10"/>
      <c r="NU1135" s="10"/>
      <c r="NV1135" s="10"/>
      <c r="NW1135" s="10"/>
      <c r="NX1135" s="10"/>
      <c r="NY1135" s="10"/>
      <c r="NZ1135" s="10"/>
      <c r="OA1135" s="10"/>
      <c r="OB1135" s="10"/>
      <c r="OC1135" s="10"/>
      <c r="OD1135" s="10"/>
      <c r="OE1135" s="10"/>
      <c r="OF1135" s="10"/>
      <c r="OG1135" s="10"/>
      <c r="OH1135" s="11"/>
      <c r="OZ1135" s="13"/>
    </row>
    <row r="1136" spans="63:416" ht="10.75" customHeight="1">
      <c r="JU1136" s="12"/>
      <c r="NQ1136" s="12"/>
      <c r="OH1136" s="13"/>
      <c r="OZ1136" s="13"/>
    </row>
    <row r="1137" spans="281:416" ht="10.75" customHeight="1">
      <c r="JU1137" s="12"/>
      <c r="NQ1137" s="12"/>
      <c r="OH1137" s="13"/>
      <c r="OZ1137" s="13"/>
    </row>
    <row r="1138" spans="281:416" ht="10.75" customHeight="1">
      <c r="JU1138" s="12"/>
      <c r="NQ1138" s="14"/>
      <c r="NR1138" s="15"/>
      <c r="NS1138" s="15"/>
      <c r="NT1138" s="15"/>
      <c r="NU1138" s="15"/>
      <c r="NV1138" s="15"/>
      <c r="NW1138" s="15"/>
      <c r="NX1138" s="15"/>
      <c r="NY1138" s="15"/>
      <c r="NZ1138" s="15"/>
      <c r="OA1138" s="15"/>
      <c r="OB1138" s="15"/>
      <c r="OC1138" s="15"/>
      <c r="OD1138" s="15"/>
      <c r="OE1138" s="15"/>
      <c r="OF1138" s="15"/>
      <c r="OG1138" s="15"/>
      <c r="OH1138" s="16"/>
      <c r="OZ1138" s="13"/>
    </row>
    <row r="1139" spans="281:416" ht="10.75" customHeight="1">
      <c r="JU1139" s="12"/>
      <c r="OZ1139" s="13"/>
    </row>
    <row r="1140" spans="281:416" ht="10.75" customHeight="1">
      <c r="JU1140" s="12"/>
      <c r="OZ1140" s="13"/>
    </row>
    <row r="1141" spans="281:416" ht="10.75" customHeight="1">
      <c r="JU1141" s="12"/>
      <c r="OZ1141" s="13"/>
    </row>
    <row r="1142" spans="281:416" ht="10.75" customHeight="1">
      <c r="JU1142" s="12"/>
      <c r="OZ1142" s="13"/>
    </row>
    <row r="1143" spans="281:416" ht="10.75" customHeight="1">
      <c r="JU1143" s="14"/>
      <c r="JV1143" s="15"/>
      <c r="JW1143" s="15"/>
      <c r="JX1143" s="15"/>
      <c r="JY1143" s="15"/>
      <c r="JZ1143" s="15"/>
      <c r="KA1143" s="15"/>
      <c r="KB1143" s="15"/>
      <c r="KC1143" s="15"/>
      <c r="KD1143" s="15"/>
      <c r="KE1143" s="15"/>
      <c r="KF1143" s="15"/>
      <c r="KG1143" s="15"/>
      <c r="KH1143" s="15"/>
      <c r="KI1143" s="15"/>
      <c r="KJ1143" s="15"/>
      <c r="KK1143" s="15"/>
      <c r="KL1143" s="15"/>
      <c r="KM1143" s="15"/>
      <c r="KN1143" s="15"/>
      <c r="KO1143" s="15"/>
      <c r="KP1143" s="15"/>
      <c r="KQ1143" s="15"/>
      <c r="KR1143" s="15"/>
      <c r="KS1143" s="15"/>
      <c r="KT1143" s="15"/>
      <c r="KU1143" s="15"/>
      <c r="KV1143" s="15"/>
      <c r="KW1143" s="15"/>
      <c r="KX1143" s="15"/>
      <c r="KY1143" s="15"/>
      <c r="KZ1143" s="15"/>
      <c r="LA1143" s="15"/>
      <c r="LB1143" s="15"/>
      <c r="LC1143" s="15"/>
      <c r="LD1143" s="15"/>
      <c r="LE1143" s="15"/>
      <c r="LF1143" s="15"/>
      <c r="LG1143" s="15"/>
      <c r="LH1143" s="15"/>
      <c r="LI1143" s="15"/>
      <c r="LJ1143" s="15"/>
      <c r="LK1143" s="15"/>
      <c r="LL1143" s="15"/>
      <c r="LM1143" s="15"/>
      <c r="LN1143" s="15"/>
      <c r="LO1143" s="15"/>
      <c r="LP1143" s="15"/>
      <c r="LQ1143" s="15"/>
      <c r="LR1143" s="15"/>
      <c r="LS1143" s="15"/>
      <c r="LT1143" s="15"/>
      <c r="LU1143" s="15"/>
      <c r="LV1143" s="15"/>
      <c r="LW1143" s="15"/>
      <c r="LX1143" s="15"/>
      <c r="LY1143" s="15"/>
      <c r="LZ1143" s="15"/>
      <c r="MA1143" s="15"/>
      <c r="MB1143" s="15"/>
      <c r="MC1143" s="15"/>
      <c r="MD1143" s="15"/>
      <c r="ME1143" s="15"/>
      <c r="MF1143" s="15"/>
      <c r="MG1143" s="15"/>
      <c r="MH1143" s="15"/>
      <c r="MI1143" s="15"/>
      <c r="MJ1143" s="15"/>
      <c r="MK1143" s="15"/>
      <c r="ML1143" s="15"/>
      <c r="MM1143" s="15"/>
      <c r="MN1143" s="15"/>
      <c r="MO1143" s="15"/>
      <c r="MP1143" s="15"/>
      <c r="MQ1143" s="15"/>
      <c r="MR1143" s="15"/>
      <c r="MS1143" s="15"/>
      <c r="MT1143" s="15"/>
      <c r="MU1143" s="15"/>
      <c r="MV1143" s="15"/>
      <c r="MW1143" s="15"/>
      <c r="MX1143" s="15"/>
      <c r="MY1143" s="15"/>
      <c r="MZ1143" s="15"/>
      <c r="NA1143" s="15"/>
      <c r="NB1143" s="15"/>
      <c r="NC1143" s="15"/>
      <c r="ND1143" s="15"/>
      <c r="NE1143" s="15"/>
      <c r="NF1143" s="15"/>
      <c r="NG1143" s="15"/>
      <c r="NH1143" s="15"/>
      <c r="NI1143" s="15"/>
      <c r="NJ1143" s="15"/>
      <c r="NK1143" s="15"/>
      <c r="NL1143" s="15"/>
      <c r="NM1143" s="15"/>
      <c r="NN1143" s="15"/>
      <c r="NO1143" s="15"/>
      <c r="NP1143" s="15"/>
      <c r="NQ1143" s="15"/>
      <c r="NR1143" s="15"/>
      <c r="NS1143" s="15"/>
      <c r="NT1143" s="15"/>
      <c r="NU1143" s="15"/>
      <c r="NV1143" s="15"/>
      <c r="NW1143" s="15"/>
      <c r="NX1143" s="15"/>
      <c r="NY1143" s="15"/>
      <c r="NZ1143" s="15"/>
      <c r="OA1143" s="15"/>
      <c r="OB1143" s="15"/>
      <c r="OC1143" s="15"/>
      <c r="OD1143" s="15"/>
      <c r="OE1143" s="15"/>
      <c r="OF1143" s="15"/>
      <c r="OG1143" s="15"/>
      <c r="OH1143" s="15"/>
      <c r="OI1143" s="15"/>
      <c r="OJ1143" s="15"/>
      <c r="OK1143" s="15"/>
      <c r="OL1143" s="15"/>
      <c r="OM1143" s="15"/>
      <c r="ON1143" s="15"/>
      <c r="OO1143" s="15"/>
      <c r="OP1143" s="15"/>
      <c r="OQ1143" s="15"/>
      <c r="OR1143" s="15"/>
      <c r="OS1143" s="15"/>
      <c r="OT1143" s="15"/>
      <c r="OU1143" s="15"/>
      <c r="OV1143" s="15"/>
      <c r="OW1143" s="15"/>
      <c r="OX1143" s="15"/>
      <c r="OY1143" s="15"/>
      <c r="OZ1143" s="16"/>
    </row>
    <row r="1170" spans="26:547" ht="10.75" customHeight="1">
      <c r="AK1170" s="13"/>
      <c r="AL1170" s="327"/>
      <c r="AM1170" s="328"/>
      <c r="AN1170" s="329"/>
      <c r="CL1170" s="327"/>
      <c r="CM1170" s="328"/>
      <c r="CN1170" s="329"/>
    </row>
    <row r="1171" spans="26:547" ht="10.75" customHeight="1">
      <c r="AK1171" s="13"/>
      <c r="AL1171" s="327"/>
      <c r="AM1171" s="328"/>
      <c r="AN1171" s="329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  <c r="AY1171" s="10"/>
      <c r="AZ1171" s="10"/>
      <c r="BA1171" s="10"/>
      <c r="BB1171" s="10"/>
      <c r="BC1171" s="10"/>
      <c r="BD1171" s="10"/>
      <c r="BE1171" s="10"/>
      <c r="BF1171" s="10"/>
      <c r="BG1171" s="10"/>
      <c r="BH1171" s="10"/>
      <c r="BI1171" s="10"/>
      <c r="BJ1171" s="10"/>
      <c r="BK1171" s="10"/>
      <c r="BL1171" s="10"/>
      <c r="BM1171" s="10"/>
      <c r="BN1171" s="10"/>
      <c r="BO1171" s="10"/>
      <c r="BP1171" s="10"/>
      <c r="BQ1171" s="10"/>
      <c r="BR1171" s="10"/>
      <c r="BS1171" s="10"/>
      <c r="BT1171" s="10"/>
      <c r="BU1171" s="10"/>
      <c r="BV1171" s="10"/>
      <c r="BW1171" s="10"/>
      <c r="BX1171" s="10"/>
      <c r="BY1171" s="10"/>
      <c r="BZ1171" s="10"/>
      <c r="CA1171" s="10"/>
      <c r="CB1171" s="10"/>
      <c r="CC1171" s="10"/>
      <c r="CD1171" s="10"/>
      <c r="CE1171" s="10"/>
      <c r="CF1171" s="10"/>
      <c r="CG1171" s="10"/>
      <c r="CH1171" s="10"/>
      <c r="CI1171" s="10"/>
      <c r="CJ1171" s="10"/>
      <c r="CK1171" s="10"/>
      <c r="CL1171" s="327"/>
      <c r="CM1171" s="328"/>
      <c r="CN1171" s="329"/>
      <c r="CO1171" s="10"/>
      <c r="CP1171" s="10"/>
      <c r="CQ1171" s="10"/>
      <c r="CR1171" s="10"/>
      <c r="CS1171" s="10"/>
      <c r="CT1171" s="10"/>
      <c r="CU1171" s="10"/>
      <c r="CV1171" s="10"/>
      <c r="CW1171" s="10"/>
      <c r="CX1171" s="10"/>
      <c r="CY1171" s="10"/>
      <c r="CZ1171" s="10"/>
      <c r="DA1171" s="10"/>
      <c r="DB1171" s="10"/>
      <c r="DC1171" s="10"/>
      <c r="DD1171" s="10"/>
      <c r="DE1171" s="10"/>
      <c r="DF1171" s="10"/>
      <c r="DG1171" s="10"/>
      <c r="DH1171" s="10"/>
      <c r="DI1171" s="10"/>
      <c r="DJ1171" s="10"/>
      <c r="DK1171" s="10"/>
      <c r="DL1171" s="10"/>
      <c r="DM1171" s="10"/>
      <c r="DN1171" s="10"/>
      <c r="DO1171" s="10"/>
      <c r="DP1171" s="10"/>
      <c r="DQ1171" s="10"/>
      <c r="DR1171" s="10"/>
      <c r="DS1171" s="10"/>
      <c r="DT1171" s="10"/>
      <c r="DU1171" s="10"/>
      <c r="DV1171" s="10"/>
      <c r="DW1171" s="10"/>
      <c r="DX1171" s="10"/>
      <c r="DY1171" s="10"/>
      <c r="DZ1171" s="10"/>
      <c r="EA1171" s="10"/>
      <c r="EB1171" s="10"/>
      <c r="EC1171" s="10"/>
      <c r="ED1171" s="10"/>
      <c r="EE1171" s="10"/>
      <c r="EF1171" s="10"/>
      <c r="EG1171" s="10"/>
      <c r="EH1171" s="10"/>
      <c r="EI1171" s="327"/>
      <c r="EJ1171" s="328"/>
      <c r="EK1171" s="329"/>
    </row>
    <row r="1172" spans="26:547" ht="10.75" customHeight="1">
      <c r="AK1172" s="13"/>
      <c r="AL1172" s="330"/>
      <c r="AM1172" s="338"/>
      <c r="AN1172" s="331"/>
      <c r="CL1172" s="330"/>
      <c r="CM1172" s="338"/>
      <c r="CN1172" s="331"/>
      <c r="EI1172" s="330"/>
      <c r="EJ1172" s="338"/>
      <c r="EK1172" s="331"/>
    </row>
    <row r="1173" spans="26:547" ht="10.75" customHeight="1">
      <c r="AK1173" s="13"/>
      <c r="AL1173" s="332"/>
      <c r="AM1173" s="333"/>
      <c r="AN1173" s="334"/>
      <c r="CL1173" s="330"/>
      <c r="CM1173" s="333"/>
      <c r="CN1173" s="334"/>
      <c r="CO1173" s="15"/>
      <c r="CP1173" s="15"/>
      <c r="CQ1173" s="15"/>
      <c r="CR1173" s="15"/>
      <c r="CS1173" s="15"/>
      <c r="CT1173" s="15"/>
      <c r="CU1173" s="15"/>
      <c r="CV1173" s="15"/>
      <c r="CW1173" s="15"/>
      <c r="CX1173" s="15"/>
      <c r="CY1173" s="15"/>
      <c r="CZ1173" s="15"/>
      <c r="DA1173" s="15"/>
      <c r="DB1173" s="15"/>
      <c r="DC1173" s="15"/>
      <c r="DD1173" s="15"/>
      <c r="DE1173" s="15"/>
      <c r="DF1173" s="15"/>
      <c r="DG1173" s="15"/>
      <c r="DH1173" s="15"/>
      <c r="DI1173" s="15"/>
      <c r="DJ1173" s="15"/>
      <c r="DK1173" s="15"/>
      <c r="DL1173" s="15"/>
      <c r="DM1173" s="15"/>
      <c r="DN1173" s="15"/>
      <c r="DO1173" s="15"/>
      <c r="DP1173" s="15"/>
      <c r="DQ1173" s="15"/>
      <c r="DR1173" s="15"/>
      <c r="DS1173" s="15"/>
      <c r="DT1173" s="15"/>
      <c r="DU1173" s="15"/>
      <c r="DV1173" s="15"/>
      <c r="DW1173" s="15"/>
      <c r="DX1173" s="15"/>
      <c r="DY1173" s="15"/>
      <c r="DZ1173" s="15"/>
      <c r="EA1173" s="15"/>
      <c r="EB1173" s="15"/>
      <c r="EC1173" s="15"/>
      <c r="ED1173" s="15"/>
      <c r="EE1173" s="15"/>
      <c r="EF1173" s="15"/>
      <c r="EG1173" s="15"/>
      <c r="EH1173" s="15"/>
      <c r="EI1173" s="332"/>
      <c r="EJ1173" s="333"/>
      <c r="EK1173" s="334"/>
    </row>
    <row r="1174" spans="26:547" ht="10.75" customHeight="1">
      <c r="AK1174" s="13"/>
      <c r="AL1174" s="12"/>
      <c r="AO1174" s="9"/>
      <c r="AP1174" s="10"/>
      <c r="AQ1174" s="10"/>
      <c r="AR1174" s="10"/>
      <c r="AS1174" s="10"/>
      <c r="AT1174" s="10"/>
      <c r="AU1174" s="10"/>
      <c r="AV1174" s="10"/>
      <c r="AW1174" s="10"/>
      <c r="AX1174" s="10"/>
      <c r="AY1174" s="10"/>
      <c r="AZ1174" s="10"/>
      <c r="BA1174" s="10"/>
      <c r="BB1174" s="10"/>
      <c r="BC1174" s="10"/>
      <c r="BD1174" s="10"/>
      <c r="BE1174" s="10"/>
      <c r="BF1174" s="10"/>
      <c r="BG1174" s="10"/>
      <c r="BH1174" s="10"/>
      <c r="BI1174" s="10"/>
      <c r="BJ1174" s="10"/>
      <c r="BK1174" s="10"/>
      <c r="BL1174" s="10"/>
      <c r="BM1174" s="10"/>
      <c r="BN1174" s="10"/>
      <c r="BO1174" s="10"/>
      <c r="BP1174" s="10"/>
      <c r="BQ1174" s="10"/>
      <c r="BR1174" s="10"/>
      <c r="BS1174" s="10"/>
      <c r="BT1174" s="10"/>
      <c r="BU1174" s="10"/>
      <c r="BV1174" s="10"/>
      <c r="BW1174" s="10"/>
      <c r="BX1174" s="10"/>
      <c r="BY1174" s="10"/>
      <c r="BZ1174" s="10"/>
      <c r="CA1174" s="10"/>
      <c r="CB1174" s="10"/>
      <c r="CC1174" s="10"/>
      <c r="CD1174" s="10"/>
      <c r="CE1174" s="10"/>
      <c r="CF1174" s="10"/>
      <c r="CG1174" s="10"/>
      <c r="CH1174" s="10"/>
      <c r="CI1174" s="10"/>
      <c r="CJ1174" s="10"/>
      <c r="CK1174" s="10"/>
      <c r="CL1174" s="10"/>
      <c r="CM1174" s="9"/>
      <c r="CN1174" s="11"/>
      <c r="CO1174" s="10"/>
      <c r="CP1174" s="10"/>
      <c r="CQ1174" s="10"/>
      <c r="CR1174" s="10"/>
      <c r="CS1174" s="10"/>
      <c r="CT1174" s="10"/>
      <c r="CU1174" s="10"/>
      <c r="CV1174" s="10"/>
      <c r="CW1174" s="10"/>
      <c r="CX1174" s="10"/>
      <c r="CY1174" s="10"/>
      <c r="CZ1174" s="10"/>
      <c r="DA1174" s="10"/>
      <c r="DB1174" s="10"/>
      <c r="DC1174" s="10"/>
      <c r="DD1174" s="10"/>
      <c r="DE1174" s="10"/>
      <c r="DF1174" s="10"/>
      <c r="DG1174" s="10"/>
      <c r="DH1174" s="10"/>
      <c r="DI1174" s="10"/>
      <c r="DJ1174" s="10"/>
      <c r="DK1174" s="10"/>
      <c r="DL1174" s="10"/>
      <c r="DM1174" s="10"/>
      <c r="DN1174" s="10"/>
      <c r="DO1174" s="10"/>
      <c r="DP1174" s="10"/>
      <c r="DQ1174" s="10"/>
      <c r="DR1174" s="10"/>
      <c r="DS1174" s="10"/>
      <c r="DT1174" s="10"/>
      <c r="DU1174" s="10"/>
      <c r="DV1174" s="10"/>
      <c r="DW1174" s="10"/>
      <c r="DX1174" s="10"/>
      <c r="DY1174" s="10"/>
      <c r="DZ1174" s="10"/>
      <c r="EA1174" s="10"/>
      <c r="EB1174" s="10"/>
      <c r="EC1174" s="10"/>
      <c r="ED1174" s="10"/>
      <c r="EE1174" s="10"/>
      <c r="EF1174" s="10"/>
      <c r="EG1174" s="10"/>
      <c r="EH1174" s="11"/>
      <c r="EK1174" s="13"/>
    </row>
    <row r="1175" spans="26:547" ht="10.75" customHeight="1">
      <c r="AK1175" s="13"/>
      <c r="AL1175" s="12"/>
      <c r="AO1175" s="12"/>
      <c r="CM1175" s="12"/>
      <c r="CN1175" s="13"/>
      <c r="EH1175" s="13"/>
      <c r="EK1175" s="13"/>
    </row>
    <row r="1176" spans="26:547" ht="10.75" customHeight="1">
      <c r="AK1176" s="13"/>
      <c r="AL1176" s="12"/>
      <c r="AO1176" s="12"/>
      <c r="CM1176" s="12"/>
      <c r="CN1176" s="13"/>
      <c r="EH1176" s="13"/>
      <c r="EK1176" s="13"/>
    </row>
    <row r="1177" spans="26:547" ht="10.75" customHeight="1">
      <c r="AK1177" s="13"/>
      <c r="AL1177" s="12"/>
      <c r="AO1177" s="12"/>
      <c r="CM1177" s="12"/>
      <c r="CN1177" s="13"/>
      <c r="EH1177" s="13"/>
      <c r="EK1177" s="13"/>
      <c r="FU1177" s="10"/>
      <c r="FV1177" s="10"/>
      <c r="FW1177" s="10"/>
      <c r="FX1177" s="10"/>
      <c r="FY1177" s="10"/>
      <c r="FZ1177" s="10"/>
      <c r="GA1177" s="10"/>
      <c r="GB1177" s="10"/>
      <c r="GC1177" s="10"/>
      <c r="GD1177" s="10"/>
      <c r="GE1177" s="10"/>
      <c r="GF1177" s="10"/>
      <c r="GG1177" s="10"/>
      <c r="GH1177" s="10"/>
      <c r="GI1177" s="10"/>
      <c r="GJ1177" s="10"/>
      <c r="GK1177" s="10"/>
      <c r="GL1177" s="10"/>
      <c r="GM1177" s="10"/>
      <c r="GN1177" s="10"/>
      <c r="GO1177" s="10"/>
      <c r="GP1177" s="10"/>
      <c r="GQ1177" s="10"/>
      <c r="GR1177" s="10"/>
      <c r="GS1177" s="10"/>
      <c r="GT1177" s="10"/>
      <c r="GU1177" s="10"/>
      <c r="GV1177" s="10"/>
      <c r="GW1177" s="10"/>
      <c r="GX1177" s="10"/>
      <c r="GY1177" s="10"/>
      <c r="GZ1177" s="10"/>
      <c r="HA1177" s="10"/>
      <c r="HB1177" s="10"/>
      <c r="HC1177" s="10"/>
      <c r="HD1177" s="10"/>
      <c r="HE1177" s="10"/>
      <c r="HF1177" s="10"/>
      <c r="HG1177" s="10"/>
      <c r="HH1177" s="10"/>
      <c r="HI1177" s="10"/>
      <c r="HJ1177" s="10"/>
      <c r="HK1177" s="10"/>
      <c r="HL1177" s="10"/>
      <c r="HM1177" s="10"/>
      <c r="HN1177" s="10"/>
      <c r="HO1177" s="10"/>
      <c r="HP1177" s="10"/>
      <c r="HQ1177" s="10"/>
      <c r="HR1177" s="10"/>
      <c r="HS1177" s="10"/>
      <c r="HT1177" s="10"/>
      <c r="HU1177" s="10"/>
      <c r="HV1177" s="10"/>
      <c r="HW1177" s="10"/>
      <c r="HX1177" s="10"/>
      <c r="HY1177" s="10"/>
      <c r="HZ1177" s="10"/>
      <c r="IA1177" s="10"/>
      <c r="IB1177" s="10"/>
      <c r="IC1177" s="10"/>
      <c r="ID1177" s="10"/>
      <c r="IE1177" s="10"/>
      <c r="IF1177" s="10"/>
      <c r="IG1177" s="10"/>
      <c r="IH1177" s="10"/>
      <c r="II1177" s="10"/>
      <c r="IJ1177" s="10"/>
      <c r="IK1177" s="10"/>
      <c r="IL1177" s="10"/>
      <c r="IM1177" s="10"/>
      <c r="IN1177" s="10"/>
      <c r="IO1177" s="10"/>
      <c r="IP1177" s="10"/>
      <c r="IQ1177" s="10"/>
      <c r="IR1177" s="10"/>
      <c r="IS1177" s="10"/>
      <c r="IT1177" s="10"/>
      <c r="IU1177" s="10"/>
      <c r="IV1177" s="10"/>
      <c r="IW1177" s="10"/>
      <c r="IX1177" s="10"/>
      <c r="IY1177" s="10"/>
      <c r="IZ1177" s="10"/>
      <c r="JA1177" s="10"/>
      <c r="JB1177" s="10"/>
      <c r="JC1177" s="10"/>
      <c r="JD1177" s="10"/>
      <c r="JE1177" s="10"/>
      <c r="JF1177" s="10"/>
      <c r="JG1177" s="10"/>
      <c r="JH1177" s="10"/>
      <c r="JI1177" s="10"/>
      <c r="JJ1177" s="10"/>
      <c r="JK1177" s="10"/>
      <c r="JL1177" s="10"/>
      <c r="JM1177" s="10"/>
      <c r="JN1177" s="10"/>
      <c r="JO1177" s="10"/>
      <c r="JP1177" s="10"/>
      <c r="JQ1177" s="10"/>
      <c r="JR1177" s="11"/>
      <c r="JS1177" s="10"/>
      <c r="JT1177" s="10"/>
      <c r="JU1177" s="10"/>
      <c r="JV1177" s="10"/>
      <c r="JW1177" s="10"/>
      <c r="JX1177" s="10"/>
      <c r="JY1177" s="10"/>
      <c r="JZ1177" s="10"/>
      <c r="KA1177" s="10"/>
      <c r="KB1177" s="10"/>
      <c r="KC1177" s="10"/>
      <c r="KD1177" s="10"/>
      <c r="KE1177" s="10"/>
      <c r="KF1177" s="10"/>
      <c r="KG1177" s="10"/>
      <c r="KH1177" s="10"/>
      <c r="KI1177" s="10"/>
      <c r="KJ1177" s="10"/>
      <c r="KK1177" s="10"/>
      <c r="KL1177" s="10"/>
      <c r="KM1177" s="10"/>
      <c r="KN1177" s="10"/>
      <c r="KO1177" s="10"/>
      <c r="KP1177" s="10"/>
      <c r="KQ1177" s="10"/>
      <c r="KR1177" s="10"/>
      <c r="KS1177" s="10"/>
      <c r="KT1177" s="10"/>
      <c r="KU1177" s="10"/>
      <c r="KV1177" s="10"/>
      <c r="KW1177" s="10"/>
      <c r="KX1177" s="10"/>
      <c r="KY1177" s="10"/>
      <c r="KZ1177" s="10"/>
      <c r="LA1177" s="10"/>
      <c r="LB1177" s="10"/>
      <c r="LC1177" s="10"/>
      <c r="LD1177" s="10"/>
      <c r="LE1177" s="10"/>
      <c r="LF1177" s="10"/>
      <c r="LG1177" s="10"/>
      <c r="LH1177" s="10"/>
      <c r="LI1177" s="10"/>
      <c r="LJ1177" s="10"/>
      <c r="LK1177" s="10"/>
      <c r="LL1177" s="10"/>
      <c r="LM1177" s="10"/>
      <c r="LN1177" s="10"/>
      <c r="LO1177" s="10"/>
      <c r="LP1177" s="10"/>
      <c r="LQ1177" s="10"/>
      <c r="LR1177" s="10"/>
      <c r="LS1177" s="10"/>
      <c r="LT1177" s="10"/>
      <c r="LU1177" s="10"/>
      <c r="LV1177" s="10"/>
      <c r="LW1177" s="10"/>
      <c r="LX1177" s="10"/>
      <c r="LY1177" s="10"/>
      <c r="LZ1177" s="10"/>
      <c r="MA1177" s="10"/>
      <c r="MB1177" s="10"/>
      <c r="MC1177" s="10"/>
      <c r="MD1177" s="10"/>
      <c r="ME1177" s="10"/>
      <c r="MF1177" s="10"/>
      <c r="MG1177" s="10"/>
      <c r="MH1177" s="10"/>
      <c r="MI1177" s="10"/>
      <c r="MJ1177" s="10"/>
      <c r="MK1177" s="10"/>
      <c r="ML1177" s="10"/>
      <c r="MM1177" s="10"/>
      <c r="MN1177" s="10"/>
      <c r="MO1177" s="10"/>
      <c r="MP1177" s="10"/>
      <c r="MQ1177" s="10"/>
      <c r="MR1177" s="10"/>
      <c r="MS1177" s="10"/>
      <c r="MT1177" s="10"/>
      <c r="MU1177" s="10"/>
      <c r="MV1177" s="10"/>
      <c r="MW1177" s="10"/>
      <c r="MX1177" s="10"/>
      <c r="MY1177" s="10"/>
      <c r="MZ1177" s="10"/>
      <c r="NA1177" s="10"/>
      <c r="NB1177" s="10"/>
      <c r="NC1177" s="10"/>
      <c r="ND1177" s="10"/>
      <c r="NE1177" s="10"/>
      <c r="NF1177" s="10"/>
      <c r="NG1177" s="10"/>
      <c r="NH1177" s="10"/>
      <c r="NI1177" s="10"/>
      <c r="NJ1177" s="10"/>
      <c r="NK1177" s="10"/>
      <c r="NL1177" s="10"/>
      <c r="NM1177" s="10"/>
      <c r="NN1177" s="10"/>
      <c r="NO1177" s="10"/>
      <c r="NP1177" s="10"/>
      <c r="NQ1177" s="10"/>
      <c r="NR1177" s="10"/>
      <c r="NS1177" s="10"/>
      <c r="NT1177" s="10"/>
      <c r="NU1177" s="10"/>
      <c r="NV1177" s="10"/>
      <c r="NW1177" s="10"/>
      <c r="NX1177" s="10"/>
      <c r="NY1177" s="10"/>
      <c r="NZ1177" s="10"/>
      <c r="OA1177" s="10"/>
      <c r="OB1177" s="10"/>
      <c r="OC1177" s="10"/>
      <c r="OD1177" s="10"/>
      <c r="OE1177" s="10"/>
      <c r="OF1177" s="10"/>
      <c r="OG1177" s="10"/>
      <c r="OH1177" s="10"/>
      <c r="OI1177" s="10"/>
      <c r="OJ1177" s="10"/>
      <c r="OK1177" s="10"/>
      <c r="OL1177" s="10"/>
      <c r="OM1177" s="10"/>
      <c r="ON1177" s="10"/>
      <c r="OO1177" s="10"/>
      <c r="OP1177" s="10"/>
      <c r="OQ1177" s="10"/>
      <c r="OR1177" s="10"/>
      <c r="OS1177" s="10"/>
      <c r="OT1177" s="10"/>
      <c r="OU1177" s="10"/>
      <c r="OV1177" s="10"/>
      <c r="OW1177" s="10"/>
      <c r="OX1177" s="10"/>
      <c r="OY1177" s="10"/>
      <c r="OZ1177" s="10"/>
      <c r="PA1177" s="10"/>
      <c r="PB1177" s="10"/>
      <c r="PC1177" s="10"/>
      <c r="PD1177" s="10"/>
      <c r="PE1177" s="10"/>
      <c r="PF1177" s="10"/>
      <c r="PG1177" s="10"/>
      <c r="PH1177" s="10"/>
      <c r="PI1177" s="10"/>
      <c r="PJ1177" s="10"/>
      <c r="PK1177" s="10"/>
      <c r="PL1177" s="10"/>
      <c r="PM1177" s="10"/>
      <c r="PN1177" s="10"/>
      <c r="PO1177" s="10"/>
      <c r="PP1177" s="10"/>
      <c r="PQ1177" s="10"/>
      <c r="PR1177" s="10"/>
      <c r="PS1177" s="10"/>
      <c r="PT1177" s="10"/>
      <c r="PU1177" s="10"/>
      <c r="PV1177" s="10"/>
      <c r="PW1177" s="10"/>
      <c r="PX1177" s="10"/>
      <c r="PY1177" s="10"/>
      <c r="PZ1177" s="10"/>
      <c r="QA1177" s="10"/>
      <c r="QB1177" s="10"/>
      <c r="QC1177" s="10"/>
      <c r="QD1177" s="10"/>
      <c r="QE1177" s="10"/>
      <c r="QF1177" s="10"/>
      <c r="QG1177" s="10"/>
      <c r="QH1177" s="10"/>
      <c r="QI1177" s="10"/>
      <c r="QJ1177" s="10"/>
      <c r="QK1177" s="10"/>
      <c r="QL1177" s="10"/>
      <c r="QM1177" s="10"/>
      <c r="QN1177" s="10"/>
      <c r="QO1177" s="10"/>
      <c r="QP1177" s="10"/>
      <c r="QQ1177" s="10"/>
      <c r="QR1177" s="10"/>
      <c r="QS1177" s="10"/>
      <c r="QT1177" s="10"/>
      <c r="QU1177" s="10"/>
      <c r="QV1177" s="10"/>
      <c r="QW1177" s="10"/>
      <c r="QX1177" s="10"/>
      <c r="QY1177" s="10"/>
      <c r="QZ1177" s="10"/>
      <c r="RA1177" s="10"/>
      <c r="RB1177" s="10"/>
      <c r="RC1177" s="10"/>
      <c r="RD1177" s="10"/>
      <c r="RE1177" s="10"/>
      <c r="RF1177" s="10"/>
      <c r="RG1177" s="10"/>
      <c r="RH1177" s="10"/>
      <c r="RI1177" s="10"/>
      <c r="RJ1177" s="10"/>
      <c r="RK1177" s="10"/>
      <c r="RL1177" s="10"/>
      <c r="RM1177" s="10"/>
      <c r="RN1177" s="10"/>
      <c r="RO1177" s="10"/>
      <c r="RP1177" s="10"/>
      <c r="RQ1177" s="10"/>
      <c r="RR1177" s="10"/>
      <c r="RS1177" s="10"/>
      <c r="RT1177" s="10"/>
      <c r="RU1177" s="10"/>
      <c r="RV1177" s="10"/>
      <c r="RW1177" s="10"/>
      <c r="RX1177" s="10"/>
      <c r="RY1177" s="10"/>
      <c r="RZ1177" s="10"/>
      <c r="SA1177" s="10"/>
      <c r="SB1177" s="10"/>
      <c r="SC1177" s="10"/>
      <c r="SD1177" s="10"/>
      <c r="SE1177" s="10"/>
      <c r="SF1177" s="10"/>
      <c r="SG1177" s="10"/>
      <c r="SH1177" s="10"/>
      <c r="SI1177" s="10"/>
      <c r="SJ1177" s="10"/>
      <c r="SK1177" s="10"/>
      <c r="SL1177" s="10"/>
      <c r="SM1177" s="10"/>
      <c r="SN1177" s="10"/>
      <c r="SO1177" s="10"/>
      <c r="SP1177" s="10"/>
      <c r="SQ1177" s="10"/>
      <c r="SR1177" s="10"/>
      <c r="SS1177" s="10"/>
      <c r="ST1177" s="10"/>
      <c r="SU1177" s="10"/>
      <c r="SV1177" s="10"/>
      <c r="SW1177" s="10"/>
      <c r="SX1177" s="10"/>
      <c r="SY1177" s="10"/>
      <c r="SZ1177" s="10"/>
      <c r="TA1177" s="10"/>
      <c r="TB1177" s="10"/>
      <c r="TC1177" s="10"/>
      <c r="TD1177" s="10"/>
      <c r="TE1177" s="10"/>
      <c r="TF1177" s="10"/>
      <c r="TG1177" s="10"/>
      <c r="TH1177" s="10"/>
      <c r="TI1177" s="10"/>
      <c r="TJ1177" s="10"/>
      <c r="TK1177" s="10"/>
      <c r="TL1177" s="10"/>
      <c r="TM1177" s="10"/>
      <c r="TN1177" s="10"/>
      <c r="TO1177" s="10"/>
      <c r="TP1177" s="10"/>
      <c r="TQ1177" s="10"/>
      <c r="TR1177" s="10"/>
      <c r="TS1177" s="10"/>
      <c r="TT1177" s="10"/>
      <c r="TU1177" s="10"/>
      <c r="TV1177" s="10"/>
      <c r="TW1177" s="10"/>
      <c r="TX1177" s="10"/>
      <c r="TY1177" s="10"/>
      <c r="TZ1177" s="10"/>
      <c r="UA1177" s="10"/>
    </row>
    <row r="1178" spans="26:547" ht="10.75" customHeight="1">
      <c r="AK1178" s="13"/>
      <c r="AL1178" s="12"/>
      <c r="AO1178" s="12"/>
      <c r="CM1178" s="12"/>
      <c r="CN1178" s="13"/>
      <c r="EH1178" s="13"/>
      <c r="EK1178" s="13"/>
      <c r="JR1178" s="13"/>
    </row>
    <row r="1179" spans="26:547" ht="10.75" customHeight="1">
      <c r="AK1179" s="13"/>
      <c r="AL1179" s="12"/>
      <c r="AO1179" s="12"/>
      <c r="CM1179" s="12"/>
      <c r="CN1179" s="13"/>
      <c r="EH1179" s="13"/>
      <c r="EK1179" s="13"/>
      <c r="JR1179" s="13"/>
    </row>
    <row r="1180" spans="26:547" ht="10.75" customHeight="1">
      <c r="AK1180" s="13"/>
      <c r="AL1180" s="12"/>
      <c r="AO1180" s="12"/>
      <c r="CM1180" s="12"/>
      <c r="CN1180" s="13"/>
      <c r="EH1180" s="13"/>
      <c r="EK1180" s="13"/>
      <c r="JR1180" s="13"/>
    </row>
    <row r="1181" spans="26:547" ht="10.75" customHeight="1">
      <c r="AK1181" s="13"/>
      <c r="AL1181" s="12"/>
      <c r="AO1181" s="12"/>
      <c r="CM1181" s="12"/>
      <c r="CN1181" s="13"/>
      <c r="EH1181" s="13"/>
      <c r="EK1181" s="13"/>
      <c r="JR1181" s="13"/>
    </row>
    <row r="1182" spans="26:547" ht="10.75" customHeight="1">
      <c r="AK1182" s="13"/>
      <c r="AL1182" s="12"/>
      <c r="AO1182" s="12"/>
      <c r="CM1182" s="12"/>
      <c r="CN1182" s="13"/>
      <c r="EH1182" s="13"/>
      <c r="EK1182" s="13"/>
      <c r="FU1182" s="15"/>
      <c r="FV1182" s="15"/>
      <c r="FW1182" s="15"/>
      <c r="FX1182" s="15"/>
      <c r="FY1182" s="15"/>
      <c r="FZ1182" s="15"/>
      <c r="GA1182" s="15"/>
      <c r="GB1182" s="15"/>
      <c r="GC1182" s="15"/>
      <c r="GD1182" s="15"/>
      <c r="GE1182" s="15"/>
      <c r="GF1182" s="15"/>
      <c r="GG1182" s="15"/>
      <c r="IJ1182" s="15"/>
      <c r="IK1182" s="15"/>
      <c r="IL1182" s="15"/>
      <c r="IM1182" s="15"/>
      <c r="IN1182" s="15"/>
      <c r="IO1182" s="15"/>
      <c r="IP1182" s="15"/>
      <c r="IQ1182" s="15"/>
      <c r="IR1182" s="15"/>
      <c r="IS1182" s="15"/>
      <c r="IT1182" s="15"/>
      <c r="IU1182" s="15"/>
      <c r="IV1182" s="15"/>
      <c r="IW1182" s="15"/>
      <c r="IX1182" s="15"/>
      <c r="IY1182" s="15"/>
      <c r="IZ1182" s="15"/>
      <c r="JA1182" s="15"/>
      <c r="JB1182" s="15"/>
      <c r="JC1182" s="15"/>
      <c r="JD1182" s="15"/>
      <c r="JE1182" s="15"/>
      <c r="JF1182" s="15"/>
      <c r="JG1182" s="15"/>
      <c r="JH1182" s="15"/>
      <c r="JI1182" s="15"/>
      <c r="JJ1182" s="15"/>
      <c r="JK1182" s="15"/>
      <c r="JL1182" s="15"/>
      <c r="JM1182" s="15"/>
      <c r="JN1182" s="15"/>
      <c r="JO1182" s="15"/>
      <c r="JP1182" s="15"/>
      <c r="JQ1182" s="15"/>
      <c r="JR1182" s="16"/>
      <c r="JS1182" s="15"/>
      <c r="JT1182" s="15"/>
      <c r="JU1182" s="15"/>
      <c r="JV1182" s="15"/>
      <c r="JW1182" s="15"/>
      <c r="JX1182" s="15"/>
      <c r="JY1182" s="15"/>
      <c r="JZ1182" s="15"/>
      <c r="KA1182" s="15"/>
      <c r="KB1182" s="15"/>
      <c r="KC1182" s="15"/>
      <c r="KD1182" s="15"/>
      <c r="KE1182" s="15"/>
      <c r="KF1182" s="15"/>
      <c r="KG1182" s="15"/>
      <c r="KH1182" s="15"/>
      <c r="KI1182" s="15"/>
      <c r="KJ1182" s="15"/>
      <c r="KK1182" s="15"/>
      <c r="KL1182" s="15"/>
      <c r="KM1182" s="15"/>
      <c r="KN1182" s="15"/>
      <c r="KO1182" s="15"/>
      <c r="KP1182" s="15"/>
      <c r="KQ1182" s="15"/>
      <c r="KR1182" s="15"/>
      <c r="KS1182" s="15"/>
      <c r="KT1182" s="15"/>
      <c r="KU1182" s="15"/>
      <c r="KV1182" s="15"/>
      <c r="KW1182" s="15"/>
      <c r="KX1182" s="15"/>
      <c r="KY1182" s="15"/>
      <c r="KZ1182" s="15"/>
      <c r="LA1182" s="15"/>
      <c r="LB1182" s="15"/>
      <c r="LC1182" s="15"/>
      <c r="LD1182" s="15"/>
      <c r="LE1182" s="15"/>
      <c r="LF1182" s="15"/>
      <c r="LG1182" s="15"/>
      <c r="LH1182" s="15"/>
      <c r="LI1182" s="15"/>
      <c r="LJ1182" s="15"/>
      <c r="LK1182" s="15"/>
      <c r="LL1182" s="15"/>
      <c r="LM1182" s="15"/>
      <c r="LN1182" s="15"/>
      <c r="LO1182" s="15"/>
      <c r="LP1182" s="15"/>
      <c r="LQ1182" s="15"/>
      <c r="LR1182" s="15"/>
      <c r="LS1182" s="15"/>
      <c r="LT1182" s="15"/>
      <c r="LU1182" s="15"/>
      <c r="LV1182" s="15"/>
      <c r="LW1182" s="15"/>
      <c r="LX1182" s="15"/>
      <c r="LY1182" s="15"/>
      <c r="LZ1182" s="15"/>
      <c r="MA1182" s="15"/>
      <c r="MB1182" s="15"/>
      <c r="MC1182" s="15"/>
      <c r="MD1182" s="15"/>
      <c r="ME1182" s="15"/>
      <c r="MF1182" s="15"/>
      <c r="MG1182" s="15"/>
      <c r="MH1182" s="15"/>
      <c r="MI1182" s="15"/>
      <c r="MJ1182" s="15"/>
      <c r="MK1182" s="15"/>
      <c r="ML1182" s="15"/>
      <c r="MM1182" s="15"/>
      <c r="MN1182" s="15"/>
      <c r="MO1182" s="15"/>
      <c r="MP1182" s="15"/>
      <c r="MQ1182" s="15"/>
      <c r="MR1182" s="15"/>
      <c r="MS1182" s="15"/>
      <c r="MT1182" s="15"/>
      <c r="MU1182" s="15"/>
      <c r="MV1182" s="15"/>
      <c r="MW1182" s="15"/>
      <c r="MX1182" s="15"/>
      <c r="MY1182" s="15"/>
      <c r="MZ1182" s="15"/>
      <c r="NA1182" s="15"/>
      <c r="NB1182" s="15"/>
      <c r="NC1182" s="15"/>
      <c r="ND1182" s="15"/>
      <c r="NE1182" s="15"/>
      <c r="NF1182" s="15"/>
      <c r="NG1182" s="15"/>
      <c r="NH1182" s="15"/>
      <c r="NI1182" s="15"/>
      <c r="NJ1182" s="15"/>
      <c r="NK1182" s="15"/>
      <c r="NL1182" s="15"/>
      <c r="NM1182" s="15"/>
      <c r="NN1182" s="15"/>
      <c r="NO1182" s="15"/>
      <c r="NP1182" s="15"/>
      <c r="NQ1182" s="15"/>
      <c r="NR1182" s="15"/>
      <c r="NS1182" s="15"/>
      <c r="NT1182" s="15"/>
      <c r="NU1182" s="15"/>
      <c r="NV1182" s="15"/>
      <c r="NW1182" s="15"/>
      <c r="NX1182" s="15"/>
      <c r="NY1182" s="15"/>
      <c r="NZ1182" s="15"/>
      <c r="OA1182" s="15"/>
      <c r="OB1182" s="15"/>
      <c r="OC1182" s="15"/>
      <c r="OD1182" s="15"/>
      <c r="OE1182" s="15"/>
      <c r="OF1182" s="15"/>
      <c r="OG1182" s="15"/>
      <c r="OH1182" s="15"/>
      <c r="OI1182" s="15"/>
      <c r="OJ1182" s="15"/>
      <c r="OK1182" s="15"/>
      <c r="OL1182" s="15"/>
      <c r="OM1182" s="15"/>
      <c r="ON1182" s="15"/>
      <c r="OO1182" s="15"/>
      <c r="OP1182" s="15"/>
      <c r="OQ1182" s="15"/>
      <c r="OR1182" s="15"/>
      <c r="OS1182" s="15"/>
      <c r="OT1182" s="15"/>
      <c r="OU1182" s="15"/>
      <c r="OV1182" s="15"/>
      <c r="OW1182" s="15"/>
      <c r="OX1182" s="15"/>
      <c r="OY1182" s="15"/>
      <c r="OZ1182" s="15"/>
      <c r="PA1182" s="15"/>
      <c r="PB1182" s="15"/>
      <c r="PC1182" s="15"/>
      <c r="PD1182" s="15"/>
      <c r="PE1182" s="15"/>
      <c r="PF1182" s="15"/>
      <c r="PG1182" s="15"/>
      <c r="PH1182" s="15"/>
      <c r="PI1182" s="15"/>
      <c r="PJ1182" s="15"/>
      <c r="PK1182" s="15"/>
      <c r="PL1182" s="15"/>
      <c r="PM1182" s="15"/>
      <c r="PN1182" s="15"/>
      <c r="PO1182" s="15"/>
      <c r="PP1182" s="15"/>
      <c r="PQ1182" s="15"/>
      <c r="PR1182" s="15"/>
      <c r="PS1182" s="15"/>
      <c r="PT1182" s="15"/>
      <c r="PU1182" s="15"/>
      <c r="PV1182" s="15"/>
      <c r="PW1182" s="15"/>
      <c r="PX1182" s="15"/>
      <c r="PY1182" s="15"/>
      <c r="PZ1182" s="15"/>
      <c r="QA1182" s="15"/>
      <c r="QB1182" s="15"/>
      <c r="QC1182" s="15"/>
      <c r="QD1182" s="15"/>
      <c r="QE1182" s="15"/>
      <c r="QF1182" s="15"/>
      <c r="QG1182" s="15"/>
      <c r="QH1182" s="15"/>
      <c r="QI1182" s="15"/>
      <c r="QJ1182" s="15"/>
      <c r="QK1182" s="15"/>
      <c r="QL1182" s="15"/>
      <c r="QM1182" s="15"/>
      <c r="QN1182" s="15"/>
      <c r="QO1182" s="15"/>
      <c r="QP1182" s="15"/>
      <c r="QQ1182" s="15"/>
      <c r="QR1182" s="15"/>
      <c r="QS1182" s="15"/>
      <c r="QT1182" s="15"/>
      <c r="QU1182" s="15"/>
      <c r="QV1182" s="15"/>
      <c r="QW1182" s="15"/>
      <c r="QX1182" s="15"/>
      <c r="QY1182" s="15"/>
      <c r="QZ1182" s="15"/>
      <c r="RA1182" s="15"/>
      <c r="RB1182" s="15"/>
      <c r="RC1182" s="15"/>
      <c r="RD1182" s="15"/>
      <c r="RE1182" s="15"/>
      <c r="RF1182" s="15"/>
      <c r="RG1182" s="15"/>
      <c r="RH1182" s="15"/>
      <c r="RI1182" s="15"/>
      <c r="RJ1182" s="15"/>
      <c r="RK1182" s="15"/>
      <c r="RL1182" s="15"/>
      <c r="RM1182" s="15"/>
      <c r="RN1182" s="15"/>
      <c r="RO1182" s="15"/>
      <c r="RP1182" s="15"/>
      <c r="RQ1182" s="15"/>
      <c r="RR1182" s="15"/>
      <c r="RS1182" s="15"/>
      <c r="RT1182" s="15"/>
      <c r="RU1182" s="15"/>
      <c r="RV1182" s="15"/>
      <c r="RW1182" s="15"/>
      <c r="RX1182" s="15"/>
      <c r="RY1182" s="15"/>
      <c r="RZ1182" s="15"/>
      <c r="SA1182" s="15"/>
      <c r="SB1182" s="15"/>
      <c r="SC1182" s="15"/>
      <c r="SD1182" s="15"/>
      <c r="SE1182" s="15"/>
      <c r="SF1182" s="15"/>
      <c r="SG1182" s="15"/>
      <c r="SH1182" s="15"/>
      <c r="SI1182" s="15"/>
      <c r="SJ1182" s="15"/>
      <c r="SK1182" s="15"/>
      <c r="SL1182" s="15"/>
      <c r="SM1182" s="15"/>
      <c r="SN1182" s="15"/>
      <c r="SO1182" s="15"/>
      <c r="SP1182" s="15"/>
      <c r="SQ1182" s="15"/>
      <c r="SR1182" s="15"/>
      <c r="SS1182" s="15"/>
      <c r="ST1182" s="15"/>
      <c r="SU1182" s="15"/>
      <c r="SV1182" s="15"/>
      <c r="SW1182" s="15"/>
      <c r="SX1182" s="15"/>
      <c r="SY1182" s="15"/>
      <c r="SZ1182" s="15"/>
      <c r="TA1182" s="15"/>
      <c r="TB1182" s="15"/>
      <c r="TC1182" s="15"/>
      <c r="TD1182" s="15"/>
      <c r="TE1182" s="15"/>
      <c r="TF1182" s="15"/>
      <c r="TG1182" s="15"/>
      <c r="TH1182" s="15"/>
      <c r="TI1182" s="15"/>
      <c r="TJ1182" s="15"/>
      <c r="TK1182" s="15"/>
      <c r="TL1182" s="15"/>
      <c r="TM1182" s="15"/>
      <c r="TN1182" s="15"/>
      <c r="TO1182" s="15"/>
      <c r="TP1182" s="15"/>
      <c r="TQ1182" s="15"/>
      <c r="TR1182" s="15"/>
      <c r="TS1182" s="15"/>
      <c r="TT1182" s="15"/>
      <c r="TU1182" s="15"/>
      <c r="TV1182" s="15"/>
      <c r="TW1182" s="15"/>
      <c r="TX1182" s="15"/>
      <c r="TY1182" s="15"/>
      <c r="TZ1182" s="15"/>
      <c r="UA1182" s="15"/>
    </row>
    <row r="1183" spans="26:547" ht="10.75" customHeight="1">
      <c r="AK1183" s="13"/>
      <c r="AL1183" s="12"/>
      <c r="AO1183" s="12"/>
      <c r="CM1183" s="12"/>
      <c r="CN1183" s="13"/>
      <c r="EH1183" s="13"/>
      <c r="EK1183" s="13"/>
      <c r="GH1183" s="10"/>
      <c r="GI1183" s="10"/>
      <c r="GJ1183" s="10"/>
      <c r="GK1183" s="10"/>
      <c r="GL1183" s="10"/>
      <c r="GM1183" s="10"/>
      <c r="GN1183" s="10"/>
      <c r="GO1183" s="10"/>
      <c r="GP1183" s="10"/>
      <c r="GQ1183" s="10"/>
      <c r="GR1183" s="10"/>
      <c r="GS1183" s="10"/>
      <c r="GT1183" s="10"/>
      <c r="GU1183" s="10"/>
      <c r="GV1183" s="10"/>
      <c r="GW1183" s="10"/>
      <c r="GX1183" s="10"/>
      <c r="GY1183" s="10"/>
      <c r="GZ1183" s="10"/>
      <c r="HA1183" s="10"/>
      <c r="HB1183" s="10"/>
      <c r="HC1183" s="10"/>
      <c r="HD1183" s="10"/>
      <c r="HE1183" s="10"/>
      <c r="HF1183" s="10"/>
      <c r="HG1183" s="10"/>
      <c r="HH1183" s="10"/>
      <c r="HI1183" s="10"/>
      <c r="HJ1183" s="10"/>
      <c r="HK1183" s="10"/>
      <c r="HL1183" s="10"/>
      <c r="HM1183" s="10"/>
      <c r="HN1183" s="10"/>
      <c r="HO1183" s="10"/>
      <c r="HP1183" s="10"/>
      <c r="HQ1183" s="10"/>
      <c r="HR1183" s="10"/>
      <c r="HS1183" s="10"/>
      <c r="HT1183" s="10"/>
      <c r="HU1183" s="10"/>
      <c r="HV1183" s="10"/>
      <c r="HW1183" s="10"/>
      <c r="HX1183" s="10"/>
      <c r="HY1183" s="10"/>
      <c r="HZ1183" s="10"/>
      <c r="IA1183" s="10"/>
      <c r="IB1183" s="10"/>
      <c r="IC1183" s="10"/>
      <c r="ID1183" s="10"/>
      <c r="IE1183" s="10"/>
      <c r="IF1183" s="10"/>
      <c r="IG1183" s="10"/>
      <c r="IH1183" s="10"/>
      <c r="II1183" s="10"/>
      <c r="JR1183" s="13"/>
      <c r="JS1183" s="20"/>
      <c r="JT1183" s="21"/>
      <c r="JU1183" s="21"/>
      <c r="JV1183" s="21"/>
      <c r="JW1183" s="21"/>
      <c r="JX1183" s="21"/>
      <c r="JY1183" s="21"/>
      <c r="JZ1183" s="21"/>
      <c r="KA1183" s="21"/>
      <c r="KB1183" s="21"/>
      <c r="KC1183" s="21"/>
      <c r="KD1183" s="21"/>
      <c r="KE1183" s="22"/>
      <c r="KF1183" s="10"/>
      <c r="KG1183" s="10"/>
      <c r="KH1183" s="10"/>
      <c r="KI1183" s="10"/>
      <c r="KJ1183" s="10"/>
      <c r="KK1183" s="10"/>
      <c r="KL1183" s="10"/>
      <c r="KM1183" s="10"/>
      <c r="KN1183" s="10"/>
      <c r="KO1183" s="10"/>
      <c r="KP1183" s="10"/>
      <c r="KQ1183" s="10"/>
      <c r="KR1183" s="10"/>
      <c r="KS1183" s="10"/>
      <c r="KT1183" s="10"/>
      <c r="KU1183" s="10"/>
      <c r="KV1183" s="10"/>
      <c r="KW1183" s="10"/>
      <c r="KX1183" s="10"/>
      <c r="KY1183" s="10"/>
      <c r="KZ1183" s="10"/>
      <c r="LA1183" s="10"/>
      <c r="LB1183" s="10"/>
      <c r="LC1183" s="10"/>
      <c r="LD1183" s="10"/>
      <c r="LE1183" s="10"/>
      <c r="LF1183" s="10"/>
      <c r="LG1183" s="10"/>
      <c r="LH1183" s="10"/>
      <c r="LI1183" s="10"/>
      <c r="LJ1183" s="10"/>
      <c r="LK1183" s="10"/>
      <c r="LL1183" s="10"/>
      <c r="LM1183" s="10"/>
      <c r="LN1183" s="10"/>
      <c r="LO1183" s="10"/>
      <c r="LP1183" s="10"/>
      <c r="LQ1183" s="10"/>
      <c r="LR1183" s="10"/>
      <c r="LS1183" s="10"/>
      <c r="LT1183" s="10"/>
      <c r="LU1183" s="10"/>
      <c r="LV1183" s="10"/>
      <c r="LW1183" s="10"/>
      <c r="LX1183" s="10"/>
      <c r="LY1183" s="10"/>
      <c r="LZ1183" s="10"/>
      <c r="MA1183" s="10"/>
      <c r="MB1183" s="10"/>
      <c r="MC1183" s="10"/>
      <c r="MD1183" s="10"/>
      <c r="ME1183" s="10"/>
      <c r="MF1183" s="10"/>
      <c r="MG1183" s="10"/>
      <c r="MH1183" s="10"/>
      <c r="MI1183" s="10"/>
      <c r="MJ1183" s="10"/>
      <c r="MK1183" s="10"/>
      <c r="ML1183" s="10"/>
      <c r="MM1183" s="10"/>
      <c r="MN1183" s="10"/>
      <c r="MO1183" s="10"/>
      <c r="MP1183" s="10"/>
      <c r="MQ1183" s="10"/>
      <c r="MR1183" s="10"/>
      <c r="MS1183" s="10"/>
      <c r="MT1183" s="10"/>
      <c r="MU1183" s="10"/>
      <c r="MV1183" s="10"/>
      <c r="MW1183" s="10"/>
      <c r="MX1183" s="10"/>
      <c r="MY1183" s="10"/>
      <c r="MZ1183" s="10"/>
      <c r="NA1183" s="10"/>
      <c r="NB1183" s="10"/>
      <c r="NC1183" s="10"/>
      <c r="ND1183" s="10"/>
      <c r="NE1183" s="10"/>
      <c r="NF1183" s="10"/>
      <c r="NG1183" s="10"/>
      <c r="TG1183" s="13"/>
    </row>
    <row r="1184" spans="26:547" ht="10.75" customHeight="1">
      <c r="Z1184" s="9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1"/>
      <c r="AL1184" s="12"/>
      <c r="AO1184" s="12"/>
      <c r="CM1184" s="12"/>
      <c r="CN1184" s="13"/>
      <c r="EH1184" s="13"/>
      <c r="EK1184" s="13"/>
      <c r="GJ1184" s="12"/>
      <c r="GS1184" s="12"/>
      <c r="JS1184" s="10"/>
      <c r="JT1184" s="10"/>
      <c r="JU1184" s="10"/>
      <c r="JV1184" s="10"/>
      <c r="JW1184" s="10"/>
      <c r="JX1184" s="10"/>
      <c r="JY1184" s="10"/>
      <c r="JZ1184" s="10"/>
      <c r="KA1184" s="10"/>
      <c r="KB1184" s="10"/>
      <c r="KC1184" s="10"/>
      <c r="KD1184" s="11"/>
      <c r="TG1184" s="13"/>
    </row>
    <row r="1185" spans="22:527" ht="10.75" customHeight="1">
      <c r="Z1185" s="12"/>
      <c r="AA1185" s="9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1"/>
      <c r="AL1185" s="12"/>
      <c r="AO1185" s="12"/>
      <c r="CM1185" s="12"/>
      <c r="CN1185" s="13"/>
      <c r="EH1185" s="13"/>
      <c r="EK1185" s="13"/>
      <c r="GJ1185" s="12"/>
      <c r="GS1185" s="12"/>
      <c r="KD1185" s="13"/>
      <c r="TG1185" s="13"/>
    </row>
    <row r="1186" spans="22:527" ht="10.75" customHeight="1">
      <c r="Z1186" s="12"/>
      <c r="AA1186" s="12"/>
      <c r="AK1186" s="13"/>
      <c r="AL1186" s="12"/>
      <c r="AO1186" s="12"/>
      <c r="CM1186" s="12"/>
      <c r="CN1186" s="13"/>
      <c r="EH1186" s="13"/>
      <c r="EK1186" s="13"/>
      <c r="GJ1186" s="12"/>
      <c r="GS1186" s="12"/>
      <c r="KD1186" s="13"/>
      <c r="TG1186" s="13"/>
    </row>
    <row r="1187" spans="22:527" ht="10.75" customHeight="1">
      <c r="Z1187" s="12"/>
      <c r="AA1187" s="12"/>
      <c r="AK1187" s="13"/>
      <c r="AL1187" s="12"/>
      <c r="AO1187" s="12"/>
      <c r="CM1187" s="12"/>
      <c r="CN1187" s="13"/>
      <c r="EH1187" s="13"/>
      <c r="EK1187" s="13"/>
      <c r="GJ1187" s="12"/>
      <c r="GS1187" s="12"/>
      <c r="KD1187" s="13"/>
      <c r="TG1187" s="13"/>
    </row>
    <row r="1188" spans="22:527" ht="10.75" customHeight="1">
      <c r="Z1188" s="12"/>
      <c r="AA1188" s="12"/>
      <c r="AK1188" s="13"/>
      <c r="AL1188" s="12"/>
      <c r="AO1188" s="12"/>
      <c r="CM1188" s="12"/>
      <c r="CN1188" s="13"/>
      <c r="EH1188" s="13"/>
      <c r="EK1188" s="13"/>
      <c r="GJ1188" s="12"/>
      <c r="GS1188" s="12"/>
      <c r="KD1188" s="13"/>
      <c r="TG1188" s="13"/>
    </row>
    <row r="1189" spans="22:527" ht="10.75" customHeight="1">
      <c r="Z1189" s="12"/>
      <c r="AA1189" s="12"/>
      <c r="AK1189" s="13"/>
      <c r="AL1189" s="12"/>
      <c r="AO1189" s="12"/>
      <c r="CM1189" s="12"/>
      <c r="CN1189" s="13"/>
      <c r="EH1189" s="13"/>
      <c r="EK1189" s="13"/>
      <c r="GJ1189" s="12"/>
      <c r="GS1189" s="12"/>
      <c r="KD1189" s="13"/>
      <c r="TG1189" s="13"/>
    </row>
    <row r="1190" spans="22:527" ht="10.75" customHeight="1">
      <c r="Z1190" s="12"/>
      <c r="AA1190" s="12"/>
      <c r="AK1190" s="13"/>
      <c r="AL1190" s="12"/>
      <c r="AO1190" s="12"/>
      <c r="CM1190" s="12"/>
      <c r="CN1190" s="13"/>
      <c r="EH1190" s="13"/>
      <c r="EK1190" s="13"/>
      <c r="GJ1190" s="12"/>
      <c r="GS1190" s="12"/>
      <c r="KD1190" s="13"/>
      <c r="KE1190" s="20"/>
      <c r="KF1190" s="21"/>
      <c r="KG1190" s="21"/>
      <c r="KH1190" s="21"/>
      <c r="KI1190" s="21"/>
      <c r="KJ1190" s="21"/>
      <c r="KK1190" s="21"/>
      <c r="KL1190" s="21"/>
      <c r="KM1190" s="21"/>
      <c r="KN1190" s="21"/>
      <c r="KO1190" s="21"/>
      <c r="KP1190" s="21"/>
      <c r="KQ1190" s="22"/>
      <c r="TG1190" s="13"/>
    </row>
    <row r="1191" spans="22:527" ht="10.75" customHeight="1">
      <c r="Z1191" s="12"/>
      <c r="AA1191" s="12"/>
      <c r="AK1191" s="13"/>
      <c r="AL1191" s="12"/>
      <c r="AO1191" s="12"/>
      <c r="CM1191" s="12"/>
      <c r="CN1191" s="13"/>
      <c r="EH1191" s="13"/>
      <c r="EK1191" s="13"/>
      <c r="GJ1191" s="12"/>
      <c r="GS1191" s="12"/>
      <c r="KP1191" s="13"/>
      <c r="TG1191" s="13"/>
    </row>
    <row r="1192" spans="22:527" ht="10.75" customHeight="1">
      <c r="Z1192" s="12"/>
      <c r="AA1192" s="12"/>
      <c r="AK1192" s="13"/>
      <c r="AL1192" s="12"/>
      <c r="AO1192" s="12"/>
      <c r="CM1192" s="12"/>
      <c r="CN1192" s="13"/>
      <c r="EH1192" s="13"/>
      <c r="EK1192" s="13"/>
      <c r="GJ1192" s="12"/>
      <c r="GS1192" s="12"/>
      <c r="KP1192" s="13"/>
      <c r="TG1192" s="13"/>
    </row>
    <row r="1193" spans="22:527" ht="10.75" customHeight="1">
      <c r="Z1193" s="12"/>
      <c r="AA1193" s="12"/>
      <c r="AK1193" s="13"/>
      <c r="AL1193" s="12"/>
      <c r="AO1193" s="12"/>
      <c r="CM1193" s="12"/>
      <c r="CN1193" s="13"/>
      <c r="EH1193" s="13"/>
      <c r="EK1193" s="13"/>
      <c r="GJ1193" s="12"/>
      <c r="GS1193" s="12"/>
      <c r="KP1193" s="13"/>
      <c r="TG1193" s="13"/>
    </row>
    <row r="1194" spans="22:527" ht="10.75" customHeight="1">
      <c r="Z1194" s="12"/>
      <c r="AA1194" s="12"/>
      <c r="AK1194" s="13"/>
      <c r="AL1194" s="12"/>
      <c r="AO1194" s="12"/>
      <c r="CM1194" s="12"/>
      <c r="CN1194" s="13"/>
      <c r="EH1194" s="13"/>
      <c r="EK1194" s="13"/>
      <c r="GJ1194" s="12"/>
      <c r="GS1194" s="12"/>
      <c r="IJ1194" s="15"/>
      <c r="IK1194" s="15"/>
      <c r="IL1194" s="15"/>
      <c r="IM1194" s="15"/>
      <c r="IN1194" s="15"/>
      <c r="IO1194" s="15"/>
      <c r="IP1194" s="15"/>
      <c r="IQ1194" s="15"/>
      <c r="IR1194" s="15"/>
      <c r="IS1194" s="15"/>
      <c r="IT1194" s="15"/>
      <c r="IU1194" s="15"/>
      <c r="IV1194" s="15"/>
      <c r="IW1194" s="15"/>
      <c r="IX1194" s="15"/>
      <c r="IY1194" s="15"/>
      <c r="IZ1194" s="15"/>
      <c r="JA1194" s="15"/>
      <c r="JB1194" s="15"/>
      <c r="JC1194" s="15"/>
      <c r="JD1194" s="15"/>
      <c r="JE1194" s="15"/>
      <c r="JF1194" s="15"/>
      <c r="JG1194" s="15"/>
      <c r="JH1194" s="15"/>
      <c r="JI1194" s="15"/>
      <c r="JJ1194" s="15"/>
      <c r="JK1194" s="15"/>
      <c r="JL1194" s="15"/>
      <c r="JM1194" s="15"/>
      <c r="JN1194" s="15"/>
      <c r="JO1194" s="15"/>
      <c r="JP1194" s="15"/>
      <c r="JQ1194" s="15"/>
      <c r="JR1194" s="15"/>
      <c r="JS1194" s="15"/>
      <c r="JT1194" s="15"/>
      <c r="KP1194" s="13"/>
      <c r="LJ1194" s="15"/>
      <c r="LK1194" s="15"/>
      <c r="LL1194" s="15"/>
      <c r="LM1194" s="15"/>
      <c r="LN1194" s="15"/>
      <c r="LO1194" s="15"/>
      <c r="LP1194" s="15"/>
      <c r="LQ1194" s="15"/>
      <c r="LR1194" s="15"/>
      <c r="LS1194" s="15"/>
      <c r="LT1194" s="15"/>
      <c r="LU1194" s="15"/>
      <c r="LV1194" s="15"/>
      <c r="LW1194" s="15"/>
      <c r="LX1194" s="15"/>
      <c r="LY1194" s="15"/>
      <c r="LZ1194" s="15"/>
      <c r="MA1194" s="15"/>
      <c r="MB1194" s="15"/>
      <c r="MC1194" s="15"/>
      <c r="MD1194" s="15"/>
      <c r="ME1194" s="15"/>
      <c r="MF1194" s="15"/>
      <c r="MG1194" s="15"/>
      <c r="MH1194" s="15"/>
      <c r="MI1194" s="15"/>
      <c r="MJ1194" s="15"/>
      <c r="MK1194" s="15"/>
      <c r="ML1194" s="15"/>
      <c r="MM1194" s="15"/>
      <c r="MN1194" s="15"/>
      <c r="MO1194" s="15"/>
      <c r="MP1194" s="15"/>
      <c r="MQ1194" s="15"/>
      <c r="MR1194" s="15"/>
      <c r="MS1194" s="15"/>
      <c r="MT1194" s="15"/>
      <c r="MU1194" s="15"/>
      <c r="MV1194" s="15"/>
      <c r="MW1194" s="15"/>
      <c r="MX1194" s="15"/>
      <c r="MY1194" s="15"/>
      <c r="MZ1194" s="15"/>
      <c r="NA1194" s="15"/>
      <c r="NB1194" s="15"/>
      <c r="NC1194" s="15"/>
      <c r="ND1194" s="15"/>
      <c r="NE1194" s="15"/>
      <c r="NF1194" s="15"/>
      <c r="NG1194" s="15"/>
      <c r="NH1194" s="15"/>
      <c r="NI1194" s="15"/>
      <c r="NJ1194" s="15"/>
      <c r="NK1194" s="15"/>
      <c r="NL1194" s="15"/>
      <c r="NM1194" s="15"/>
      <c r="NN1194" s="15"/>
      <c r="NO1194" s="15"/>
      <c r="NP1194" s="15"/>
      <c r="NQ1194" s="15"/>
      <c r="NR1194" s="15"/>
      <c r="NS1194" s="15"/>
      <c r="NT1194" s="15"/>
      <c r="NU1194" s="15"/>
      <c r="NV1194" s="15"/>
      <c r="NW1194" s="15"/>
      <c r="NX1194" s="15"/>
      <c r="NY1194" s="15"/>
      <c r="NZ1194" s="15"/>
      <c r="OA1194" s="15"/>
      <c r="OB1194" s="15"/>
      <c r="OC1194" s="15"/>
      <c r="OD1194" s="15"/>
      <c r="OE1194" s="15"/>
      <c r="OF1194" s="15"/>
      <c r="OG1194" s="15"/>
      <c r="OH1194" s="15"/>
      <c r="OI1194" s="15"/>
      <c r="OJ1194" s="15"/>
      <c r="OK1194" s="15"/>
      <c r="OL1194" s="15"/>
      <c r="OM1194" s="15"/>
      <c r="ON1194" s="15"/>
      <c r="OO1194" s="15"/>
      <c r="OP1194" s="15"/>
      <c r="OQ1194" s="15"/>
      <c r="OR1194" s="15"/>
      <c r="OS1194" s="15"/>
      <c r="OT1194" s="15"/>
      <c r="OU1194" s="15"/>
      <c r="OV1194" s="15"/>
      <c r="OW1194" s="15"/>
      <c r="OX1194" s="15"/>
      <c r="OY1194" s="15"/>
      <c r="OZ1194" s="15"/>
      <c r="PA1194" s="15"/>
      <c r="PB1194" s="15"/>
      <c r="PC1194" s="15"/>
      <c r="PD1194" s="15"/>
      <c r="PE1194" s="15"/>
      <c r="PF1194" s="15"/>
      <c r="PG1194" s="15"/>
      <c r="PH1194" s="15"/>
      <c r="PI1194" s="15"/>
      <c r="PJ1194" s="15"/>
      <c r="PK1194" s="15"/>
      <c r="PL1194" s="15"/>
      <c r="PM1194" s="15"/>
      <c r="PN1194" s="15"/>
      <c r="PO1194" s="15"/>
      <c r="PP1194" s="15"/>
      <c r="PQ1194" s="15"/>
      <c r="PR1194" s="15"/>
      <c r="PS1194" s="15"/>
      <c r="PT1194" s="15"/>
      <c r="PU1194" s="15"/>
      <c r="PV1194" s="15"/>
      <c r="PW1194" s="15"/>
      <c r="PX1194" s="15"/>
      <c r="PY1194" s="15"/>
      <c r="PZ1194" s="15"/>
      <c r="QA1194" s="15"/>
      <c r="QB1194" s="15"/>
      <c r="QC1194" s="15"/>
      <c r="QD1194" s="15"/>
      <c r="QE1194" s="15"/>
      <c r="QF1194" s="15"/>
      <c r="QG1194" s="15"/>
      <c r="QH1194" s="15"/>
      <c r="QI1194" s="15"/>
      <c r="QJ1194" s="15"/>
      <c r="QK1194" s="15"/>
      <c r="QL1194" s="15"/>
      <c r="QM1194" s="15"/>
      <c r="QN1194" s="15"/>
      <c r="QO1194" s="15"/>
      <c r="QP1194" s="15"/>
      <c r="QQ1194" s="15"/>
      <c r="QR1194" s="15"/>
      <c r="QS1194" s="15"/>
      <c r="QT1194" s="15"/>
      <c r="QU1194" s="15"/>
      <c r="QV1194" s="15"/>
      <c r="QW1194" s="15"/>
      <c r="QX1194" s="15"/>
      <c r="QY1194" s="15"/>
      <c r="QZ1194" s="15"/>
      <c r="RA1194" s="15"/>
      <c r="RB1194" s="15"/>
      <c r="RC1194" s="15"/>
      <c r="RD1194" s="15"/>
      <c r="RE1194" s="15"/>
      <c r="RF1194" s="15"/>
      <c r="RG1194" s="15"/>
      <c r="RH1194" s="15"/>
      <c r="RI1194" s="15"/>
      <c r="RJ1194" s="15"/>
      <c r="RK1194" s="15"/>
      <c r="RL1194" s="15"/>
      <c r="RM1194" s="15"/>
      <c r="RN1194" s="15"/>
      <c r="RO1194" s="15"/>
      <c r="RP1194" s="15"/>
      <c r="RQ1194" s="15"/>
      <c r="RR1194" s="15"/>
      <c r="RS1194" s="15"/>
      <c r="RT1194" s="15"/>
      <c r="RU1194" s="15"/>
      <c r="RV1194" s="15"/>
      <c r="RW1194" s="15"/>
      <c r="RX1194" s="15"/>
      <c r="RY1194" s="15"/>
      <c r="RZ1194" s="15"/>
      <c r="SA1194" s="15"/>
      <c r="SB1194" s="15"/>
      <c r="SC1194" s="15"/>
      <c r="SD1194" s="15"/>
      <c r="SE1194" s="15"/>
      <c r="SF1194" s="15"/>
      <c r="SG1194" s="15"/>
      <c r="SH1194" s="15"/>
      <c r="SI1194" s="15"/>
      <c r="SJ1194" s="15"/>
      <c r="SK1194" s="15"/>
      <c r="SL1194" s="15"/>
      <c r="SM1194" s="15"/>
      <c r="SN1194" s="15"/>
      <c r="SO1194" s="15"/>
      <c r="SP1194" s="15"/>
      <c r="SQ1194" s="15"/>
      <c r="SR1194" s="15"/>
      <c r="SS1194" s="15"/>
      <c r="ST1194" s="15"/>
      <c r="SU1194" s="15"/>
      <c r="SV1194" s="15"/>
      <c r="SW1194" s="15"/>
      <c r="SX1194" s="15"/>
      <c r="TG1194" s="13"/>
    </row>
    <row r="1195" spans="22:527" ht="10.75" customHeight="1">
      <c r="Z1195" s="12"/>
      <c r="AA1195" s="12"/>
      <c r="AK1195" s="13"/>
      <c r="AL1195" s="12"/>
      <c r="AO1195" s="12"/>
      <c r="CM1195" s="12"/>
      <c r="CN1195" s="13"/>
      <c r="EH1195" s="13"/>
      <c r="EK1195" s="13"/>
      <c r="GJ1195" s="12"/>
      <c r="GS1195" s="9"/>
      <c r="GT1195" s="10"/>
      <c r="GU1195" s="10"/>
      <c r="GV1195" s="10"/>
      <c r="GW1195" s="10"/>
      <c r="GX1195" s="10"/>
      <c r="GY1195" s="10"/>
      <c r="GZ1195" s="10"/>
      <c r="HA1195" s="10"/>
      <c r="HB1195" s="10"/>
      <c r="HC1195" s="10"/>
      <c r="HD1195" s="10"/>
      <c r="HE1195" s="10"/>
      <c r="HF1195" s="10"/>
      <c r="HG1195" s="10"/>
      <c r="HH1195" s="10"/>
      <c r="HI1195" s="10"/>
      <c r="HJ1195" s="10"/>
      <c r="HK1195" s="10"/>
      <c r="HL1195" s="10"/>
      <c r="HM1195" s="10"/>
      <c r="HN1195" s="10"/>
      <c r="HO1195" s="10"/>
      <c r="HP1195" s="10"/>
      <c r="HQ1195" s="10"/>
      <c r="HR1195" s="10"/>
      <c r="HS1195" s="10"/>
      <c r="HT1195" s="10"/>
      <c r="HU1195" s="10"/>
      <c r="HV1195" s="10"/>
      <c r="HW1195" s="10"/>
      <c r="HX1195" s="10"/>
      <c r="HY1195" s="10"/>
      <c r="HZ1195" s="10"/>
      <c r="IA1195" s="10"/>
      <c r="IB1195" s="10"/>
      <c r="IC1195" s="10"/>
      <c r="ID1195" s="10"/>
      <c r="IE1195" s="10"/>
      <c r="IF1195" s="10"/>
      <c r="IG1195" s="10"/>
      <c r="IH1195" s="10"/>
      <c r="II1195" s="10"/>
      <c r="IJ1195" s="10"/>
      <c r="IK1195" s="10"/>
      <c r="IL1195" s="10"/>
      <c r="IM1195" s="10"/>
      <c r="IN1195" s="10"/>
      <c r="IO1195" s="10"/>
      <c r="IP1195" s="10"/>
      <c r="IQ1195" s="10"/>
      <c r="IR1195" s="10"/>
      <c r="IS1195" s="10"/>
      <c r="IT1195" s="10"/>
      <c r="IU1195" s="10"/>
      <c r="IV1195" s="10"/>
      <c r="IW1195" s="10"/>
      <c r="IX1195" s="10"/>
      <c r="IY1195" s="10"/>
      <c r="KP1195" s="13"/>
      <c r="TG1195" s="13"/>
    </row>
    <row r="1196" spans="22:527" ht="10.75" customHeight="1">
      <c r="Z1196" s="12"/>
      <c r="AA1196" s="12"/>
      <c r="AK1196" s="13"/>
      <c r="AL1196" s="12"/>
      <c r="AO1196" s="12"/>
      <c r="CM1196" s="12"/>
      <c r="CN1196" s="13"/>
      <c r="EH1196" s="13"/>
      <c r="EK1196" s="13"/>
      <c r="GJ1196" s="12"/>
      <c r="GS1196" s="12"/>
      <c r="KP1196" s="13"/>
      <c r="TG1196" s="13"/>
    </row>
    <row r="1197" spans="22:527" ht="10.75" customHeight="1">
      <c r="Z1197" s="12"/>
      <c r="AA1197" s="12"/>
      <c r="AK1197" s="13"/>
      <c r="AL1197" s="12"/>
      <c r="AO1197" s="12"/>
      <c r="CM1197" s="12"/>
      <c r="CN1197" s="13"/>
      <c r="EH1197" s="13"/>
      <c r="EK1197" s="13"/>
      <c r="GJ1197" s="12"/>
      <c r="GS1197" s="12"/>
      <c r="KP1197" s="13"/>
      <c r="KQ1197" s="20"/>
      <c r="KR1197" s="21"/>
      <c r="KS1197" s="21"/>
      <c r="KT1197" s="21"/>
      <c r="KU1197" s="21"/>
      <c r="KV1197" s="21"/>
      <c r="KW1197" s="21"/>
      <c r="KX1197" s="21"/>
      <c r="KY1197" s="21"/>
      <c r="KZ1197" s="21"/>
      <c r="LA1197" s="21"/>
      <c r="LB1197" s="21"/>
      <c r="LC1197" s="22"/>
      <c r="LZ1197" s="13"/>
      <c r="MI1197" s="13"/>
      <c r="TG1197" s="13"/>
    </row>
    <row r="1198" spans="22:527" ht="10.75" customHeight="1">
      <c r="Z1198" s="12"/>
      <c r="AA1198" s="12"/>
      <c r="AK1198" s="13"/>
      <c r="AL1198" s="12"/>
      <c r="AO1198" s="12"/>
      <c r="CM1198" s="12"/>
      <c r="CN1198" s="13"/>
      <c r="EH1198" s="13"/>
      <c r="EK1198" s="13"/>
      <c r="GJ1198" s="12"/>
      <c r="GS1198" s="12"/>
      <c r="HW1198" s="9"/>
      <c r="HX1198" s="10"/>
      <c r="HY1198" s="10"/>
      <c r="HZ1198" s="10"/>
      <c r="IA1198" s="10"/>
      <c r="IB1198" s="10"/>
      <c r="IC1198" s="10"/>
      <c r="ID1198" s="10"/>
      <c r="IE1198" s="10"/>
      <c r="IF1198" s="10"/>
      <c r="IG1198" s="10"/>
      <c r="IH1198" s="10"/>
      <c r="II1198" s="10"/>
      <c r="IJ1198" s="10"/>
      <c r="IK1198" s="10"/>
      <c r="IL1198" s="10"/>
      <c r="IM1198" s="10"/>
      <c r="IN1198" s="10"/>
      <c r="IO1198" s="10"/>
      <c r="IP1198" s="10"/>
      <c r="IQ1198" s="10"/>
      <c r="IR1198" s="10"/>
      <c r="IS1198" s="10"/>
      <c r="IT1198" s="11"/>
      <c r="KQ1198" s="10"/>
      <c r="KR1198" s="10"/>
      <c r="KS1198" s="10"/>
      <c r="KT1198" s="10"/>
      <c r="KU1198" s="10"/>
      <c r="KV1198" s="10"/>
      <c r="KW1198" s="10"/>
      <c r="KX1198" s="10"/>
      <c r="KY1198" s="10"/>
      <c r="KZ1198" s="10"/>
      <c r="LA1198" s="10"/>
      <c r="LB1198" s="11"/>
      <c r="LZ1198" s="13"/>
      <c r="MI1198" s="13"/>
      <c r="TG1198" s="13"/>
    </row>
    <row r="1199" spans="22:527" ht="10.75" customHeight="1">
      <c r="Z1199" s="14"/>
      <c r="AA1199" s="14"/>
      <c r="AB1199" s="15"/>
      <c r="AC1199" s="15"/>
      <c r="AD1199" s="15"/>
      <c r="AE1199" s="15"/>
      <c r="AF1199" s="15"/>
      <c r="AG1199" s="15"/>
      <c r="AH1199" s="15"/>
      <c r="AI1199" s="15"/>
      <c r="AJ1199" s="15"/>
      <c r="AK1199" s="16"/>
      <c r="AL1199" s="12"/>
      <c r="AO1199" s="12"/>
      <c r="CM1199" s="12"/>
      <c r="CN1199" s="13"/>
      <c r="EH1199" s="13"/>
      <c r="EK1199" s="13"/>
      <c r="GJ1199" s="12"/>
      <c r="GS1199" s="12"/>
      <c r="HW1199" s="12"/>
      <c r="IT1199" s="13"/>
      <c r="JS1199" s="12"/>
      <c r="KA1199" s="13"/>
      <c r="LB1199" s="13"/>
      <c r="LZ1199" s="13"/>
      <c r="MI1199" s="13"/>
      <c r="PK1199" s="13"/>
      <c r="SX1199" s="13"/>
      <c r="TG1199" s="13"/>
    </row>
    <row r="1200" spans="22:527" ht="10.75" customHeight="1">
      <c r="V1200" s="9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1"/>
      <c r="AL1200" s="12"/>
      <c r="AO1200" s="12"/>
      <c r="CM1200" s="12"/>
      <c r="CN1200" s="13"/>
      <c r="EH1200" s="13"/>
      <c r="EK1200" s="13"/>
      <c r="GJ1200" s="12"/>
      <c r="GS1200" s="12"/>
      <c r="HW1200" s="12"/>
      <c r="IT1200" s="13"/>
      <c r="JS1200" s="12"/>
      <c r="KA1200" s="13"/>
      <c r="LB1200" s="13"/>
      <c r="LZ1200" s="13"/>
      <c r="MI1200" s="13"/>
      <c r="PK1200" s="13"/>
      <c r="SX1200" s="13"/>
      <c r="TG1200" s="13"/>
    </row>
    <row r="1201" spans="22:547" ht="10.75" customHeight="1">
      <c r="V1201" s="12"/>
      <c r="AK1201" s="13"/>
      <c r="AL1201" s="12"/>
      <c r="AO1201" s="12"/>
      <c r="CM1201" s="12"/>
      <c r="CN1201" s="13"/>
      <c r="EH1201" s="13"/>
      <c r="EK1201" s="13"/>
      <c r="GJ1201" s="12"/>
      <c r="GS1201" s="12"/>
      <c r="HW1201" s="12"/>
      <c r="IT1201" s="13"/>
      <c r="JS1201" s="12"/>
      <c r="KA1201" s="13"/>
      <c r="LB1201" s="13"/>
      <c r="LZ1201" s="13"/>
      <c r="MI1201" s="13"/>
      <c r="PK1201" s="13"/>
      <c r="SX1201" s="13"/>
      <c r="TG1201" s="13"/>
    </row>
    <row r="1202" spans="22:547" ht="10.75" customHeight="1">
      <c r="V1202" s="12"/>
      <c r="AK1202" s="13"/>
      <c r="AL1202" s="12"/>
      <c r="AO1202" s="12"/>
      <c r="CM1202" s="12"/>
      <c r="CN1202" s="13"/>
      <c r="EH1202" s="13"/>
      <c r="EK1202" s="13"/>
      <c r="GJ1202" s="12"/>
      <c r="GS1202" s="12"/>
      <c r="HW1202" s="12"/>
      <c r="IT1202" s="13"/>
      <c r="JS1202" s="12"/>
      <c r="KA1202" s="13"/>
      <c r="LB1202" s="13"/>
      <c r="LZ1202" s="13"/>
      <c r="MI1202" s="13"/>
      <c r="PK1202" s="13"/>
      <c r="SX1202" s="13"/>
      <c r="TG1202" s="13"/>
    </row>
    <row r="1203" spans="22:547" ht="10.75" customHeight="1">
      <c r="V1203" s="12"/>
      <c r="Y1203" s="9"/>
      <c r="Z1203" s="10"/>
      <c r="AA1203" s="10"/>
      <c r="AB1203" s="9"/>
      <c r="AC1203" s="10"/>
      <c r="AD1203" s="10"/>
      <c r="AE1203" s="10"/>
      <c r="AF1203" s="10"/>
      <c r="AG1203" s="10"/>
      <c r="AH1203" s="11"/>
      <c r="AI1203" s="10"/>
      <c r="AJ1203" s="10"/>
      <c r="AK1203" s="11"/>
      <c r="AL1203" s="12"/>
      <c r="AO1203" s="12"/>
      <c r="CM1203" s="12"/>
      <c r="CN1203" s="13"/>
      <c r="EH1203" s="13"/>
      <c r="EK1203" s="13"/>
      <c r="GJ1203" s="12"/>
      <c r="GS1203" s="12"/>
      <c r="HW1203" s="12"/>
      <c r="IT1203" s="13"/>
      <c r="JS1203" s="12"/>
      <c r="KA1203" s="13"/>
      <c r="LB1203" s="13"/>
      <c r="LZ1203" s="13"/>
      <c r="MI1203" s="13"/>
      <c r="OU1203" s="12"/>
      <c r="PA1203" s="12"/>
      <c r="PK1203" s="13"/>
      <c r="SX1203" s="13"/>
      <c r="TG1203" s="13"/>
    </row>
    <row r="1204" spans="22:547" ht="10.75" customHeight="1">
      <c r="V1204" s="12"/>
      <c r="Y1204" s="12"/>
      <c r="AB1204" s="14"/>
      <c r="AC1204" s="15"/>
      <c r="AD1204" s="15"/>
      <c r="AE1204" s="15"/>
      <c r="AF1204" s="15"/>
      <c r="AG1204" s="15"/>
      <c r="AH1204" s="16"/>
      <c r="AK1204" s="13"/>
      <c r="AL1204" s="12"/>
      <c r="AO1204" s="12"/>
      <c r="CM1204" s="12"/>
      <c r="CN1204" s="13"/>
      <c r="EH1204" s="13"/>
      <c r="EK1204" s="13"/>
      <c r="GJ1204" s="12"/>
      <c r="GS1204" s="12"/>
      <c r="HW1204" s="12"/>
      <c r="IT1204" s="13"/>
      <c r="JS1204" s="12"/>
      <c r="KA1204" s="13"/>
      <c r="LB1204" s="13"/>
      <c r="LC1204" s="20"/>
      <c r="LD1204" s="21"/>
      <c r="LE1204" s="21"/>
      <c r="LF1204" s="21"/>
      <c r="LG1204" s="21"/>
      <c r="LH1204" s="21"/>
      <c r="LI1204" s="21"/>
      <c r="LJ1204" s="21"/>
      <c r="LK1204" s="21"/>
      <c r="LL1204" s="21"/>
      <c r="LM1204" s="21"/>
      <c r="LN1204" s="21"/>
      <c r="LO1204" s="22"/>
      <c r="LZ1204" s="13"/>
      <c r="MI1204" s="13"/>
      <c r="OU1204" s="12"/>
      <c r="PA1204" s="12"/>
      <c r="PK1204" s="13"/>
      <c r="SX1204" s="13"/>
      <c r="TG1204" s="13"/>
    </row>
    <row r="1205" spans="22:547" ht="10.75" customHeight="1">
      <c r="V1205" s="12"/>
      <c r="Y1205" s="12"/>
      <c r="AB1205" s="9"/>
      <c r="AC1205" s="10"/>
      <c r="AD1205" s="10"/>
      <c r="AE1205" s="10"/>
      <c r="AF1205" s="10"/>
      <c r="AG1205" s="10"/>
      <c r="AH1205" s="11"/>
      <c r="AK1205" s="13"/>
      <c r="AL1205" s="12"/>
      <c r="AO1205" s="12"/>
      <c r="CM1205" s="12"/>
      <c r="CN1205" s="13"/>
      <c r="EH1205" s="13"/>
      <c r="EK1205" s="13"/>
      <c r="GJ1205" s="12"/>
      <c r="GS1205" s="12"/>
      <c r="HW1205" s="12"/>
      <c r="IT1205" s="13"/>
      <c r="JS1205" s="12"/>
      <c r="KA1205" s="13"/>
      <c r="LC1205" s="10"/>
      <c r="LD1205" s="10"/>
      <c r="LE1205" s="10"/>
      <c r="LF1205" s="10"/>
      <c r="LG1205" s="10"/>
      <c r="LH1205" s="10"/>
      <c r="LI1205" s="10"/>
      <c r="LJ1205" s="10"/>
      <c r="LK1205" s="10"/>
      <c r="LL1205" s="10"/>
      <c r="LM1205" s="10"/>
      <c r="LN1205" s="11"/>
      <c r="LZ1205" s="13"/>
      <c r="MI1205" s="13"/>
      <c r="OU1205" s="12"/>
      <c r="PA1205" s="12"/>
      <c r="PK1205" s="13"/>
      <c r="SX1205" s="13"/>
      <c r="TG1205" s="13"/>
    </row>
    <row r="1206" spans="22:547" ht="10.75" customHeight="1">
      <c r="V1206" s="12"/>
      <c r="Y1206" s="12"/>
      <c r="AB1206" s="12"/>
      <c r="AH1206" s="13"/>
      <c r="AK1206" s="13"/>
      <c r="AL1206" s="12"/>
      <c r="AO1206" s="12"/>
      <c r="CM1206" s="12"/>
      <c r="CN1206" s="13"/>
      <c r="EH1206" s="13"/>
      <c r="EK1206" s="13"/>
      <c r="GJ1206" s="12"/>
      <c r="GS1206" s="12"/>
      <c r="HW1206" s="14"/>
      <c r="HX1206" s="15"/>
      <c r="HY1206" s="15"/>
      <c r="HZ1206" s="15"/>
      <c r="IA1206" s="15"/>
      <c r="IB1206" s="15"/>
      <c r="IC1206" s="15"/>
      <c r="ID1206" s="15"/>
      <c r="IE1206" s="15"/>
      <c r="IF1206" s="15"/>
      <c r="IG1206" s="15"/>
      <c r="IH1206" s="15"/>
      <c r="II1206" s="15"/>
      <c r="IJ1206" s="15"/>
      <c r="IK1206" s="15"/>
      <c r="IL1206" s="15"/>
      <c r="IM1206" s="15"/>
      <c r="IN1206" s="15"/>
      <c r="IO1206" s="15"/>
      <c r="IP1206" s="15"/>
      <c r="IQ1206" s="15"/>
      <c r="IR1206" s="15"/>
      <c r="IS1206" s="15"/>
      <c r="IT1206" s="16"/>
      <c r="JS1206" s="12"/>
      <c r="KA1206" s="13"/>
      <c r="LN1206" s="13"/>
      <c r="MI1206" s="13"/>
      <c r="OU1206" s="12"/>
      <c r="PA1206" s="12"/>
      <c r="PE1206" s="10"/>
      <c r="PF1206" s="10"/>
      <c r="PG1206" s="10"/>
      <c r="PH1206" s="10"/>
      <c r="PI1206" s="10"/>
      <c r="PJ1206" s="10"/>
      <c r="PK1206" s="11"/>
      <c r="PL1206" s="10"/>
      <c r="PM1206" s="10"/>
      <c r="PN1206" s="10"/>
      <c r="PO1206" s="10"/>
      <c r="PP1206" s="10"/>
      <c r="PQ1206" s="10"/>
      <c r="PR1206" s="10"/>
      <c r="SX1206" s="13"/>
      <c r="TG1206" s="13"/>
    </row>
    <row r="1207" spans="22:547" ht="10.75" customHeight="1">
      <c r="V1207" s="12"/>
      <c r="Y1207" s="12"/>
      <c r="AB1207" s="12"/>
      <c r="AH1207" s="13"/>
      <c r="AK1207" s="13"/>
      <c r="AL1207" s="12"/>
      <c r="AO1207" s="12"/>
      <c r="CM1207" s="12"/>
      <c r="CN1207" s="13"/>
      <c r="EH1207" s="13"/>
      <c r="EK1207" s="13"/>
      <c r="GJ1207" s="12"/>
      <c r="GS1207" s="12"/>
      <c r="JS1207" s="12"/>
      <c r="KA1207" s="13"/>
      <c r="LN1207" s="13"/>
      <c r="MI1207" s="13"/>
      <c r="OU1207" s="12"/>
      <c r="PA1207" s="12"/>
      <c r="PK1207" s="13"/>
      <c r="SX1207" s="13"/>
      <c r="TG1207" s="13"/>
    </row>
    <row r="1208" spans="22:547" ht="10.75" customHeight="1">
      <c r="V1208" s="12"/>
      <c r="Y1208" s="12"/>
      <c r="AB1208" s="14"/>
      <c r="AC1208" s="15"/>
      <c r="AD1208" s="15"/>
      <c r="AE1208" s="15"/>
      <c r="AF1208" s="15"/>
      <c r="AG1208" s="15"/>
      <c r="AH1208" s="16"/>
      <c r="AK1208" s="13"/>
      <c r="AL1208" s="12"/>
      <c r="AO1208" s="12"/>
      <c r="CM1208" s="12"/>
      <c r="CN1208" s="13"/>
      <c r="EH1208" s="13"/>
      <c r="EK1208" s="13"/>
      <c r="GJ1208" s="12"/>
      <c r="GS1208" s="12"/>
      <c r="JS1208" s="12"/>
      <c r="KA1208" s="13"/>
      <c r="LN1208" s="13"/>
      <c r="MI1208" s="13"/>
      <c r="OU1208" s="12"/>
      <c r="PA1208" s="12"/>
      <c r="PK1208" s="13"/>
      <c r="SX1208" s="13"/>
      <c r="TG1208" s="13"/>
    </row>
    <row r="1209" spans="22:547" ht="10.75" customHeight="1">
      <c r="V1209" s="12"/>
      <c r="Y1209" s="12"/>
      <c r="AK1209" s="13"/>
      <c r="AL1209" s="12"/>
      <c r="AO1209" s="12"/>
      <c r="CM1209" s="12"/>
      <c r="CN1209" s="13"/>
      <c r="EH1209" s="13"/>
      <c r="EK1209" s="13"/>
      <c r="GJ1209" s="12"/>
      <c r="GS1209" s="12"/>
      <c r="JS1209" s="12"/>
      <c r="KA1209" s="13"/>
      <c r="LN1209" s="13"/>
      <c r="MI1209" s="13"/>
      <c r="OU1209" s="12"/>
      <c r="PA1209" s="12"/>
      <c r="PK1209" s="13"/>
      <c r="SX1209" s="13"/>
      <c r="TG1209" s="13"/>
    </row>
    <row r="1210" spans="22:547" ht="10.75" customHeight="1">
      <c r="V1210" s="12"/>
      <c r="Y1210" s="12"/>
      <c r="AK1210" s="13"/>
      <c r="AL1210" s="12"/>
      <c r="AO1210" s="12"/>
      <c r="CM1210" s="12"/>
      <c r="CN1210" s="13"/>
      <c r="EH1210" s="13"/>
      <c r="EK1210" s="13"/>
      <c r="GJ1210" s="12"/>
      <c r="GS1210" s="12"/>
      <c r="JS1210" s="12"/>
      <c r="KA1210" s="13"/>
      <c r="LN1210" s="13"/>
      <c r="MI1210" s="13"/>
      <c r="OU1210" s="12"/>
      <c r="PA1210" s="12"/>
      <c r="PK1210" s="13"/>
      <c r="SX1210" s="13"/>
      <c r="TG1210" s="13"/>
    </row>
    <row r="1211" spans="22:547" ht="10.75" customHeight="1">
      <c r="V1211" s="12"/>
      <c r="Y1211" s="12"/>
      <c r="AK1211" s="13"/>
      <c r="AL1211" s="12"/>
      <c r="AO1211" s="12"/>
      <c r="CM1211" s="12"/>
      <c r="CN1211" s="13"/>
      <c r="EH1211" s="13"/>
      <c r="EK1211" s="13"/>
      <c r="GJ1211" s="12"/>
      <c r="GS1211" s="12"/>
      <c r="JS1211" s="12"/>
      <c r="KA1211" s="13"/>
      <c r="LN1211" s="13"/>
      <c r="LO1211" s="20"/>
      <c r="LP1211" s="21"/>
      <c r="LQ1211" s="21"/>
      <c r="LR1211" s="21"/>
      <c r="LS1211" s="21"/>
      <c r="LT1211" s="21"/>
      <c r="LU1211" s="21"/>
      <c r="LV1211" s="21"/>
      <c r="LW1211" s="21"/>
      <c r="LX1211" s="21"/>
      <c r="LY1211" s="21"/>
      <c r="LZ1211" s="21"/>
      <c r="MA1211" s="22"/>
      <c r="OU1211" s="12"/>
      <c r="PA1211" s="12"/>
      <c r="PK1211" s="13"/>
      <c r="SX1211" s="13"/>
      <c r="TG1211" s="13"/>
    </row>
    <row r="1212" spans="22:547" ht="10.75" customHeight="1">
      <c r="V1212" s="12"/>
      <c r="Y1212" s="12"/>
      <c r="AK1212" s="13"/>
      <c r="AL1212" s="12"/>
      <c r="AO1212" s="12"/>
      <c r="CM1212" s="12"/>
      <c r="CN1212" s="13"/>
      <c r="EH1212" s="13"/>
      <c r="EK1212" s="13"/>
      <c r="GJ1212" s="12"/>
      <c r="GS1212" s="12"/>
      <c r="JS1212" s="12"/>
      <c r="KA1212" s="13"/>
      <c r="LO1212" s="10"/>
      <c r="LP1212" s="10"/>
      <c r="LQ1212" s="10"/>
      <c r="LR1212" s="10"/>
      <c r="LS1212" s="10"/>
      <c r="LT1212" s="10"/>
      <c r="LU1212" s="10"/>
      <c r="LV1212" s="10"/>
      <c r="LW1212" s="10"/>
      <c r="LX1212" s="10"/>
      <c r="LY1212" s="10"/>
      <c r="LZ1212" s="11"/>
      <c r="OU1212" s="12"/>
      <c r="PA1212" s="12"/>
      <c r="PK1212" s="13"/>
    </row>
    <row r="1213" spans="22:547" ht="10.75" customHeight="1">
      <c r="V1213" s="12"/>
      <c r="Y1213" s="12"/>
      <c r="AK1213" s="13"/>
      <c r="AL1213" s="12"/>
      <c r="AO1213" s="12"/>
      <c r="CM1213" s="12"/>
      <c r="CN1213" s="13"/>
      <c r="EH1213" s="13"/>
      <c r="EK1213" s="13"/>
      <c r="GJ1213" s="12"/>
      <c r="GS1213" s="12"/>
      <c r="JS1213" s="12"/>
      <c r="KA1213" s="13"/>
      <c r="LZ1213" s="13"/>
      <c r="OU1213" s="12"/>
      <c r="PA1213" s="12"/>
    </row>
    <row r="1214" spans="22:547" ht="10.75" customHeight="1">
      <c r="V1214" s="12"/>
      <c r="Y1214" s="12"/>
      <c r="AK1214" s="13"/>
      <c r="AL1214" s="12"/>
      <c r="AO1214" s="12"/>
      <c r="CM1214" s="12"/>
      <c r="CN1214" s="13"/>
      <c r="EH1214" s="13"/>
      <c r="EK1214" s="13"/>
      <c r="GJ1214" s="12"/>
      <c r="GS1214" s="12"/>
      <c r="JS1214" s="12"/>
      <c r="KA1214" s="13"/>
      <c r="LZ1214" s="13"/>
      <c r="OU1214" s="12"/>
      <c r="PA1214" s="12"/>
    </row>
    <row r="1215" spans="22:547" ht="10.75" customHeight="1">
      <c r="V1215" s="12"/>
      <c r="Y1215" s="12"/>
      <c r="AK1215" s="13"/>
      <c r="AL1215" s="12"/>
      <c r="AO1215" s="12"/>
      <c r="CM1215" s="12"/>
      <c r="CN1215" s="13"/>
      <c r="EH1215" s="13"/>
      <c r="EK1215" s="13"/>
      <c r="FU1215" s="10"/>
      <c r="FV1215" s="10"/>
      <c r="FW1215" s="10"/>
      <c r="FX1215" s="10"/>
      <c r="FY1215" s="10"/>
      <c r="FZ1215" s="10"/>
      <c r="GA1215" s="10"/>
      <c r="GB1215" s="10"/>
      <c r="GC1215" s="10"/>
      <c r="GD1215" s="10"/>
      <c r="GE1215" s="10"/>
      <c r="GF1215" s="10"/>
      <c r="GG1215" s="10"/>
      <c r="GH1215" s="10"/>
      <c r="GI1215" s="10"/>
      <c r="GJ1215" s="10"/>
      <c r="GK1215" s="10"/>
      <c r="GL1215" s="10"/>
      <c r="GM1215" s="10"/>
      <c r="GN1215" s="10"/>
      <c r="GO1215" s="10"/>
      <c r="GP1215" s="10"/>
      <c r="GQ1215" s="10"/>
      <c r="GR1215" s="10"/>
      <c r="GS1215" s="10"/>
      <c r="GT1215" s="10"/>
      <c r="GU1215" s="10"/>
      <c r="GV1215" s="10"/>
      <c r="GW1215" s="10"/>
      <c r="GX1215" s="10"/>
      <c r="GY1215" s="10"/>
      <c r="GZ1215" s="10"/>
      <c r="HA1215" s="10"/>
      <c r="HB1215" s="10"/>
      <c r="HC1215" s="10"/>
      <c r="HD1215" s="10"/>
      <c r="HE1215" s="10"/>
      <c r="HF1215" s="10"/>
      <c r="HG1215" s="10"/>
      <c r="HH1215" s="10"/>
      <c r="HI1215" s="10"/>
      <c r="HJ1215" s="10"/>
      <c r="HK1215" s="10"/>
      <c r="HL1215" s="10"/>
      <c r="HM1215" s="10"/>
      <c r="HN1215" s="10"/>
      <c r="HO1215" s="10"/>
      <c r="HP1215" s="10"/>
      <c r="HQ1215" s="10"/>
      <c r="HR1215" s="10"/>
      <c r="HS1215" s="10"/>
      <c r="HT1215" s="10"/>
      <c r="HU1215" s="10"/>
      <c r="HV1215" s="10"/>
      <c r="HW1215" s="10"/>
      <c r="HX1215" s="10"/>
      <c r="HY1215" s="10"/>
      <c r="HZ1215" s="10"/>
      <c r="IA1215" s="10"/>
      <c r="IB1215" s="10"/>
      <c r="IC1215" s="10"/>
      <c r="ID1215" s="10"/>
      <c r="IE1215" s="10"/>
      <c r="IF1215" s="10"/>
      <c r="IG1215" s="10"/>
      <c r="IH1215" s="10"/>
      <c r="II1215" s="10"/>
      <c r="IJ1215" s="10"/>
      <c r="IK1215" s="10"/>
      <c r="IL1215" s="10"/>
      <c r="IM1215" s="10"/>
      <c r="IN1215" s="10"/>
      <c r="IO1215" s="10"/>
      <c r="IP1215" s="10"/>
      <c r="IQ1215" s="10"/>
      <c r="IR1215" s="10"/>
      <c r="IS1215" s="10"/>
      <c r="IT1215" s="10"/>
      <c r="IU1215" s="10"/>
      <c r="IV1215" s="10"/>
      <c r="IW1215" s="10"/>
      <c r="IX1215" s="10"/>
      <c r="IY1215" s="10"/>
      <c r="IZ1215" s="10"/>
      <c r="JA1215" s="10"/>
      <c r="JB1215" s="10"/>
      <c r="JC1215" s="10"/>
      <c r="JD1215" s="10"/>
      <c r="JE1215" s="10"/>
      <c r="JF1215" s="10"/>
      <c r="JG1215" s="10"/>
      <c r="JH1215" s="10"/>
      <c r="JI1215" s="10"/>
      <c r="JJ1215" s="10"/>
      <c r="JK1215" s="10"/>
      <c r="JL1215" s="10"/>
      <c r="JM1215" s="10"/>
      <c r="JN1215" s="10"/>
      <c r="JO1215" s="10"/>
      <c r="JP1215" s="10"/>
      <c r="JQ1215" s="10"/>
      <c r="JR1215" s="11"/>
      <c r="JS1215" s="12"/>
      <c r="KA1215" s="13"/>
      <c r="LZ1215" s="13"/>
      <c r="OU1215" s="12"/>
      <c r="PA1215" s="12"/>
      <c r="RK1215" s="9"/>
      <c r="RL1215" s="10"/>
      <c r="RM1215" s="10"/>
      <c r="RN1215" s="10"/>
      <c r="RO1215" s="10"/>
      <c r="RP1215" s="10"/>
      <c r="RQ1215" s="10"/>
      <c r="RR1215" s="10"/>
      <c r="RS1215" s="10"/>
      <c r="RT1215" s="10"/>
      <c r="RU1215" s="10"/>
      <c r="RV1215" s="10"/>
      <c r="RW1215" s="10"/>
      <c r="RX1215" s="10"/>
      <c r="RY1215" s="10"/>
      <c r="RZ1215" s="10"/>
      <c r="SA1215" s="10"/>
      <c r="SB1215" s="10"/>
      <c r="SC1215" s="10"/>
      <c r="SD1215" s="10"/>
      <c r="SE1215" s="10"/>
      <c r="SF1215" s="10"/>
      <c r="SG1215" s="10"/>
      <c r="SH1215" s="10"/>
      <c r="SI1215" s="10"/>
      <c r="SJ1215" s="10"/>
      <c r="SK1215" s="10"/>
      <c r="SL1215" s="10"/>
      <c r="SM1215" s="10"/>
      <c r="SN1215" s="10"/>
      <c r="SO1215" s="10"/>
      <c r="SP1215" s="10"/>
      <c r="SQ1215" s="10"/>
      <c r="SR1215" s="10"/>
      <c r="SS1215" s="10"/>
      <c r="ST1215" s="10"/>
      <c r="SU1215" s="10"/>
      <c r="SV1215" s="10"/>
      <c r="SW1215" s="10"/>
      <c r="SX1215" s="10"/>
      <c r="SY1215" s="10"/>
      <c r="SZ1215" s="10"/>
      <c r="TA1215" s="10"/>
      <c r="TB1215" s="10"/>
      <c r="TC1215" s="10"/>
      <c r="TD1215" s="10"/>
      <c r="TE1215" s="10"/>
      <c r="TF1215" s="10"/>
      <c r="TG1215" s="10"/>
      <c r="TH1215" s="10"/>
      <c r="TI1215" s="10"/>
      <c r="TJ1215" s="10"/>
      <c r="TK1215" s="10"/>
      <c r="TL1215" s="10"/>
      <c r="TM1215" s="10"/>
      <c r="TN1215" s="10"/>
      <c r="TO1215" s="10"/>
      <c r="TP1215" s="10"/>
      <c r="TQ1215" s="10"/>
      <c r="TR1215" s="10"/>
      <c r="TS1215" s="10"/>
      <c r="TT1215" s="10"/>
      <c r="TU1215" s="10"/>
      <c r="TV1215" s="10"/>
      <c r="TW1215" s="10"/>
      <c r="TX1215" s="10"/>
      <c r="TY1215" s="10"/>
      <c r="TZ1215" s="10"/>
      <c r="UA1215" s="10"/>
    </row>
    <row r="1216" spans="22:547" ht="10.75" customHeight="1">
      <c r="V1216" s="12"/>
      <c r="Y1216" s="12"/>
      <c r="AK1216" s="13"/>
      <c r="AL1216" s="12"/>
      <c r="AO1216" s="12"/>
      <c r="CM1216" s="12"/>
      <c r="CN1216" s="13"/>
      <c r="EH1216" s="13"/>
      <c r="EK1216" s="13"/>
      <c r="JR1216" s="13"/>
      <c r="JS1216" s="12"/>
      <c r="KA1216" s="13"/>
      <c r="LZ1216" s="13"/>
      <c r="OU1216" s="12"/>
      <c r="PA1216" s="12"/>
      <c r="RK1216" s="12"/>
    </row>
    <row r="1217" spans="22:547" ht="10.75" customHeight="1">
      <c r="V1217" s="12"/>
      <c r="Y1217" s="12"/>
      <c r="AK1217" s="13"/>
      <c r="AL1217" s="12"/>
      <c r="AO1217" s="12"/>
      <c r="CM1217" s="12"/>
      <c r="CN1217" s="13"/>
      <c r="EH1217" s="13"/>
      <c r="EK1217" s="13"/>
      <c r="JR1217" s="13"/>
      <c r="JS1217" s="12"/>
      <c r="KA1217" s="13"/>
      <c r="LZ1217" s="13"/>
      <c r="NU1217" s="9"/>
      <c r="NV1217" s="10"/>
      <c r="NW1217" s="10"/>
      <c r="NX1217" s="10"/>
      <c r="NY1217" s="10"/>
      <c r="NZ1217" s="10"/>
      <c r="OA1217" s="10"/>
      <c r="OB1217" s="10"/>
      <c r="OC1217" s="10"/>
      <c r="OD1217" s="10"/>
      <c r="OE1217" s="10"/>
      <c r="OF1217" s="10"/>
      <c r="OG1217" s="10"/>
      <c r="OH1217" s="10"/>
      <c r="OI1217" s="10"/>
      <c r="OJ1217" s="10"/>
      <c r="OK1217" s="10"/>
      <c r="OL1217" s="10"/>
      <c r="OM1217" s="10"/>
      <c r="ON1217" s="10"/>
      <c r="OO1217" s="10"/>
      <c r="OP1217" s="11"/>
      <c r="OU1217" s="12"/>
      <c r="PA1217" s="12"/>
      <c r="RK1217" s="12"/>
    </row>
    <row r="1218" spans="22:547" ht="10.75" customHeight="1">
      <c r="V1218" s="12"/>
      <c r="Y1218" s="12"/>
      <c r="AK1218" s="13"/>
      <c r="AL1218" s="12"/>
      <c r="AO1218" s="12"/>
      <c r="CM1218" s="12"/>
      <c r="CN1218" s="13"/>
      <c r="EH1218" s="13"/>
      <c r="EK1218" s="13"/>
      <c r="FU1218" s="15"/>
      <c r="FV1218" s="15"/>
      <c r="FW1218" s="15"/>
      <c r="FX1218" s="15"/>
      <c r="FY1218" s="15"/>
      <c r="FZ1218" s="15"/>
      <c r="GA1218" s="15"/>
      <c r="GB1218" s="15"/>
      <c r="GC1218" s="15"/>
      <c r="GD1218" s="15"/>
      <c r="GE1218" s="15"/>
      <c r="GF1218" s="15"/>
      <c r="GG1218" s="15"/>
      <c r="GH1218" s="15"/>
      <c r="GI1218" s="15"/>
      <c r="GJ1218" s="15"/>
      <c r="GK1218" s="15"/>
      <c r="GL1218" s="15"/>
      <c r="GM1218" s="15"/>
      <c r="GN1218" s="15"/>
      <c r="GO1218" s="15"/>
      <c r="GP1218" s="15"/>
      <c r="GQ1218" s="15"/>
      <c r="GR1218" s="15"/>
      <c r="GS1218" s="15"/>
      <c r="GT1218" s="15"/>
      <c r="GU1218" s="15"/>
      <c r="GV1218" s="15"/>
      <c r="GW1218" s="15"/>
      <c r="GX1218" s="15"/>
      <c r="GY1218" s="15"/>
      <c r="GZ1218" s="15"/>
      <c r="HA1218" s="15"/>
      <c r="HB1218" s="15"/>
      <c r="HC1218" s="15"/>
      <c r="HD1218" s="15"/>
      <c r="HE1218" s="15"/>
      <c r="HF1218" s="15"/>
      <c r="HG1218" s="15"/>
      <c r="HH1218" s="15"/>
      <c r="HI1218" s="15"/>
      <c r="HJ1218" s="15"/>
      <c r="HK1218" s="15"/>
      <c r="HL1218" s="15"/>
      <c r="HM1218" s="15"/>
      <c r="HN1218" s="15"/>
      <c r="HO1218" s="15"/>
      <c r="HP1218" s="15"/>
      <c r="HQ1218" s="15"/>
      <c r="HR1218" s="15"/>
      <c r="HS1218" s="15"/>
      <c r="HT1218" s="15"/>
      <c r="HU1218" s="15"/>
      <c r="HV1218" s="15"/>
      <c r="HW1218" s="15"/>
      <c r="HX1218" s="15"/>
      <c r="HY1218" s="15"/>
      <c r="HZ1218" s="15"/>
      <c r="IA1218" s="15"/>
      <c r="IB1218" s="15"/>
      <c r="IC1218" s="15"/>
      <c r="ID1218" s="15"/>
      <c r="IE1218" s="15"/>
      <c r="IF1218" s="15"/>
      <c r="JC1218" s="15"/>
      <c r="JD1218" s="15"/>
      <c r="JE1218" s="15"/>
      <c r="JF1218" s="15"/>
      <c r="JG1218" s="15"/>
      <c r="JH1218" s="15"/>
      <c r="JI1218" s="15"/>
      <c r="JJ1218" s="15"/>
      <c r="JK1218" s="15"/>
      <c r="JL1218" s="15"/>
      <c r="JM1218" s="15"/>
      <c r="JN1218" s="15"/>
      <c r="JO1218" s="15"/>
      <c r="JP1218" s="15"/>
      <c r="JQ1218" s="15"/>
      <c r="JR1218" s="16"/>
      <c r="JS1218" s="12"/>
      <c r="KA1218" s="13"/>
      <c r="LZ1218" s="13"/>
      <c r="MA1218" s="20"/>
      <c r="MB1218" s="21"/>
      <c r="MC1218" s="21"/>
      <c r="MD1218" s="21"/>
      <c r="ME1218" s="21"/>
      <c r="MF1218" s="21"/>
      <c r="MG1218" s="21"/>
      <c r="MH1218" s="21"/>
      <c r="MI1218" s="21"/>
      <c r="MJ1218" s="21"/>
      <c r="MK1218" s="21"/>
      <c r="ML1218" s="21"/>
      <c r="MM1218" s="22"/>
      <c r="NU1218" s="12"/>
      <c r="OP1218" s="13"/>
      <c r="OU1218" s="12"/>
      <c r="PA1218" s="12"/>
      <c r="RK1218" s="14"/>
      <c r="RL1218" s="15"/>
      <c r="RM1218" s="15"/>
      <c r="RN1218" s="15"/>
      <c r="RO1218" s="15"/>
      <c r="RP1218" s="15"/>
      <c r="RQ1218" s="15"/>
      <c r="RR1218" s="15"/>
      <c r="RS1218" s="15"/>
      <c r="RT1218" s="15"/>
      <c r="RU1218" s="15"/>
      <c r="RV1218" s="15"/>
      <c r="RW1218" s="15"/>
      <c r="RX1218" s="15"/>
      <c r="RY1218" s="15"/>
      <c r="RZ1218" s="15"/>
      <c r="SA1218" s="15"/>
      <c r="SB1218" s="15"/>
      <c r="SC1218" s="15"/>
      <c r="SD1218" s="15"/>
      <c r="SE1218" s="15"/>
      <c r="SF1218" s="15"/>
      <c r="SG1218" s="15"/>
      <c r="SH1218" s="15"/>
      <c r="SI1218" s="15"/>
      <c r="SJ1218" s="15"/>
      <c r="SK1218" s="15"/>
      <c r="SL1218" s="15"/>
      <c r="SM1218" s="15"/>
      <c r="SN1218" s="15"/>
      <c r="SO1218" s="15"/>
      <c r="SP1218" s="15"/>
      <c r="SQ1218" s="15"/>
      <c r="SR1218" s="15"/>
      <c r="SS1218" s="15"/>
      <c r="ST1218" s="15"/>
      <c r="SU1218" s="15"/>
      <c r="SV1218" s="15"/>
      <c r="SW1218" s="15"/>
      <c r="SX1218" s="15"/>
      <c r="SY1218" s="15"/>
      <c r="SZ1218" s="15"/>
      <c r="TA1218" s="15"/>
      <c r="TB1218" s="15"/>
      <c r="TC1218" s="15"/>
      <c r="TD1218" s="15"/>
      <c r="TE1218" s="15"/>
      <c r="TF1218" s="15"/>
      <c r="TG1218" s="15"/>
      <c r="TH1218" s="15"/>
      <c r="TI1218" s="15"/>
      <c r="TJ1218" s="15"/>
      <c r="TK1218" s="15"/>
      <c r="TL1218" s="15"/>
      <c r="TM1218" s="15"/>
      <c r="TN1218" s="15"/>
      <c r="TO1218" s="15"/>
      <c r="TP1218" s="15"/>
      <c r="TQ1218" s="15"/>
      <c r="TR1218" s="15"/>
      <c r="TS1218" s="15"/>
      <c r="TT1218" s="15"/>
      <c r="TU1218" s="15"/>
      <c r="TV1218" s="15"/>
      <c r="TW1218" s="15"/>
      <c r="TX1218" s="15"/>
      <c r="TY1218" s="15"/>
      <c r="TZ1218" s="15"/>
      <c r="UA1218" s="15"/>
    </row>
    <row r="1219" spans="22:547" ht="10.75" customHeight="1">
      <c r="V1219" s="12"/>
      <c r="Y1219" s="12"/>
      <c r="AK1219" s="13"/>
      <c r="AL1219" s="12"/>
      <c r="AO1219" s="12"/>
      <c r="CM1219" s="12"/>
      <c r="CN1219" s="13"/>
      <c r="EH1219" s="13"/>
      <c r="EK1219" s="13"/>
      <c r="GJ1219" s="12"/>
      <c r="GS1219" s="12"/>
      <c r="HK1219" s="9"/>
      <c r="HL1219" s="10"/>
      <c r="HM1219" s="10"/>
      <c r="HN1219" s="10"/>
      <c r="HO1219" s="10"/>
      <c r="HP1219" s="10"/>
      <c r="HQ1219" s="10"/>
      <c r="HR1219" s="10"/>
      <c r="HS1219" s="10"/>
      <c r="HT1219" s="10"/>
      <c r="HU1219" s="10"/>
      <c r="HV1219" s="10"/>
      <c r="HW1219" s="10"/>
      <c r="HX1219" s="10"/>
      <c r="HY1219" s="10"/>
      <c r="HZ1219" s="10"/>
      <c r="IA1219" s="10"/>
      <c r="IB1219" s="10"/>
      <c r="IC1219" s="10"/>
      <c r="ID1219" s="10"/>
      <c r="IE1219" s="10"/>
      <c r="IF1219" s="10"/>
      <c r="IG1219" s="10"/>
      <c r="IH1219" s="10"/>
      <c r="II1219" s="10"/>
      <c r="IJ1219" s="10"/>
      <c r="IK1219" s="10"/>
      <c r="IL1219" s="10"/>
      <c r="IM1219" s="10"/>
      <c r="IN1219" s="10"/>
      <c r="IO1219" s="10"/>
      <c r="IP1219" s="10"/>
      <c r="IQ1219" s="10"/>
      <c r="IR1219" s="10"/>
      <c r="IS1219" s="10"/>
      <c r="IT1219" s="10"/>
      <c r="IU1219" s="10"/>
      <c r="IV1219" s="10"/>
      <c r="IW1219" s="10"/>
      <c r="IX1219" s="10"/>
      <c r="IY1219" s="10"/>
      <c r="IZ1219" s="10"/>
      <c r="JA1219" s="10"/>
      <c r="JB1219" s="10"/>
      <c r="JC1219" s="10"/>
      <c r="JD1219" s="10"/>
      <c r="JE1219" s="10"/>
      <c r="JF1219" s="11"/>
      <c r="JG1219" s="10"/>
      <c r="JH1219" s="10"/>
      <c r="JS1219" s="12"/>
      <c r="KA1219" s="13"/>
      <c r="MA1219" s="10"/>
      <c r="MB1219" s="10"/>
      <c r="MC1219" s="10"/>
      <c r="MD1219" s="10"/>
      <c r="ME1219" s="10"/>
      <c r="MF1219" s="10"/>
      <c r="MG1219" s="10"/>
      <c r="MH1219" s="10"/>
      <c r="MI1219" s="10"/>
      <c r="MJ1219" s="10"/>
      <c r="MK1219" s="10"/>
      <c r="ML1219" s="11"/>
      <c r="NU1219" s="12"/>
      <c r="NW1219" s="9"/>
      <c r="NX1219" s="10"/>
      <c r="NY1219" s="10"/>
      <c r="NZ1219" s="10"/>
      <c r="OA1219" s="10"/>
      <c r="OB1219" s="10"/>
      <c r="OC1219" s="10"/>
      <c r="OD1219" s="10"/>
      <c r="OE1219" s="10"/>
      <c r="OF1219" s="10"/>
      <c r="OG1219" s="10"/>
      <c r="OH1219" s="10"/>
      <c r="OI1219" s="10"/>
      <c r="OJ1219" s="10"/>
      <c r="OK1219" s="10"/>
      <c r="OL1219" s="10"/>
      <c r="OM1219" s="10"/>
      <c r="ON1219" s="11"/>
      <c r="OP1219" s="13"/>
      <c r="OU1219" s="12"/>
      <c r="PA1219" s="12"/>
      <c r="RO1219" s="9"/>
      <c r="RP1219" s="10"/>
      <c r="RQ1219" s="10"/>
      <c r="RR1219" s="10"/>
      <c r="RS1219" s="10"/>
      <c r="RT1219" s="10"/>
      <c r="RU1219" s="10"/>
      <c r="RV1219" s="10"/>
      <c r="RW1219" s="10"/>
      <c r="RX1219" s="10"/>
      <c r="RY1219" s="10"/>
      <c r="RZ1219" s="10"/>
      <c r="SA1219" s="10"/>
      <c r="SB1219" s="10"/>
      <c r="SC1219" s="10"/>
      <c r="SD1219" s="10"/>
      <c r="SE1219" s="10"/>
      <c r="SF1219" s="10"/>
      <c r="SG1219" s="10"/>
      <c r="SH1219" s="10"/>
      <c r="SI1219" s="10"/>
      <c r="SJ1219" s="10"/>
      <c r="SK1219" s="10"/>
      <c r="SL1219" s="10"/>
      <c r="SM1219" s="10"/>
      <c r="SN1219" s="10"/>
      <c r="SO1219" s="10"/>
      <c r="SP1219" s="10"/>
      <c r="SQ1219" s="10"/>
      <c r="SR1219" s="10"/>
      <c r="SS1219" s="10"/>
      <c r="ST1219" s="10"/>
      <c r="SU1219" s="11"/>
      <c r="TJ1219" s="10"/>
    </row>
    <row r="1220" spans="22:547" ht="10.75" customHeight="1">
      <c r="V1220" s="12"/>
      <c r="Y1220" s="12"/>
      <c r="AC1220" s="9"/>
      <c r="AD1220" s="10"/>
      <c r="AE1220" s="10"/>
      <c r="AF1220" s="10"/>
      <c r="AG1220" s="11"/>
      <c r="AK1220" s="13"/>
      <c r="AL1220" s="56"/>
      <c r="AM1220" s="57"/>
      <c r="AN1220" s="57"/>
      <c r="AO1220" s="261"/>
      <c r="AP1220" s="10"/>
      <c r="AQ1220" s="10"/>
      <c r="AR1220" s="10"/>
      <c r="AS1220" s="10"/>
      <c r="AT1220" s="10"/>
      <c r="AU1220" s="10"/>
      <c r="AV1220" s="10"/>
      <c r="AW1220" s="10"/>
      <c r="AX1220" s="10"/>
      <c r="AY1220" s="10"/>
      <c r="AZ1220" s="10"/>
      <c r="BA1220" s="10"/>
      <c r="BB1220" s="10"/>
      <c r="BC1220" s="10"/>
      <c r="BD1220" s="10"/>
      <c r="BE1220" s="10"/>
      <c r="BF1220" s="10"/>
      <c r="BG1220" s="10"/>
      <c r="BH1220" s="10"/>
      <c r="BI1220" s="10"/>
      <c r="BJ1220" s="10"/>
      <c r="BK1220" s="10"/>
      <c r="BL1220" s="10"/>
      <c r="BM1220" s="10"/>
      <c r="BN1220" s="10"/>
      <c r="BO1220" s="10"/>
      <c r="BP1220" s="10"/>
      <c r="BQ1220" s="10"/>
      <c r="BR1220" s="10"/>
      <c r="BS1220" s="10"/>
      <c r="BT1220" s="10"/>
      <c r="BU1220" s="10"/>
      <c r="BV1220" s="10"/>
      <c r="BW1220" s="10"/>
      <c r="BX1220" s="10"/>
      <c r="BY1220" s="10"/>
      <c r="BZ1220" s="10"/>
      <c r="CA1220" s="10"/>
      <c r="CB1220" s="10"/>
      <c r="CC1220" s="10"/>
      <c r="CD1220" s="10"/>
      <c r="CE1220" s="10"/>
      <c r="CF1220" s="10"/>
      <c r="CG1220" s="10"/>
      <c r="CH1220" s="10"/>
      <c r="CI1220" s="10"/>
      <c r="CJ1220" s="10"/>
      <c r="CK1220" s="10"/>
      <c r="CL1220" s="56"/>
      <c r="CM1220" s="56"/>
      <c r="CN1220" s="58"/>
      <c r="EH1220" s="13"/>
      <c r="EK1220" s="13"/>
      <c r="GJ1220" s="12"/>
      <c r="GS1220" s="12"/>
      <c r="HK1220" s="12"/>
      <c r="JF1220" s="13"/>
      <c r="JS1220" s="12"/>
      <c r="KA1220" s="13"/>
      <c r="ML1220" s="13"/>
      <c r="NU1220" s="12"/>
      <c r="NW1220" s="12"/>
      <c r="ON1220" s="13"/>
      <c r="OP1220" s="13"/>
      <c r="OU1220" s="12"/>
      <c r="PA1220" s="12"/>
      <c r="RO1220" s="12"/>
      <c r="SU1220" s="13"/>
    </row>
    <row r="1221" spans="22:547" ht="10.75" customHeight="1">
      <c r="V1221" s="12"/>
      <c r="Y1221" s="12"/>
      <c r="AC1221" s="12"/>
      <c r="AG1221" s="13"/>
      <c r="AK1221" s="13"/>
      <c r="AL1221" s="96"/>
      <c r="AM1221" s="97"/>
      <c r="AN1221" s="97"/>
      <c r="AO1221" s="288"/>
      <c r="BU1221" s="15"/>
      <c r="BV1221" s="15"/>
      <c r="BW1221" s="15"/>
      <c r="BX1221" s="15"/>
      <c r="BY1221" s="15"/>
      <c r="BZ1221" s="15"/>
      <c r="CA1221" s="15"/>
      <c r="CB1221" s="15"/>
      <c r="CC1221" s="15"/>
      <c r="CD1221" s="15"/>
      <c r="CE1221" s="15"/>
      <c r="CF1221" s="15"/>
      <c r="CG1221" s="15"/>
      <c r="CH1221" s="15"/>
      <c r="CI1221" s="15"/>
      <c r="CJ1221" s="15"/>
      <c r="CK1221" s="15"/>
      <c r="CL1221" s="59"/>
      <c r="CM1221" s="96"/>
      <c r="CN1221" s="98"/>
      <c r="EH1221" s="13"/>
      <c r="EI1221" s="56"/>
      <c r="EJ1221" s="57"/>
      <c r="EK1221" s="58"/>
      <c r="EL1221" s="58"/>
      <c r="GJ1221" s="12"/>
      <c r="GS1221" s="12"/>
      <c r="HK1221" s="12"/>
      <c r="JF1221" s="13"/>
      <c r="JS1221" s="12"/>
      <c r="KA1221" s="13"/>
      <c r="ML1221" s="13"/>
      <c r="NU1221" s="12"/>
      <c r="NW1221" s="9"/>
      <c r="NX1221" s="10"/>
      <c r="NY1221" s="10"/>
      <c r="NZ1221" s="10"/>
      <c r="OA1221" s="10"/>
      <c r="OB1221" s="10"/>
      <c r="OC1221" s="10"/>
      <c r="OD1221" s="10"/>
      <c r="OE1221" s="10"/>
      <c r="OF1221" s="10"/>
      <c r="OG1221" s="10"/>
      <c r="OH1221" s="10"/>
      <c r="OI1221" s="10"/>
      <c r="OJ1221" s="10"/>
      <c r="OK1221" s="10"/>
      <c r="OL1221" s="10"/>
      <c r="OM1221" s="10"/>
      <c r="ON1221" s="11"/>
      <c r="OP1221" s="13"/>
      <c r="OU1221" s="12"/>
      <c r="PA1221" s="12"/>
      <c r="RO1221" s="12"/>
      <c r="SU1221" s="13"/>
    </row>
    <row r="1222" spans="22:547" ht="10.75" customHeight="1">
      <c r="V1222" s="12"/>
      <c r="Y1222" s="12"/>
      <c r="AC1222" s="12"/>
      <c r="AG1222" s="13"/>
      <c r="AK1222" s="13"/>
      <c r="AL1222" s="59"/>
      <c r="AM1222" s="60"/>
      <c r="AN1222" s="60"/>
      <c r="AO1222" s="260"/>
      <c r="AP1222" s="10"/>
      <c r="AQ1222" s="10"/>
      <c r="AR1222" s="10"/>
      <c r="AS1222" s="10"/>
      <c r="AT1222" s="10"/>
      <c r="AU1222" s="10"/>
      <c r="AV1222" s="10"/>
      <c r="AW1222" s="10"/>
      <c r="AX1222" s="10"/>
      <c r="AY1222" s="10"/>
      <c r="AZ1222" s="10"/>
      <c r="BA1222" s="10"/>
      <c r="BB1222" s="10"/>
      <c r="BC1222" s="10"/>
      <c r="BD1222" s="10"/>
      <c r="BE1222" s="10"/>
      <c r="BF1222" s="10"/>
      <c r="BG1222" s="10"/>
      <c r="BH1222" s="10"/>
      <c r="BI1222" s="10"/>
      <c r="BJ1222" s="10"/>
      <c r="BK1222" s="10"/>
      <c r="BL1222" s="10"/>
      <c r="BM1222" s="10"/>
      <c r="BN1222" s="10"/>
      <c r="BO1222" s="10"/>
      <c r="BP1222" s="10"/>
      <c r="BQ1222" s="10"/>
      <c r="BR1222" s="11"/>
      <c r="BT1222" s="13"/>
      <c r="CL1222" s="96"/>
      <c r="CM1222" s="96"/>
      <c r="CN1222" s="98"/>
      <c r="EH1222" s="13"/>
      <c r="EI1222" s="96"/>
      <c r="EJ1222" s="97"/>
      <c r="EK1222" s="98"/>
      <c r="EL1222" s="98"/>
      <c r="GJ1222" s="12"/>
      <c r="GS1222" s="12"/>
      <c r="HK1222" s="12"/>
      <c r="JF1222" s="13"/>
      <c r="JS1222" s="12"/>
      <c r="KA1222" s="13"/>
      <c r="KN1222" s="9"/>
      <c r="KO1222" s="10"/>
      <c r="KP1222" s="10"/>
      <c r="KQ1222" s="10"/>
      <c r="KR1222" s="10"/>
      <c r="KS1222" s="10"/>
      <c r="KT1222" s="10"/>
      <c r="KU1222" s="10"/>
      <c r="KV1222" s="10"/>
      <c r="KW1222" s="10"/>
      <c r="KX1222" s="10"/>
      <c r="KY1222" s="10"/>
      <c r="KZ1222" s="10"/>
      <c r="LA1222" s="10"/>
      <c r="LB1222" s="10"/>
      <c r="LC1222" s="10"/>
      <c r="LD1222" s="10"/>
      <c r="LE1222" s="10"/>
      <c r="LF1222" s="10"/>
      <c r="LG1222" s="10"/>
      <c r="LH1222" s="10"/>
      <c r="LI1222" s="10"/>
      <c r="LJ1222" s="10"/>
      <c r="LK1222" s="10"/>
      <c r="LL1222" s="10"/>
      <c r="LM1222" s="10"/>
      <c r="LN1222" s="10"/>
      <c r="LO1222" s="10"/>
      <c r="LP1222" s="10"/>
      <c r="LQ1222" s="10"/>
      <c r="LR1222" s="10"/>
      <c r="LS1222" s="10"/>
      <c r="LT1222" s="11"/>
      <c r="ML1222" s="13"/>
      <c r="NU1222" s="12"/>
      <c r="NW1222" s="14"/>
      <c r="NX1222" s="15"/>
      <c r="NY1222" s="15"/>
      <c r="NZ1222" s="15"/>
      <c r="OA1222" s="15"/>
      <c r="OB1222" s="15"/>
      <c r="OC1222" s="15"/>
      <c r="OD1222" s="15"/>
      <c r="OE1222" s="15"/>
      <c r="OF1222" s="15"/>
      <c r="OG1222" s="15"/>
      <c r="OH1222" s="15"/>
      <c r="OI1222" s="15"/>
      <c r="OJ1222" s="15"/>
      <c r="OK1222" s="15"/>
      <c r="OL1222" s="15"/>
      <c r="OM1222" s="15"/>
      <c r="ON1222" s="16"/>
      <c r="OP1222" s="13"/>
      <c r="OU1222" s="12"/>
      <c r="PA1222" s="12"/>
      <c r="RO1222" s="12"/>
      <c r="RR1222" s="9"/>
      <c r="RS1222" s="10"/>
      <c r="RT1222" s="10"/>
      <c r="RU1222" s="10"/>
      <c r="RV1222" s="10"/>
      <c r="RW1222" s="10"/>
      <c r="RX1222" s="10"/>
      <c r="RY1222" s="10"/>
      <c r="RZ1222" s="10"/>
      <c r="SA1222" s="10"/>
      <c r="SB1222" s="10"/>
      <c r="SC1222" s="10"/>
      <c r="SD1222" s="10"/>
      <c r="SE1222" s="10"/>
      <c r="SF1222" s="10"/>
      <c r="SG1222" s="10"/>
      <c r="SH1222" s="10"/>
      <c r="SI1222" s="10"/>
      <c r="SJ1222" s="10"/>
      <c r="SK1222" s="10"/>
      <c r="SL1222" s="10"/>
      <c r="SM1222" s="10"/>
      <c r="SN1222" s="10"/>
      <c r="SO1222" s="10"/>
      <c r="SP1222" s="10"/>
      <c r="SQ1222" s="10"/>
      <c r="SR1222" s="11"/>
      <c r="SU1222" s="13"/>
      <c r="TG1222" s="13"/>
      <c r="TH1222" s="12"/>
    </row>
    <row r="1223" spans="22:547" ht="10.75" customHeight="1">
      <c r="V1223" s="12"/>
      <c r="Y1223" s="12"/>
      <c r="AC1223" s="12"/>
      <c r="AG1223" s="13"/>
      <c r="AK1223" s="13"/>
      <c r="AL1223" s="12"/>
      <c r="AO1223" s="12"/>
      <c r="BR1223" s="13"/>
      <c r="BT1223" s="13"/>
      <c r="CL1223" s="59"/>
      <c r="CM1223" s="59"/>
      <c r="CN1223" s="61"/>
      <c r="EH1223" s="13"/>
      <c r="EI1223" s="59"/>
      <c r="EJ1223" s="60"/>
      <c r="EK1223" s="61"/>
      <c r="EL1223" s="61"/>
      <c r="GJ1223" s="12"/>
      <c r="GS1223" s="12"/>
      <c r="HK1223" s="12"/>
      <c r="JF1223" s="13"/>
      <c r="JS1223" s="12"/>
      <c r="KA1223" s="13"/>
      <c r="KN1223" s="12"/>
      <c r="LT1223" s="13"/>
      <c r="ML1223" s="13"/>
      <c r="NU1223" s="12"/>
      <c r="NW1223" s="12"/>
      <c r="ON1223" s="13"/>
      <c r="OP1223" s="13"/>
      <c r="OU1223" s="12"/>
      <c r="PA1223" s="12"/>
      <c r="RO1223" s="12"/>
      <c r="RR1223" s="12"/>
      <c r="SR1223" s="13"/>
      <c r="SU1223" s="13"/>
      <c r="TG1223" s="13"/>
      <c r="TH1223" s="12"/>
    </row>
    <row r="1224" spans="22:547" ht="10.75" customHeight="1">
      <c r="V1224" s="12"/>
      <c r="Y1224" s="12"/>
      <c r="AC1224" s="12"/>
      <c r="AG1224" s="13"/>
      <c r="AK1224" s="13"/>
      <c r="AL1224" s="12"/>
      <c r="AO1224" s="9"/>
      <c r="AP1224" s="11"/>
      <c r="BR1224" s="13"/>
      <c r="BT1224" s="13"/>
      <c r="CM1224" s="12"/>
      <c r="CN1224" s="13"/>
      <c r="EH1224" s="13"/>
      <c r="EK1224" s="13"/>
      <c r="GJ1224" s="12"/>
      <c r="GS1224" s="12"/>
      <c r="HK1224" s="12"/>
      <c r="JF1224" s="13"/>
      <c r="JS1224" s="12"/>
      <c r="KA1224" s="13"/>
      <c r="KN1224" s="12"/>
      <c r="LT1224" s="13"/>
      <c r="LZ1224" s="13"/>
      <c r="ML1224" s="13"/>
      <c r="NU1224" s="12"/>
      <c r="NW1224" s="12"/>
      <c r="ON1224" s="13"/>
      <c r="OP1224" s="13"/>
      <c r="OU1224" s="12"/>
      <c r="PA1224" s="12"/>
      <c r="RO1224" s="12"/>
      <c r="RR1224" s="12"/>
      <c r="SR1224" s="13"/>
      <c r="SU1224" s="13"/>
      <c r="TG1224" s="13"/>
      <c r="TH1224" s="12"/>
    </row>
    <row r="1225" spans="22:547" ht="10.75" customHeight="1">
      <c r="V1225" s="12"/>
      <c r="Y1225" s="12"/>
      <c r="AC1225" s="12"/>
      <c r="AG1225" s="13"/>
      <c r="AK1225" s="13"/>
      <c r="AL1225" s="12"/>
      <c r="AO1225" s="12"/>
      <c r="AP1225" s="13"/>
      <c r="AQ1225" s="9"/>
      <c r="AR1225" s="10"/>
      <c r="AS1225" s="10"/>
      <c r="AT1225" s="10"/>
      <c r="AU1225" s="10"/>
      <c r="AV1225" s="10"/>
      <c r="AW1225" s="11"/>
      <c r="BR1225" s="13"/>
      <c r="BT1225" s="13"/>
      <c r="CM1225" s="12"/>
      <c r="CN1225" s="13"/>
      <c r="EH1225" s="13"/>
      <c r="EK1225" s="13"/>
      <c r="GJ1225" s="12"/>
      <c r="GS1225" s="12"/>
      <c r="HK1225" s="12"/>
      <c r="JF1225" s="13"/>
      <c r="JS1225" s="12"/>
      <c r="KA1225" s="13"/>
      <c r="KN1225" s="12"/>
      <c r="KQ1225" s="9"/>
      <c r="KR1225" s="10"/>
      <c r="KS1225" s="10"/>
      <c r="KT1225" s="10"/>
      <c r="KU1225" s="10"/>
      <c r="KV1225" s="10"/>
      <c r="KW1225" s="10"/>
      <c r="KX1225" s="10"/>
      <c r="KY1225" s="10"/>
      <c r="KZ1225" s="10"/>
      <c r="LA1225" s="10"/>
      <c r="LB1225" s="10"/>
      <c r="LC1225" s="10"/>
      <c r="LD1225" s="10"/>
      <c r="LE1225" s="10"/>
      <c r="LF1225" s="10"/>
      <c r="LG1225" s="10"/>
      <c r="LH1225" s="10"/>
      <c r="LI1225" s="10"/>
      <c r="LJ1225" s="10"/>
      <c r="LK1225" s="10"/>
      <c r="LL1225" s="10"/>
      <c r="LM1225" s="10"/>
      <c r="LN1225" s="10"/>
      <c r="LO1225" s="10"/>
      <c r="LP1225" s="10"/>
      <c r="LQ1225" s="11"/>
      <c r="LR1225" s="12"/>
      <c r="LT1225" s="13"/>
      <c r="LZ1225" s="13"/>
      <c r="ML1225" s="13"/>
      <c r="MM1225" s="339"/>
      <c r="MN1225" s="340"/>
      <c r="MO1225" s="340"/>
      <c r="MP1225" s="340"/>
      <c r="MQ1225" s="340"/>
      <c r="MR1225" s="340"/>
      <c r="MS1225" s="340"/>
      <c r="MT1225" s="340"/>
      <c r="MU1225" s="340"/>
      <c r="MV1225" s="340"/>
      <c r="MW1225" s="340"/>
      <c r="MX1225" s="340"/>
      <c r="MY1225" s="341"/>
      <c r="NU1225" s="12"/>
      <c r="NW1225" s="9"/>
      <c r="NX1225" s="10"/>
      <c r="NY1225" s="10"/>
      <c r="NZ1225" s="10"/>
      <c r="OA1225" s="10"/>
      <c r="OB1225" s="10"/>
      <c r="OC1225" s="10"/>
      <c r="OD1225" s="10"/>
      <c r="OE1225" s="10"/>
      <c r="OF1225" s="10"/>
      <c r="OG1225" s="10"/>
      <c r="OH1225" s="10"/>
      <c r="OI1225" s="10"/>
      <c r="OJ1225" s="10"/>
      <c r="OK1225" s="10"/>
      <c r="OL1225" s="10"/>
      <c r="OM1225" s="10"/>
      <c r="ON1225" s="11"/>
      <c r="OP1225" s="13"/>
      <c r="OU1225" s="12"/>
      <c r="PA1225" s="12"/>
      <c r="RO1225" s="12"/>
      <c r="RR1225" s="12"/>
      <c r="SR1225" s="13"/>
      <c r="SU1225" s="13"/>
      <c r="TG1225" s="13"/>
      <c r="TH1225" s="12"/>
    </row>
    <row r="1226" spans="22:547" ht="10.75" customHeight="1">
      <c r="V1226" s="12"/>
      <c r="Y1226" s="12"/>
      <c r="AC1226" s="14"/>
      <c r="AD1226" s="15"/>
      <c r="AE1226" s="15"/>
      <c r="AF1226" s="15"/>
      <c r="AG1226" s="16"/>
      <c r="AK1226" s="13"/>
      <c r="AL1226" s="12"/>
      <c r="AO1226" s="12"/>
      <c r="AP1226" s="13"/>
      <c r="AQ1226" s="12"/>
      <c r="AW1226" s="13"/>
      <c r="BR1226" s="13"/>
      <c r="BT1226" s="13"/>
      <c r="CM1226" s="12"/>
      <c r="CN1226" s="13"/>
      <c r="EH1226" s="13"/>
      <c r="EK1226" s="13"/>
      <c r="GJ1226" s="12"/>
      <c r="GS1226" s="12"/>
      <c r="HK1226" s="12"/>
      <c r="JF1226" s="13"/>
      <c r="JS1226" s="12"/>
      <c r="KA1226" s="13"/>
      <c r="KN1226" s="12"/>
      <c r="KQ1226" s="12"/>
      <c r="LQ1226" s="13"/>
      <c r="LR1226" s="12"/>
      <c r="LT1226" s="13"/>
      <c r="LZ1226" s="13"/>
      <c r="MM1226" s="10"/>
      <c r="MN1226" s="10"/>
      <c r="MO1226" s="10"/>
      <c r="MP1226" s="10"/>
      <c r="MQ1226" s="10"/>
      <c r="MR1226" s="10"/>
      <c r="MS1226" s="10"/>
      <c r="MT1226" s="10"/>
      <c r="MU1226" s="10"/>
      <c r="MV1226" s="10"/>
      <c r="MW1226" s="10"/>
      <c r="MX1226" s="11"/>
      <c r="NU1226" s="12"/>
      <c r="NW1226" s="14"/>
      <c r="NX1226" s="15"/>
      <c r="NY1226" s="15"/>
      <c r="NZ1226" s="15"/>
      <c r="OA1226" s="15"/>
      <c r="OB1226" s="15"/>
      <c r="OC1226" s="15"/>
      <c r="OD1226" s="15"/>
      <c r="OE1226" s="15"/>
      <c r="OF1226" s="15"/>
      <c r="OG1226" s="15"/>
      <c r="OH1226" s="15"/>
      <c r="OI1226" s="15"/>
      <c r="OJ1226" s="15"/>
      <c r="OK1226" s="15"/>
      <c r="OL1226" s="15"/>
      <c r="OM1226" s="15"/>
      <c r="ON1226" s="16"/>
      <c r="OP1226" s="13"/>
      <c r="OU1226" s="12"/>
      <c r="PA1226" s="12"/>
      <c r="RO1226" s="12"/>
      <c r="RR1226" s="12"/>
      <c r="SR1226" s="13"/>
      <c r="SU1226" s="13"/>
      <c r="TG1226" s="13"/>
      <c r="TH1226" s="12"/>
    </row>
    <row r="1227" spans="22:547" ht="10.75" customHeight="1">
      <c r="V1227" s="12"/>
      <c r="Y1227" s="12"/>
      <c r="AB1227" s="9"/>
      <c r="AC1227" s="10"/>
      <c r="AD1227" s="10"/>
      <c r="AE1227" s="10"/>
      <c r="AF1227" s="10"/>
      <c r="AG1227" s="10"/>
      <c r="AH1227" s="11"/>
      <c r="AK1227" s="13"/>
      <c r="AL1227" s="12"/>
      <c r="AO1227" s="12"/>
      <c r="AP1227" s="13"/>
      <c r="AQ1227" s="12"/>
      <c r="AW1227" s="13"/>
      <c r="BR1227" s="13"/>
      <c r="BT1227" s="13"/>
      <c r="CM1227" s="12"/>
      <c r="CN1227" s="13"/>
      <c r="EH1227" s="13"/>
      <c r="EK1227" s="13"/>
      <c r="GJ1227" s="12"/>
      <c r="GS1227" s="12"/>
      <c r="HK1227" s="12"/>
      <c r="JF1227" s="13"/>
      <c r="JS1227" s="12"/>
      <c r="KA1227" s="13"/>
      <c r="KN1227" s="12"/>
      <c r="KQ1227" s="12"/>
      <c r="LQ1227" s="13"/>
      <c r="LR1227" s="12"/>
      <c r="LT1227" s="13"/>
      <c r="LZ1227" s="13"/>
      <c r="MA1227" s="10"/>
      <c r="MB1227" s="10"/>
      <c r="MC1227" s="10"/>
      <c r="MD1227" s="10"/>
      <c r="ME1227" s="10"/>
      <c r="MF1227" s="10"/>
      <c r="MG1227" s="10"/>
      <c r="MH1227" s="10"/>
      <c r="MI1227" s="11"/>
      <c r="MX1227" s="13"/>
      <c r="NU1227" s="12"/>
      <c r="NW1227" s="12"/>
      <c r="ON1227" s="13"/>
      <c r="OP1227" s="13"/>
      <c r="OU1227" s="12"/>
      <c r="PA1227" s="12"/>
      <c r="RO1227" s="12"/>
      <c r="RR1227" s="12"/>
      <c r="SR1227" s="13"/>
      <c r="SU1227" s="13"/>
      <c r="TG1227" s="13"/>
      <c r="TH1227" s="12"/>
    </row>
    <row r="1228" spans="22:547" ht="10.75" customHeight="1">
      <c r="V1228" s="12"/>
      <c r="Y1228" s="14"/>
      <c r="Z1228" s="15"/>
      <c r="AA1228" s="15"/>
      <c r="AB1228" s="14"/>
      <c r="AC1228" s="15"/>
      <c r="AD1228" s="15"/>
      <c r="AE1228" s="15"/>
      <c r="AF1228" s="15"/>
      <c r="AG1228" s="15"/>
      <c r="AH1228" s="16"/>
      <c r="AI1228" s="15"/>
      <c r="AJ1228" s="15"/>
      <c r="AK1228" s="16"/>
      <c r="AL1228" s="12"/>
      <c r="AO1228" s="12"/>
      <c r="AP1228" s="13"/>
      <c r="AQ1228" s="12"/>
      <c r="AW1228" s="13"/>
      <c r="BR1228" s="13"/>
      <c r="BT1228" s="13"/>
      <c r="CM1228" s="12"/>
      <c r="CN1228" s="13"/>
      <c r="EH1228" s="13"/>
      <c r="EK1228" s="13"/>
      <c r="GJ1228" s="12"/>
      <c r="GS1228" s="12"/>
      <c r="HK1228" s="12"/>
      <c r="JF1228" s="13"/>
      <c r="JS1228" s="12"/>
      <c r="KA1228" s="13"/>
      <c r="KN1228" s="12"/>
      <c r="KQ1228" s="12"/>
      <c r="LQ1228" s="13"/>
      <c r="LR1228" s="12"/>
      <c r="LT1228" s="13"/>
      <c r="LZ1228" s="13"/>
      <c r="MI1228" s="13"/>
      <c r="MX1228" s="13"/>
      <c r="NU1228" s="12"/>
      <c r="NW1228" s="12"/>
      <c r="ON1228" s="13"/>
      <c r="OP1228" s="13"/>
      <c r="OU1228" s="12"/>
      <c r="PA1228" s="12"/>
      <c r="RO1228" s="12"/>
      <c r="RR1228" s="12"/>
      <c r="SR1228" s="13"/>
      <c r="SU1228" s="13"/>
      <c r="TG1228" s="13"/>
      <c r="TH1228" s="12"/>
    </row>
    <row r="1229" spans="22:547" ht="10.75" customHeight="1">
      <c r="V1229" s="12"/>
      <c r="AK1229" s="13"/>
      <c r="AL1229" s="12"/>
      <c r="AO1229" s="12"/>
      <c r="AP1229" s="13"/>
      <c r="AQ1229" s="14"/>
      <c r="AR1229" s="15"/>
      <c r="AS1229" s="15"/>
      <c r="AT1229" s="15"/>
      <c r="AU1229" s="15"/>
      <c r="AV1229" s="15"/>
      <c r="AW1229" s="16"/>
      <c r="BR1229" s="13"/>
      <c r="BT1229" s="13"/>
      <c r="CM1229" s="14"/>
      <c r="CN1229" s="16"/>
      <c r="EH1229" s="13"/>
      <c r="EK1229" s="13"/>
      <c r="GJ1229" s="12"/>
      <c r="GS1229" s="12"/>
      <c r="HK1229" s="12"/>
      <c r="JF1229" s="13"/>
      <c r="JS1229" s="12"/>
      <c r="KA1229" s="13"/>
      <c r="KN1229" s="12"/>
      <c r="KQ1229" s="12"/>
      <c r="LQ1229" s="13"/>
      <c r="LR1229" s="12"/>
      <c r="LT1229" s="13"/>
      <c r="LZ1229" s="13"/>
      <c r="MI1229" s="13"/>
      <c r="MX1229" s="13"/>
      <c r="NU1229" s="12"/>
      <c r="NW1229" s="9"/>
      <c r="NX1229" s="10"/>
      <c r="NY1229" s="10"/>
      <c r="NZ1229" s="10"/>
      <c r="OA1229" s="10"/>
      <c r="OB1229" s="10"/>
      <c r="OC1229" s="10"/>
      <c r="OD1229" s="10"/>
      <c r="OE1229" s="10"/>
      <c r="OF1229" s="10"/>
      <c r="OG1229" s="10"/>
      <c r="OH1229" s="10"/>
      <c r="OI1229" s="10"/>
      <c r="OJ1229" s="10"/>
      <c r="OK1229" s="10"/>
      <c r="OL1229" s="10"/>
      <c r="OM1229" s="10"/>
      <c r="ON1229" s="11"/>
      <c r="OP1229" s="13"/>
      <c r="OU1229" s="12"/>
      <c r="PA1229" s="12"/>
      <c r="RO1229" s="12"/>
      <c r="RR1229" s="12"/>
      <c r="SR1229" s="13"/>
      <c r="SU1229" s="13"/>
      <c r="SY1229" s="12"/>
      <c r="TG1229" s="13"/>
      <c r="TH1229" s="12"/>
    </row>
    <row r="1230" spans="22:547" ht="10.75" customHeight="1">
      <c r="V1230" s="12"/>
      <c r="AK1230" s="13"/>
      <c r="AL1230" s="12"/>
      <c r="AO1230" s="14"/>
      <c r="AP1230" s="16"/>
      <c r="BR1230" s="13"/>
      <c r="BT1230" s="13"/>
      <c r="EH1230" s="13"/>
      <c r="EK1230" s="13"/>
      <c r="GJ1230" s="12"/>
      <c r="GS1230" s="12"/>
      <c r="HK1230" s="12"/>
      <c r="JF1230" s="13"/>
      <c r="JS1230" s="12"/>
      <c r="KA1230" s="13"/>
      <c r="KN1230" s="12"/>
      <c r="KQ1230" s="12"/>
      <c r="LQ1230" s="13"/>
      <c r="LR1230" s="12"/>
      <c r="LT1230" s="13"/>
      <c r="LZ1230" s="13"/>
      <c r="MI1230" s="13"/>
      <c r="MX1230" s="13"/>
      <c r="NU1230" s="12"/>
      <c r="NW1230" s="14"/>
      <c r="NX1230" s="15"/>
      <c r="NY1230" s="15"/>
      <c r="NZ1230" s="15"/>
      <c r="OA1230" s="15"/>
      <c r="OB1230" s="15"/>
      <c r="OC1230" s="15"/>
      <c r="OD1230" s="15"/>
      <c r="OE1230" s="15"/>
      <c r="OF1230" s="15"/>
      <c r="OG1230" s="15"/>
      <c r="OH1230" s="15"/>
      <c r="OI1230" s="15"/>
      <c r="OJ1230" s="15"/>
      <c r="OK1230" s="15"/>
      <c r="OL1230" s="15"/>
      <c r="OM1230" s="15"/>
      <c r="ON1230" s="16"/>
      <c r="OP1230" s="13"/>
      <c r="OU1230" s="12"/>
      <c r="PA1230" s="12"/>
      <c r="RO1230" s="12"/>
      <c r="RR1230" s="12"/>
      <c r="SR1230" s="13"/>
      <c r="SU1230" s="13"/>
      <c r="SY1230" s="12"/>
      <c r="TG1230" s="13"/>
    </row>
    <row r="1231" spans="22:547" ht="10.75" customHeight="1">
      <c r="V1231" s="14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5"/>
      <c r="AG1231" s="15"/>
      <c r="AH1231" s="15"/>
      <c r="AI1231" s="15"/>
      <c r="AJ1231" s="15"/>
      <c r="AK1231" s="16"/>
      <c r="AL1231" s="12"/>
      <c r="AO1231" s="12"/>
      <c r="BR1231" s="13"/>
      <c r="BT1231" s="13"/>
      <c r="EH1231" s="13"/>
      <c r="EK1231" s="13"/>
      <c r="GJ1231" s="12"/>
      <c r="GS1231" s="12"/>
      <c r="HK1231" s="12"/>
      <c r="JF1231" s="13"/>
      <c r="JS1231" s="12"/>
      <c r="KA1231" s="13"/>
      <c r="KB1231" s="12"/>
      <c r="KN1231" s="12"/>
      <c r="KQ1231" s="12"/>
      <c r="LQ1231" s="13"/>
      <c r="LR1231" s="12"/>
      <c r="LT1231" s="13"/>
      <c r="LZ1231" s="13"/>
      <c r="MI1231" s="13"/>
      <c r="MX1231" s="13"/>
      <c r="NU1231" s="12"/>
      <c r="OP1231" s="13"/>
      <c r="OU1231" s="12"/>
      <c r="PA1231" s="12"/>
      <c r="RO1231" s="12"/>
      <c r="RR1231" s="12"/>
      <c r="SR1231" s="13"/>
      <c r="SU1231" s="13"/>
      <c r="SY1231" s="12"/>
      <c r="TG1231" s="13"/>
    </row>
    <row r="1232" spans="22:547" ht="10.75" customHeight="1">
      <c r="Z1232" s="9"/>
      <c r="AA1232" s="9"/>
      <c r="AB1232" s="10"/>
      <c r="AC1232" s="10"/>
      <c r="AD1232" s="10"/>
      <c r="AE1232" s="10"/>
      <c r="AF1232" s="10"/>
      <c r="AG1232" s="10"/>
      <c r="AH1232" s="10"/>
      <c r="AI1232" s="10"/>
      <c r="AJ1232" s="10"/>
      <c r="AK1232" s="11"/>
      <c r="AL1232" s="12"/>
      <c r="AO1232" s="12"/>
      <c r="BR1232" s="13"/>
      <c r="BT1232" s="13"/>
      <c r="EH1232" s="13"/>
      <c r="EK1232" s="13"/>
      <c r="GJ1232" s="12"/>
      <c r="GS1232" s="12"/>
      <c r="HK1232" s="12"/>
      <c r="JF1232" s="13"/>
      <c r="JS1232" s="12"/>
      <c r="KA1232" s="13"/>
      <c r="KB1232" s="12"/>
      <c r="KN1232" s="12"/>
      <c r="KQ1232" s="12"/>
      <c r="LQ1232" s="13"/>
      <c r="LR1232" s="12"/>
      <c r="LT1232" s="13"/>
      <c r="LZ1232" s="13"/>
      <c r="MI1232" s="13"/>
      <c r="MX1232" s="13"/>
      <c r="MY1232" s="339"/>
      <c r="MZ1232" s="340"/>
      <c r="NA1232" s="340"/>
      <c r="NB1232" s="340"/>
      <c r="NC1232" s="340"/>
      <c r="ND1232" s="340"/>
      <c r="NE1232" s="340"/>
      <c r="NF1232" s="340"/>
      <c r="NG1232" s="340"/>
      <c r="NH1232" s="340"/>
      <c r="NI1232" s="340"/>
      <c r="NJ1232" s="340"/>
      <c r="NK1232" s="341"/>
      <c r="NU1232" s="14"/>
      <c r="NV1232" s="15"/>
      <c r="NW1232" s="15"/>
      <c r="NX1232" s="15"/>
      <c r="NY1232" s="15"/>
      <c r="NZ1232" s="15"/>
      <c r="OA1232" s="15"/>
      <c r="OB1232" s="15"/>
      <c r="OC1232" s="15"/>
      <c r="OD1232" s="15"/>
      <c r="OE1232" s="15"/>
      <c r="OF1232" s="15"/>
      <c r="OG1232" s="15"/>
      <c r="OH1232" s="15"/>
      <c r="OI1232" s="15"/>
      <c r="OJ1232" s="15"/>
      <c r="OK1232" s="15"/>
      <c r="OL1232" s="15"/>
      <c r="OM1232" s="15"/>
      <c r="ON1232" s="15"/>
      <c r="OO1232" s="15"/>
      <c r="OP1232" s="16"/>
      <c r="OU1232" s="12"/>
      <c r="PA1232" s="12"/>
      <c r="RO1232" s="12"/>
      <c r="RR1232" s="12"/>
      <c r="SR1232" s="13"/>
      <c r="SU1232" s="13"/>
      <c r="SY1232" s="12"/>
      <c r="TG1232" s="13"/>
    </row>
    <row r="1233" spans="26:527" ht="10.75" customHeight="1">
      <c r="Z1233" s="12"/>
      <c r="AA1233" s="12"/>
      <c r="AK1233" s="13"/>
      <c r="AL1233" s="12"/>
      <c r="AO1233" s="9"/>
      <c r="AP1233" s="10"/>
      <c r="AQ1233" s="10"/>
      <c r="AR1233" s="10"/>
      <c r="AS1233" s="10"/>
      <c r="AT1233" s="10"/>
      <c r="AU1233" s="10"/>
      <c r="AV1233" s="10"/>
      <c r="AW1233" s="10"/>
      <c r="AX1233" s="10"/>
      <c r="AY1233" s="10"/>
      <c r="AZ1233" s="10"/>
      <c r="BA1233" s="10"/>
      <c r="BB1233" s="10"/>
      <c r="BC1233" s="10"/>
      <c r="BD1233" s="10"/>
      <c r="BE1233" s="11"/>
      <c r="BR1233" s="13"/>
      <c r="BT1233" s="13"/>
      <c r="EH1233" s="13"/>
      <c r="EK1233" s="13"/>
      <c r="GJ1233" s="12"/>
      <c r="GS1233" s="12"/>
      <c r="HK1233" s="12"/>
      <c r="JF1233" s="13"/>
      <c r="JS1233" s="12"/>
      <c r="KA1233" s="13"/>
      <c r="KB1233" s="12"/>
      <c r="KN1233" s="12"/>
      <c r="KQ1233" s="12"/>
      <c r="LQ1233" s="13"/>
      <c r="LR1233" s="12"/>
      <c r="LT1233" s="13"/>
      <c r="LZ1233" s="13"/>
      <c r="MI1233" s="13"/>
      <c r="MY1233" s="10"/>
      <c r="MZ1233" s="10"/>
      <c r="NA1233" s="10"/>
      <c r="NB1233" s="10"/>
      <c r="NC1233" s="10"/>
      <c r="ND1233" s="10"/>
      <c r="NE1233" s="10"/>
      <c r="NF1233" s="10"/>
      <c r="NG1233" s="10"/>
      <c r="NH1233" s="10"/>
      <c r="NI1233" s="10"/>
      <c r="NJ1233" s="11"/>
      <c r="OU1233" s="12"/>
      <c r="PA1233" s="12"/>
      <c r="RO1233" s="12"/>
      <c r="RR1233" s="12"/>
      <c r="SR1233" s="13"/>
      <c r="SU1233" s="13"/>
      <c r="SY1233" s="12"/>
      <c r="TG1233" s="13"/>
    </row>
    <row r="1234" spans="26:527" ht="10.75" customHeight="1">
      <c r="Z1234" s="12"/>
      <c r="AA1234" s="12"/>
      <c r="AK1234" s="13"/>
      <c r="AL1234" s="12"/>
      <c r="AO1234" s="12"/>
      <c r="BE1234" s="13"/>
      <c r="BR1234" s="13"/>
      <c r="BT1234" s="13"/>
      <c r="EH1234" s="13"/>
      <c r="EK1234" s="13"/>
      <c r="GJ1234" s="12"/>
      <c r="GS1234" s="12"/>
      <c r="HJ1234" s="13"/>
      <c r="HK1234" s="12"/>
      <c r="JF1234" s="13"/>
      <c r="JS1234" s="12"/>
      <c r="KA1234" s="13"/>
      <c r="KB1234" s="12"/>
      <c r="KN1234" s="12"/>
      <c r="KQ1234" s="12"/>
      <c r="LQ1234" s="13"/>
      <c r="LR1234" s="12"/>
      <c r="LT1234" s="13"/>
      <c r="LZ1234" s="13"/>
      <c r="MI1234" s="13"/>
      <c r="NJ1234" s="13"/>
      <c r="OU1234" s="12"/>
      <c r="PA1234" s="12"/>
      <c r="RO1234" s="12"/>
      <c r="RR1234" s="12"/>
      <c r="SR1234" s="13"/>
      <c r="SU1234" s="13"/>
      <c r="SY1234" s="12"/>
      <c r="TG1234" s="13"/>
    </row>
    <row r="1235" spans="26:527" ht="10.75" customHeight="1">
      <c r="Z1235" s="12"/>
      <c r="AA1235" s="12"/>
      <c r="AK1235" s="13"/>
      <c r="AL1235" s="12"/>
      <c r="AO1235" s="12"/>
      <c r="BE1235" s="13"/>
      <c r="BR1235" s="13"/>
      <c r="BT1235" s="13"/>
      <c r="EH1235" s="13"/>
      <c r="EK1235" s="13"/>
      <c r="GJ1235" s="12"/>
      <c r="GS1235" s="12"/>
      <c r="HJ1235" s="13"/>
      <c r="HK1235" s="12"/>
      <c r="JF1235" s="13"/>
      <c r="JS1235" s="12"/>
      <c r="KA1235" s="13"/>
      <c r="KB1235" s="12"/>
      <c r="KN1235" s="12"/>
      <c r="KQ1235" s="12"/>
      <c r="LQ1235" s="13"/>
      <c r="LR1235" s="12"/>
      <c r="LT1235" s="13"/>
      <c r="LZ1235" s="13"/>
      <c r="MA1235" s="15"/>
      <c r="MB1235" s="15"/>
      <c r="MC1235" s="15"/>
      <c r="MD1235" s="15"/>
      <c r="ME1235" s="15"/>
      <c r="MF1235" s="15"/>
      <c r="MG1235" s="15"/>
      <c r="MH1235" s="15"/>
      <c r="MI1235" s="16"/>
      <c r="NJ1235" s="13"/>
      <c r="OU1235" s="12"/>
      <c r="PA1235" s="12"/>
      <c r="RO1235" s="12"/>
      <c r="RR1235" s="12"/>
      <c r="SR1235" s="13"/>
      <c r="SU1235" s="13"/>
      <c r="SY1235" s="12"/>
      <c r="TG1235" s="13"/>
    </row>
    <row r="1236" spans="26:527" ht="10.75" customHeight="1">
      <c r="Z1236" s="12"/>
      <c r="AA1236" s="9"/>
      <c r="AB1236" s="10"/>
      <c r="AC1236" s="10"/>
      <c r="AD1236" s="10"/>
      <c r="AE1236" s="10"/>
      <c r="AF1236" s="10"/>
      <c r="AG1236" s="10"/>
      <c r="AH1236" s="10"/>
      <c r="AI1236" s="10"/>
      <c r="AJ1236" s="10"/>
      <c r="AK1236" s="11"/>
      <c r="AL1236" s="12"/>
      <c r="AO1236" s="12"/>
      <c r="BE1236" s="13"/>
      <c r="BR1236" s="13"/>
      <c r="BT1236" s="13"/>
      <c r="EH1236" s="13"/>
      <c r="EK1236" s="13"/>
      <c r="GJ1236" s="12"/>
      <c r="GS1236" s="12"/>
      <c r="HJ1236" s="13"/>
      <c r="HK1236" s="12"/>
      <c r="JF1236" s="13"/>
      <c r="JS1236" s="12"/>
      <c r="KA1236" s="13"/>
      <c r="KB1236" s="12"/>
      <c r="KN1236" s="12"/>
      <c r="KQ1236" s="12"/>
      <c r="LQ1236" s="13"/>
      <c r="LR1236" s="12"/>
      <c r="LT1236" s="13"/>
      <c r="NJ1236" s="13"/>
      <c r="OU1236" s="12"/>
      <c r="PA1236" s="12"/>
      <c r="RO1236" s="12"/>
      <c r="RR1236" s="12"/>
      <c r="SR1236" s="13"/>
      <c r="SU1236" s="13"/>
      <c r="SY1236" s="12"/>
      <c r="TG1236" s="13"/>
    </row>
    <row r="1237" spans="26:527" ht="10.75" customHeight="1">
      <c r="Z1237" s="12"/>
      <c r="AA1237" s="12"/>
      <c r="AK1237" s="13"/>
      <c r="AL1237" s="12"/>
      <c r="AO1237" s="9"/>
      <c r="AP1237" s="11"/>
      <c r="BE1237" s="13"/>
      <c r="BR1237" s="13"/>
      <c r="BT1237" s="13"/>
      <c r="EH1237" s="13"/>
      <c r="EK1237" s="13"/>
      <c r="GJ1237" s="12"/>
      <c r="GS1237" s="12"/>
      <c r="HJ1237" s="13"/>
      <c r="HK1237" s="12"/>
      <c r="JF1237" s="13"/>
      <c r="JS1237" s="12"/>
      <c r="KA1237" s="13"/>
      <c r="KB1237" s="12"/>
      <c r="KN1237" s="12"/>
      <c r="KQ1237" s="12"/>
      <c r="LQ1237" s="13"/>
      <c r="LR1237" s="12"/>
      <c r="LT1237" s="13"/>
      <c r="NJ1237" s="13"/>
      <c r="OU1237" s="12"/>
      <c r="PA1237" s="12"/>
      <c r="RO1237" s="12"/>
      <c r="RR1237" s="12"/>
      <c r="SR1237" s="13"/>
      <c r="SU1237" s="13"/>
      <c r="SY1237" s="12"/>
      <c r="TG1237" s="13"/>
    </row>
    <row r="1238" spans="26:527" ht="10.75" customHeight="1">
      <c r="Z1238" s="12"/>
      <c r="AA1238" s="12"/>
      <c r="AK1238" s="13"/>
      <c r="AL1238" s="12"/>
      <c r="AO1238" s="12"/>
      <c r="AP1238" s="13"/>
      <c r="BE1238" s="13"/>
      <c r="BI1238" s="9"/>
      <c r="BJ1238" s="10"/>
      <c r="BK1238" s="10"/>
      <c r="BL1238" s="10"/>
      <c r="BM1238" s="10"/>
      <c r="BN1238" s="10"/>
      <c r="BO1238" s="11"/>
      <c r="BR1238" s="13"/>
      <c r="BT1238" s="13"/>
      <c r="EH1238" s="13"/>
      <c r="EK1238" s="13"/>
      <c r="GJ1238" s="12"/>
      <c r="GS1238" s="12"/>
      <c r="HJ1238" s="13"/>
      <c r="HK1238" s="12"/>
      <c r="JF1238" s="13"/>
      <c r="JS1238" s="12"/>
      <c r="KA1238" s="13"/>
      <c r="KB1238" s="12"/>
      <c r="KN1238" s="12"/>
      <c r="KQ1238" s="12"/>
      <c r="LQ1238" s="13"/>
      <c r="LR1238" s="12"/>
      <c r="LT1238" s="13"/>
      <c r="NJ1238" s="13"/>
      <c r="OU1238" s="12"/>
      <c r="PA1238" s="12"/>
      <c r="RO1238" s="12"/>
      <c r="RR1238" s="12"/>
      <c r="SR1238" s="13"/>
      <c r="SU1238" s="13"/>
      <c r="SY1238" s="12"/>
      <c r="TG1238" s="13"/>
    </row>
    <row r="1239" spans="26:527" ht="10.75" customHeight="1">
      <c r="Z1239" s="12"/>
      <c r="AA1239" s="14"/>
      <c r="AB1239" s="15"/>
      <c r="AC1239" s="15"/>
      <c r="AD1239" s="15"/>
      <c r="AE1239" s="15"/>
      <c r="AF1239" s="15"/>
      <c r="AG1239" s="15"/>
      <c r="AH1239" s="15"/>
      <c r="AI1239" s="15"/>
      <c r="AJ1239" s="15"/>
      <c r="AK1239" s="16"/>
      <c r="AL1239" s="12"/>
      <c r="AO1239" s="14"/>
      <c r="AP1239" s="16"/>
      <c r="BE1239" s="13"/>
      <c r="BI1239" s="12"/>
      <c r="BO1239" s="13"/>
      <c r="BR1239" s="13"/>
      <c r="BT1239" s="13"/>
      <c r="EH1239" s="13"/>
      <c r="EK1239" s="13"/>
      <c r="GJ1239" s="12"/>
      <c r="GS1239" s="12"/>
      <c r="HJ1239" s="13"/>
      <c r="HK1239" s="12"/>
      <c r="JF1239" s="13"/>
      <c r="JS1239" s="12"/>
      <c r="KA1239" s="13"/>
      <c r="KB1239" s="12"/>
      <c r="KN1239" s="12"/>
      <c r="KQ1239" s="12"/>
      <c r="LQ1239" s="13"/>
      <c r="LR1239" s="12"/>
      <c r="LT1239" s="13"/>
      <c r="NJ1239" s="13"/>
      <c r="NK1239" s="339"/>
      <c r="NL1239" s="340"/>
      <c r="NM1239" s="340"/>
      <c r="NN1239" s="340"/>
      <c r="NO1239" s="340"/>
      <c r="NP1239" s="340"/>
      <c r="NQ1239" s="340"/>
      <c r="NR1239" s="340"/>
      <c r="NS1239" s="340"/>
      <c r="NT1239" s="340"/>
      <c r="NU1239" s="340"/>
      <c r="NV1239" s="340"/>
      <c r="NW1239" s="341"/>
      <c r="OU1239" s="12"/>
      <c r="PA1239" s="12"/>
      <c r="RO1239" s="12"/>
      <c r="RR1239" s="12"/>
      <c r="SR1239" s="13"/>
      <c r="SU1239" s="13"/>
      <c r="SY1239" s="12"/>
      <c r="TG1239" s="13"/>
    </row>
    <row r="1240" spans="26:527" ht="10.75" customHeight="1">
      <c r="Z1240" s="12"/>
      <c r="AA1240" s="9"/>
      <c r="AB1240" s="10"/>
      <c r="AC1240" s="10"/>
      <c r="AD1240" s="10"/>
      <c r="AE1240" s="10"/>
      <c r="AF1240" s="10"/>
      <c r="AG1240" s="10"/>
      <c r="AH1240" s="10"/>
      <c r="AI1240" s="10"/>
      <c r="AJ1240" s="10"/>
      <c r="AK1240" s="11"/>
      <c r="AL1240" s="12"/>
      <c r="AO1240" s="12"/>
      <c r="BE1240" s="13"/>
      <c r="BI1240" s="12"/>
      <c r="BO1240" s="13"/>
      <c r="BR1240" s="13"/>
      <c r="BT1240" s="13"/>
      <c r="EH1240" s="13"/>
      <c r="EK1240" s="13"/>
      <c r="GJ1240" s="12"/>
      <c r="GS1240" s="12"/>
      <c r="HJ1240" s="13"/>
      <c r="HK1240" s="12"/>
      <c r="JF1240" s="13"/>
      <c r="JS1240" s="12"/>
      <c r="KA1240" s="13"/>
      <c r="KB1240" s="12"/>
      <c r="KN1240" s="12"/>
      <c r="KQ1240" s="12"/>
      <c r="LQ1240" s="13"/>
      <c r="LR1240" s="12"/>
      <c r="LT1240" s="13"/>
      <c r="NK1240" s="10"/>
      <c r="NL1240" s="10"/>
      <c r="NM1240" s="10"/>
      <c r="NN1240" s="10"/>
      <c r="NO1240" s="10"/>
      <c r="NP1240" s="10"/>
      <c r="NQ1240" s="10"/>
      <c r="NR1240" s="10"/>
      <c r="NS1240" s="10"/>
      <c r="NT1240" s="10"/>
      <c r="NU1240" s="10"/>
      <c r="NV1240" s="11"/>
      <c r="OU1240" s="12"/>
      <c r="PA1240" s="12"/>
      <c r="RO1240" s="12"/>
      <c r="RR1240" s="12"/>
      <c r="SR1240" s="13"/>
      <c r="SU1240" s="13"/>
      <c r="SY1240" s="12"/>
      <c r="TG1240" s="13"/>
    </row>
    <row r="1241" spans="26:527" ht="10.75" customHeight="1">
      <c r="Z1241" s="12"/>
      <c r="AA1241" s="12"/>
      <c r="AK1241" s="13"/>
      <c r="AL1241" s="12"/>
      <c r="AO1241" s="12"/>
      <c r="BE1241" s="13"/>
      <c r="BI1241" s="12"/>
      <c r="BO1241" s="13"/>
      <c r="BR1241" s="13"/>
      <c r="BT1241" s="13"/>
      <c r="EH1241" s="13"/>
      <c r="EK1241" s="13"/>
      <c r="GJ1241" s="12"/>
      <c r="GS1241" s="12"/>
      <c r="HJ1241" s="13"/>
      <c r="HK1241" s="12"/>
      <c r="JF1241" s="13"/>
      <c r="JS1241" s="12"/>
      <c r="KA1241" s="13"/>
      <c r="KB1241" s="12"/>
      <c r="KN1241" s="12"/>
      <c r="KQ1241" s="12"/>
      <c r="LQ1241" s="13"/>
      <c r="LR1241" s="12"/>
      <c r="LT1241" s="13"/>
      <c r="NV1241" s="13"/>
      <c r="OU1241" s="12"/>
      <c r="PA1241" s="12"/>
      <c r="RO1241" s="12"/>
      <c r="RR1241" s="12"/>
      <c r="SR1241" s="13"/>
      <c r="SU1241" s="13"/>
      <c r="SY1241" s="12"/>
      <c r="TG1241" s="13"/>
    </row>
    <row r="1242" spans="26:527" ht="10.75" customHeight="1">
      <c r="Z1242" s="12"/>
      <c r="AA1242" s="12"/>
      <c r="AK1242" s="13"/>
      <c r="AL1242" s="12"/>
      <c r="AO1242" s="12"/>
      <c r="BE1242" s="13"/>
      <c r="BI1242" s="9"/>
      <c r="BJ1242" s="10"/>
      <c r="BK1242" s="10"/>
      <c r="BL1242" s="10"/>
      <c r="BM1242" s="10"/>
      <c r="BN1242" s="10"/>
      <c r="BO1242" s="11"/>
      <c r="BR1242" s="13"/>
      <c r="BT1242" s="13"/>
      <c r="EH1242" s="13"/>
      <c r="EK1242" s="13"/>
      <c r="GJ1242" s="12"/>
      <c r="GS1242" s="12"/>
      <c r="HJ1242" s="13"/>
      <c r="HK1242" s="12"/>
      <c r="JF1242" s="13"/>
      <c r="JS1242" s="12"/>
      <c r="KA1242" s="13"/>
      <c r="KB1242" s="12"/>
      <c r="KN1242" s="12"/>
      <c r="KQ1242" s="12"/>
      <c r="LQ1242" s="13"/>
      <c r="LR1242" s="12"/>
      <c r="LT1242" s="13"/>
      <c r="NV1242" s="13"/>
      <c r="OU1242" s="12"/>
      <c r="PA1242" s="12"/>
      <c r="RO1242" s="12"/>
      <c r="RR1242" s="12"/>
      <c r="SR1242" s="13"/>
      <c r="SU1242" s="13"/>
      <c r="SY1242" s="12"/>
      <c r="TG1242" s="13"/>
    </row>
    <row r="1243" spans="26:527" ht="10.75" customHeight="1">
      <c r="Z1243" s="12"/>
      <c r="AA1243" s="14"/>
      <c r="AB1243" s="15"/>
      <c r="AC1243" s="15"/>
      <c r="AD1243" s="15"/>
      <c r="AE1243" s="15"/>
      <c r="AF1243" s="15"/>
      <c r="AG1243" s="15"/>
      <c r="AH1243" s="15"/>
      <c r="AI1243" s="15"/>
      <c r="AJ1243" s="15"/>
      <c r="AK1243" s="16"/>
      <c r="AL1243" s="12"/>
      <c r="AO1243" s="14"/>
      <c r="AP1243" s="15"/>
      <c r="AQ1243" s="15"/>
      <c r="AR1243" s="15"/>
      <c r="AS1243" s="15"/>
      <c r="AT1243" s="15"/>
      <c r="AU1243" s="15"/>
      <c r="AV1243" s="15"/>
      <c r="AW1243" s="15"/>
      <c r="AX1243" s="15"/>
      <c r="AY1243" s="15"/>
      <c r="AZ1243" s="15"/>
      <c r="BA1243" s="15"/>
      <c r="BB1243" s="15"/>
      <c r="BC1243" s="15"/>
      <c r="BD1243" s="15"/>
      <c r="BE1243" s="16"/>
      <c r="BF1243" s="15"/>
      <c r="BG1243" s="15"/>
      <c r="BH1243" s="15"/>
      <c r="BI1243" s="14"/>
      <c r="BJ1243" s="15"/>
      <c r="BK1243" s="15"/>
      <c r="BL1243" s="15"/>
      <c r="BM1243" s="15"/>
      <c r="BN1243" s="15"/>
      <c r="BO1243" s="16"/>
      <c r="BP1243" s="15"/>
      <c r="BQ1243" s="15"/>
      <c r="BR1243" s="16"/>
      <c r="BT1243" s="13"/>
      <c r="EH1243" s="13"/>
      <c r="EK1243" s="13"/>
      <c r="GJ1243" s="12"/>
      <c r="GS1243" s="12"/>
      <c r="HJ1243" s="13"/>
      <c r="HK1243" s="12"/>
      <c r="JF1243" s="13"/>
      <c r="JS1243" s="12"/>
      <c r="KA1243" s="13"/>
      <c r="KB1243" s="12"/>
      <c r="KN1243" s="12"/>
      <c r="KQ1243" s="12"/>
      <c r="LQ1243" s="13"/>
      <c r="LR1243" s="12"/>
      <c r="LT1243" s="13"/>
      <c r="NV1243" s="13"/>
      <c r="OU1243" s="12"/>
      <c r="PA1243" s="12"/>
      <c r="RO1243" s="12"/>
      <c r="RR1243" s="12"/>
      <c r="SR1243" s="13"/>
      <c r="SU1243" s="13"/>
      <c r="SY1243" s="12"/>
      <c r="TG1243" s="13"/>
    </row>
    <row r="1244" spans="26:527" ht="10.75" customHeight="1">
      <c r="Z1244" s="12"/>
      <c r="AA1244" s="12"/>
      <c r="AK1244" s="13"/>
      <c r="AL1244" s="12"/>
      <c r="AO1244" s="12"/>
      <c r="BU1244" s="10"/>
      <c r="BV1244" s="10"/>
      <c r="BW1244" s="10"/>
      <c r="BX1244" s="10"/>
      <c r="BY1244" s="10"/>
      <c r="BZ1244" s="10"/>
      <c r="CA1244" s="10"/>
      <c r="CB1244" s="10"/>
      <c r="CC1244" s="12"/>
      <c r="EH1244" s="13"/>
      <c r="EK1244" s="13"/>
      <c r="GJ1244" s="12"/>
      <c r="GS1244" s="12"/>
      <c r="HJ1244" s="13"/>
      <c r="HK1244" s="12"/>
      <c r="JF1244" s="13"/>
      <c r="JS1244" s="12"/>
      <c r="KA1244" s="13"/>
      <c r="KB1244" s="12"/>
      <c r="KN1244" s="12"/>
      <c r="KQ1244" s="12"/>
      <c r="LQ1244" s="13"/>
      <c r="LR1244" s="12"/>
      <c r="LT1244" s="13"/>
      <c r="NV1244" s="13"/>
      <c r="OU1244" s="12"/>
      <c r="OZ1244" s="13"/>
      <c r="RO1244" s="12"/>
      <c r="RR1244" s="12"/>
      <c r="SR1244" s="13"/>
      <c r="SU1244" s="13"/>
      <c r="SY1244" s="12"/>
      <c r="TG1244" s="13"/>
    </row>
    <row r="1245" spans="26:527" ht="10.75" customHeight="1">
      <c r="Z1245" s="12"/>
      <c r="AA1245" s="12"/>
      <c r="AK1245" s="13"/>
      <c r="AL1245" s="12"/>
      <c r="AO1245" s="14"/>
      <c r="AP1245" s="15"/>
      <c r="AQ1245" s="15"/>
      <c r="AR1245" s="15"/>
      <c r="AS1245" s="15"/>
      <c r="AT1245" s="15"/>
      <c r="AU1245" s="15"/>
      <c r="AV1245" s="15"/>
      <c r="AW1245" s="15"/>
      <c r="AX1245" s="15"/>
      <c r="AY1245" s="15"/>
      <c r="AZ1245" s="15"/>
      <c r="BA1245" s="15"/>
      <c r="BB1245" s="15"/>
      <c r="BC1245" s="15"/>
      <c r="BD1245" s="15"/>
      <c r="BE1245" s="15"/>
      <c r="BF1245" s="15"/>
      <c r="BG1245" s="15"/>
      <c r="BH1245" s="15"/>
      <c r="BI1245" s="15"/>
      <c r="BJ1245" s="15"/>
      <c r="BK1245" s="15"/>
      <c r="BL1245" s="15"/>
      <c r="BM1245" s="15"/>
      <c r="BN1245" s="15"/>
      <c r="BO1245" s="15"/>
      <c r="BP1245" s="15"/>
      <c r="BQ1245" s="15"/>
      <c r="BR1245" s="15"/>
      <c r="BS1245" s="15"/>
      <c r="BT1245" s="15"/>
      <c r="BU1245" s="15"/>
      <c r="BV1245" s="15"/>
      <c r="BW1245" s="15"/>
      <c r="BX1245" s="15"/>
      <c r="BY1245" s="15"/>
      <c r="BZ1245" s="15"/>
      <c r="CA1245" s="15"/>
      <c r="CB1245" s="15"/>
      <c r="CC1245" s="12"/>
      <c r="EH1245" s="13"/>
      <c r="EK1245" s="13"/>
      <c r="GJ1245" s="12"/>
      <c r="GS1245" s="12"/>
      <c r="HJ1245" s="13"/>
      <c r="HK1245" s="12"/>
      <c r="JF1245" s="13"/>
      <c r="JS1245" s="12"/>
      <c r="KA1245" s="13"/>
      <c r="KB1245" s="12"/>
      <c r="KN1245" s="12"/>
      <c r="KQ1245" s="12"/>
      <c r="LQ1245" s="13"/>
      <c r="LR1245" s="12"/>
      <c r="LT1245" s="13"/>
      <c r="NV1245" s="13"/>
      <c r="OU1245" s="12"/>
      <c r="OZ1245" s="13"/>
      <c r="RO1245" s="12"/>
      <c r="RR1245" s="12"/>
      <c r="SR1245" s="13"/>
      <c r="SU1245" s="13"/>
      <c r="SY1245" s="12"/>
      <c r="TG1245" s="13"/>
    </row>
    <row r="1246" spans="26:527" ht="10.75" customHeight="1">
      <c r="Z1246" s="12"/>
      <c r="AA1246" s="12"/>
      <c r="AK1246" s="13"/>
      <c r="AL1246" s="12"/>
      <c r="AO1246" s="9"/>
      <c r="AP1246" s="10"/>
      <c r="AQ1246" s="10"/>
      <c r="AR1246" s="10"/>
      <c r="AS1246" s="10"/>
      <c r="AT1246" s="10"/>
      <c r="AU1246" s="10"/>
      <c r="AV1246" s="10"/>
      <c r="AW1246" s="10"/>
      <c r="AX1246" s="10"/>
      <c r="AY1246" s="10"/>
      <c r="AZ1246" s="10"/>
      <c r="BA1246" s="10"/>
      <c r="BB1246" s="10"/>
      <c r="BC1246" s="10"/>
      <c r="BD1246" s="10"/>
      <c r="BE1246" s="10"/>
      <c r="BF1246" s="10"/>
      <c r="BG1246" s="10"/>
      <c r="BH1246" s="10"/>
      <c r="BI1246" s="10"/>
      <c r="BJ1246" s="10"/>
      <c r="BK1246" s="10"/>
      <c r="BL1246" s="10"/>
      <c r="BM1246" s="10"/>
      <c r="BN1246" s="10"/>
      <c r="BO1246" s="10"/>
      <c r="BP1246" s="10"/>
      <c r="BQ1246" s="10"/>
      <c r="BR1246" s="10"/>
      <c r="BS1246" s="10"/>
      <c r="BT1246" s="10"/>
      <c r="BU1246" s="10"/>
      <c r="BV1246" s="10"/>
      <c r="BW1246" s="10"/>
      <c r="BX1246" s="10"/>
      <c r="BY1246" s="10"/>
      <c r="CC1246" s="12"/>
      <c r="EH1246" s="13"/>
      <c r="EK1246" s="13"/>
      <c r="GJ1246" s="12"/>
      <c r="GS1246" s="12"/>
      <c r="HJ1246" s="13"/>
      <c r="HK1246" s="12"/>
      <c r="JF1246" s="13"/>
      <c r="JS1246" s="12"/>
      <c r="KA1246" s="13"/>
      <c r="KB1246" s="12"/>
      <c r="KN1246" s="12"/>
      <c r="KQ1246" s="12"/>
      <c r="LQ1246" s="13"/>
      <c r="LR1246" s="12"/>
      <c r="LT1246" s="13"/>
      <c r="NV1246" s="13"/>
      <c r="NW1246" s="339"/>
      <c r="NX1246" s="340"/>
      <c r="NY1246" s="340"/>
      <c r="NZ1246" s="340"/>
      <c r="OA1246" s="340"/>
      <c r="OB1246" s="340"/>
      <c r="OC1246" s="340"/>
      <c r="OD1246" s="340"/>
      <c r="OE1246" s="340"/>
      <c r="OF1246" s="340"/>
      <c r="OG1246" s="340"/>
      <c r="OH1246" s="340"/>
      <c r="OI1246" s="341"/>
      <c r="OU1246" s="12"/>
      <c r="OZ1246" s="13"/>
      <c r="RO1246" s="12"/>
      <c r="RR1246" s="12"/>
      <c r="SR1246" s="13"/>
      <c r="SU1246" s="13"/>
      <c r="SY1246" s="12"/>
      <c r="TG1246" s="13"/>
    </row>
    <row r="1247" spans="26:527" ht="10.75" customHeight="1">
      <c r="Z1247" s="12"/>
      <c r="AA1247" s="12"/>
      <c r="AK1247" s="13"/>
      <c r="AL1247" s="12"/>
      <c r="AO1247" s="12"/>
      <c r="CC1247" s="12"/>
      <c r="EH1247" s="13"/>
      <c r="EK1247" s="13"/>
      <c r="GJ1247" s="12"/>
      <c r="GS1247" s="12"/>
      <c r="HJ1247" s="13"/>
      <c r="HK1247" s="12"/>
      <c r="JF1247" s="13"/>
      <c r="JS1247" s="12"/>
      <c r="KA1247" s="13"/>
      <c r="KB1247" s="12"/>
      <c r="KN1247" s="12"/>
      <c r="KQ1247" s="12"/>
      <c r="LQ1247" s="13"/>
      <c r="LR1247" s="12"/>
      <c r="LT1247" s="13"/>
      <c r="MI1247" s="13"/>
      <c r="NB1247" s="12"/>
      <c r="NW1247" s="10"/>
      <c r="NX1247" s="10"/>
      <c r="NY1247" s="10"/>
      <c r="NZ1247" s="10"/>
      <c r="OA1247" s="10"/>
      <c r="OB1247" s="10"/>
      <c r="OC1247" s="10"/>
      <c r="OD1247" s="10"/>
      <c r="OE1247" s="10"/>
      <c r="OF1247" s="10"/>
      <c r="OG1247" s="10"/>
      <c r="OH1247" s="11"/>
      <c r="OU1247" s="12"/>
      <c r="OZ1247" s="13"/>
      <c r="RO1247" s="12"/>
      <c r="RR1247" s="12"/>
      <c r="SR1247" s="13"/>
      <c r="SU1247" s="13"/>
      <c r="SY1247" s="12"/>
      <c r="TG1247" s="13"/>
    </row>
    <row r="1248" spans="26:527" ht="10.75" customHeight="1">
      <c r="Z1248" s="12"/>
      <c r="AA1248" s="9"/>
      <c r="AB1248" s="10"/>
      <c r="AC1248" s="10"/>
      <c r="AD1248" s="10"/>
      <c r="AE1248" s="10"/>
      <c r="AF1248" s="10"/>
      <c r="AG1248" s="10"/>
      <c r="AH1248" s="10"/>
      <c r="AI1248" s="10"/>
      <c r="AJ1248" s="10"/>
      <c r="AK1248" s="11"/>
      <c r="AL1248" s="12"/>
      <c r="AO1248" s="12"/>
      <c r="BG1248" s="338"/>
      <c r="BH1248" s="338"/>
      <c r="BI1248" s="338"/>
      <c r="BJ1248" s="338"/>
      <c r="BK1248" s="338"/>
      <c r="BL1248" s="338"/>
      <c r="BM1248" s="338"/>
      <c r="BN1248" s="338"/>
      <c r="CC1248" s="12"/>
      <c r="EH1248" s="13"/>
      <c r="EK1248" s="13"/>
      <c r="GJ1248" s="12"/>
      <c r="GS1248" s="12"/>
      <c r="HJ1248" s="13"/>
      <c r="HK1248" s="12"/>
      <c r="JF1248" s="13"/>
      <c r="JS1248" s="12"/>
      <c r="KA1248" s="13"/>
      <c r="KB1248" s="12"/>
      <c r="KN1248" s="12"/>
      <c r="KQ1248" s="12"/>
      <c r="LQ1248" s="13"/>
      <c r="LR1248" s="12"/>
      <c r="LT1248" s="13"/>
      <c r="MI1248" s="13"/>
      <c r="NB1248" s="12"/>
      <c r="OH1248" s="13"/>
      <c r="OZ1248" s="13"/>
      <c r="RO1248" s="12"/>
      <c r="RR1248" s="12"/>
      <c r="SR1248" s="13"/>
      <c r="SU1248" s="13"/>
      <c r="SY1248" s="12"/>
      <c r="TG1248" s="13"/>
    </row>
    <row r="1249" spans="26:527" ht="10.75" customHeight="1">
      <c r="Z1249" s="12"/>
      <c r="AA1249" s="12"/>
      <c r="AK1249" s="13"/>
      <c r="AL1249" s="12"/>
      <c r="AO1249" s="12"/>
      <c r="BG1249" s="338"/>
      <c r="BH1249" s="338"/>
      <c r="BI1249" s="338"/>
      <c r="BJ1249" s="338"/>
      <c r="BK1249" s="338"/>
      <c r="BL1249" s="338"/>
      <c r="BM1249" s="338"/>
      <c r="BN1249" s="338"/>
      <c r="CC1249" s="12"/>
      <c r="EH1249" s="13"/>
      <c r="EK1249" s="13"/>
      <c r="GJ1249" s="12"/>
      <c r="GS1249" s="12"/>
      <c r="HJ1249" s="13"/>
      <c r="HK1249" s="12"/>
      <c r="JF1249" s="13"/>
      <c r="JS1249" s="12"/>
      <c r="KA1249" s="13"/>
      <c r="KB1249" s="12"/>
      <c r="KN1249" s="12"/>
      <c r="KQ1249" s="12"/>
      <c r="LQ1249" s="13"/>
      <c r="LR1249" s="12"/>
      <c r="LT1249" s="13"/>
      <c r="MA1249" s="12"/>
      <c r="MI1249" s="13"/>
      <c r="NB1249" s="12"/>
      <c r="OH1249" s="13"/>
      <c r="OZ1249" s="13"/>
      <c r="RO1249" s="12"/>
      <c r="RR1249" s="12"/>
      <c r="SR1249" s="13"/>
      <c r="SU1249" s="13"/>
      <c r="SY1249" s="12"/>
      <c r="TG1249" s="13"/>
    </row>
    <row r="1250" spans="26:527" ht="10.75" customHeight="1">
      <c r="Z1250" s="12"/>
      <c r="AA1250" s="12"/>
      <c r="AK1250" s="13"/>
      <c r="AL1250" s="12"/>
      <c r="AO1250" s="12"/>
      <c r="BG1250" s="338"/>
      <c r="BH1250" s="338"/>
      <c r="BI1250" s="338"/>
      <c r="BJ1250" s="338"/>
      <c r="BK1250" s="338"/>
      <c r="BL1250" s="338"/>
      <c r="BM1250" s="338"/>
      <c r="BN1250" s="338"/>
      <c r="CC1250" s="12"/>
      <c r="EH1250" s="13"/>
      <c r="EK1250" s="13"/>
      <c r="GJ1250" s="12"/>
      <c r="GS1250" s="12"/>
      <c r="HJ1250" s="13"/>
      <c r="HK1250" s="12"/>
      <c r="JF1250" s="13"/>
      <c r="JS1250" s="12"/>
      <c r="KA1250" s="13"/>
      <c r="KB1250" s="12"/>
      <c r="KN1250" s="12"/>
      <c r="KQ1250" s="12"/>
      <c r="LQ1250" s="13"/>
      <c r="LR1250" s="12"/>
      <c r="LT1250" s="13"/>
      <c r="MA1250" s="12"/>
      <c r="MI1250" s="13"/>
      <c r="NB1250" s="12"/>
      <c r="OH1250" s="13"/>
      <c r="OZ1250" s="13"/>
      <c r="RO1250" s="12"/>
      <c r="RR1250" s="12"/>
      <c r="SR1250" s="13"/>
      <c r="SU1250" s="13"/>
      <c r="SY1250" s="12"/>
      <c r="TG1250" s="13"/>
    </row>
    <row r="1251" spans="26:527" ht="10.75" customHeight="1">
      <c r="Z1251" s="12"/>
      <c r="AA1251" s="14"/>
      <c r="AB1251" s="15"/>
      <c r="AC1251" s="15"/>
      <c r="AD1251" s="15"/>
      <c r="AE1251" s="15"/>
      <c r="AF1251" s="15"/>
      <c r="AG1251" s="15"/>
      <c r="AH1251" s="15"/>
      <c r="AI1251" s="15"/>
      <c r="AJ1251" s="15"/>
      <c r="AK1251" s="16"/>
      <c r="AL1251" s="12"/>
      <c r="AO1251" s="12"/>
      <c r="CC1251" s="12"/>
      <c r="EH1251" s="13"/>
      <c r="EK1251" s="13"/>
      <c r="GJ1251" s="12"/>
      <c r="GS1251" s="12"/>
      <c r="HJ1251" s="13"/>
      <c r="HK1251" s="12"/>
      <c r="JF1251" s="13"/>
      <c r="JS1251" s="12"/>
      <c r="KA1251" s="13"/>
      <c r="KB1251" s="12"/>
      <c r="KN1251" s="12"/>
      <c r="KQ1251" s="12"/>
      <c r="LQ1251" s="13"/>
      <c r="LR1251" s="12"/>
      <c r="LT1251" s="13"/>
      <c r="MA1251" s="12"/>
      <c r="MI1251" s="13"/>
      <c r="NB1251" s="12"/>
      <c r="OH1251" s="13"/>
      <c r="OZ1251" s="13"/>
      <c r="RO1251" s="12"/>
      <c r="RR1251" s="12"/>
      <c r="SR1251" s="13"/>
      <c r="SU1251" s="13"/>
      <c r="SY1251" s="12"/>
      <c r="TG1251" s="13"/>
    </row>
    <row r="1252" spans="26:527" ht="10.75" customHeight="1">
      <c r="Z1252" s="12"/>
      <c r="AA1252" s="12"/>
      <c r="AK1252" s="13"/>
      <c r="AL1252" s="12"/>
      <c r="AO1252" s="12"/>
      <c r="CC1252" s="12"/>
      <c r="EH1252" s="13"/>
      <c r="EK1252" s="13"/>
      <c r="GJ1252" s="12"/>
      <c r="GS1252" s="12"/>
      <c r="HJ1252" s="13"/>
      <c r="HK1252" s="12"/>
      <c r="JF1252" s="13"/>
      <c r="JS1252" s="12"/>
      <c r="KA1252" s="13"/>
      <c r="KB1252" s="12"/>
      <c r="KN1252" s="12"/>
      <c r="KQ1252" s="12"/>
      <c r="LQ1252" s="13"/>
      <c r="LR1252" s="12"/>
      <c r="LT1252" s="13"/>
      <c r="MA1252" s="12"/>
      <c r="MI1252" s="13"/>
      <c r="NB1252" s="12"/>
      <c r="OH1252" s="13"/>
      <c r="OZ1252" s="13"/>
      <c r="RO1252" s="12"/>
      <c r="RR1252" s="12"/>
      <c r="SR1252" s="13"/>
      <c r="SU1252" s="13"/>
      <c r="SY1252" s="12"/>
      <c r="TG1252" s="13"/>
    </row>
    <row r="1253" spans="26:527" ht="10.75" customHeight="1">
      <c r="Z1253" s="12"/>
      <c r="AA1253" s="12"/>
      <c r="AK1253" s="13"/>
      <c r="AL1253" s="12"/>
      <c r="AO1253" s="12"/>
      <c r="AW1253" s="15"/>
      <c r="AX1253" s="15"/>
      <c r="AY1253" s="15"/>
      <c r="AZ1253" s="15"/>
      <c r="BA1253" s="15"/>
      <c r="BB1253" s="15"/>
      <c r="BC1253" s="15"/>
      <c r="BD1253" s="15"/>
      <c r="BE1253" s="15"/>
      <c r="BF1253" s="15"/>
      <c r="BG1253" s="15"/>
      <c r="BH1253" s="15"/>
      <c r="BI1253" s="15"/>
      <c r="BJ1253" s="15"/>
      <c r="BK1253" s="15"/>
      <c r="BL1253" s="15"/>
      <c r="BM1253" s="15"/>
      <c r="BN1253" s="15"/>
      <c r="BO1253" s="15"/>
      <c r="BP1253" s="15"/>
      <c r="BQ1253" s="15"/>
      <c r="BR1253" s="15"/>
      <c r="BS1253" s="15"/>
      <c r="BT1253" s="15"/>
      <c r="BU1253" s="15"/>
      <c r="BV1253" s="15"/>
      <c r="BW1253" s="15"/>
      <c r="BX1253" s="15"/>
      <c r="BY1253" s="15"/>
      <c r="BZ1253" s="15"/>
      <c r="CA1253" s="15"/>
      <c r="CB1253" s="15"/>
      <c r="CC1253" s="12"/>
      <c r="EH1253" s="13"/>
      <c r="EK1253" s="13"/>
      <c r="GJ1253" s="12"/>
      <c r="GS1253" s="12"/>
      <c r="HJ1253" s="13"/>
      <c r="HK1253" s="12"/>
      <c r="JF1253" s="13"/>
      <c r="JS1253" s="12"/>
      <c r="KA1253" s="13"/>
      <c r="KB1253" s="12"/>
      <c r="KN1253" s="12"/>
      <c r="KQ1253" s="12"/>
      <c r="LQ1253" s="13"/>
      <c r="LR1253" s="12"/>
      <c r="LT1253" s="13"/>
      <c r="MA1253" s="12"/>
      <c r="MI1253" s="13"/>
      <c r="NB1253" s="12"/>
      <c r="OH1253" s="13"/>
      <c r="OI1253" s="339"/>
      <c r="OJ1253" s="340"/>
      <c r="OK1253" s="340"/>
      <c r="OL1253" s="340"/>
      <c r="OM1253" s="340"/>
      <c r="ON1253" s="340"/>
      <c r="OO1253" s="340"/>
      <c r="OP1253" s="340"/>
      <c r="OQ1253" s="340"/>
      <c r="OR1253" s="340"/>
      <c r="OS1253" s="340"/>
      <c r="OT1253" s="340"/>
      <c r="OU1253" s="341"/>
      <c r="RO1253" s="12"/>
      <c r="RR1253" s="12"/>
      <c r="SR1253" s="13"/>
      <c r="SU1253" s="13"/>
      <c r="SY1253" s="12"/>
      <c r="TG1253" s="13"/>
    </row>
    <row r="1254" spans="26:527" ht="10.75" customHeight="1">
      <c r="Z1254" s="12"/>
      <c r="AA1254" s="12"/>
      <c r="AK1254" s="13"/>
      <c r="AL1254" s="12"/>
      <c r="AO1254" s="12"/>
      <c r="AW1254" s="12"/>
      <c r="EH1254" s="13"/>
      <c r="EK1254" s="13"/>
      <c r="GJ1254" s="12"/>
      <c r="GS1254" s="12"/>
      <c r="HJ1254" s="13"/>
      <c r="HK1254" s="12"/>
      <c r="JF1254" s="13"/>
      <c r="JS1254" s="12"/>
      <c r="KA1254" s="13"/>
      <c r="KB1254" s="12"/>
      <c r="KN1254" s="12"/>
      <c r="KQ1254" s="12"/>
      <c r="LQ1254" s="13"/>
      <c r="LR1254" s="12"/>
      <c r="LT1254" s="13"/>
      <c r="MA1254" s="12"/>
      <c r="MI1254" s="13"/>
      <c r="NB1254" s="12"/>
      <c r="NJ1254" s="13"/>
      <c r="OI1254" s="10"/>
      <c r="OJ1254" s="10"/>
      <c r="OK1254" s="10"/>
      <c r="OL1254" s="10"/>
      <c r="OM1254" s="10"/>
      <c r="ON1254" s="10"/>
      <c r="OO1254" s="10"/>
      <c r="OP1254" s="10"/>
      <c r="OQ1254" s="10"/>
      <c r="OR1254" s="10"/>
      <c r="OS1254" s="10"/>
      <c r="OT1254" s="11"/>
      <c r="RO1254" s="12"/>
      <c r="RR1254" s="12"/>
      <c r="SR1254" s="13"/>
      <c r="SU1254" s="13"/>
      <c r="SY1254" s="12"/>
      <c r="TG1254" s="13"/>
    </row>
    <row r="1255" spans="26:527" ht="10.75" customHeight="1">
      <c r="Z1255" s="12"/>
      <c r="AA1255" s="12"/>
      <c r="AK1255" s="13"/>
      <c r="AL1255" s="12"/>
      <c r="AO1255" s="12"/>
      <c r="AW1255" s="12"/>
      <c r="EH1255" s="13"/>
      <c r="EK1255" s="13"/>
      <c r="GJ1255" s="12"/>
      <c r="GS1255" s="12"/>
      <c r="HJ1255" s="13"/>
      <c r="HK1255" s="12"/>
      <c r="JF1255" s="13"/>
      <c r="JS1255" s="12"/>
      <c r="KA1255" s="13"/>
      <c r="KB1255" s="12"/>
      <c r="KN1255" s="12"/>
      <c r="KQ1255" s="12"/>
      <c r="LQ1255" s="13"/>
      <c r="LR1255" s="12"/>
      <c r="LT1255" s="13"/>
      <c r="MA1255" s="12"/>
      <c r="MI1255" s="13"/>
      <c r="NB1255" s="12"/>
      <c r="NJ1255" s="13"/>
      <c r="OT1255" s="13"/>
      <c r="RO1255" s="12"/>
      <c r="RR1255" s="12"/>
      <c r="SR1255" s="13"/>
      <c r="SU1255" s="13"/>
      <c r="SY1255" s="12"/>
      <c r="TG1255" s="13"/>
    </row>
    <row r="1256" spans="26:527" ht="10.75" customHeight="1">
      <c r="Z1256" s="12"/>
      <c r="AA1256" s="9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1"/>
      <c r="AL1256" s="12"/>
      <c r="AO1256" s="240"/>
      <c r="AW1256" s="12"/>
      <c r="EH1256" s="13"/>
      <c r="EK1256" s="13"/>
      <c r="GJ1256" s="12"/>
      <c r="GS1256" s="12"/>
      <c r="HJ1256" s="13"/>
      <c r="HK1256" s="12"/>
      <c r="JF1256" s="13"/>
      <c r="JS1256" s="12"/>
      <c r="KA1256" s="13"/>
      <c r="KB1256" s="12"/>
      <c r="KN1256" s="12"/>
      <c r="KQ1256" s="12"/>
      <c r="LQ1256" s="13"/>
      <c r="LR1256" s="12"/>
      <c r="LT1256" s="13"/>
      <c r="MA1256" s="12"/>
      <c r="MI1256" s="13"/>
      <c r="NB1256" s="12"/>
      <c r="NJ1256" s="13"/>
      <c r="OT1256" s="13"/>
      <c r="RO1256" s="12"/>
      <c r="RR1256" s="12"/>
      <c r="SR1256" s="13"/>
      <c r="SU1256" s="13"/>
      <c r="SY1256" s="12"/>
      <c r="TG1256" s="13"/>
    </row>
    <row r="1257" spans="26:527" ht="10.75" customHeight="1">
      <c r="Z1257" s="12"/>
      <c r="AA1257" s="12"/>
      <c r="AK1257" s="13"/>
      <c r="AL1257" s="12"/>
      <c r="AO1257" s="240"/>
      <c r="AW1257" s="12"/>
      <c r="EH1257" s="13"/>
      <c r="EK1257" s="13"/>
      <c r="GJ1257" s="12"/>
      <c r="GS1257" s="12"/>
      <c r="HJ1257" s="13"/>
      <c r="HK1257" s="12"/>
      <c r="JF1257" s="13"/>
      <c r="JS1257" s="12"/>
      <c r="KA1257" s="13"/>
      <c r="KB1257" s="12"/>
      <c r="KN1257" s="12"/>
      <c r="KQ1257" s="12"/>
      <c r="LQ1257" s="13"/>
      <c r="LR1257" s="12"/>
      <c r="LT1257" s="13"/>
      <c r="MA1257" s="12"/>
      <c r="MI1257" s="13"/>
      <c r="NB1257" s="12"/>
      <c r="NJ1257" s="13"/>
      <c r="OT1257" s="13"/>
      <c r="RO1257" s="12"/>
      <c r="RR1257" s="12"/>
      <c r="SR1257" s="13"/>
      <c r="SU1257" s="13"/>
      <c r="SY1257" s="12"/>
      <c r="TG1257" s="13"/>
    </row>
    <row r="1258" spans="26:527" ht="10.75" customHeight="1">
      <c r="Z1258" s="12"/>
      <c r="AA1258" s="12"/>
      <c r="AK1258" s="13"/>
      <c r="AL1258" s="12"/>
      <c r="AO1258" s="240"/>
      <c r="AW1258" s="12"/>
      <c r="EH1258" s="13"/>
      <c r="EK1258" s="13"/>
      <c r="GJ1258" s="12"/>
      <c r="GS1258" s="12"/>
      <c r="HJ1258" s="13"/>
      <c r="HK1258" s="12"/>
      <c r="JF1258" s="13"/>
      <c r="JS1258" s="12"/>
      <c r="KA1258" s="13"/>
      <c r="KB1258" s="12"/>
      <c r="KN1258" s="12"/>
      <c r="KQ1258" s="12"/>
      <c r="LQ1258" s="13"/>
      <c r="LR1258" s="12"/>
      <c r="LT1258" s="13"/>
      <c r="MA1258" s="12"/>
      <c r="MI1258" s="13"/>
      <c r="NB1258" s="12"/>
      <c r="NJ1258" s="13"/>
      <c r="OT1258" s="13"/>
      <c r="RO1258" s="12"/>
      <c r="RR1258" s="12"/>
      <c r="SR1258" s="13"/>
      <c r="SU1258" s="13"/>
      <c r="SY1258" s="12"/>
      <c r="TG1258" s="13"/>
    </row>
    <row r="1259" spans="26:527" ht="10.75" customHeight="1">
      <c r="Z1259" s="12"/>
      <c r="AA1259" s="14"/>
      <c r="AB1259" s="15"/>
      <c r="AC1259" s="15"/>
      <c r="AD1259" s="15"/>
      <c r="AE1259" s="15"/>
      <c r="AF1259" s="15"/>
      <c r="AG1259" s="15"/>
      <c r="AH1259" s="15"/>
      <c r="AI1259" s="15"/>
      <c r="AJ1259" s="15"/>
      <c r="AK1259" s="16"/>
      <c r="AL1259" s="12"/>
      <c r="AO1259" s="240"/>
      <c r="AW1259" s="12"/>
      <c r="EH1259" s="13"/>
      <c r="EK1259" s="13"/>
      <c r="GJ1259" s="12"/>
      <c r="GS1259" s="12"/>
      <c r="HJ1259" s="13"/>
      <c r="HK1259" s="12"/>
      <c r="JF1259" s="13"/>
      <c r="JS1259" s="12"/>
      <c r="KA1259" s="13"/>
      <c r="KB1259" s="12"/>
      <c r="KN1259" s="12"/>
      <c r="KQ1259" s="12"/>
      <c r="LQ1259" s="13"/>
      <c r="LR1259" s="12"/>
      <c r="LT1259" s="13"/>
      <c r="MA1259" s="12"/>
      <c r="MI1259" s="13"/>
      <c r="NB1259" s="12"/>
      <c r="NJ1259" s="13"/>
      <c r="OT1259" s="13"/>
      <c r="RO1259" s="12"/>
      <c r="RR1259" s="12"/>
      <c r="SR1259" s="13"/>
      <c r="SU1259" s="13"/>
      <c r="SY1259" s="12"/>
      <c r="TG1259" s="13"/>
    </row>
    <row r="1260" spans="26:527" ht="10.75" customHeight="1">
      <c r="Z1260" s="12"/>
      <c r="AA1260" s="12"/>
      <c r="AK1260" s="13"/>
      <c r="AL1260" s="12"/>
      <c r="AO1260" s="240"/>
      <c r="AW1260" s="12"/>
      <c r="EH1260" s="13"/>
      <c r="EK1260" s="13"/>
      <c r="GJ1260" s="12"/>
      <c r="GS1260" s="12"/>
      <c r="HJ1260" s="13"/>
      <c r="HK1260" s="12"/>
      <c r="JF1260" s="13"/>
      <c r="JS1260" s="12"/>
      <c r="KA1260" s="13"/>
      <c r="KB1260" s="12"/>
      <c r="KN1260" s="12"/>
      <c r="KQ1260" s="12"/>
      <c r="LQ1260" s="13"/>
      <c r="LR1260" s="12"/>
      <c r="LT1260" s="13"/>
      <c r="MA1260" s="12"/>
      <c r="MI1260" s="13"/>
      <c r="NB1260" s="12"/>
      <c r="NJ1260" s="13"/>
      <c r="OT1260" s="13"/>
      <c r="OU1260" s="339"/>
      <c r="OV1260" s="340"/>
      <c r="OW1260" s="340"/>
      <c r="OX1260" s="340"/>
      <c r="OY1260" s="340"/>
      <c r="OZ1260" s="340"/>
      <c r="PA1260" s="340"/>
      <c r="PB1260" s="340"/>
      <c r="PC1260" s="340"/>
      <c r="PD1260" s="340"/>
      <c r="PE1260" s="340"/>
      <c r="PF1260" s="340"/>
      <c r="PG1260" s="341"/>
      <c r="RO1260" s="12"/>
      <c r="RR1260" s="12"/>
      <c r="SR1260" s="13"/>
      <c r="SU1260" s="13"/>
      <c r="SY1260" s="12"/>
      <c r="TG1260" s="13"/>
    </row>
    <row r="1261" spans="26:527" ht="10.75" customHeight="1">
      <c r="Z1261" s="12"/>
      <c r="AA1261" s="12"/>
      <c r="AK1261" s="13"/>
      <c r="AL1261" s="12"/>
      <c r="AO1261" s="12"/>
      <c r="AW1261" s="12"/>
      <c r="EH1261" s="13"/>
      <c r="EK1261" s="13"/>
      <c r="GJ1261" s="12"/>
      <c r="GS1261" s="12"/>
      <c r="HJ1261" s="13"/>
      <c r="HK1261" s="12"/>
      <c r="JF1261" s="13"/>
      <c r="JS1261" s="12"/>
      <c r="KA1261" s="13"/>
      <c r="KB1261" s="12"/>
      <c r="KN1261" s="12"/>
      <c r="KQ1261" s="12"/>
      <c r="LQ1261" s="13"/>
      <c r="LR1261" s="12"/>
      <c r="LT1261" s="13"/>
      <c r="MA1261" s="12"/>
      <c r="MI1261" s="13"/>
      <c r="MV1261" s="9"/>
      <c r="MW1261" s="10"/>
      <c r="MX1261" s="10"/>
      <c r="MY1261" s="10"/>
      <c r="MZ1261" s="10"/>
      <c r="NA1261" s="10"/>
      <c r="NB1261" s="12"/>
      <c r="NJ1261" s="13"/>
      <c r="OU1261" s="10"/>
      <c r="OV1261" s="10"/>
      <c r="OW1261" s="10"/>
      <c r="OX1261" s="10"/>
      <c r="OY1261" s="10"/>
      <c r="OZ1261" s="10"/>
      <c r="PA1261" s="10"/>
      <c r="PB1261" s="10"/>
      <c r="PC1261" s="10"/>
      <c r="PD1261" s="10"/>
      <c r="PE1261" s="10"/>
      <c r="PF1261" s="11"/>
      <c r="RO1261" s="12"/>
      <c r="RR1261" s="12"/>
      <c r="SR1261" s="13"/>
      <c r="SU1261" s="13"/>
      <c r="SY1261" s="12"/>
      <c r="TG1261" s="13"/>
    </row>
    <row r="1262" spans="26:527" ht="10.75" customHeight="1">
      <c r="Z1262" s="12"/>
      <c r="AA1262" s="12"/>
      <c r="AK1262" s="13"/>
      <c r="AL1262" s="12"/>
      <c r="AO1262" s="12"/>
      <c r="AW1262" s="12"/>
      <c r="EH1262" s="13"/>
      <c r="EK1262" s="13"/>
      <c r="GJ1262" s="12"/>
      <c r="GS1262" s="12"/>
      <c r="HJ1262" s="13"/>
      <c r="HK1262" s="12"/>
      <c r="JF1262" s="13"/>
      <c r="JS1262" s="12"/>
      <c r="KA1262" s="13"/>
      <c r="KB1262" s="12"/>
      <c r="KN1262" s="12"/>
      <c r="KQ1262" s="12"/>
      <c r="LQ1262" s="13"/>
      <c r="LR1262" s="12"/>
      <c r="LT1262" s="13"/>
      <c r="MA1262" s="12"/>
      <c r="MI1262" s="13"/>
      <c r="MV1262" s="12"/>
      <c r="NB1262" s="12"/>
      <c r="NJ1262" s="13"/>
      <c r="PF1262" s="13"/>
      <c r="RO1262" s="12"/>
      <c r="RR1262" s="12"/>
      <c r="SR1262" s="13"/>
      <c r="SU1262" s="13"/>
      <c r="SY1262" s="12"/>
      <c r="TG1262" s="13"/>
    </row>
    <row r="1263" spans="26:527" ht="10.75" customHeight="1">
      <c r="Z1263" s="12"/>
      <c r="AA1263" s="12"/>
      <c r="AK1263" s="13"/>
      <c r="AL1263" s="12"/>
      <c r="AO1263" s="12"/>
      <c r="AW1263" s="12"/>
      <c r="EH1263" s="13"/>
      <c r="EK1263" s="13"/>
      <c r="GJ1263" s="12"/>
      <c r="GS1263" s="12"/>
      <c r="HJ1263" s="13"/>
      <c r="HK1263" s="12"/>
      <c r="JF1263" s="13"/>
      <c r="JS1263" s="12"/>
      <c r="KA1263" s="13"/>
      <c r="KB1263" s="12"/>
      <c r="KD1263" s="9"/>
      <c r="KE1263" s="11"/>
      <c r="KN1263" s="12"/>
      <c r="KQ1263" s="12"/>
      <c r="LQ1263" s="13"/>
      <c r="LR1263" s="12"/>
      <c r="LT1263" s="13"/>
      <c r="MA1263" s="12"/>
      <c r="MI1263" s="13"/>
      <c r="MU1263" s="17"/>
      <c r="MV1263" s="12"/>
      <c r="NB1263" s="12"/>
      <c r="NJ1263" s="13"/>
      <c r="PF1263" s="13"/>
      <c r="RO1263" s="12"/>
      <c r="RR1263" s="12"/>
      <c r="SR1263" s="13"/>
      <c r="SU1263" s="13"/>
      <c r="SY1263" s="12"/>
      <c r="TG1263" s="13"/>
    </row>
    <row r="1264" spans="26:527" ht="10.75" customHeight="1">
      <c r="Z1264" s="12"/>
      <c r="AA1264" s="9"/>
      <c r="AB1264" s="10"/>
      <c r="AC1264" s="10"/>
      <c r="AD1264" s="10"/>
      <c r="AE1264" s="10"/>
      <c r="AF1264" s="10"/>
      <c r="AG1264" s="10"/>
      <c r="AH1264" s="10"/>
      <c r="AI1264" s="10"/>
      <c r="AJ1264" s="10"/>
      <c r="AK1264" s="11"/>
      <c r="AL1264" s="12"/>
      <c r="AO1264" s="12"/>
      <c r="AW1264" s="12"/>
      <c r="EH1264" s="13"/>
      <c r="EK1264" s="13"/>
      <c r="GJ1264" s="12"/>
      <c r="GS1264" s="12"/>
      <c r="HJ1264" s="13"/>
      <c r="HK1264" s="12"/>
      <c r="JF1264" s="13"/>
      <c r="JS1264" s="12"/>
      <c r="KA1264" s="13"/>
      <c r="KB1264" s="12"/>
      <c r="KD1264" s="14"/>
      <c r="KE1264" s="16"/>
      <c r="KF1264" s="9"/>
      <c r="KG1264" s="10"/>
      <c r="KH1264" s="10"/>
      <c r="KI1264" s="10"/>
      <c r="KJ1264" s="10"/>
      <c r="KK1264" s="11"/>
      <c r="KN1264" s="12"/>
      <c r="KQ1264" s="12"/>
      <c r="LQ1264" s="13"/>
      <c r="LR1264" s="12"/>
      <c r="LT1264" s="13"/>
      <c r="MA1264" s="12"/>
      <c r="MI1264" s="13"/>
      <c r="MU1264" s="18"/>
      <c r="MV1264" s="12"/>
      <c r="NA1264" s="13"/>
      <c r="NB1264" s="12"/>
      <c r="NJ1264" s="13"/>
      <c r="PF1264" s="13"/>
      <c r="RO1264" s="12"/>
      <c r="RR1264" s="12"/>
      <c r="SR1264" s="13"/>
      <c r="SU1264" s="13"/>
      <c r="SY1264" s="12"/>
      <c r="TG1264" s="13"/>
    </row>
    <row r="1265" spans="26:527" ht="10.75" customHeight="1">
      <c r="Z1265" s="12"/>
      <c r="AA1265" s="12"/>
      <c r="AK1265" s="13"/>
      <c r="AL1265" s="12"/>
      <c r="AO1265" s="12"/>
      <c r="AW1265" s="12"/>
      <c r="EH1265" s="13"/>
      <c r="EK1265" s="13"/>
      <c r="GJ1265" s="12"/>
      <c r="GS1265" s="12"/>
      <c r="HJ1265" s="13"/>
      <c r="HK1265" s="12"/>
      <c r="JF1265" s="13"/>
      <c r="JS1265" s="12"/>
      <c r="KA1265" s="13"/>
      <c r="KB1265" s="12"/>
      <c r="KD1265" s="12"/>
      <c r="KE1265" s="13"/>
      <c r="KF1265" s="14"/>
      <c r="KG1265" s="15"/>
      <c r="KH1265" s="15"/>
      <c r="KI1265" s="15"/>
      <c r="KJ1265" s="15"/>
      <c r="KK1265" s="16"/>
      <c r="KN1265" s="12"/>
      <c r="KQ1265" s="12"/>
      <c r="LQ1265" s="13"/>
      <c r="LR1265" s="12"/>
      <c r="LT1265" s="13"/>
      <c r="MA1265" s="12"/>
      <c r="MI1265" s="13"/>
      <c r="MU1265" s="19"/>
      <c r="MV1265" s="12"/>
      <c r="NA1265" s="13"/>
      <c r="NB1265" s="12"/>
      <c r="NJ1265" s="13"/>
      <c r="PF1265" s="13"/>
      <c r="RO1265" s="12"/>
      <c r="RR1265" s="12"/>
      <c r="SR1265" s="13"/>
      <c r="SU1265" s="13"/>
      <c r="SY1265" s="12"/>
      <c r="TG1265" s="13"/>
    </row>
    <row r="1266" spans="26:527" ht="10.75" customHeight="1">
      <c r="Z1266" s="12"/>
      <c r="AA1266" s="12"/>
      <c r="AK1266" s="13"/>
      <c r="AL1266" s="12"/>
      <c r="AO1266" s="12"/>
      <c r="AW1266" s="12"/>
      <c r="EH1266" s="13"/>
      <c r="EK1266" s="13"/>
      <c r="GJ1266" s="12"/>
      <c r="GS1266" s="12"/>
      <c r="HJ1266" s="13"/>
      <c r="HK1266" s="12"/>
      <c r="JF1266" s="13"/>
      <c r="JS1266" s="12"/>
      <c r="KA1266" s="13"/>
      <c r="KB1266" s="12"/>
      <c r="KD1266" s="12"/>
      <c r="KE1266" s="13"/>
      <c r="KN1266" s="12"/>
      <c r="KQ1266" s="12"/>
      <c r="LQ1266" s="13"/>
      <c r="LR1266" s="12"/>
      <c r="LT1266" s="13"/>
      <c r="MS1266" s="17"/>
      <c r="MV1266" s="12"/>
      <c r="NA1266" s="13"/>
      <c r="NB1266" s="12"/>
      <c r="NJ1266" s="13"/>
      <c r="PF1266" s="13"/>
      <c r="RO1266" s="12"/>
      <c r="RR1266" s="12"/>
      <c r="SR1266" s="13"/>
      <c r="SU1266" s="13"/>
      <c r="SY1266" s="12"/>
      <c r="TG1266" s="13"/>
    </row>
    <row r="1267" spans="26:527" ht="10.75" customHeight="1">
      <c r="Z1267" s="12"/>
      <c r="AA1267" s="14"/>
      <c r="AB1267" s="15"/>
      <c r="AC1267" s="15"/>
      <c r="AD1267" s="15"/>
      <c r="AE1267" s="15"/>
      <c r="AF1267" s="15"/>
      <c r="AG1267" s="15"/>
      <c r="AH1267" s="15"/>
      <c r="AI1267" s="15"/>
      <c r="AJ1267" s="15"/>
      <c r="AK1267" s="16"/>
      <c r="AL1267" s="12"/>
      <c r="AO1267" s="14"/>
      <c r="AP1267" s="15"/>
      <c r="AQ1267" s="15"/>
      <c r="AR1267" s="15"/>
      <c r="AS1267" s="15"/>
      <c r="AT1267" s="15"/>
      <c r="AU1267" s="15"/>
      <c r="AV1267" s="15"/>
      <c r="AW1267" s="12"/>
      <c r="EH1267" s="13"/>
      <c r="EK1267" s="13"/>
      <c r="GJ1267" s="12"/>
      <c r="GS1267" s="12"/>
      <c r="GY1267" s="10"/>
      <c r="GZ1267" s="10"/>
      <c r="HA1267" s="10"/>
      <c r="HB1267" s="10"/>
      <c r="HC1267" s="10"/>
      <c r="HD1267" s="10"/>
      <c r="HE1267" s="10"/>
      <c r="HF1267" s="10"/>
      <c r="HG1267" s="10"/>
      <c r="HH1267" s="10"/>
      <c r="HI1267" s="10"/>
      <c r="HJ1267" s="11"/>
      <c r="HK1267" s="9"/>
      <c r="HL1267" s="10"/>
      <c r="HM1267" s="10"/>
      <c r="HN1267" s="10"/>
      <c r="HO1267" s="10"/>
      <c r="HP1267" s="10"/>
      <c r="HQ1267" s="10"/>
      <c r="HR1267" s="10"/>
      <c r="HS1267" s="10"/>
      <c r="HT1267" s="10"/>
      <c r="HU1267" s="10"/>
      <c r="HV1267" s="10"/>
      <c r="HW1267" s="10"/>
      <c r="HX1267" s="10"/>
      <c r="HY1267" s="10"/>
      <c r="HZ1267" s="10"/>
      <c r="IA1267" s="10"/>
      <c r="IB1267" s="10"/>
      <c r="IC1267" s="10"/>
      <c r="ID1267" s="10"/>
      <c r="IE1267" s="10"/>
      <c r="IF1267" s="10"/>
      <c r="IG1267" s="10"/>
      <c r="IH1267" s="10"/>
      <c r="II1267" s="10"/>
      <c r="IJ1267" s="10"/>
      <c r="IK1267" s="10"/>
      <c r="IL1267" s="10"/>
      <c r="IM1267" s="10"/>
      <c r="IN1267" s="10"/>
      <c r="IO1267" s="10"/>
      <c r="IP1267" s="10"/>
      <c r="IQ1267" s="10"/>
      <c r="IR1267" s="10"/>
      <c r="IS1267" s="10"/>
      <c r="IT1267" s="10"/>
      <c r="IU1267" s="10"/>
      <c r="IV1267" s="10"/>
      <c r="IW1267" s="10"/>
      <c r="IX1267" s="10"/>
      <c r="IY1267" s="10"/>
      <c r="IZ1267" s="10"/>
      <c r="JA1267" s="10"/>
      <c r="JB1267" s="10"/>
      <c r="JC1267" s="10"/>
      <c r="JD1267" s="10"/>
      <c r="JE1267" s="10"/>
      <c r="JF1267" s="11"/>
      <c r="JG1267" s="10"/>
      <c r="JH1267" s="10"/>
      <c r="JI1267" s="10"/>
      <c r="JJ1267" s="10"/>
      <c r="JK1267" s="10"/>
      <c r="JL1267" s="10"/>
      <c r="JM1267" s="10"/>
      <c r="JN1267" s="10"/>
      <c r="JS1267" s="12"/>
      <c r="KA1267" s="13"/>
      <c r="KB1267" s="12"/>
      <c r="KD1267" s="12"/>
      <c r="KE1267" s="13"/>
      <c r="KN1267" s="12"/>
      <c r="KQ1267" s="12"/>
      <c r="LQ1267" s="13"/>
      <c r="LR1267" s="12"/>
      <c r="LT1267" s="13"/>
      <c r="MS1267" s="18"/>
      <c r="MV1267" s="12"/>
      <c r="NA1267" s="13"/>
      <c r="NB1267" s="12"/>
      <c r="NJ1267" s="13"/>
      <c r="PF1267" s="13"/>
      <c r="PG1267" s="339"/>
      <c r="PH1267" s="340"/>
      <c r="PI1267" s="340"/>
      <c r="PJ1267" s="340"/>
      <c r="PK1267" s="340"/>
      <c r="PL1267" s="340"/>
      <c r="PM1267" s="340"/>
      <c r="PN1267" s="340"/>
      <c r="PO1267" s="340"/>
      <c r="PP1267" s="340"/>
      <c r="PQ1267" s="340"/>
      <c r="PR1267" s="340"/>
      <c r="PS1267" s="341"/>
      <c r="RO1267" s="12"/>
      <c r="RR1267" s="12"/>
      <c r="SR1267" s="13"/>
      <c r="SU1267" s="13"/>
      <c r="SY1267" s="12"/>
      <c r="TG1267" s="13"/>
    </row>
    <row r="1268" spans="26:527" ht="10.75" customHeight="1">
      <c r="Z1268" s="12"/>
      <c r="AA1268" s="9"/>
      <c r="AB1268" s="10"/>
      <c r="AC1268" s="10"/>
      <c r="AD1268" s="10"/>
      <c r="AE1268" s="10"/>
      <c r="AF1268" s="10"/>
      <c r="AG1268" s="10"/>
      <c r="AH1268" s="10"/>
      <c r="AI1268" s="10"/>
      <c r="AJ1268" s="10"/>
      <c r="AK1268" s="11"/>
      <c r="AL1268" s="12"/>
      <c r="AO1268" s="9"/>
      <c r="AP1268" s="10"/>
      <c r="AQ1268" s="10"/>
      <c r="AR1268" s="10"/>
      <c r="AS1268" s="10"/>
      <c r="AT1268" s="10"/>
      <c r="AU1268" s="10"/>
      <c r="AV1268" s="10"/>
      <c r="EH1268" s="13"/>
      <c r="EK1268" s="13"/>
      <c r="GJ1268" s="12"/>
      <c r="GS1268" s="12"/>
      <c r="HJ1268" s="13"/>
      <c r="HK1268" s="12"/>
      <c r="JF1268" s="13"/>
      <c r="JS1268" s="12"/>
      <c r="KA1268" s="13"/>
      <c r="KB1268" s="12"/>
      <c r="KD1268" s="12"/>
      <c r="KE1268" s="13"/>
      <c r="KN1268" s="12"/>
      <c r="KQ1268" s="12"/>
      <c r="LQ1268" s="13"/>
      <c r="LR1268" s="12"/>
      <c r="LT1268" s="13"/>
      <c r="MS1268" s="18"/>
      <c r="MV1268" s="12"/>
      <c r="NA1268" s="13"/>
      <c r="NB1268" s="12"/>
      <c r="NJ1268" s="13"/>
      <c r="PG1268" s="10"/>
      <c r="PH1268" s="10"/>
      <c r="PI1268" s="10"/>
      <c r="PJ1268" s="10"/>
      <c r="PK1268" s="10"/>
      <c r="PL1268" s="10"/>
      <c r="PM1268" s="10"/>
      <c r="PN1268" s="10"/>
      <c r="PO1268" s="10"/>
      <c r="PP1268" s="10"/>
      <c r="PQ1268" s="10"/>
      <c r="PR1268" s="11"/>
      <c r="RO1268" s="12"/>
      <c r="RR1268" s="12"/>
      <c r="SR1268" s="13"/>
      <c r="SU1268" s="13"/>
      <c r="SY1268" s="12"/>
      <c r="TG1268" s="13"/>
    </row>
    <row r="1269" spans="26:527" ht="10.75" customHeight="1">
      <c r="Z1269" s="12"/>
      <c r="AA1269" s="12"/>
      <c r="AK1269" s="13"/>
      <c r="AL1269" s="12"/>
      <c r="AO1269" s="12"/>
      <c r="EH1269" s="13"/>
      <c r="EK1269" s="13"/>
      <c r="GJ1269" s="12"/>
      <c r="GS1269" s="12"/>
      <c r="HJ1269" s="13"/>
      <c r="HK1269" s="12"/>
      <c r="JF1269" s="13"/>
      <c r="JS1269" s="12"/>
      <c r="KA1269" s="13"/>
      <c r="KB1269" s="12"/>
      <c r="KD1269" s="14"/>
      <c r="KE1269" s="16"/>
      <c r="KN1269" s="12"/>
      <c r="KQ1269" s="12"/>
      <c r="LQ1269" s="13"/>
      <c r="LR1269" s="12"/>
      <c r="LT1269" s="13"/>
      <c r="MS1269" s="18"/>
      <c r="MV1269" s="12"/>
      <c r="NA1269" s="13"/>
      <c r="NB1269" s="12"/>
      <c r="NJ1269" s="13"/>
      <c r="PR1269" s="13"/>
      <c r="RO1269" s="12"/>
      <c r="RR1269" s="12"/>
      <c r="SR1269" s="13"/>
      <c r="SU1269" s="13"/>
      <c r="SY1269" s="12"/>
      <c r="TG1269" s="13"/>
    </row>
    <row r="1270" spans="26:527" ht="10.75" customHeight="1">
      <c r="Z1270" s="12"/>
      <c r="AA1270" s="12"/>
      <c r="AK1270" s="13"/>
      <c r="AL1270" s="12"/>
      <c r="AO1270" s="12"/>
      <c r="EH1270" s="13"/>
      <c r="EK1270" s="13"/>
      <c r="GJ1270" s="12"/>
      <c r="GS1270" s="12"/>
      <c r="HJ1270" s="13"/>
      <c r="HK1270" s="12"/>
      <c r="JF1270" s="13"/>
      <c r="JS1270" s="12"/>
      <c r="KA1270" s="13"/>
      <c r="KB1270" s="9"/>
      <c r="KC1270" s="10"/>
      <c r="KD1270" s="10"/>
      <c r="KE1270" s="10"/>
      <c r="KF1270" s="11"/>
      <c r="KG1270" s="9"/>
      <c r="KH1270" s="10"/>
      <c r="KI1270" s="10"/>
      <c r="KJ1270" s="10"/>
      <c r="KK1270" s="10"/>
      <c r="KL1270" s="10"/>
      <c r="KM1270" s="10"/>
      <c r="KN1270" s="10"/>
      <c r="KO1270" s="10"/>
      <c r="KP1270" s="10"/>
      <c r="KQ1270" s="10"/>
      <c r="KR1270" s="11"/>
      <c r="LQ1270" s="13"/>
      <c r="LR1270" s="12"/>
      <c r="LT1270" s="13"/>
      <c r="MS1270" s="18"/>
      <c r="MV1270" s="12"/>
      <c r="NA1270" s="13"/>
      <c r="NB1270" s="12"/>
      <c r="NJ1270" s="13"/>
      <c r="PR1270" s="13"/>
      <c r="RO1270" s="12"/>
      <c r="RR1270" s="12"/>
      <c r="SR1270" s="13"/>
      <c r="SU1270" s="13"/>
      <c r="SY1270" s="12"/>
      <c r="TG1270" s="13"/>
    </row>
    <row r="1271" spans="26:527" ht="10.75" customHeight="1">
      <c r="Z1271" s="12"/>
      <c r="AA1271" s="12"/>
      <c r="AK1271" s="13"/>
      <c r="AL1271" s="12"/>
      <c r="AO1271" s="12"/>
      <c r="EH1271" s="13"/>
      <c r="EK1271" s="13"/>
      <c r="GJ1271" s="12"/>
      <c r="GS1271" s="12"/>
      <c r="HJ1271" s="13"/>
      <c r="HK1271" s="12"/>
      <c r="JF1271" s="13"/>
      <c r="JS1271" s="12"/>
      <c r="KA1271" s="13"/>
      <c r="KB1271" s="12"/>
      <c r="KF1271" s="13"/>
      <c r="KG1271" s="12"/>
      <c r="KR1271" s="13"/>
      <c r="LQ1271" s="13"/>
      <c r="LR1271" s="12"/>
      <c r="LT1271" s="13"/>
      <c r="MS1271" s="18"/>
      <c r="MV1271" s="12"/>
      <c r="NA1271" s="13"/>
      <c r="NB1271" s="12"/>
      <c r="NJ1271" s="13"/>
      <c r="PR1271" s="13"/>
      <c r="RO1271" s="12"/>
      <c r="RR1271" s="12"/>
      <c r="SR1271" s="13"/>
      <c r="SU1271" s="13"/>
      <c r="SY1271" s="12"/>
      <c r="TG1271" s="13"/>
    </row>
    <row r="1272" spans="26:527" ht="10.75" customHeight="1">
      <c r="Z1272" s="12"/>
      <c r="AA1272" s="12"/>
      <c r="AK1272" s="13"/>
      <c r="AL1272" s="12"/>
      <c r="AO1272" s="12"/>
      <c r="BI1272" s="9"/>
      <c r="BJ1272" s="10"/>
      <c r="BK1272" s="10"/>
      <c r="BL1272" s="10"/>
      <c r="BM1272" s="10"/>
      <c r="BN1272" s="10"/>
      <c r="BO1272" s="10"/>
      <c r="BP1272" s="10"/>
      <c r="BQ1272" s="10"/>
      <c r="BR1272" s="10"/>
      <c r="BS1272" s="10"/>
      <c r="BT1272" s="10"/>
      <c r="BU1272" s="10"/>
      <c r="BV1272" s="10"/>
      <c r="BW1272" s="10"/>
      <c r="BX1272" s="10"/>
      <c r="BY1272" s="10"/>
      <c r="BZ1272" s="10"/>
      <c r="CA1272" s="10"/>
      <c r="CB1272" s="10"/>
      <c r="CC1272" s="10"/>
      <c r="CD1272" s="10"/>
      <c r="CE1272" s="10"/>
      <c r="CF1272" s="11"/>
      <c r="EH1272" s="13"/>
      <c r="EK1272" s="13"/>
      <c r="GJ1272" s="12"/>
      <c r="GS1272" s="12"/>
      <c r="HJ1272" s="13"/>
      <c r="HK1272" s="12"/>
      <c r="JF1272" s="13"/>
      <c r="JS1272" s="12"/>
      <c r="KA1272" s="13"/>
      <c r="KB1272" s="12"/>
      <c r="KF1272" s="13"/>
      <c r="KG1272" s="12"/>
      <c r="KR1272" s="13"/>
      <c r="LQ1272" s="13"/>
      <c r="LR1272" s="12"/>
      <c r="LT1272" s="13"/>
      <c r="MS1272" s="18"/>
      <c r="MV1272" s="12"/>
      <c r="NA1272" s="13"/>
      <c r="NB1272" s="12"/>
      <c r="NJ1272" s="13"/>
      <c r="PR1272" s="13"/>
      <c r="RO1272" s="12"/>
      <c r="RR1272" s="12"/>
      <c r="SR1272" s="13"/>
      <c r="SU1272" s="13"/>
      <c r="SY1272" s="12"/>
      <c r="TG1272" s="13"/>
    </row>
    <row r="1273" spans="26:527" ht="10.75" customHeight="1">
      <c r="Z1273" s="12"/>
      <c r="AA1273" s="12"/>
      <c r="AK1273" s="13"/>
      <c r="AL1273" s="12"/>
      <c r="AO1273" s="12"/>
      <c r="BI1273" s="12"/>
      <c r="CF1273" s="13"/>
      <c r="EH1273" s="13"/>
      <c r="EK1273" s="13"/>
      <c r="GJ1273" s="12"/>
      <c r="GS1273" s="12"/>
      <c r="JS1273" s="12"/>
      <c r="KA1273" s="13"/>
      <c r="KB1273" s="12"/>
      <c r="KF1273" s="13"/>
      <c r="KG1273" s="14"/>
      <c r="KH1273" s="15"/>
      <c r="KI1273" s="15"/>
      <c r="KJ1273" s="15"/>
      <c r="KK1273" s="15"/>
      <c r="KL1273" s="15"/>
      <c r="KM1273" s="15"/>
      <c r="KN1273" s="15"/>
      <c r="KO1273" s="15"/>
      <c r="KP1273" s="15"/>
      <c r="KQ1273" s="15"/>
      <c r="KR1273" s="16"/>
      <c r="LQ1273" s="13"/>
      <c r="LR1273" s="12"/>
      <c r="LT1273" s="13"/>
      <c r="MS1273" s="18"/>
      <c r="MV1273" s="12"/>
      <c r="NA1273" s="13"/>
      <c r="NB1273" s="12"/>
      <c r="NJ1273" s="13"/>
      <c r="OU1273" s="12"/>
      <c r="PR1273" s="13"/>
      <c r="RO1273" s="12"/>
      <c r="RR1273" s="12"/>
      <c r="SR1273" s="13"/>
      <c r="SU1273" s="13"/>
      <c r="SY1273" s="12"/>
      <c r="TG1273" s="13"/>
    </row>
    <row r="1274" spans="26:527" ht="10.75" customHeight="1">
      <c r="Z1274" s="12"/>
      <c r="AA1274" s="12"/>
      <c r="AK1274" s="13"/>
      <c r="AL1274" s="12"/>
      <c r="AO1274" s="12"/>
      <c r="BI1274" s="12"/>
      <c r="BK1274" s="10"/>
      <c r="BL1274" s="10"/>
      <c r="BM1274" s="10"/>
      <c r="BN1274" s="10"/>
      <c r="BO1274" s="10"/>
      <c r="BP1274" s="10"/>
      <c r="BR1274" s="32"/>
      <c r="BS1274" s="32"/>
      <c r="BT1274" s="32"/>
      <c r="BU1274" s="32"/>
      <c r="BV1274" s="32"/>
      <c r="BW1274" s="32"/>
      <c r="CF1274" s="13"/>
      <c r="EH1274" s="13"/>
      <c r="EK1274" s="13"/>
      <c r="GJ1274" s="12"/>
      <c r="GS1274" s="12"/>
      <c r="JS1274" s="12"/>
      <c r="KA1274" s="13"/>
      <c r="KB1274" s="12"/>
      <c r="KF1274" s="13"/>
      <c r="KN1274" s="12"/>
      <c r="KQ1274" s="12"/>
      <c r="LQ1274" s="13"/>
      <c r="LR1274" s="12"/>
      <c r="LT1274" s="13"/>
      <c r="MS1274" s="18"/>
      <c r="MV1274" s="12"/>
      <c r="NA1274" s="13"/>
      <c r="NB1274" s="12"/>
      <c r="NJ1274" s="13"/>
      <c r="OU1274" s="12"/>
      <c r="PR1274" s="13"/>
      <c r="PS1274" s="339"/>
      <c r="PT1274" s="340"/>
      <c r="PU1274" s="340"/>
      <c r="PV1274" s="340"/>
      <c r="PW1274" s="340"/>
      <c r="PX1274" s="340"/>
      <c r="PY1274" s="340"/>
      <c r="PZ1274" s="340"/>
      <c r="QA1274" s="340"/>
      <c r="QB1274" s="340"/>
      <c r="QC1274" s="340"/>
      <c r="QD1274" s="340"/>
      <c r="QE1274" s="341"/>
      <c r="RO1274" s="12"/>
      <c r="RR1274" s="12"/>
      <c r="SR1274" s="13"/>
      <c r="SU1274" s="13"/>
      <c r="SY1274" s="12"/>
      <c r="TG1274" s="13"/>
    </row>
    <row r="1275" spans="26:527" ht="10.75" customHeight="1">
      <c r="Z1275" s="12"/>
      <c r="AA1275" s="12"/>
      <c r="AK1275" s="13"/>
      <c r="AL1275" s="12"/>
      <c r="AO1275" s="12"/>
      <c r="BI1275" s="12"/>
      <c r="BK1275" s="15"/>
      <c r="BL1275" s="15"/>
      <c r="BM1275" s="15"/>
      <c r="BN1275" s="15"/>
      <c r="BO1275" s="15"/>
      <c r="BP1275" s="15"/>
      <c r="BR1275" s="32"/>
      <c r="BS1275" s="32"/>
      <c r="BT1275" s="32"/>
      <c r="BU1275" s="32"/>
      <c r="BV1275" s="32"/>
      <c r="BW1275" s="32"/>
      <c r="CF1275" s="13"/>
      <c r="EH1275" s="13"/>
      <c r="EK1275" s="13"/>
      <c r="GJ1275" s="12"/>
      <c r="GS1275" s="12"/>
      <c r="JS1275" s="12"/>
      <c r="KA1275" s="13"/>
      <c r="KB1275" s="14"/>
      <c r="KC1275" s="15"/>
      <c r="KD1275" s="15"/>
      <c r="KE1275" s="15"/>
      <c r="KF1275" s="16"/>
      <c r="KN1275" s="12"/>
      <c r="KQ1275" s="12"/>
      <c r="LQ1275" s="13"/>
      <c r="LR1275" s="12"/>
      <c r="LT1275" s="13"/>
      <c r="MS1275" s="18"/>
      <c r="MV1275" s="12"/>
      <c r="NA1275" s="13"/>
      <c r="NB1275" s="12"/>
      <c r="NJ1275" s="13"/>
      <c r="OU1275" s="12"/>
      <c r="PS1275" s="10"/>
      <c r="PT1275" s="10"/>
      <c r="PU1275" s="10"/>
      <c r="PV1275" s="10"/>
      <c r="PW1275" s="10"/>
      <c r="PX1275" s="10"/>
      <c r="PY1275" s="10"/>
      <c r="PZ1275" s="10"/>
      <c r="QA1275" s="10"/>
      <c r="QB1275" s="10"/>
      <c r="QC1275" s="10"/>
      <c r="QD1275" s="11"/>
      <c r="RO1275" s="12"/>
      <c r="RR1275" s="12"/>
      <c r="SR1275" s="13"/>
      <c r="SU1275" s="13"/>
      <c r="SY1275" s="12"/>
      <c r="TG1275" s="13"/>
    </row>
    <row r="1276" spans="26:527" ht="10.75" customHeight="1">
      <c r="Z1276" s="12"/>
      <c r="AA1276" s="12"/>
      <c r="AK1276" s="13"/>
      <c r="AL1276" s="12"/>
      <c r="AO1276" s="12"/>
      <c r="BI1276" s="12"/>
      <c r="BR1276" s="32"/>
      <c r="BS1276" s="32"/>
      <c r="BT1276" s="32"/>
      <c r="BU1276" s="32"/>
      <c r="BV1276" s="32"/>
      <c r="BW1276" s="32"/>
      <c r="CF1276" s="13"/>
      <c r="EH1276" s="13"/>
      <c r="EK1276" s="13"/>
      <c r="GJ1276" s="12"/>
      <c r="GS1276" s="12"/>
      <c r="JS1276" s="12"/>
      <c r="KA1276" s="13"/>
      <c r="KB1276" s="12"/>
      <c r="KN1276" s="12"/>
      <c r="KQ1276" s="12"/>
      <c r="LQ1276" s="13"/>
      <c r="LR1276" s="12"/>
      <c r="LT1276" s="13"/>
      <c r="MS1276" s="18"/>
      <c r="MV1276" s="12"/>
      <c r="NA1276" s="13"/>
      <c r="NB1276" s="12"/>
      <c r="NJ1276" s="13"/>
      <c r="OU1276" s="12"/>
      <c r="PA1276" s="12"/>
      <c r="QD1276" s="13"/>
      <c r="RO1276" s="12"/>
      <c r="RR1276" s="12"/>
      <c r="SR1276" s="13"/>
      <c r="SU1276" s="13"/>
      <c r="SY1276" s="12"/>
      <c r="TG1276" s="13"/>
    </row>
    <row r="1277" spans="26:527" ht="10.75" customHeight="1">
      <c r="Z1277" s="12"/>
      <c r="AA1277" s="12"/>
      <c r="AK1277" s="13"/>
      <c r="AL1277" s="12"/>
      <c r="AO1277" s="12"/>
      <c r="BI1277" s="12"/>
      <c r="BK1277" s="15"/>
      <c r="BL1277" s="15"/>
      <c r="BM1277" s="15"/>
      <c r="BN1277" s="15"/>
      <c r="BO1277" s="15"/>
      <c r="BP1277" s="15"/>
      <c r="BR1277" s="32"/>
      <c r="BS1277" s="32"/>
      <c r="BT1277" s="32"/>
      <c r="BU1277" s="32"/>
      <c r="BV1277" s="32"/>
      <c r="BW1277" s="32"/>
      <c r="CF1277" s="13"/>
      <c r="EH1277" s="13"/>
      <c r="EK1277" s="13"/>
      <c r="GJ1277" s="12"/>
      <c r="GS1277" s="12"/>
      <c r="JS1277" s="12"/>
      <c r="KA1277" s="13"/>
      <c r="KB1277" s="12"/>
      <c r="KN1277" s="12"/>
      <c r="KQ1277" s="12"/>
      <c r="LQ1277" s="13"/>
      <c r="LR1277" s="12"/>
      <c r="LT1277" s="13"/>
      <c r="MS1277" s="18"/>
      <c r="MV1277" s="12"/>
      <c r="NA1277" s="13"/>
      <c r="NB1277" s="12"/>
      <c r="NJ1277" s="13"/>
      <c r="OU1277" s="12"/>
      <c r="PA1277" s="12"/>
      <c r="QD1277" s="13"/>
      <c r="RO1277" s="12"/>
      <c r="RR1277" s="12"/>
      <c r="SR1277" s="13"/>
      <c r="SU1277" s="13"/>
      <c r="SY1277" s="12"/>
      <c r="TG1277" s="13"/>
    </row>
    <row r="1278" spans="26:527" ht="10.75" customHeight="1">
      <c r="Z1278" s="12"/>
      <c r="AA1278" s="12"/>
      <c r="AK1278" s="13"/>
      <c r="AL1278" s="12"/>
      <c r="AO1278" s="12"/>
      <c r="BI1278" s="12"/>
      <c r="CF1278" s="13"/>
      <c r="EH1278" s="13"/>
      <c r="EK1278" s="13"/>
      <c r="GJ1278" s="12"/>
      <c r="GS1278" s="12"/>
      <c r="JS1278" s="12"/>
      <c r="KA1278" s="13"/>
      <c r="KB1278" s="12"/>
      <c r="KN1278" s="12"/>
      <c r="KQ1278" s="12"/>
      <c r="LQ1278" s="13"/>
      <c r="LR1278" s="12"/>
      <c r="LT1278" s="13"/>
      <c r="MS1278" s="18"/>
      <c r="MV1278" s="14"/>
      <c r="MW1278" s="15"/>
      <c r="MX1278" s="15"/>
      <c r="MY1278" s="15"/>
      <c r="MZ1278" s="15"/>
      <c r="NA1278" s="16"/>
      <c r="NB1278" s="12"/>
      <c r="NJ1278" s="13"/>
      <c r="OU1278" s="12"/>
      <c r="PA1278" s="12"/>
      <c r="QD1278" s="13"/>
      <c r="RO1278" s="12"/>
      <c r="RR1278" s="12"/>
      <c r="SR1278" s="13"/>
      <c r="SU1278" s="13"/>
      <c r="SY1278" s="12"/>
      <c r="TG1278" s="13"/>
    </row>
    <row r="1279" spans="26:527" ht="10.75" customHeight="1">
      <c r="Z1279" s="12"/>
      <c r="AA1279" s="12"/>
      <c r="AK1279" s="13"/>
      <c r="AL1279" s="14"/>
      <c r="AM1279" s="15"/>
      <c r="AN1279" s="15"/>
      <c r="AO1279" s="14"/>
      <c r="AP1279" s="15"/>
      <c r="AQ1279" s="15"/>
      <c r="AR1279" s="15"/>
      <c r="AS1279" s="15"/>
      <c r="AT1279" s="15"/>
      <c r="AU1279" s="15"/>
      <c r="AV1279" s="15"/>
      <c r="AW1279" s="15"/>
      <c r="AX1279" s="15"/>
      <c r="AY1279" s="15"/>
      <c r="AZ1279" s="15"/>
      <c r="BA1279" s="15"/>
      <c r="BB1279" s="15"/>
      <c r="BC1279" s="15"/>
      <c r="BD1279" s="15"/>
      <c r="BE1279" s="15"/>
      <c r="BF1279" s="15"/>
      <c r="BG1279" s="15"/>
      <c r="BH1279" s="15"/>
      <c r="BI1279" s="14"/>
      <c r="BJ1279" s="15"/>
      <c r="BK1279" s="15"/>
      <c r="BL1279" s="15"/>
      <c r="BM1279" s="15"/>
      <c r="BN1279" s="15"/>
      <c r="BO1279" s="15"/>
      <c r="BP1279" s="15"/>
      <c r="BQ1279" s="15"/>
      <c r="BR1279" s="15"/>
      <c r="BS1279" s="15"/>
      <c r="BT1279" s="15"/>
      <c r="BU1279" s="15"/>
      <c r="BV1279" s="15"/>
      <c r="BW1279" s="15"/>
      <c r="BX1279" s="15"/>
      <c r="BY1279" s="15"/>
      <c r="BZ1279" s="15"/>
      <c r="CA1279" s="15"/>
      <c r="CB1279" s="15"/>
      <c r="CC1279" s="15"/>
      <c r="CD1279" s="15"/>
      <c r="CE1279" s="15"/>
      <c r="CF1279" s="16"/>
      <c r="CG1279" s="15"/>
      <c r="CH1279" s="15"/>
      <c r="CI1279" s="15"/>
      <c r="CJ1279" s="15"/>
      <c r="CK1279" s="15"/>
      <c r="CL1279" s="15"/>
      <c r="CM1279" s="15"/>
      <c r="CN1279" s="15"/>
      <c r="CO1279" s="15"/>
      <c r="CP1279" s="15"/>
      <c r="CQ1279" s="15"/>
      <c r="CR1279" s="15"/>
      <c r="CS1279" s="15"/>
      <c r="CT1279" s="15"/>
      <c r="CU1279" s="15"/>
      <c r="CV1279" s="15"/>
      <c r="CW1279" s="15"/>
      <c r="CX1279" s="15"/>
      <c r="CY1279" s="15"/>
      <c r="CZ1279" s="15"/>
      <c r="DA1279" s="15"/>
      <c r="DB1279" s="15"/>
      <c r="DC1279" s="15"/>
      <c r="DD1279" s="15"/>
      <c r="DE1279" s="15"/>
      <c r="DF1279" s="15"/>
      <c r="DG1279" s="15"/>
      <c r="DH1279" s="15"/>
      <c r="DI1279" s="15"/>
      <c r="DJ1279" s="15"/>
      <c r="DK1279" s="15"/>
      <c r="DL1279" s="15"/>
      <c r="DM1279" s="15"/>
      <c r="DN1279" s="15"/>
      <c r="DO1279" s="15"/>
      <c r="DP1279" s="15"/>
      <c r="DQ1279" s="15"/>
      <c r="DR1279" s="15"/>
      <c r="DS1279" s="15"/>
      <c r="DT1279" s="15"/>
      <c r="DU1279" s="15"/>
      <c r="DV1279" s="15"/>
      <c r="DW1279" s="15"/>
      <c r="DX1279" s="15"/>
      <c r="DY1279" s="15"/>
      <c r="DZ1279" s="15"/>
      <c r="EA1279" s="15"/>
      <c r="EB1279" s="15"/>
      <c r="EC1279" s="15"/>
      <c r="ED1279" s="15"/>
      <c r="EE1279" s="15"/>
      <c r="EF1279" s="15"/>
      <c r="EG1279" s="15"/>
      <c r="EH1279" s="16"/>
      <c r="EK1279" s="13"/>
      <c r="GJ1279" s="12"/>
      <c r="GS1279" s="12"/>
      <c r="JS1279" s="12"/>
      <c r="KA1279" s="13"/>
      <c r="KB1279" s="12"/>
      <c r="KN1279" s="12"/>
      <c r="KQ1279" s="12"/>
      <c r="LQ1279" s="13"/>
      <c r="LR1279" s="12"/>
      <c r="LT1279" s="13"/>
      <c r="MS1279" s="18"/>
      <c r="NA1279" s="13"/>
      <c r="NB1279" s="12"/>
      <c r="NJ1279" s="13"/>
      <c r="OU1279" s="12"/>
      <c r="PA1279" s="12"/>
      <c r="QD1279" s="13"/>
      <c r="RO1279" s="12"/>
      <c r="RR1279" s="12"/>
      <c r="SR1279" s="13"/>
      <c r="SU1279" s="13"/>
      <c r="TG1279" s="13"/>
    </row>
    <row r="1280" spans="26:527" ht="10.75" customHeight="1">
      <c r="Z1280" s="12"/>
      <c r="AA1280" s="12"/>
      <c r="AK1280" s="13"/>
      <c r="AL1280" s="327"/>
      <c r="AM1280" s="328"/>
      <c r="AN1280" s="329"/>
      <c r="CL1280" s="330"/>
      <c r="CM1280" s="338"/>
      <c r="CN1280" s="331"/>
      <c r="EI1280" s="327"/>
      <c r="EJ1280" s="328"/>
      <c r="EK1280" s="329"/>
      <c r="GJ1280" s="12"/>
      <c r="GS1280" s="12"/>
      <c r="JS1280" s="12"/>
      <c r="KA1280" s="13"/>
      <c r="KB1280" s="12"/>
      <c r="KN1280" s="12"/>
      <c r="KQ1280" s="12"/>
      <c r="LQ1280" s="13"/>
      <c r="LR1280" s="12"/>
      <c r="LT1280" s="13"/>
      <c r="MS1280" s="18"/>
      <c r="NA1280" s="13"/>
      <c r="NB1280" s="12"/>
      <c r="NJ1280" s="13"/>
      <c r="OU1280" s="12"/>
      <c r="PA1280" s="12"/>
      <c r="QD1280" s="13"/>
      <c r="RO1280" s="12"/>
      <c r="RR1280" s="12"/>
      <c r="SR1280" s="13"/>
      <c r="SU1280" s="13"/>
      <c r="TG1280" s="13"/>
    </row>
    <row r="1281" spans="26:527" ht="10.75" customHeight="1">
      <c r="Z1281" s="12"/>
      <c r="AA1281" s="14"/>
      <c r="AB1281" s="15"/>
      <c r="AC1281" s="15"/>
      <c r="AD1281" s="15"/>
      <c r="AE1281" s="15"/>
      <c r="AF1281" s="15"/>
      <c r="AG1281" s="15"/>
      <c r="AH1281" s="15"/>
      <c r="AI1281" s="15"/>
      <c r="AJ1281" s="15"/>
      <c r="AK1281" s="16"/>
      <c r="AL1281" s="330"/>
      <c r="AM1281" s="338"/>
      <c r="AN1281" s="331"/>
      <c r="CL1281" s="330"/>
      <c r="CM1281" s="338"/>
      <c r="CN1281" s="331"/>
      <c r="DU1281" s="20"/>
      <c r="DV1281" s="21"/>
      <c r="DW1281" s="21"/>
      <c r="DX1281" s="21"/>
      <c r="DY1281" s="21"/>
      <c r="DZ1281" s="21"/>
      <c r="EA1281" s="21"/>
      <c r="EB1281" s="21"/>
      <c r="EC1281" s="21"/>
      <c r="ED1281" s="21"/>
      <c r="EE1281" s="22"/>
      <c r="EI1281" s="330"/>
      <c r="EJ1281" s="338"/>
      <c r="EK1281" s="331"/>
      <c r="GJ1281" s="12"/>
      <c r="GS1281" s="12"/>
      <c r="JS1281" s="12"/>
      <c r="KA1281" s="13"/>
      <c r="KB1281" s="12"/>
      <c r="KN1281" s="12"/>
      <c r="KQ1281" s="12"/>
      <c r="LQ1281" s="13"/>
      <c r="LR1281" s="12"/>
      <c r="LT1281" s="13"/>
      <c r="MS1281" s="18"/>
      <c r="NA1281" s="13"/>
      <c r="NB1281" s="12"/>
      <c r="NJ1281" s="13"/>
      <c r="OU1281" s="12"/>
      <c r="PA1281" s="12"/>
      <c r="QD1281" s="13"/>
      <c r="QE1281" s="339"/>
      <c r="QF1281" s="340"/>
      <c r="QG1281" s="340"/>
      <c r="QH1281" s="340"/>
      <c r="QI1281" s="340"/>
      <c r="QJ1281" s="340"/>
      <c r="QK1281" s="340"/>
      <c r="QL1281" s="340"/>
      <c r="QM1281" s="340"/>
      <c r="QN1281" s="340"/>
      <c r="QO1281" s="340"/>
      <c r="QP1281" s="340"/>
      <c r="QQ1281" s="341"/>
      <c r="RO1281" s="12"/>
      <c r="RR1281" s="12"/>
      <c r="SR1281" s="13"/>
      <c r="SU1281" s="13"/>
      <c r="TG1281" s="13"/>
    </row>
    <row r="1282" spans="26:527" ht="10.75" customHeight="1">
      <c r="Z1282" s="14"/>
      <c r="AA1282" s="15"/>
      <c r="AB1282" s="15"/>
      <c r="AC1282" s="15"/>
      <c r="AD1282" s="15"/>
      <c r="AE1282" s="15"/>
      <c r="AF1282" s="15"/>
      <c r="AG1282" s="15"/>
      <c r="AH1282" s="15"/>
      <c r="AI1282" s="15"/>
      <c r="AJ1282" s="15"/>
      <c r="AK1282" s="16"/>
      <c r="AL1282" s="332"/>
      <c r="AM1282" s="333"/>
      <c r="AN1282" s="334"/>
      <c r="AO1282" s="15"/>
      <c r="AP1282" s="15"/>
      <c r="AQ1282" s="15"/>
      <c r="AR1282" s="15"/>
      <c r="AS1282" s="15"/>
      <c r="AT1282" s="15"/>
      <c r="AU1282" s="15"/>
      <c r="AV1282" s="15"/>
      <c r="AW1282" s="15"/>
      <c r="AX1282" s="15"/>
      <c r="AY1282" s="15"/>
      <c r="AZ1282" s="15"/>
      <c r="BA1282" s="15"/>
      <c r="BB1282" s="15"/>
      <c r="BC1282" s="15"/>
      <c r="BD1282" s="15"/>
      <c r="BE1282" s="15"/>
      <c r="BF1282" s="15"/>
      <c r="BG1282" s="15"/>
      <c r="BH1282" s="15"/>
      <c r="BI1282" s="15"/>
      <c r="BJ1282" s="15"/>
      <c r="BK1282" s="15"/>
      <c r="BL1282" s="15"/>
      <c r="BM1282" s="15"/>
      <c r="BN1282" s="15"/>
      <c r="BO1282" s="15"/>
      <c r="BP1282" s="15"/>
      <c r="BQ1282" s="15"/>
      <c r="BR1282" s="15"/>
      <c r="BS1282" s="15"/>
      <c r="BT1282" s="15"/>
      <c r="BU1282" s="15"/>
      <c r="BV1282" s="15"/>
      <c r="BW1282" s="15"/>
      <c r="BX1282" s="15"/>
      <c r="BY1282" s="15"/>
      <c r="BZ1282" s="15"/>
      <c r="CA1282" s="15"/>
      <c r="CB1282" s="15"/>
      <c r="CC1282" s="15"/>
      <c r="CD1282" s="15"/>
      <c r="CE1282" s="15"/>
      <c r="CF1282" s="15"/>
      <c r="CG1282" s="15"/>
      <c r="CH1282" s="15"/>
      <c r="CI1282" s="15"/>
      <c r="CJ1282" s="15"/>
      <c r="CK1282" s="15"/>
      <c r="CL1282" s="332"/>
      <c r="CM1282" s="333"/>
      <c r="CN1282" s="334"/>
      <c r="CO1282" s="15"/>
      <c r="CP1282" s="15"/>
      <c r="CQ1282" s="15"/>
      <c r="CR1282" s="15"/>
      <c r="CS1282" s="15"/>
      <c r="CT1282" s="15"/>
      <c r="CU1282" s="15"/>
      <c r="CV1282" s="15"/>
      <c r="CW1282" s="15"/>
      <c r="CX1282" s="15"/>
      <c r="CY1282" s="15"/>
      <c r="CZ1282" s="15"/>
      <c r="DA1282" s="15"/>
      <c r="DB1282" s="15"/>
      <c r="DC1282" s="15"/>
      <c r="DD1282" s="15"/>
      <c r="DE1282" s="15"/>
      <c r="DF1282" s="15"/>
      <c r="DG1282" s="15"/>
      <c r="DH1282" s="15"/>
      <c r="DI1282" s="15"/>
      <c r="DJ1282" s="15"/>
      <c r="DK1282" s="15"/>
      <c r="DL1282" s="15"/>
      <c r="DM1282" s="15"/>
      <c r="DN1282" s="15"/>
      <c r="DO1282" s="15"/>
      <c r="DP1282" s="15"/>
      <c r="DQ1282" s="15"/>
      <c r="DR1282" s="15"/>
      <c r="DS1282" s="15"/>
      <c r="DT1282" s="15"/>
      <c r="DU1282" s="15"/>
      <c r="DV1282" s="15"/>
      <c r="DW1282" s="15"/>
      <c r="DX1282" s="15"/>
      <c r="DY1282" s="15"/>
      <c r="DZ1282" s="15"/>
      <c r="EA1282" s="15"/>
      <c r="EB1282" s="15"/>
      <c r="EC1282" s="15"/>
      <c r="ED1282" s="15"/>
      <c r="EE1282" s="15"/>
      <c r="EF1282" s="15"/>
      <c r="EG1282" s="15"/>
      <c r="EH1282" s="15"/>
      <c r="EI1282" s="332"/>
      <c r="EJ1282" s="333"/>
      <c r="EK1282" s="334"/>
      <c r="GJ1282" s="12"/>
      <c r="GS1282" s="12"/>
      <c r="JS1282" s="12"/>
      <c r="KA1282" s="13"/>
      <c r="KB1282" s="12"/>
      <c r="KN1282" s="12"/>
      <c r="KQ1282" s="12"/>
      <c r="LQ1282" s="13"/>
      <c r="LR1282" s="12"/>
      <c r="LT1282" s="13"/>
      <c r="MS1282" s="18"/>
      <c r="NA1282" s="13"/>
      <c r="NB1282" s="12"/>
      <c r="NJ1282" s="13"/>
      <c r="OU1282" s="12"/>
      <c r="PA1282" s="12"/>
      <c r="QE1282" s="10"/>
      <c r="QF1282" s="10"/>
      <c r="QG1282" s="10"/>
      <c r="QH1282" s="10"/>
      <c r="QI1282" s="10"/>
      <c r="QJ1282" s="10"/>
      <c r="QK1282" s="10"/>
      <c r="QL1282" s="10"/>
      <c r="QM1282" s="10"/>
      <c r="QN1282" s="10"/>
      <c r="QO1282" s="10"/>
      <c r="QP1282" s="11"/>
      <c r="RO1282" s="12"/>
      <c r="RR1282" s="12"/>
      <c r="SR1282" s="13"/>
      <c r="SU1282" s="13"/>
      <c r="TG1282" s="13"/>
    </row>
    <row r="1283" spans="26:527" ht="10.75" customHeight="1">
      <c r="AL1283" s="332"/>
      <c r="AM1283" s="333"/>
      <c r="AN1283" s="334"/>
      <c r="CL1283" s="332"/>
      <c r="CM1283" s="333"/>
      <c r="CN1283" s="334"/>
      <c r="EH1283" s="13"/>
      <c r="EI1283" s="333"/>
      <c r="EJ1283" s="333"/>
      <c r="EK1283" s="334"/>
      <c r="GJ1283" s="12"/>
      <c r="GS1283" s="12"/>
      <c r="JS1283" s="12"/>
      <c r="KA1283" s="13"/>
      <c r="KB1283" s="12"/>
      <c r="KN1283" s="12"/>
      <c r="KQ1283" s="12"/>
      <c r="LQ1283" s="13"/>
      <c r="LR1283" s="12"/>
      <c r="LT1283" s="13"/>
      <c r="MS1283" s="19"/>
      <c r="NA1283" s="13"/>
      <c r="NB1283" s="12"/>
      <c r="NJ1283" s="13"/>
      <c r="OU1283" s="12"/>
      <c r="PA1283" s="12"/>
      <c r="QP1283" s="13"/>
      <c r="RO1283" s="12"/>
      <c r="RR1283" s="12"/>
      <c r="SR1283" s="13"/>
      <c r="SU1283" s="13"/>
      <c r="TG1283" s="13"/>
    </row>
    <row r="1284" spans="26:527" ht="10.75" customHeight="1">
      <c r="GJ1284" s="12"/>
      <c r="GS1284" s="12"/>
      <c r="JS1284" s="12"/>
      <c r="KA1284" s="13"/>
      <c r="KB1284" s="12"/>
      <c r="KN1284" s="12"/>
      <c r="KQ1284" s="12"/>
      <c r="LQ1284" s="13"/>
      <c r="LR1284" s="12"/>
      <c r="LT1284" s="13"/>
      <c r="MS1284" s="22"/>
      <c r="NA1284" s="13"/>
      <c r="NB1284" s="12"/>
      <c r="NJ1284" s="13"/>
      <c r="OU1284" s="12"/>
      <c r="PA1284" s="12"/>
      <c r="QP1284" s="13"/>
      <c r="RO1284" s="12"/>
      <c r="RR1284" s="12"/>
      <c r="SR1284" s="13"/>
      <c r="SU1284" s="13"/>
      <c r="TG1284" s="13"/>
    </row>
    <row r="1285" spans="26:527" ht="10.75" customHeight="1">
      <c r="GJ1285" s="12"/>
      <c r="GS1285" s="12"/>
      <c r="JS1285" s="12"/>
      <c r="KA1285" s="13"/>
      <c r="KB1285" s="12"/>
      <c r="KN1285" s="12"/>
      <c r="KQ1285" s="12"/>
      <c r="LQ1285" s="13"/>
      <c r="LR1285" s="12"/>
      <c r="LT1285" s="13"/>
      <c r="MA1285" s="9"/>
      <c r="MB1285" s="10"/>
      <c r="MC1285" s="10"/>
      <c r="MD1285" s="10"/>
      <c r="ME1285" s="10"/>
      <c r="MF1285" s="10"/>
      <c r="MG1285" s="10"/>
      <c r="MH1285" s="10"/>
      <c r="MI1285" s="10"/>
      <c r="MJ1285" s="10"/>
      <c r="MK1285" s="10"/>
      <c r="ML1285" s="10"/>
      <c r="MM1285" s="10"/>
      <c r="MN1285" s="10"/>
      <c r="MO1285" s="10"/>
      <c r="MP1285" s="10"/>
      <c r="MQ1285" s="10"/>
      <c r="MR1285" s="9"/>
      <c r="MS1285" s="10"/>
      <c r="MT1285" s="10"/>
      <c r="MU1285" s="11"/>
      <c r="MV1285" s="9"/>
      <c r="MW1285" s="10"/>
      <c r="MX1285" s="10"/>
      <c r="MY1285" s="10"/>
      <c r="MZ1285" s="10"/>
      <c r="NA1285" s="11"/>
      <c r="NB1285" s="12"/>
      <c r="NJ1285" s="13"/>
      <c r="OU1285" s="12"/>
      <c r="PA1285" s="12"/>
      <c r="QP1285" s="13"/>
      <c r="RO1285" s="12"/>
      <c r="RR1285" s="12"/>
      <c r="SR1285" s="13"/>
      <c r="SU1285" s="13"/>
      <c r="TG1285" s="13"/>
    </row>
    <row r="1286" spans="26:527" ht="10.75" customHeight="1">
      <c r="GJ1286" s="12"/>
      <c r="GS1286" s="12"/>
      <c r="JS1286" s="12"/>
      <c r="KA1286" s="13"/>
      <c r="KB1286" s="12"/>
      <c r="KN1286" s="12"/>
      <c r="KQ1286" s="12"/>
      <c r="LQ1286" s="13"/>
      <c r="LR1286" s="12"/>
      <c r="LT1286" s="13"/>
      <c r="MA1286" s="12"/>
      <c r="MR1286" s="12"/>
      <c r="MU1286" s="13"/>
      <c r="MV1286" s="12"/>
      <c r="NA1286" s="13"/>
      <c r="NB1286" s="12"/>
      <c r="NJ1286" s="13"/>
      <c r="OU1286" s="12"/>
      <c r="PA1286" s="12"/>
      <c r="QP1286" s="13"/>
      <c r="RO1286" s="12"/>
      <c r="RR1286" s="12"/>
      <c r="SR1286" s="13"/>
      <c r="SU1286" s="13"/>
      <c r="TG1286" s="13"/>
    </row>
    <row r="1287" spans="26:527" ht="10.75" customHeight="1">
      <c r="GJ1287" s="12"/>
      <c r="GS1287" s="12"/>
      <c r="JS1287" s="12"/>
      <c r="KA1287" s="13"/>
      <c r="KB1287" s="12"/>
      <c r="KN1287" s="12"/>
      <c r="KQ1287" s="12"/>
      <c r="LQ1287" s="13"/>
      <c r="LR1287" s="12"/>
      <c r="LT1287" s="13"/>
      <c r="MA1287" s="12"/>
      <c r="MR1287" s="12"/>
      <c r="MU1287" s="13"/>
      <c r="MV1287" s="12"/>
      <c r="NA1287" s="13"/>
      <c r="NB1287" s="12"/>
      <c r="NJ1287" s="13"/>
      <c r="OU1287" s="12"/>
      <c r="PA1287" s="12"/>
      <c r="QP1287" s="13"/>
      <c r="RO1287" s="12"/>
      <c r="RR1287" s="12"/>
      <c r="SR1287" s="13"/>
      <c r="SU1287" s="13"/>
      <c r="TG1287" s="13"/>
    </row>
    <row r="1288" spans="26:527" ht="10.75" customHeight="1">
      <c r="GJ1288" s="12"/>
      <c r="GS1288" s="12"/>
      <c r="JS1288" s="12"/>
      <c r="KA1288" s="13"/>
      <c r="KB1288" s="12"/>
      <c r="KN1288" s="12"/>
      <c r="KQ1288" s="12"/>
      <c r="LQ1288" s="13"/>
      <c r="LR1288" s="12"/>
      <c r="LT1288" s="13"/>
      <c r="MA1288" s="12"/>
      <c r="MR1288" s="12"/>
      <c r="MU1288" s="13"/>
      <c r="MV1288" s="12"/>
      <c r="NA1288" s="13"/>
      <c r="NB1288" s="12"/>
      <c r="NJ1288" s="13"/>
      <c r="OU1288" s="12"/>
      <c r="PA1288" s="12"/>
      <c r="QP1288" s="13"/>
      <c r="QQ1288" s="339"/>
      <c r="QR1288" s="340"/>
      <c r="QS1288" s="340"/>
      <c r="QT1288" s="340"/>
      <c r="QU1288" s="340"/>
      <c r="QV1288" s="340"/>
      <c r="QW1288" s="340"/>
      <c r="QX1288" s="340"/>
      <c r="QY1288" s="340"/>
      <c r="QZ1288" s="340"/>
      <c r="RA1288" s="340"/>
      <c r="RB1288" s="340"/>
      <c r="RC1288" s="341"/>
      <c r="RO1288" s="12"/>
      <c r="RR1288" s="12"/>
      <c r="SR1288" s="13"/>
      <c r="SU1288" s="13"/>
      <c r="TG1288" s="13"/>
    </row>
    <row r="1289" spans="26:527" ht="10.75" customHeight="1">
      <c r="GJ1289" s="12"/>
      <c r="GS1289" s="12"/>
      <c r="JS1289" s="12"/>
      <c r="KA1289" s="13"/>
      <c r="KB1289" s="12"/>
      <c r="KN1289" s="12"/>
      <c r="KQ1289" s="12"/>
      <c r="LQ1289" s="13"/>
      <c r="LR1289" s="12"/>
      <c r="LT1289" s="13"/>
      <c r="MA1289" s="12"/>
      <c r="MR1289" s="12"/>
      <c r="MU1289" s="13"/>
      <c r="MV1289" s="12"/>
      <c r="NA1289" s="13"/>
      <c r="NB1289" s="12"/>
      <c r="NJ1289" s="13"/>
      <c r="OU1289" s="12"/>
      <c r="PA1289" s="12"/>
      <c r="QQ1289" s="10"/>
      <c r="QR1289" s="10"/>
      <c r="QS1289" s="10"/>
      <c r="QT1289" s="10"/>
      <c r="QU1289" s="10"/>
      <c r="QV1289" s="10"/>
      <c r="QW1289" s="10"/>
      <c r="QX1289" s="10"/>
      <c r="QY1289" s="10"/>
      <c r="QZ1289" s="10"/>
      <c r="RA1289" s="10"/>
      <c r="RB1289" s="11"/>
      <c r="RO1289" s="12"/>
      <c r="RR1289" s="12"/>
      <c r="SR1289" s="13"/>
      <c r="SU1289" s="13"/>
      <c r="TG1289" s="13"/>
    </row>
    <row r="1290" spans="26:527" ht="10.75" customHeight="1">
      <c r="GJ1290" s="12"/>
      <c r="GS1290" s="12"/>
      <c r="JS1290" s="12"/>
      <c r="KA1290" s="13"/>
      <c r="KB1290" s="12"/>
      <c r="KN1290" s="12"/>
      <c r="KQ1290" s="12"/>
      <c r="LQ1290" s="13"/>
      <c r="LR1290" s="12"/>
      <c r="LT1290" s="13"/>
      <c r="MA1290" s="12"/>
      <c r="MR1290" s="12"/>
      <c r="MU1290" s="13"/>
      <c r="MV1290" s="12"/>
      <c r="NA1290" s="13"/>
      <c r="NB1290" s="12"/>
      <c r="NJ1290" s="13"/>
      <c r="OU1290" s="12"/>
      <c r="PA1290" s="12"/>
      <c r="RB1290" s="13"/>
      <c r="RO1290" s="12"/>
      <c r="RR1290" s="12"/>
      <c r="SR1290" s="13"/>
      <c r="SU1290" s="13"/>
      <c r="TG1290" s="13"/>
    </row>
    <row r="1291" spans="26:527" ht="10.75" customHeight="1">
      <c r="GJ1291" s="12"/>
      <c r="GS1291" s="12"/>
      <c r="JS1291" s="12"/>
      <c r="KA1291" s="13"/>
      <c r="KB1291" s="12"/>
      <c r="KN1291" s="12"/>
      <c r="KQ1291" s="12"/>
      <c r="LQ1291" s="13"/>
      <c r="LR1291" s="12"/>
      <c r="LT1291" s="13"/>
      <c r="MA1291" s="14"/>
      <c r="MB1291" s="15"/>
      <c r="MC1291" s="15"/>
      <c r="MD1291" s="15"/>
      <c r="ME1291" s="15"/>
      <c r="MF1291" s="15"/>
      <c r="MG1291" s="15"/>
      <c r="MH1291" s="15"/>
      <c r="MI1291" s="15"/>
      <c r="MJ1291" s="15"/>
      <c r="MK1291" s="15"/>
      <c r="ML1291" s="15"/>
      <c r="MM1291" s="15"/>
      <c r="MN1291" s="15"/>
      <c r="MO1291" s="15"/>
      <c r="MP1291" s="15"/>
      <c r="MQ1291" s="15"/>
      <c r="MR1291" s="14"/>
      <c r="MS1291" s="15"/>
      <c r="MT1291" s="15"/>
      <c r="MU1291" s="16"/>
      <c r="MV1291" s="14"/>
      <c r="MW1291" s="15"/>
      <c r="MX1291" s="15"/>
      <c r="MY1291" s="15"/>
      <c r="MZ1291" s="15"/>
      <c r="NA1291" s="16"/>
      <c r="NB1291" s="12"/>
      <c r="NJ1291" s="13"/>
      <c r="OU1291" s="12"/>
      <c r="PA1291" s="12"/>
      <c r="RB1291" s="13"/>
      <c r="RO1291" s="12"/>
      <c r="RR1291" s="12"/>
      <c r="SR1291" s="13"/>
      <c r="SU1291" s="13"/>
      <c r="SY1291" s="12"/>
      <c r="TG1291" s="13"/>
    </row>
    <row r="1292" spans="26:527" ht="10.75" customHeight="1">
      <c r="GJ1292" s="12"/>
      <c r="GS1292" s="12"/>
      <c r="JS1292" s="12"/>
      <c r="KA1292" s="13"/>
      <c r="KB1292" s="12"/>
      <c r="KN1292" s="12"/>
      <c r="KQ1292" s="12"/>
      <c r="LQ1292" s="13"/>
      <c r="LR1292" s="12"/>
      <c r="LT1292" s="13"/>
      <c r="ML1292" s="9"/>
      <c r="MM1292" s="10"/>
      <c r="MN1292" s="10"/>
      <c r="MO1292" s="10"/>
      <c r="MP1292" s="10"/>
      <c r="MQ1292" s="10"/>
      <c r="MR1292" s="10"/>
      <c r="MS1292" s="10"/>
      <c r="MT1292" s="10"/>
      <c r="MU1292" s="10"/>
      <c r="MV1292" s="10"/>
      <c r="MW1292" s="10"/>
      <c r="MX1292" s="10"/>
      <c r="MY1292" s="10"/>
      <c r="MZ1292" s="10"/>
      <c r="NA1292" s="11"/>
      <c r="NB1292" s="12"/>
      <c r="NJ1292" s="13"/>
      <c r="OU1292" s="12"/>
      <c r="PA1292" s="12"/>
      <c r="RB1292" s="13"/>
      <c r="RO1292" s="12"/>
      <c r="RR1292" s="12"/>
      <c r="SR1292" s="13"/>
      <c r="SU1292" s="13"/>
      <c r="SY1292" s="12"/>
      <c r="TG1292" s="13"/>
    </row>
    <row r="1293" spans="26:527" ht="10.75" customHeight="1">
      <c r="GJ1293" s="12"/>
      <c r="GS1293" s="12"/>
      <c r="JS1293" s="12"/>
      <c r="KA1293" s="13"/>
      <c r="KB1293" s="12"/>
      <c r="KN1293" s="12"/>
      <c r="KQ1293" s="12"/>
      <c r="LQ1293" s="13"/>
      <c r="LR1293" s="12"/>
      <c r="LT1293" s="13"/>
      <c r="ML1293" s="12"/>
      <c r="NA1293" s="13"/>
      <c r="NB1293" s="12"/>
      <c r="NJ1293" s="13"/>
      <c r="OU1293" s="12"/>
      <c r="PA1293" s="12"/>
      <c r="RB1293" s="13"/>
      <c r="RO1293" s="12"/>
      <c r="RR1293" s="12"/>
      <c r="SR1293" s="13"/>
      <c r="SU1293" s="13"/>
      <c r="SY1293" s="12"/>
      <c r="TG1293" s="13"/>
    </row>
    <row r="1294" spans="26:527" ht="10.75" customHeight="1">
      <c r="GJ1294" s="12"/>
      <c r="GS1294" s="12"/>
      <c r="JS1294" s="12"/>
      <c r="KA1294" s="13"/>
      <c r="KB1294" s="12"/>
      <c r="KN1294" s="12"/>
      <c r="KQ1294" s="12"/>
      <c r="LQ1294" s="13"/>
      <c r="LR1294" s="12"/>
      <c r="LT1294" s="13"/>
      <c r="ML1294" s="12"/>
      <c r="NA1294" s="13"/>
      <c r="NB1294" s="12"/>
      <c r="NJ1294" s="13"/>
      <c r="OU1294" s="12"/>
      <c r="PA1294" s="12"/>
      <c r="RB1294" s="13"/>
      <c r="RO1294" s="12"/>
      <c r="RR1294" s="12"/>
      <c r="SR1294" s="13"/>
      <c r="SU1294" s="13"/>
      <c r="SY1294" s="12"/>
      <c r="TG1294" s="13"/>
    </row>
    <row r="1295" spans="26:527" ht="10.75" customHeight="1">
      <c r="GJ1295" s="12"/>
      <c r="GS1295" s="12"/>
      <c r="JS1295" s="12"/>
      <c r="KA1295" s="13"/>
      <c r="KB1295" s="12"/>
      <c r="KN1295" s="12"/>
      <c r="KQ1295" s="12"/>
      <c r="LQ1295" s="13"/>
      <c r="LR1295" s="12"/>
      <c r="LT1295" s="13"/>
      <c r="ML1295" s="12"/>
      <c r="NA1295" s="13"/>
      <c r="NB1295" s="12"/>
      <c r="NJ1295" s="13"/>
      <c r="OU1295" s="12"/>
      <c r="PA1295" s="12"/>
      <c r="RB1295" s="13"/>
      <c r="RC1295" s="339"/>
      <c r="RD1295" s="340"/>
      <c r="RE1295" s="340"/>
      <c r="RF1295" s="340"/>
      <c r="RG1295" s="340"/>
      <c r="RH1295" s="340"/>
      <c r="RI1295" s="340"/>
      <c r="RJ1295" s="340"/>
      <c r="RK1295" s="340"/>
      <c r="RL1295" s="340"/>
      <c r="RM1295" s="340"/>
      <c r="RN1295" s="340"/>
      <c r="RO1295" s="341"/>
      <c r="RR1295" s="12"/>
      <c r="SR1295" s="13"/>
      <c r="SU1295" s="13"/>
      <c r="SY1295" s="12"/>
      <c r="TG1295" s="13"/>
    </row>
    <row r="1296" spans="26:527" ht="10.75" customHeight="1">
      <c r="GJ1296" s="12"/>
      <c r="GS1296" s="12"/>
      <c r="JS1296" s="12"/>
      <c r="KA1296" s="13"/>
      <c r="KB1296" s="12"/>
      <c r="KN1296" s="12"/>
      <c r="KQ1296" s="12"/>
      <c r="LQ1296" s="13"/>
      <c r="LR1296" s="12"/>
      <c r="LT1296" s="13"/>
      <c r="ML1296" s="12"/>
      <c r="NA1296" s="13"/>
      <c r="NB1296" s="12"/>
      <c r="NJ1296" s="13"/>
      <c r="OU1296" s="12"/>
      <c r="PA1296" s="12"/>
      <c r="RC1296" s="10"/>
      <c r="RD1296" s="10"/>
      <c r="RE1296" s="10"/>
      <c r="RF1296" s="10"/>
      <c r="RG1296" s="10"/>
      <c r="RH1296" s="10"/>
      <c r="RI1296" s="10"/>
      <c r="RJ1296" s="10"/>
      <c r="RK1296" s="10"/>
      <c r="RL1296" s="10"/>
      <c r="RM1296" s="10"/>
      <c r="RN1296" s="10"/>
      <c r="RO1296" s="12"/>
      <c r="RR1296" s="14"/>
      <c r="RS1296" s="15"/>
      <c r="RT1296" s="15"/>
      <c r="RU1296" s="15"/>
      <c r="RV1296" s="15"/>
      <c r="RW1296" s="15"/>
      <c r="RX1296" s="15"/>
      <c r="RY1296" s="15"/>
      <c r="RZ1296" s="15"/>
      <c r="SA1296" s="15"/>
      <c r="SB1296" s="15"/>
      <c r="SC1296" s="15"/>
      <c r="SD1296" s="15"/>
      <c r="SE1296" s="15"/>
      <c r="SF1296" s="15"/>
      <c r="SG1296" s="15"/>
      <c r="SH1296" s="15"/>
      <c r="SI1296" s="15"/>
      <c r="SJ1296" s="15"/>
      <c r="SK1296" s="15"/>
      <c r="SL1296" s="15"/>
      <c r="SM1296" s="15"/>
      <c r="SN1296" s="15"/>
      <c r="SO1296" s="15"/>
      <c r="SP1296" s="15"/>
      <c r="SQ1296" s="15"/>
      <c r="SR1296" s="16"/>
      <c r="SU1296" s="13"/>
      <c r="SY1296" s="12"/>
      <c r="TG1296" s="13"/>
    </row>
    <row r="1297" spans="34:527" ht="10.75" customHeight="1">
      <c r="GJ1297" s="12"/>
      <c r="GS1297" s="12"/>
      <c r="JS1297" s="12"/>
      <c r="KA1297" s="13"/>
      <c r="KB1297" s="12"/>
      <c r="KN1297" s="12"/>
      <c r="KQ1297" s="12"/>
      <c r="LQ1297" s="13"/>
      <c r="LR1297" s="12"/>
      <c r="LT1297" s="13"/>
      <c r="ML1297" s="12"/>
      <c r="NA1297" s="13"/>
      <c r="NB1297" s="12"/>
      <c r="NJ1297" s="13"/>
      <c r="OU1297" s="12"/>
      <c r="PA1297" s="12"/>
      <c r="RO1297" s="9"/>
      <c r="RP1297" s="10"/>
      <c r="RQ1297" s="10"/>
      <c r="RR1297" s="10"/>
      <c r="RS1297" s="10"/>
      <c r="RT1297" s="10"/>
      <c r="RU1297" s="10"/>
      <c r="RV1297" s="10"/>
      <c r="RW1297" s="10"/>
      <c r="RX1297" s="10"/>
      <c r="RY1297" s="10"/>
      <c r="RZ1297" s="10"/>
      <c r="SA1297" s="10"/>
      <c r="SB1297" s="10"/>
      <c r="SC1297" s="10"/>
      <c r="SD1297" s="10"/>
      <c r="SE1297" s="10"/>
      <c r="SF1297" s="10"/>
      <c r="SG1297" s="10"/>
      <c r="SH1297" s="10"/>
      <c r="SI1297" s="10"/>
      <c r="SJ1297" s="10"/>
      <c r="SK1297" s="10"/>
      <c r="SL1297" s="10"/>
      <c r="SM1297" s="10"/>
      <c r="SN1297" s="10"/>
      <c r="SO1297" s="10"/>
      <c r="SP1297" s="10"/>
      <c r="SQ1297" s="10"/>
      <c r="SR1297" s="10"/>
      <c r="SS1297" s="10"/>
      <c r="ST1297" s="10"/>
      <c r="SU1297" s="11"/>
      <c r="SY1297" s="12"/>
      <c r="TG1297" s="13"/>
    </row>
    <row r="1298" spans="34:527" ht="10.75" customHeight="1">
      <c r="GJ1298" s="12"/>
      <c r="GS1298" s="12"/>
      <c r="JS1298" s="12"/>
      <c r="KA1298" s="13"/>
      <c r="KB1298" s="12"/>
      <c r="KN1298" s="12"/>
      <c r="KQ1298" s="12"/>
      <c r="LQ1298" s="13"/>
      <c r="LR1298" s="12"/>
      <c r="LT1298" s="13"/>
      <c r="ML1298" s="14"/>
      <c r="MM1298" s="15"/>
      <c r="MN1298" s="15"/>
      <c r="MO1298" s="15"/>
      <c r="MP1298" s="15"/>
      <c r="MQ1298" s="15"/>
      <c r="MR1298" s="15"/>
      <c r="MS1298" s="15"/>
      <c r="MT1298" s="15"/>
      <c r="MU1298" s="15"/>
      <c r="MV1298" s="15"/>
      <c r="MW1298" s="15"/>
      <c r="MX1298" s="15"/>
      <c r="MY1298" s="15"/>
      <c r="MZ1298" s="15"/>
      <c r="NA1298" s="16"/>
      <c r="NB1298" s="12"/>
      <c r="NJ1298" s="13"/>
      <c r="OU1298" s="12"/>
      <c r="PA1298" s="12"/>
      <c r="RO1298" s="12"/>
      <c r="SU1298" s="13"/>
      <c r="SY1298" s="12"/>
      <c r="TG1298" s="13"/>
    </row>
    <row r="1299" spans="34:527" ht="10.75" customHeight="1">
      <c r="GJ1299" s="12"/>
      <c r="GS1299" s="12"/>
      <c r="JS1299" s="12"/>
      <c r="KA1299" s="13"/>
      <c r="KB1299" s="12"/>
      <c r="KN1299" s="12"/>
      <c r="KQ1299" s="12"/>
      <c r="LQ1299" s="13"/>
      <c r="LR1299" s="12"/>
      <c r="LT1299" s="13"/>
      <c r="NA1299" s="13"/>
      <c r="NB1299" s="12"/>
      <c r="NJ1299" s="13"/>
      <c r="OU1299" s="12"/>
      <c r="PA1299" s="12"/>
      <c r="RO1299" s="12"/>
      <c r="SU1299" s="13"/>
      <c r="SY1299" s="12"/>
      <c r="TG1299" s="13"/>
    </row>
    <row r="1300" spans="34:527" ht="10.75" customHeight="1">
      <c r="GJ1300" s="12"/>
      <c r="GS1300" s="12"/>
      <c r="JS1300" s="12"/>
      <c r="KA1300" s="13"/>
      <c r="KB1300" s="12"/>
      <c r="KN1300" s="12"/>
      <c r="KQ1300" s="12"/>
      <c r="LQ1300" s="13"/>
      <c r="LR1300" s="12"/>
      <c r="LT1300" s="13"/>
      <c r="NA1300" s="13"/>
      <c r="NB1300" s="12"/>
      <c r="NJ1300" s="13"/>
      <c r="OU1300" s="12"/>
      <c r="PA1300" s="12"/>
      <c r="RO1300" s="12"/>
      <c r="SU1300" s="13"/>
      <c r="SY1300" s="12"/>
      <c r="TG1300" s="13"/>
    </row>
    <row r="1301" spans="34:527" ht="10.75" customHeight="1">
      <c r="GJ1301" s="12"/>
      <c r="GS1301" s="12"/>
      <c r="JS1301" s="12"/>
      <c r="KA1301" s="13"/>
      <c r="KB1301" s="12"/>
      <c r="KN1301" s="12"/>
      <c r="KQ1301" s="12"/>
      <c r="LQ1301" s="13"/>
      <c r="LR1301" s="12"/>
      <c r="LT1301" s="13"/>
      <c r="NA1301" s="13"/>
      <c r="NB1301" s="12"/>
      <c r="NJ1301" s="13"/>
      <c r="OU1301" s="12"/>
      <c r="PA1301" s="12"/>
      <c r="RO1301" s="12"/>
      <c r="SU1301" s="13"/>
      <c r="SY1301" s="12"/>
      <c r="TG1301" s="13"/>
    </row>
    <row r="1302" spans="34:527" ht="10.75" customHeight="1">
      <c r="AH1302" s="9"/>
      <c r="AI1302" s="10"/>
      <c r="AJ1302" s="10"/>
      <c r="AK1302" s="10"/>
      <c r="AL1302" s="10"/>
      <c r="AM1302" s="10"/>
      <c r="AN1302" s="10"/>
      <c r="AO1302" s="10"/>
      <c r="AP1302" s="10"/>
      <c r="AQ1302" s="10"/>
      <c r="AR1302" s="10"/>
      <c r="AS1302" s="10"/>
      <c r="AT1302" s="10"/>
      <c r="AU1302" s="10"/>
      <c r="AV1302" s="10"/>
      <c r="AW1302" s="10"/>
      <c r="AX1302" s="10"/>
      <c r="AY1302" s="10"/>
      <c r="AZ1302" s="10"/>
      <c r="BA1302" s="10"/>
      <c r="BB1302" s="10"/>
      <c r="BC1302" s="10"/>
      <c r="BD1302" s="10"/>
      <c r="BE1302" s="10"/>
      <c r="BF1302" s="10"/>
      <c r="BG1302" s="10"/>
      <c r="BH1302" s="10"/>
      <c r="BI1302" s="10"/>
      <c r="BJ1302" s="10"/>
      <c r="BK1302" s="10"/>
      <c r="BL1302" s="10"/>
      <c r="BM1302" s="10"/>
      <c r="BN1302" s="10"/>
      <c r="BO1302" s="10"/>
      <c r="BP1302" s="10"/>
      <c r="BQ1302" s="10"/>
      <c r="BR1302" s="10"/>
      <c r="BS1302" s="10"/>
      <c r="BT1302" s="10"/>
      <c r="BU1302" s="10"/>
      <c r="BV1302" s="10"/>
      <c r="BW1302" s="10"/>
      <c r="BX1302" s="10"/>
      <c r="BY1302" s="10"/>
      <c r="BZ1302" s="10"/>
      <c r="CA1302" s="10"/>
      <c r="CB1302" s="10"/>
      <c r="CC1302" s="10"/>
      <c r="CD1302" s="10"/>
      <c r="CE1302" s="10"/>
      <c r="CF1302" s="10"/>
      <c r="CG1302" s="10"/>
      <c r="CH1302" s="265"/>
      <c r="CI1302" s="265"/>
      <c r="CJ1302" s="265"/>
      <c r="CK1302" s="265"/>
      <c r="CL1302" s="10"/>
      <c r="CM1302" s="10"/>
      <c r="CN1302" s="10"/>
      <c r="CO1302" s="10"/>
      <c r="CP1302" s="10"/>
      <c r="CQ1302" s="10"/>
      <c r="CR1302" s="10"/>
      <c r="CS1302" s="10"/>
      <c r="CT1302" s="10"/>
      <c r="CU1302" s="10"/>
      <c r="CV1302" s="10"/>
      <c r="CW1302" s="10"/>
      <c r="CX1302" s="10"/>
      <c r="CY1302" s="10"/>
      <c r="CZ1302" s="10"/>
      <c r="DA1302" s="10"/>
      <c r="DB1302" s="10"/>
      <c r="DC1302" s="10"/>
      <c r="DD1302" s="10"/>
      <c r="DE1302" s="10"/>
      <c r="DF1302" s="10"/>
      <c r="DG1302" s="10"/>
      <c r="DH1302" s="10"/>
      <c r="DI1302" s="10"/>
      <c r="DJ1302" s="10"/>
      <c r="DK1302" s="10"/>
      <c r="DL1302" s="10"/>
      <c r="DM1302" s="10"/>
      <c r="DN1302" s="11"/>
      <c r="GJ1302" s="14"/>
      <c r="GK1302" s="15"/>
      <c r="GL1302" s="15"/>
      <c r="GM1302" s="15"/>
      <c r="GN1302" s="15"/>
      <c r="GO1302" s="15"/>
      <c r="GP1302" s="15"/>
      <c r="GQ1302" s="15"/>
      <c r="GR1302" s="15"/>
      <c r="GS1302" s="14"/>
      <c r="GT1302" s="15"/>
      <c r="GU1302" s="15"/>
      <c r="GV1302" s="15"/>
      <c r="GW1302" s="15"/>
      <c r="GX1302" s="15"/>
      <c r="GY1302" s="15"/>
      <c r="GZ1302" s="15"/>
      <c r="HA1302" s="15"/>
      <c r="HB1302" s="15"/>
      <c r="HC1302" s="15"/>
      <c r="HD1302" s="15"/>
      <c r="HE1302" s="15"/>
      <c r="HF1302" s="15"/>
      <c r="HG1302" s="15"/>
      <c r="HH1302" s="15"/>
      <c r="HI1302" s="15"/>
      <c r="HJ1302" s="15"/>
      <c r="HK1302" s="15"/>
      <c r="HL1302" s="15"/>
      <c r="HM1302" s="15"/>
      <c r="HN1302" s="15"/>
      <c r="HO1302" s="15"/>
      <c r="HP1302" s="15"/>
      <c r="HQ1302" s="15"/>
      <c r="HR1302" s="15"/>
      <c r="HS1302" s="15"/>
      <c r="HT1302" s="15"/>
      <c r="HU1302" s="15"/>
      <c r="HV1302" s="15"/>
      <c r="HW1302" s="15"/>
      <c r="HX1302" s="15"/>
      <c r="HY1302" s="15"/>
      <c r="HZ1302" s="15"/>
      <c r="IA1302" s="15"/>
      <c r="IB1302" s="15"/>
      <c r="IC1302" s="15"/>
      <c r="ID1302" s="15"/>
      <c r="IE1302" s="15"/>
      <c r="IF1302" s="15"/>
      <c r="IG1302" s="15"/>
      <c r="IH1302" s="15"/>
      <c r="II1302" s="15"/>
      <c r="IJ1302" s="15"/>
      <c r="IK1302" s="15"/>
      <c r="IL1302" s="15"/>
      <c r="IM1302" s="15"/>
      <c r="IN1302" s="15"/>
      <c r="IO1302" s="15"/>
      <c r="IP1302" s="15"/>
      <c r="IQ1302" s="15"/>
      <c r="IR1302" s="15"/>
      <c r="IS1302" s="15"/>
      <c r="IT1302" s="15"/>
      <c r="IU1302" s="15"/>
      <c r="IV1302" s="15"/>
      <c r="IW1302" s="15"/>
      <c r="IX1302" s="15"/>
      <c r="IY1302" s="15"/>
      <c r="IZ1302" s="15"/>
      <c r="JA1302" s="15"/>
      <c r="JB1302" s="15"/>
      <c r="JC1302" s="15"/>
      <c r="JD1302" s="15"/>
      <c r="JE1302" s="15"/>
      <c r="JF1302" s="15"/>
      <c r="JG1302" s="15"/>
      <c r="JH1302" s="15"/>
      <c r="JI1302" s="15"/>
      <c r="JJ1302" s="15"/>
      <c r="JK1302" s="15"/>
      <c r="JL1302" s="15"/>
      <c r="JM1302" s="15"/>
      <c r="JN1302" s="15"/>
      <c r="JO1302" s="15"/>
      <c r="JP1302" s="15"/>
      <c r="JQ1302" s="15"/>
      <c r="JR1302" s="15"/>
      <c r="JS1302" s="14"/>
      <c r="JT1302" s="15"/>
      <c r="JU1302" s="15"/>
      <c r="JV1302" s="15"/>
      <c r="JW1302" s="15"/>
      <c r="JX1302" s="15"/>
      <c r="JY1302" s="15"/>
      <c r="JZ1302" s="15"/>
      <c r="KA1302" s="16"/>
      <c r="KB1302" s="14"/>
      <c r="KC1302" s="15"/>
      <c r="KD1302" s="15"/>
      <c r="KE1302" s="15"/>
      <c r="KF1302" s="15"/>
      <c r="KG1302" s="15"/>
      <c r="KH1302" s="15"/>
      <c r="KI1302" s="15"/>
      <c r="KJ1302" s="15"/>
      <c r="KK1302" s="15"/>
      <c r="KL1302" s="15"/>
      <c r="KM1302" s="15"/>
      <c r="KN1302" s="14"/>
      <c r="KO1302" s="15"/>
      <c r="KP1302" s="15"/>
      <c r="KQ1302" s="14"/>
      <c r="KR1302" s="15"/>
      <c r="KS1302" s="15"/>
      <c r="KT1302" s="15"/>
      <c r="KU1302" s="15"/>
      <c r="KV1302" s="15"/>
      <c r="KW1302" s="15"/>
      <c r="KX1302" s="15"/>
      <c r="KY1302" s="15"/>
      <c r="KZ1302" s="15"/>
      <c r="LA1302" s="15"/>
      <c r="LB1302" s="15"/>
      <c r="LC1302" s="15"/>
      <c r="LD1302" s="15"/>
      <c r="LE1302" s="15"/>
      <c r="LF1302" s="15"/>
      <c r="LG1302" s="15"/>
      <c r="LH1302" s="15"/>
      <c r="LI1302" s="15"/>
      <c r="LJ1302" s="15"/>
      <c r="LK1302" s="15"/>
      <c r="LL1302" s="15"/>
      <c r="LM1302" s="15"/>
      <c r="LN1302" s="15"/>
      <c r="LO1302" s="15"/>
      <c r="LP1302" s="15"/>
      <c r="LQ1302" s="16"/>
      <c r="LR1302" s="14"/>
      <c r="LS1302" s="15"/>
      <c r="LT1302" s="16"/>
      <c r="LU1302" s="15"/>
      <c r="LV1302" s="15"/>
      <c r="LW1302" s="15"/>
      <c r="LX1302" s="15"/>
      <c r="LY1302" s="15"/>
      <c r="LZ1302" s="15"/>
      <c r="MA1302" s="15"/>
      <c r="MB1302" s="15"/>
      <c r="MC1302" s="15"/>
      <c r="MD1302" s="15"/>
      <c r="ME1302" s="15"/>
      <c r="MF1302" s="15"/>
      <c r="MG1302" s="15"/>
      <c r="MH1302" s="15"/>
      <c r="MI1302" s="15"/>
      <c r="MJ1302" s="15"/>
      <c r="MK1302" s="15"/>
      <c r="ML1302" s="15"/>
      <c r="MM1302" s="15"/>
      <c r="MN1302" s="15"/>
      <c r="MO1302" s="15"/>
      <c r="MP1302" s="15"/>
      <c r="MQ1302" s="15"/>
      <c r="MR1302" s="15"/>
      <c r="MS1302" s="15"/>
      <c r="MT1302" s="15"/>
      <c r="MU1302" s="15"/>
      <c r="MV1302" s="15"/>
      <c r="MW1302" s="15"/>
      <c r="MX1302" s="15"/>
      <c r="MY1302" s="15"/>
      <c r="MZ1302" s="15"/>
      <c r="NA1302" s="16"/>
      <c r="NB1302" s="14"/>
      <c r="NC1302" s="15"/>
      <c r="ND1302" s="15"/>
      <c r="NE1302" s="15"/>
      <c r="NF1302" s="15"/>
      <c r="NG1302" s="15"/>
      <c r="NH1302" s="15"/>
      <c r="NI1302" s="15"/>
      <c r="NJ1302" s="16"/>
      <c r="NK1302" s="15"/>
      <c r="NL1302" s="15"/>
      <c r="NM1302" s="15"/>
      <c r="NN1302" s="15"/>
      <c r="NO1302" s="15"/>
      <c r="NP1302" s="15"/>
      <c r="NQ1302" s="15"/>
      <c r="NR1302" s="15"/>
      <c r="NS1302" s="15"/>
      <c r="NT1302" s="15"/>
      <c r="NU1302" s="15"/>
      <c r="NV1302" s="15"/>
      <c r="NW1302" s="15"/>
      <c r="NX1302" s="15"/>
      <c r="NY1302" s="15"/>
      <c r="NZ1302" s="15"/>
      <c r="OA1302" s="15"/>
      <c r="OB1302" s="15"/>
      <c r="OC1302" s="15"/>
      <c r="OD1302" s="15"/>
      <c r="OE1302" s="15"/>
      <c r="OF1302" s="15"/>
      <c r="OG1302" s="15"/>
      <c r="OH1302" s="15"/>
      <c r="OI1302" s="15"/>
      <c r="OJ1302" s="15"/>
      <c r="OK1302" s="15"/>
      <c r="OL1302" s="15"/>
      <c r="OM1302" s="15"/>
      <c r="ON1302" s="15"/>
      <c r="OO1302" s="15"/>
      <c r="OP1302" s="15"/>
      <c r="OQ1302" s="15"/>
      <c r="OR1302" s="15"/>
      <c r="OS1302" s="15"/>
      <c r="OT1302" s="15"/>
      <c r="OU1302" s="14"/>
      <c r="OV1302" s="15"/>
      <c r="OW1302" s="15"/>
      <c r="OX1302" s="15"/>
      <c r="OY1302" s="15"/>
      <c r="OZ1302" s="15"/>
      <c r="PA1302" s="14"/>
      <c r="PB1302" s="15"/>
      <c r="PC1302" s="15"/>
      <c r="PD1302" s="15"/>
      <c r="PE1302" s="15"/>
      <c r="PF1302" s="15"/>
      <c r="PG1302" s="15"/>
      <c r="PH1302" s="15"/>
      <c r="PI1302" s="15"/>
      <c r="PJ1302" s="15"/>
      <c r="PK1302" s="15"/>
      <c r="PL1302" s="15"/>
      <c r="PM1302" s="15"/>
      <c r="PN1302" s="15"/>
      <c r="PO1302" s="15"/>
      <c r="PP1302" s="15"/>
      <c r="PQ1302" s="15"/>
      <c r="PR1302" s="15"/>
      <c r="PS1302" s="15"/>
      <c r="PT1302" s="15"/>
      <c r="PU1302" s="15"/>
      <c r="PV1302" s="15"/>
      <c r="PW1302" s="15"/>
      <c r="PX1302" s="15"/>
      <c r="PY1302" s="15"/>
      <c r="PZ1302" s="15"/>
      <c r="QA1302" s="15"/>
      <c r="QB1302" s="15"/>
      <c r="QC1302" s="15"/>
      <c r="QD1302" s="15"/>
      <c r="QE1302" s="15"/>
      <c r="QF1302" s="15"/>
      <c r="QG1302" s="15"/>
      <c r="QH1302" s="15"/>
      <c r="QI1302" s="15"/>
      <c r="QJ1302" s="15"/>
      <c r="QK1302" s="15"/>
      <c r="QL1302" s="15"/>
      <c r="QM1302" s="15"/>
      <c r="QN1302" s="15"/>
      <c r="QO1302" s="15"/>
      <c r="QP1302" s="15"/>
      <c r="QQ1302" s="15"/>
      <c r="QR1302" s="15"/>
      <c r="QS1302" s="15"/>
      <c r="QT1302" s="15"/>
      <c r="QU1302" s="15"/>
      <c r="QV1302" s="15"/>
      <c r="QW1302" s="15"/>
      <c r="QX1302" s="15"/>
      <c r="QY1302" s="15"/>
      <c r="QZ1302" s="15"/>
      <c r="RA1302" s="15"/>
      <c r="RB1302" s="15"/>
      <c r="RC1302" s="15"/>
      <c r="RD1302" s="15"/>
      <c r="RE1302" s="15"/>
      <c r="RF1302" s="15"/>
      <c r="RG1302" s="15"/>
      <c r="RH1302" s="15"/>
      <c r="RI1302" s="15"/>
      <c r="RJ1302" s="15"/>
      <c r="RK1302" s="15"/>
      <c r="RL1302" s="15"/>
      <c r="RM1302" s="15"/>
      <c r="RN1302" s="15"/>
      <c r="RO1302" s="14"/>
      <c r="RP1302" s="15"/>
      <c r="RQ1302" s="15"/>
      <c r="RR1302" s="15"/>
      <c r="RS1302" s="15"/>
      <c r="RT1302" s="15"/>
      <c r="RU1302" s="15"/>
      <c r="RV1302" s="15"/>
      <c r="RW1302" s="15"/>
      <c r="RX1302" s="15"/>
      <c r="RY1302" s="15"/>
      <c r="RZ1302" s="15"/>
      <c r="SA1302" s="15"/>
      <c r="SB1302" s="15"/>
      <c r="SC1302" s="15"/>
      <c r="SD1302" s="15"/>
      <c r="SE1302" s="15"/>
      <c r="SF1302" s="15"/>
      <c r="SG1302" s="15"/>
      <c r="SH1302" s="15"/>
      <c r="SI1302" s="15"/>
      <c r="SJ1302" s="15"/>
      <c r="SK1302" s="15"/>
      <c r="SL1302" s="15"/>
      <c r="SM1302" s="15"/>
      <c r="SN1302" s="15"/>
      <c r="SO1302" s="15"/>
      <c r="SP1302" s="15"/>
      <c r="SQ1302" s="15"/>
      <c r="SR1302" s="15"/>
      <c r="SS1302" s="15"/>
      <c r="ST1302" s="15"/>
      <c r="SU1302" s="16"/>
      <c r="SV1302" s="15"/>
      <c r="SW1302" s="15"/>
      <c r="SX1302" s="15"/>
      <c r="SY1302" s="14"/>
      <c r="SZ1302" s="15"/>
      <c r="TA1302" s="15"/>
      <c r="TB1302" s="15"/>
      <c r="TC1302" s="15"/>
      <c r="TD1302" s="15"/>
      <c r="TE1302" s="15"/>
      <c r="TF1302" s="15"/>
      <c r="TG1302" s="16"/>
    </row>
    <row r="1303" spans="34:527" ht="10.75" customHeight="1">
      <c r="AH1303" s="12"/>
      <c r="BL1303" s="20"/>
      <c r="BM1303" s="21"/>
      <c r="BN1303" s="21"/>
      <c r="BO1303" s="21"/>
      <c r="BP1303" s="21"/>
      <c r="BQ1303" s="22"/>
      <c r="BR1303" s="21"/>
      <c r="BS1303" s="21"/>
      <c r="BT1303" s="21"/>
      <c r="BU1303" s="21"/>
      <c r="BV1303" s="21"/>
      <c r="BW1303" s="22"/>
      <c r="CH1303" s="271"/>
      <c r="CI1303" s="271"/>
      <c r="CJ1303" s="271"/>
      <c r="CK1303" s="271"/>
      <c r="DN1303" s="13"/>
      <c r="GJ1303" s="12"/>
      <c r="MG1303" s="10"/>
      <c r="MH1303" s="10"/>
      <c r="MI1303" s="10"/>
      <c r="MJ1303" s="10"/>
      <c r="MK1303" s="10"/>
      <c r="ML1303" s="10"/>
      <c r="MM1303" s="10"/>
      <c r="MN1303" s="10"/>
      <c r="MO1303" s="10"/>
      <c r="MP1303" s="10"/>
      <c r="MQ1303" s="10"/>
      <c r="MR1303" s="10"/>
      <c r="MS1303" s="10"/>
      <c r="MT1303" s="10"/>
      <c r="MU1303" s="10"/>
      <c r="MV1303" s="10"/>
      <c r="MW1303" s="10"/>
      <c r="MX1303" s="10"/>
      <c r="MY1303" s="10"/>
      <c r="MZ1303" s="10"/>
      <c r="NA1303" s="10"/>
      <c r="NB1303" s="10"/>
      <c r="NC1303" s="10"/>
      <c r="ND1303" s="10"/>
      <c r="NE1303" s="10"/>
      <c r="NF1303" s="10"/>
      <c r="NG1303" s="10"/>
      <c r="NH1303" s="10"/>
      <c r="NI1303" s="10"/>
      <c r="NJ1303" s="10"/>
      <c r="NK1303" s="10"/>
      <c r="NL1303" s="10"/>
      <c r="NM1303" s="10"/>
      <c r="NN1303" s="10"/>
      <c r="NO1303" s="10"/>
      <c r="NP1303" s="10"/>
      <c r="NQ1303" s="10"/>
      <c r="NR1303" s="10"/>
      <c r="NS1303" s="10"/>
      <c r="NT1303" s="10"/>
      <c r="NU1303" s="10"/>
      <c r="NV1303" s="10"/>
      <c r="NW1303" s="10"/>
      <c r="NX1303" s="10"/>
      <c r="NY1303" s="10"/>
      <c r="NZ1303" s="10"/>
      <c r="OA1303" s="10"/>
      <c r="OB1303" s="10"/>
      <c r="OC1303" s="10"/>
      <c r="OD1303" s="10"/>
      <c r="OE1303" s="10"/>
      <c r="OF1303" s="10"/>
      <c r="OG1303" s="10"/>
      <c r="OH1303" s="10"/>
      <c r="OI1303" s="10"/>
      <c r="OJ1303" s="10"/>
      <c r="OK1303" s="10"/>
      <c r="OL1303" s="10"/>
      <c r="OM1303" s="10"/>
      <c r="ON1303" s="10"/>
      <c r="OO1303" s="10"/>
      <c r="OP1303" s="10"/>
      <c r="OQ1303" s="10"/>
      <c r="OR1303" s="10"/>
      <c r="OS1303" s="10"/>
      <c r="OT1303" s="10"/>
      <c r="OU1303" s="10"/>
      <c r="OV1303" s="10"/>
      <c r="OW1303" s="10"/>
      <c r="OX1303" s="10"/>
      <c r="OY1303" s="10"/>
      <c r="OZ1303" s="10"/>
      <c r="PA1303" s="10"/>
      <c r="PB1303" s="10"/>
      <c r="PC1303" s="10"/>
      <c r="PD1303" s="10"/>
      <c r="PE1303" s="10"/>
      <c r="PF1303" s="10"/>
      <c r="PG1303" s="10"/>
      <c r="PH1303" s="10"/>
      <c r="PI1303" s="10"/>
      <c r="PJ1303" s="10"/>
      <c r="PK1303" s="10"/>
      <c r="PL1303" s="10"/>
      <c r="PM1303" s="10"/>
      <c r="PN1303" s="10"/>
      <c r="PO1303" s="10"/>
      <c r="PP1303" s="10"/>
      <c r="PQ1303" s="10"/>
      <c r="PR1303" s="10"/>
      <c r="PS1303" s="10"/>
      <c r="PT1303" s="10"/>
      <c r="PU1303" s="10"/>
      <c r="PV1303" s="10"/>
      <c r="PW1303" s="10"/>
      <c r="PX1303" s="10"/>
      <c r="PY1303" s="10"/>
      <c r="PZ1303" s="10"/>
      <c r="QA1303" s="10"/>
      <c r="QB1303" s="10"/>
      <c r="QC1303" s="10"/>
      <c r="QD1303" s="10"/>
      <c r="QE1303" s="10"/>
      <c r="QF1303" s="10"/>
      <c r="QG1303" s="10"/>
      <c r="QH1303" s="10"/>
      <c r="QI1303" s="10"/>
      <c r="QJ1303" s="10"/>
      <c r="QK1303" s="10"/>
      <c r="QL1303" s="10"/>
      <c r="QM1303" s="10"/>
      <c r="QN1303" s="10"/>
      <c r="QO1303" s="10"/>
      <c r="QP1303" s="10"/>
      <c r="QQ1303" s="10"/>
      <c r="QR1303" s="10"/>
      <c r="QS1303" s="10"/>
      <c r="QT1303" s="10"/>
      <c r="QU1303" s="10"/>
      <c r="QV1303" s="10"/>
      <c r="QW1303" s="10"/>
      <c r="QX1303" s="10"/>
      <c r="QY1303" s="10"/>
      <c r="QZ1303" s="10"/>
      <c r="RA1303" s="10"/>
      <c r="RC1303" s="10"/>
      <c r="RD1303" s="10"/>
      <c r="RE1303" s="10"/>
      <c r="RF1303" s="10"/>
      <c r="RG1303" s="10"/>
      <c r="RH1303" s="10"/>
      <c r="RI1303" s="10"/>
      <c r="RJ1303" s="10"/>
      <c r="RK1303" s="10"/>
      <c r="RL1303" s="10"/>
      <c r="RM1303" s="10"/>
      <c r="RN1303" s="10"/>
      <c r="SM1303" s="10"/>
      <c r="SN1303" s="10"/>
      <c r="SO1303" s="10"/>
      <c r="SP1303" s="10"/>
      <c r="SQ1303" s="10"/>
      <c r="SR1303" s="10"/>
      <c r="SS1303" s="10"/>
      <c r="ST1303" s="10"/>
      <c r="SU1303" s="10"/>
      <c r="SV1303" s="10"/>
      <c r="SW1303" s="10"/>
      <c r="SX1303" s="10"/>
      <c r="SY1303" s="10"/>
      <c r="SZ1303" s="10"/>
      <c r="TA1303" s="10"/>
      <c r="TB1303" s="10"/>
      <c r="TC1303" s="10"/>
      <c r="TD1303" s="10"/>
      <c r="TE1303" s="10"/>
      <c r="TF1303" s="10"/>
      <c r="TG1303" s="11"/>
    </row>
    <row r="1304" spans="34:527" ht="10.75" customHeight="1">
      <c r="AH1304" s="12"/>
      <c r="CH1304" s="271"/>
      <c r="CI1304" s="271"/>
      <c r="CJ1304" s="271"/>
      <c r="CK1304" s="271"/>
      <c r="DN1304" s="13"/>
      <c r="GJ1304" s="12"/>
      <c r="TG1304" s="13"/>
    </row>
    <row r="1305" spans="34:527" ht="10.75" customHeight="1">
      <c r="AH1305" s="12"/>
      <c r="AK1305" s="9"/>
      <c r="AL1305" s="10"/>
      <c r="AM1305" s="10"/>
      <c r="AN1305" s="10"/>
      <c r="AO1305" s="10"/>
      <c r="AP1305" s="10"/>
      <c r="AQ1305" s="10"/>
      <c r="AR1305" s="10"/>
      <c r="AS1305" s="10"/>
      <c r="AT1305" s="10"/>
      <c r="AU1305" s="10"/>
      <c r="AV1305" s="10"/>
      <c r="AW1305" s="10"/>
      <c r="AX1305" s="10"/>
      <c r="AY1305" s="10"/>
      <c r="AZ1305" s="10"/>
      <c r="BA1305" s="10"/>
      <c r="BB1305" s="10"/>
      <c r="BC1305" s="10"/>
      <c r="BD1305" s="11"/>
      <c r="BH1305" s="9"/>
      <c r="BI1305" s="10"/>
      <c r="BJ1305" s="10"/>
      <c r="BK1305" s="10"/>
      <c r="BL1305" s="10"/>
      <c r="BM1305" s="10"/>
      <c r="BN1305" s="10"/>
      <c r="BO1305" s="10"/>
      <c r="BP1305" s="10"/>
      <c r="BQ1305" s="10"/>
      <c r="BR1305" s="10"/>
      <c r="BS1305" s="10"/>
      <c r="BT1305" s="10"/>
      <c r="BU1305" s="10"/>
      <c r="BV1305" s="10"/>
      <c r="BW1305" s="10"/>
      <c r="BX1305" s="10"/>
      <c r="BY1305" s="10"/>
      <c r="BZ1305" s="10"/>
      <c r="CA1305" s="10"/>
      <c r="CB1305" s="10"/>
      <c r="CC1305" s="10"/>
      <c r="CD1305" s="10"/>
      <c r="CE1305" s="10"/>
      <c r="CF1305" s="10"/>
      <c r="CG1305" s="10"/>
      <c r="CH1305" s="265"/>
      <c r="CI1305" s="265"/>
      <c r="CJ1305" s="265"/>
      <c r="CK1305" s="265"/>
      <c r="CL1305" s="10"/>
      <c r="CM1305" s="10"/>
      <c r="CN1305" s="10"/>
      <c r="CO1305" s="10"/>
      <c r="CP1305" s="10"/>
      <c r="CQ1305" s="10"/>
      <c r="CR1305" s="10"/>
      <c r="CS1305" s="10"/>
      <c r="CT1305" s="10"/>
      <c r="CU1305" s="10"/>
      <c r="CV1305" s="10"/>
      <c r="CW1305" s="10"/>
      <c r="CX1305" s="10"/>
      <c r="CY1305" s="10"/>
      <c r="CZ1305" s="10"/>
      <c r="DA1305" s="10"/>
      <c r="DB1305" s="10"/>
      <c r="DC1305" s="10"/>
      <c r="DD1305" s="10"/>
      <c r="DE1305" s="10"/>
      <c r="DF1305" s="10"/>
      <c r="DG1305" s="10"/>
      <c r="DH1305" s="10"/>
      <c r="DI1305" s="10"/>
      <c r="DJ1305" s="10"/>
      <c r="DK1305" s="11"/>
      <c r="DN1305" s="13"/>
      <c r="GJ1305" s="12"/>
      <c r="TG1305" s="13"/>
    </row>
    <row r="1306" spans="34:527" ht="10.75" customHeight="1">
      <c r="AH1306" s="12"/>
      <c r="AK1306" s="12"/>
      <c r="BD1306" s="13"/>
      <c r="BH1306" s="12"/>
      <c r="CH1306" s="271"/>
      <c r="CI1306" s="271"/>
      <c r="CJ1306" s="271"/>
      <c r="CK1306" s="271"/>
      <c r="DK1306" s="13"/>
      <c r="DN1306" s="13"/>
      <c r="GJ1306" s="12"/>
      <c r="TG1306" s="13"/>
    </row>
    <row r="1307" spans="34:527" ht="10.75" customHeight="1">
      <c r="AH1307" s="12"/>
      <c r="AK1307" s="12"/>
      <c r="BD1307" s="13"/>
      <c r="BH1307" s="12"/>
      <c r="CH1307" s="271"/>
      <c r="CI1307" s="271"/>
      <c r="CJ1307" s="271"/>
      <c r="CK1307" s="271"/>
      <c r="DK1307" s="13"/>
      <c r="DN1307" s="13"/>
      <c r="GJ1307" s="12"/>
      <c r="TG1307" s="13"/>
    </row>
    <row r="1308" spans="34:527" ht="10.75" customHeight="1">
      <c r="AH1308" s="12"/>
      <c r="AK1308" s="12"/>
      <c r="BD1308" s="13"/>
      <c r="BH1308" s="12"/>
      <c r="CH1308" s="271"/>
      <c r="CI1308" s="271"/>
      <c r="CJ1308" s="271"/>
      <c r="CK1308" s="271"/>
      <c r="DK1308" s="13"/>
      <c r="DN1308" s="13"/>
      <c r="GJ1308" s="12"/>
      <c r="TG1308" s="13"/>
    </row>
    <row r="1309" spans="34:527" ht="10.75" customHeight="1">
      <c r="AH1309" s="12"/>
      <c r="AK1309" s="12"/>
      <c r="BD1309" s="13"/>
      <c r="BH1309" s="12"/>
      <c r="CH1309" s="271"/>
      <c r="CI1309" s="271"/>
      <c r="CJ1309" s="271"/>
      <c r="CK1309" s="271"/>
      <c r="DK1309" s="13"/>
      <c r="DN1309" s="13"/>
      <c r="GJ1309" s="12"/>
      <c r="TG1309" s="13"/>
    </row>
    <row r="1310" spans="34:527" ht="10.75" customHeight="1">
      <c r="AH1310" s="12"/>
      <c r="AK1310" s="12"/>
      <c r="BD1310" s="13"/>
      <c r="BH1310" s="12"/>
      <c r="CH1310" s="271"/>
      <c r="CI1310" s="271"/>
      <c r="CJ1310" s="271"/>
      <c r="CK1310" s="271"/>
      <c r="DK1310" s="13"/>
      <c r="DN1310" s="13"/>
      <c r="GJ1310" s="12"/>
      <c r="TG1310" s="13"/>
    </row>
    <row r="1311" spans="34:527" ht="10.75" customHeight="1">
      <c r="AH1311" s="12"/>
      <c r="AK1311" s="12"/>
      <c r="BD1311" s="13"/>
      <c r="BH1311" s="12"/>
      <c r="CH1311" s="271"/>
      <c r="CI1311" s="271"/>
      <c r="CJ1311" s="271"/>
      <c r="CK1311" s="271"/>
      <c r="DK1311" s="13"/>
      <c r="DN1311" s="13"/>
      <c r="GJ1311" s="12"/>
      <c r="TG1311" s="13"/>
    </row>
    <row r="1312" spans="34:527" ht="10.75" customHeight="1">
      <c r="AH1312" s="12"/>
      <c r="AK1312" s="12"/>
      <c r="BD1312" s="13"/>
      <c r="BH1312" s="12"/>
      <c r="CH1312" s="271"/>
      <c r="CI1312" s="271"/>
      <c r="CJ1312" s="271"/>
      <c r="CK1312" s="271"/>
      <c r="DK1312" s="13"/>
      <c r="DN1312" s="13"/>
      <c r="GJ1312" s="12"/>
      <c r="TG1312" s="13"/>
    </row>
    <row r="1313" spans="34:527" ht="10.75" customHeight="1">
      <c r="AH1313" s="12"/>
      <c r="AK1313" s="12"/>
      <c r="BD1313" s="13"/>
      <c r="BH1313" s="12"/>
      <c r="CH1313" s="271"/>
      <c r="CI1313" s="271"/>
      <c r="CJ1313" s="271"/>
      <c r="CK1313" s="271"/>
      <c r="DK1313" s="13"/>
      <c r="DN1313" s="13"/>
      <c r="GJ1313" s="12"/>
      <c r="TG1313" s="13"/>
    </row>
    <row r="1314" spans="34:527" ht="10.75" customHeight="1">
      <c r="AH1314" s="12"/>
      <c r="AK1314" s="12"/>
      <c r="BD1314" s="13"/>
      <c r="BH1314" s="12"/>
      <c r="CH1314" s="271"/>
      <c r="CI1314" s="271"/>
      <c r="CJ1314" s="271"/>
      <c r="CK1314" s="271"/>
      <c r="DK1314" s="13"/>
      <c r="DN1314" s="13"/>
      <c r="GJ1314" s="12"/>
      <c r="TG1314" s="13"/>
    </row>
    <row r="1315" spans="34:527" ht="10.75" customHeight="1">
      <c r="AH1315" s="12"/>
      <c r="AK1315" s="12"/>
      <c r="BD1315" s="13"/>
      <c r="BH1315" s="12"/>
      <c r="CH1315" s="271"/>
      <c r="CI1315" s="271"/>
      <c r="CJ1315" s="271"/>
      <c r="CK1315" s="271"/>
      <c r="DK1315" s="13"/>
      <c r="DN1315" s="13"/>
      <c r="GJ1315" s="12"/>
      <c r="TG1315" s="13"/>
    </row>
    <row r="1316" spans="34:527" ht="10.75" customHeight="1">
      <c r="AH1316" s="12"/>
      <c r="AK1316" s="12"/>
      <c r="BD1316" s="13"/>
      <c r="BH1316" s="12"/>
      <c r="CH1316" s="271"/>
      <c r="CI1316" s="271"/>
      <c r="CJ1316" s="271"/>
      <c r="CK1316" s="271"/>
      <c r="DK1316" s="13"/>
      <c r="DN1316" s="13"/>
      <c r="GJ1316" s="12"/>
      <c r="TG1316" s="13"/>
    </row>
    <row r="1317" spans="34:527" ht="10.75" customHeight="1">
      <c r="AH1317" s="12"/>
      <c r="AK1317" s="12"/>
      <c r="BD1317" s="13"/>
      <c r="BH1317" s="9"/>
      <c r="BI1317" s="10"/>
      <c r="BJ1317" s="10"/>
      <c r="BK1317" s="10"/>
      <c r="BL1317" s="10"/>
      <c r="BM1317" s="11"/>
      <c r="CH1317" s="271"/>
      <c r="CI1317" s="271"/>
      <c r="CJ1317" s="271"/>
      <c r="CK1317" s="271"/>
      <c r="DK1317" s="13"/>
      <c r="DN1317" s="13"/>
      <c r="GJ1317" s="12"/>
      <c r="TG1317" s="13"/>
    </row>
    <row r="1318" spans="34:527" ht="10.75" customHeight="1">
      <c r="AH1318" s="12"/>
      <c r="AK1318" s="12"/>
      <c r="BD1318" s="13"/>
      <c r="BH1318" s="12"/>
      <c r="BM1318" s="13"/>
      <c r="CH1318" s="271"/>
      <c r="CI1318" s="271"/>
      <c r="CJ1318" s="271"/>
      <c r="CK1318" s="271"/>
      <c r="DK1318" s="13"/>
      <c r="DN1318" s="13"/>
      <c r="GJ1318" s="12"/>
      <c r="TG1318" s="13"/>
    </row>
    <row r="1319" spans="34:527" ht="10.75" customHeight="1">
      <c r="AH1319" s="12"/>
      <c r="AK1319" s="12"/>
      <c r="BD1319" s="13"/>
      <c r="BH1319" s="12"/>
      <c r="BM1319" s="13"/>
      <c r="CH1319" s="271"/>
      <c r="CI1319" s="271"/>
      <c r="CJ1319" s="271"/>
      <c r="CK1319" s="271"/>
      <c r="DK1319" s="13"/>
      <c r="DN1319" s="13"/>
      <c r="GJ1319" s="12"/>
      <c r="TG1319" s="13"/>
    </row>
    <row r="1320" spans="34:527" ht="10.75" customHeight="1">
      <c r="AH1320" s="12"/>
      <c r="AK1320" s="12"/>
      <c r="BD1320" s="13"/>
      <c r="BH1320" s="12"/>
      <c r="BM1320" s="13"/>
      <c r="CH1320" s="271"/>
      <c r="CI1320" s="271"/>
      <c r="CJ1320" s="271"/>
      <c r="CK1320" s="271"/>
      <c r="DK1320" s="13"/>
      <c r="DN1320" s="13"/>
      <c r="GJ1320" s="12"/>
      <c r="TG1320" s="13"/>
    </row>
    <row r="1321" spans="34:527" ht="10.75" customHeight="1">
      <c r="AH1321" s="12"/>
      <c r="AK1321" s="12"/>
      <c r="BD1321" s="13"/>
      <c r="BH1321" s="12"/>
      <c r="BM1321" s="13"/>
      <c r="CH1321" s="271"/>
      <c r="CI1321" s="271"/>
      <c r="CJ1321" s="271"/>
      <c r="CK1321" s="271"/>
      <c r="DK1321" s="13"/>
      <c r="DN1321" s="13"/>
      <c r="GJ1321" s="12"/>
      <c r="TG1321" s="13"/>
    </row>
    <row r="1322" spans="34:527" ht="10.75" customHeight="1">
      <c r="AH1322" s="12"/>
      <c r="AK1322" s="12"/>
      <c r="BD1322" s="13"/>
      <c r="BH1322" s="12"/>
      <c r="BM1322" s="13"/>
      <c r="CH1322" s="271"/>
      <c r="CI1322" s="271"/>
      <c r="CJ1322" s="271"/>
      <c r="CK1322" s="271"/>
      <c r="DK1322" s="13"/>
      <c r="DN1322" s="13"/>
      <c r="GJ1322" s="12"/>
      <c r="TG1322" s="13"/>
    </row>
    <row r="1323" spans="34:527" ht="10.75" customHeight="1">
      <c r="AH1323" s="12"/>
      <c r="AK1323" s="12"/>
      <c r="BD1323" s="13"/>
      <c r="BH1323" s="12"/>
      <c r="BM1323" s="13"/>
      <c r="CH1323" s="271"/>
      <c r="CI1323" s="271"/>
      <c r="CJ1323" s="271"/>
      <c r="CK1323" s="271"/>
      <c r="DK1323" s="13"/>
      <c r="DN1323" s="13"/>
      <c r="GJ1323" s="12"/>
      <c r="TG1323" s="13"/>
    </row>
    <row r="1324" spans="34:527" ht="10.75" customHeight="1">
      <c r="AH1324" s="107"/>
      <c r="AI1324" s="127"/>
      <c r="AJ1324" s="127"/>
      <c r="AK1324" s="107"/>
      <c r="AL1324" s="127"/>
      <c r="AM1324" s="127"/>
      <c r="AN1324" s="127"/>
      <c r="AO1324" s="127"/>
      <c r="AP1324" s="127"/>
      <c r="AQ1324" s="127"/>
      <c r="AR1324" s="127"/>
      <c r="AS1324" s="127"/>
      <c r="AT1324" s="127"/>
      <c r="AU1324" s="127"/>
      <c r="AV1324" s="127"/>
      <c r="AW1324" s="127"/>
      <c r="AX1324" s="127"/>
      <c r="AY1324" s="127"/>
      <c r="AZ1324" s="127"/>
      <c r="BA1324" s="127"/>
      <c r="BB1324" s="127"/>
      <c r="BC1324" s="127"/>
      <c r="BD1324" s="90"/>
      <c r="BE1324" s="127"/>
      <c r="BF1324" s="127"/>
      <c r="BG1324" s="127"/>
      <c r="BH1324" s="107"/>
      <c r="BI1324" s="127"/>
      <c r="BJ1324" s="127"/>
      <c r="BK1324" s="127"/>
      <c r="BL1324" s="127"/>
      <c r="BM1324" s="90"/>
      <c r="BN1324" s="127"/>
      <c r="BO1324" s="127"/>
      <c r="BP1324" s="127"/>
      <c r="BQ1324" s="127"/>
      <c r="BR1324" s="127"/>
      <c r="BS1324" s="127"/>
      <c r="BT1324" s="127"/>
      <c r="BU1324" s="127"/>
      <c r="BV1324" s="127"/>
      <c r="BW1324" s="127"/>
      <c r="BX1324" s="127"/>
      <c r="BY1324" s="127"/>
      <c r="BZ1324" s="127"/>
      <c r="CA1324" s="127"/>
      <c r="CB1324" s="127"/>
      <c r="CC1324" s="127"/>
      <c r="CD1324" s="127"/>
      <c r="CE1324" s="127"/>
      <c r="CF1324" s="127"/>
      <c r="CG1324" s="127"/>
      <c r="CH1324" s="127"/>
      <c r="CI1324" s="127"/>
      <c r="CJ1324" s="127"/>
      <c r="CK1324" s="127"/>
      <c r="CL1324" s="127"/>
      <c r="CM1324" s="127"/>
      <c r="CN1324" s="127"/>
      <c r="CO1324" s="127"/>
      <c r="CP1324" s="127"/>
      <c r="CQ1324" s="127"/>
      <c r="CR1324" s="127"/>
      <c r="CS1324" s="127"/>
      <c r="CT1324" s="127"/>
      <c r="CU1324" s="127"/>
      <c r="CV1324" s="127"/>
      <c r="CW1324" s="127"/>
      <c r="CX1324" s="127"/>
      <c r="CY1324" s="127"/>
      <c r="CZ1324" s="127"/>
      <c r="DA1324" s="127"/>
      <c r="DB1324" s="127"/>
      <c r="DC1324" s="127"/>
      <c r="DD1324" s="127"/>
      <c r="DE1324" s="127"/>
      <c r="DF1324" s="127"/>
      <c r="DG1324" s="127"/>
      <c r="DH1324" s="127"/>
      <c r="DI1324" s="127"/>
      <c r="DJ1324" s="127"/>
      <c r="DK1324" s="90"/>
      <c r="DL1324" s="127"/>
      <c r="DM1324" s="127"/>
      <c r="DN1324" s="90"/>
      <c r="GJ1324" s="12"/>
      <c r="TG1324" s="13"/>
    </row>
    <row r="1325" spans="34:527" ht="10.75" customHeight="1">
      <c r="AH1325" s="107"/>
      <c r="AI1325" s="127"/>
      <c r="AJ1325" s="127"/>
      <c r="AK1325" s="107"/>
      <c r="AL1325" s="127"/>
      <c r="AM1325" s="127"/>
      <c r="AN1325" s="127"/>
      <c r="AO1325" s="127"/>
      <c r="AP1325" s="127"/>
      <c r="AQ1325" s="127"/>
      <c r="AR1325" s="127"/>
      <c r="AS1325" s="127"/>
      <c r="AT1325" s="127"/>
      <c r="AU1325" s="127"/>
      <c r="AV1325" s="127"/>
      <c r="AW1325" s="127"/>
      <c r="AX1325" s="127"/>
      <c r="AY1325" s="127"/>
      <c r="AZ1325" s="127"/>
      <c r="BA1325" s="127"/>
      <c r="BB1325" s="127"/>
      <c r="BC1325" s="127"/>
      <c r="BD1325" s="90"/>
      <c r="BE1325" s="127"/>
      <c r="BF1325" s="127"/>
      <c r="BG1325" s="127"/>
      <c r="BH1325" s="107"/>
      <c r="BI1325" s="127"/>
      <c r="BJ1325" s="127"/>
      <c r="BK1325" s="127"/>
      <c r="BL1325" s="127"/>
      <c r="BM1325" s="90"/>
      <c r="BN1325" s="127"/>
      <c r="BO1325" s="127"/>
      <c r="BP1325" s="127"/>
      <c r="BQ1325" s="127"/>
      <c r="BR1325" s="127"/>
      <c r="BS1325" s="127"/>
      <c r="BT1325" s="127"/>
      <c r="BU1325" s="127"/>
      <c r="BV1325" s="127"/>
      <c r="BW1325" s="127"/>
      <c r="BX1325" s="127"/>
      <c r="BY1325" s="127"/>
      <c r="BZ1325" s="127"/>
      <c r="CA1325" s="127"/>
      <c r="CB1325" s="127"/>
      <c r="CC1325" s="127"/>
      <c r="CD1325" s="127"/>
      <c r="CE1325" s="127"/>
      <c r="CF1325" s="127"/>
      <c r="CG1325" s="127"/>
      <c r="CH1325" s="127"/>
      <c r="CI1325" s="127"/>
      <c r="CJ1325" s="127"/>
      <c r="CK1325" s="127"/>
      <c r="CL1325" s="127"/>
      <c r="CM1325" s="127"/>
      <c r="CN1325" s="127"/>
      <c r="CO1325" s="127"/>
      <c r="CP1325" s="127"/>
      <c r="CQ1325" s="127"/>
      <c r="CR1325" s="127"/>
      <c r="CS1325" s="127"/>
      <c r="CT1325" s="127"/>
      <c r="CU1325" s="127"/>
      <c r="CV1325" s="127"/>
      <c r="CW1325" s="127"/>
      <c r="CX1325" s="127"/>
      <c r="CY1325" s="127"/>
      <c r="CZ1325" s="127"/>
      <c r="DA1325" s="127"/>
      <c r="DB1325" s="127"/>
      <c r="DC1325" s="127"/>
      <c r="DD1325" s="127"/>
      <c r="DE1325" s="127"/>
      <c r="DF1325" s="127"/>
      <c r="DG1325" s="127"/>
      <c r="DH1325" s="127"/>
      <c r="DI1325" s="127"/>
      <c r="DJ1325" s="127"/>
      <c r="DK1325" s="90"/>
      <c r="DL1325" s="127"/>
      <c r="DM1325" s="127"/>
      <c r="DN1325" s="90"/>
      <c r="GJ1325" s="12"/>
      <c r="TG1325" s="13"/>
    </row>
    <row r="1326" spans="34:527" ht="10.75" customHeight="1">
      <c r="AH1326" s="12"/>
      <c r="AK1326" s="12"/>
      <c r="BD1326" s="13"/>
      <c r="BH1326" s="14"/>
      <c r="BI1326" s="15"/>
      <c r="BJ1326" s="15"/>
      <c r="BK1326" s="15"/>
      <c r="BL1326" s="15"/>
      <c r="BM1326" s="16"/>
      <c r="CH1326" s="271"/>
      <c r="CI1326" s="271"/>
      <c r="CJ1326" s="271"/>
      <c r="CK1326" s="271"/>
      <c r="DK1326" s="13"/>
      <c r="DN1326" s="13"/>
      <c r="GJ1326" s="14"/>
      <c r="GK1326" s="15"/>
      <c r="GL1326" s="15"/>
      <c r="GM1326" s="15"/>
      <c r="GN1326" s="15"/>
      <c r="GO1326" s="15"/>
      <c r="GP1326" s="15"/>
      <c r="GQ1326" s="15"/>
      <c r="GR1326" s="15"/>
      <c r="GS1326" s="15"/>
      <c r="GT1326" s="15"/>
      <c r="GU1326" s="15"/>
      <c r="GV1326" s="15"/>
      <c r="GW1326" s="15"/>
      <c r="GX1326" s="15"/>
      <c r="GY1326" s="15"/>
      <c r="GZ1326" s="15"/>
      <c r="HA1326" s="15"/>
      <c r="HB1326" s="15"/>
      <c r="HC1326" s="15"/>
      <c r="HD1326" s="15"/>
      <c r="HE1326" s="15"/>
      <c r="HF1326" s="15"/>
      <c r="HG1326" s="15"/>
      <c r="HH1326" s="15"/>
      <c r="HI1326" s="15"/>
      <c r="HJ1326" s="15"/>
      <c r="HK1326" s="15"/>
      <c r="HL1326" s="15"/>
      <c r="HM1326" s="15"/>
      <c r="HN1326" s="15"/>
      <c r="HO1326" s="15"/>
      <c r="HP1326" s="15"/>
      <c r="HQ1326" s="15"/>
      <c r="HR1326" s="15"/>
      <c r="HS1326" s="15"/>
      <c r="HT1326" s="15"/>
      <c r="HU1326" s="15"/>
      <c r="HV1326" s="15"/>
      <c r="HW1326" s="15"/>
      <c r="HX1326" s="15"/>
      <c r="HY1326" s="15"/>
      <c r="HZ1326" s="15"/>
      <c r="IA1326" s="15"/>
      <c r="IB1326" s="15"/>
      <c r="IC1326" s="15"/>
      <c r="ID1326" s="15"/>
      <c r="IE1326" s="15"/>
      <c r="IF1326" s="15"/>
      <c r="IG1326" s="15"/>
      <c r="IH1326" s="15"/>
      <c r="II1326" s="15"/>
      <c r="IJ1326" s="15"/>
      <c r="IK1326" s="15"/>
      <c r="IL1326" s="15"/>
      <c r="IM1326" s="15"/>
      <c r="IN1326" s="15"/>
      <c r="IO1326" s="15"/>
      <c r="IP1326" s="15"/>
      <c r="IQ1326" s="15"/>
      <c r="IR1326" s="15"/>
      <c r="IS1326" s="15"/>
      <c r="IT1326" s="15"/>
      <c r="IU1326" s="15"/>
      <c r="IV1326" s="15"/>
      <c r="IW1326" s="15"/>
      <c r="IX1326" s="15"/>
      <c r="IY1326" s="15"/>
      <c r="IZ1326" s="15"/>
      <c r="JA1326" s="15"/>
      <c r="JB1326" s="15"/>
      <c r="JC1326" s="15"/>
      <c r="JD1326" s="15"/>
      <c r="JE1326" s="15"/>
      <c r="JF1326" s="15"/>
      <c r="JG1326" s="15"/>
      <c r="JH1326" s="15"/>
      <c r="JI1326" s="15"/>
      <c r="JJ1326" s="15"/>
      <c r="JK1326" s="15"/>
      <c r="JL1326" s="15"/>
      <c r="JM1326" s="15"/>
      <c r="JN1326" s="15"/>
      <c r="JO1326" s="15"/>
      <c r="JP1326" s="15"/>
      <c r="JQ1326" s="15"/>
      <c r="JR1326" s="15"/>
      <c r="JS1326" s="15"/>
      <c r="JT1326" s="15"/>
      <c r="JU1326" s="15"/>
      <c r="JV1326" s="15"/>
      <c r="JW1326" s="15"/>
      <c r="JX1326" s="15"/>
      <c r="JY1326" s="15"/>
      <c r="JZ1326" s="15"/>
      <c r="KA1326" s="15"/>
      <c r="KB1326" s="15"/>
      <c r="KC1326" s="15"/>
      <c r="KD1326" s="15"/>
      <c r="KE1326" s="15"/>
      <c r="KF1326" s="15"/>
      <c r="KG1326" s="15"/>
      <c r="KH1326" s="15"/>
      <c r="KI1326" s="15"/>
      <c r="KJ1326" s="15"/>
      <c r="KK1326" s="15"/>
      <c r="KL1326" s="15"/>
      <c r="KM1326" s="15"/>
      <c r="KN1326" s="15"/>
      <c r="KO1326" s="15"/>
      <c r="KP1326" s="15"/>
      <c r="KQ1326" s="15"/>
      <c r="KR1326" s="15"/>
      <c r="KS1326" s="15"/>
      <c r="KT1326" s="15"/>
      <c r="KU1326" s="15"/>
      <c r="KV1326" s="15"/>
      <c r="KW1326" s="15"/>
      <c r="KX1326" s="15"/>
      <c r="KY1326" s="15"/>
      <c r="KZ1326" s="15"/>
      <c r="LA1326" s="15"/>
      <c r="LB1326" s="15"/>
      <c r="LC1326" s="15"/>
      <c r="LD1326" s="15"/>
      <c r="LE1326" s="15"/>
      <c r="LF1326" s="15"/>
      <c r="LG1326" s="15"/>
      <c r="LH1326" s="15"/>
      <c r="LI1326" s="15"/>
      <c r="LJ1326" s="15"/>
      <c r="LK1326" s="15"/>
      <c r="LL1326" s="15"/>
      <c r="LM1326" s="15"/>
      <c r="LN1326" s="15"/>
      <c r="LO1326" s="15"/>
      <c r="LP1326" s="15"/>
      <c r="LQ1326" s="15"/>
      <c r="LR1326" s="15"/>
      <c r="LS1326" s="15"/>
      <c r="LT1326" s="15"/>
      <c r="LU1326" s="15"/>
      <c r="LV1326" s="15"/>
      <c r="LW1326" s="15"/>
      <c r="LX1326" s="15"/>
      <c r="LY1326" s="15"/>
      <c r="LZ1326" s="15"/>
      <c r="MA1326" s="15"/>
      <c r="MB1326" s="15"/>
      <c r="MC1326" s="15"/>
      <c r="MD1326" s="15"/>
      <c r="ME1326" s="15"/>
      <c r="MF1326" s="15"/>
      <c r="MG1326" s="15"/>
      <c r="MH1326" s="15"/>
      <c r="MI1326" s="15"/>
      <c r="MJ1326" s="15"/>
      <c r="MK1326" s="15"/>
      <c r="ML1326" s="15"/>
      <c r="MM1326" s="15"/>
      <c r="MN1326" s="15"/>
      <c r="MO1326" s="15"/>
      <c r="MP1326" s="15"/>
      <c r="MQ1326" s="15"/>
      <c r="MR1326" s="15"/>
      <c r="MS1326" s="15"/>
      <c r="MT1326" s="15"/>
      <c r="MU1326" s="15"/>
      <c r="MV1326" s="15"/>
      <c r="MW1326" s="15"/>
      <c r="MX1326" s="15"/>
      <c r="MY1326" s="15"/>
      <c r="MZ1326" s="15"/>
      <c r="NA1326" s="15"/>
      <c r="NB1326" s="15"/>
      <c r="NC1326" s="15"/>
      <c r="ND1326" s="15"/>
      <c r="NE1326" s="15"/>
      <c r="NF1326" s="15"/>
      <c r="NG1326" s="15"/>
      <c r="NH1326" s="15"/>
      <c r="NI1326" s="15"/>
      <c r="NJ1326" s="15"/>
      <c r="NK1326" s="15"/>
      <c r="NL1326" s="15"/>
      <c r="NM1326" s="15"/>
      <c r="NN1326" s="15"/>
      <c r="NO1326" s="15"/>
      <c r="NP1326" s="15"/>
      <c r="NQ1326" s="15"/>
      <c r="NR1326" s="15"/>
      <c r="NS1326" s="15"/>
      <c r="NT1326" s="15"/>
      <c r="NU1326" s="15"/>
      <c r="NV1326" s="15"/>
      <c r="NW1326" s="15"/>
      <c r="NX1326" s="15"/>
      <c r="NY1326" s="15"/>
      <c r="NZ1326" s="15"/>
      <c r="OA1326" s="15"/>
      <c r="OB1326" s="15"/>
      <c r="OC1326" s="15"/>
      <c r="OD1326" s="15"/>
      <c r="OE1326" s="15"/>
      <c r="OF1326" s="15"/>
      <c r="OG1326" s="15"/>
      <c r="OH1326" s="15"/>
      <c r="OI1326" s="15"/>
      <c r="OJ1326" s="15"/>
      <c r="OK1326" s="15"/>
      <c r="OL1326" s="15"/>
      <c r="OM1326" s="15"/>
      <c r="ON1326" s="15"/>
      <c r="OO1326" s="15"/>
      <c r="OP1326" s="15"/>
      <c r="OQ1326" s="15"/>
      <c r="OR1326" s="15"/>
      <c r="OS1326" s="15"/>
      <c r="OT1326" s="15"/>
      <c r="OU1326" s="15"/>
      <c r="OV1326" s="15"/>
      <c r="OW1326" s="15"/>
      <c r="OX1326" s="15"/>
      <c r="OY1326" s="15"/>
      <c r="OZ1326" s="15"/>
      <c r="PA1326" s="15"/>
      <c r="PB1326" s="15"/>
      <c r="PC1326" s="15"/>
      <c r="PD1326" s="15"/>
      <c r="PE1326" s="15"/>
      <c r="PF1326" s="15"/>
      <c r="PG1326" s="15"/>
      <c r="PH1326" s="15"/>
      <c r="PI1326" s="15"/>
      <c r="PJ1326" s="15"/>
      <c r="PK1326" s="15"/>
      <c r="PL1326" s="15"/>
      <c r="PM1326" s="15"/>
      <c r="PN1326" s="15"/>
      <c r="PO1326" s="15"/>
      <c r="PP1326" s="15"/>
      <c r="PQ1326" s="15"/>
      <c r="PR1326" s="15"/>
      <c r="PS1326" s="15"/>
      <c r="PT1326" s="15"/>
      <c r="PU1326" s="15"/>
      <c r="PV1326" s="15"/>
      <c r="PW1326" s="15"/>
      <c r="PX1326" s="15"/>
      <c r="PY1326" s="15"/>
      <c r="PZ1326" s="15"/>
      <c r="QA1326" s="15"/>
      <c r="QB1326" s="15"/>
      <c r="QC1326" s="15"/>
      <c r="QD1326" s="15"/>
      <c r="QE1326" s="15"/>
      <c r="QF1326" s="15"/>
      <c r="QG1326" s="15"/>
      <c r="QH1326" s="15"/>
      <c r="QI1326" s="15"/>
      <c r="QJ1326" s="15"/>
      <c r="QK1326" s="15"/>
      <c r="QL1326" s="15"/>
      <c r="QM1326" s="15"/>
      <c r="QN1326" s="15"/>
      <c r="QO1326" s="15"/>
      <c r="QP1326" s="15"/>
      <c r="QQ1326" s="15"/>
      <c r="QR1326" s="15"/>
      <c r="QS1326" s="15"/>
      <c r="QT1326" s="15"/>
      <c r="QU1326" s="15"/>
      <c r="QV1326" s="15"/>
      <c r="QW1326" s="15"/>
      <c r="QX1326" s="15"/>
      <c r="QY1326" s="15"/>
      <c r="QZ1326" s="15"/>
      <c r="RA1326" s="15"/>
      <c r="RB1326" s="15"/>
      <c r="RC1326" s="15"/>
      <c r="RD1326" s="15"/>
      <c r="RE1326" s="15"/>
      <c r="RF1326" s="15"/>
      <c r="RG1326" s="15"/>
      <c r="RH1326" s="15"/>
      <c r="RI1326" s="15"/>
      <c r="RJ1326" s="15"/>
      <c r="RK1326" s="15"/>
      <c r="RL1326" s="15"/>
      <c r="RM1326" s="15"/>
      <c r="RN1326" s="15"/>
      <c r="RO1326" s="15"/>
      <c r="RP1326" s="15"/>
      <c r="RQ1326" s="15"/>
      <c r="RR1326" s="15"/>
      <c r="RS1326" s="15"/>
      <c r="RT1326" s="15"/>
      <c r="RU1326" s="15"/>
      <c r="RV1326" s="15"/>
      <c r="RW1326" s="15"/>
      <c r="RX1326" s="15"/>
      <c r="RY1326" s="15"/>
      <c r="RZ1326" s="15"/>
      <c r="SA1326" s="15"/>
      <c r="SB1326" s="15"/>
      <c r="SC1326" s="15"/>
      <c r="SD1326" s="15"/>
      <c r="SE1326" s="15"/>
      <c r="SF1326" s="15"/>
      <c r="SG1326" s="15"/>
      <c r="SH1326" s="15"/>
      <c r="SI1326" s="15"/>
      <c r="SJ1326" s="15"/>
      <c r="SK1326" s="15"/>
      <c r="SL1326" s="15"/>
      <c r="SM1326" s="15"/>
      <c r="SN1326" s="15"/>
      <c r="SO1326" s="15"/>
      <c r="SP1326" s="15"/>
      <c r="SQ1326" s="15"/>
      <c r="SR1326" s="15"/>
      <c r="SS1326" s="15"/>
      <c r="ST1326" s="15"/>
      <c r="SU1326" s="15"/>
      <c r="SV1326" s="15"/>
      <c r="SW1326" s="15"/>
      <c r="SX1326" s="15"/>
      <c r="SY1326" s="15"/>
      <c r="SZ1326" s="15"/>
      <c r="TA1326" s="15"/>
      <c r="TB1326" s="15"/>
      <c r="TC1326" s="15"/>
      <c r="TD1326" s="15"/>
      <c r="TE1326" s="15"/>
      <c r="TF1326" s="15"/>
      <c r="TG1326" s="16"/>
    </row>
    <row r="1327" spans="34:527" ht="10.75" customHeight="1">
      <c r="AH1327" s="12"/>
      <c r="AK1327" s="12"/>
      <c r="BD1327" s="13"/>
      <c r="BH1327" s="12"/>
      <c r="CH1327" s="271"/>
      <c r="CI1327" s="271"/>
      <c r="CJ1327" s="271"/>
      <c r="CK1327" s="271"/>
      <c r="DK1327" s="13"/>
      <c r="DN1327" s="13"/>
    </row>
    <row r="1328" spans="34:527" ht="10.75" customHeight="1">
      <c r="AH1328" s="12"/>
      <c r="AK1328" s="12"/>
      <c r="BD1328" s="13"/>
      <c r="BH1328" s="12"/>
      <c r="CH1328" s="271"/>
      <c r="CI1328" s="271"/>
      <c r="CJ1328" s="271"/>
      <c r="CK1328" s="271"/>
      <c r="DK1328" s="13"/>
      <c r="DN1328" s="13"/>
    </row>
    <row r="1329" spans="34:118" ht="10.75" customHeight="1">
      <c r="AH1329" s="12"/>
      <c r="AK1329" s="12"/>
      <c r="BD1329" s="13"/>
      <c r="BH1329" s="12"/>
      <c r="CH1329" s="271"/>
      <c r="CI1329" s="271"/>
      <c r="CJ1329" s="271"/>
      <c r="CK1329" s="271"/>
      <c r="DK1329" s="13"/>
      <c r="DN1329" s="13"/>
    </row>
    <row r="1330" spans="34:118" ht="10.75" customHeight="1">
      <c r="AH1330" s="12"/>
      <c r="AK1330" s="12"/>
      <c r="BD1330" s="13"/>
      <c r="BH1330" s="12"/>
      <c r="CH1330" s="271"/>
      <c r="CI1330" s="271"/>
      <c r="CJ1330" s="271"/>
      <c r="CK1330" s="271"/>
      <c r="DK1330" s="13"/>
      <c r="DN1330" s="13"/>
    </row>
    <row r="1331" spans="34:118" ht="10.75" customHeight="1">
      <c r="AH1331" s="12"/>
      <c r="AK1331" s="12"/>
      <c r="BD1331" s="13"/>
      <c r="BF1331" s="17"/>
      <c r="BH1331" s="12"/>
      <c r="CH1331" s="271"/>
      <c r="CI1331" s="271"/>
      <c r="CJ1331" s="271"/>
      <c r="CK1331" s="271"/>
      <c r="DK1331" s="13"/>
      <c r="DN1331" s="13"/>
    </row>
    <row r="1332" spans="34:118" ht="10.75" customHeight="1">
      <c r="AH1332" s="12"/>
      <c r="AK1332" s="12"/>
      <c r="BD1332" s="13"/>
      <c r="BF1332" s="18"/>
      <c r="BH1332" s="12"/>
      <c r="CH1332" s="271"/>
      <c r="CI1332" s="271"/>
      <c r="CJ1332" s="271"/>
      <c r="CK1332" s="271"/>
      <c r="DK1332" s="13"/>
      <c r="DN1332" s="13"/>
    </row>
    <row r="1333" spans="34:118" ht="10.75" customHeight="1">
      <c r="AH1333" s="12"/>
      <c r="AK1333" s="12"/>
      <c r="BD1333" s="13"/>
      <c r="BF1333" s="18"/>
      <c r="BH1333" s="12"/>
      <c r="CH1333" s="271"/>
      <c r="CI1333" s="271"/>
      <c r="CJ1333" s="271"/>
      <c r="CK1333" s="271"/>
      <c r="DK1333" s="13"/>
      <c r="DN1333" s="13"/>
    </row>
    <row r="1334" spans="34:118" ht="10.75" customHeight="1">
      <c r="AH1334" s="12"/>
      <c r="AK1334" s="12"/>
      <c r="BD1334" s="13"/>
      <c r="BF1334" s="18"/>
      <c r="BH1334" s="12"/>
      <c r="CH1334" s="271"/>
      <c r="CI1334" s="271"/>
      <c r="CJ1334" s="271"/>
      <c r="CK1334" s="271"/>
      <c r="DK1334" s="13"/>
      <c r="DN1334" s="13"/>
    </row>
    <row r="1335" spans="34:118" ht="10.75" customHeight="1">
      <c r="AH1335" s="12"/>
      <c r="AK1335" s="12"/>
      <c r="BD1335" s="13"/>
      <c r="BF1335" s="18"/>
      <c r="BH1335" s="12"/>
      <c r="CH1335" s="271"/>
      <c r="CI1335" s="271"/>
      <c r="CJ1335" s="271"/>
      <c r="CK1335" s="271"/>
      <c r="DK1335" s="13"/>
      <c r="DN1335" s="13"/>
    </row>
    <row r="1336" spans="34:118" ht="10.75" customHeight="1">
      <c r="AH1336" s="12"/>
      <c r="AK1336" s="12"/>
      <c r="BD1336" s="13"/>
      <c r="BF1336" s="18"/>
      <c r="BH1336" s="12"/>
      <c r="CH1336" s="271"/>
      <c r="CI1336" s="271"/>
      <c r="CJ1336" s="271"/>
      <c r="CK1336" s="271"/>
      <c r="DK1336" s="13"/>
      <c r="DN1336" s="13"/>
    </row>
    <row r="1337" spans="34:118" ht="10.75" customHeight="1">
      <c r="AH1337" s="12"/>
      <c r="AK1337" s="12"/>
      <c r="BD1337" s="13"/>
      <c r="BF1337" s="18"/>
      <c r="BH1337" s="12"/>
      <c r="CH1337" s="271"/>
      <c r="CI1337" s="271"/>
      <c r="CJ1337" s="271"/>
      <c r="CK1337" s="271"/>
      <c r="DK1337" s="13"/>
      <c r="DN1337" s="13"/>
    </row>
    <row r="1338" spans="34:118" ht="10.75" customHeight="1">
      <c r="AH1338" s="12"/>
      <c r="AK1338" s="12"/>
      <c r="BD1338" s="13"/>
      <c r="BF1338" s="18"/>
      <c r="BH1338" s="12"/>
      <c r="CH1338" s="271"/>
      <c r="CI1338" s="271"/>
      <c r="CJ1338" s="271"/>
      <c r="CK1338" s="271"/>
      <c r="DK1338" s="13"/>
      <c r="DN1338" s="13"/>
    </row>
    <row r="1339" spans="34:118" ht="10.75" customHeight="1">
      <c r="AH1339" s="12"/>
      <c r="AK1339" s="12"/>
      <c r="BD1339" s="13"/>
      <c r="BF1339" s="18"/>
      <c r="BH1339" s="12"/>
      <c r="CH1339" s="271"/>
      <c r="CI1339" s="271"/>
      <c r="CJ1339" s="271"/>
      <c r="CK1339" s="271"/>
      <c r="DK1339" s="13"/>
      <c r="DN1339" s="13"/>
    </row>
    <row r="1340" spans="34:118" ht="10.75" customHeight="1">
      <c r="AH1340" s="12"/>
      <c r="AK1340" s="12"/>
      <c r="BD1340" s="13"/>
      <c r="BF1340" s="19"/>
      <c r="BH1340" s="12"/>
      <c r="CH1340" s="271"/>
      <c r="CI1340" s="271"/>
      <c r="CJ1340" s="271"/>
      <c r="CK1340" s="271"/>
      <c r="DK1340" s="13"/>
      <c r="DN1340" s="13"/>
    </row>
    <row r="1341" spans="34:118" ht="10.75" customHeight="1">
      <c r="AH1341" s="12"/>
      <c r="AK1341" s="12"/>
      <c r="BD1341" s="13"/>
      <c r="BH1341" s="12"/>
      <c r="CH1341" s="271"/>
      <c r="CI1341" s="271"/>
      <c r="CJ1341" s="271"/>
      <c r="CK1341" s="271"/>
      <c r="DK1341" s="13"/>
      <c r="DN1341" s="13"/>
    </row>
    <row r="1342" spans="34:118" ht="10.75" customHeight="1">
      <c r="AH1342" s="12"/>
      <c r="AK1342" s="12"/>
      <c r="BD1342" s="13"/>
      <c r="BH1342" s="12"/>
      <c r="CH1342" s="271"/>
      <c r="CI1342" s="271"/>
      <c r="CJ1342" s="271"/>
      <c r="CK1342" s="271"/>
      <c r="DK1342" s="13"/>
      <c r="DN1342" s="13"/>
    </row>
    <row r="1343" spans="34:118" ht="10.75" customHeight="1">
      <c r="AH1343" s="12"/>
      <c r="AK1343" s="12"/>
      <c r="BD1343" s="13"/>
      <c r="BH1343" s="12"/>
      <c r="CH1343" s="271"/>
      <c r="CI1343" s="271"/>
      <c r="CJ1343" s="271"/>
      <c r="CK1343" s="271"/>
      <c r="DK1343" s="13"/>
      <c r="DN1343" s="13"/>
    </row>
    <row r="1344" spans="34:118" ht="10.75" customHeight="1">
      <c r="AH1344" s="12"/>
      <c r="AK1344" s="14"/>
      <c r="AL1344" s="15"/>
      <c r="AM1344" s="15"/>
      <c r="AN1344" s="15"/>
      <c r="AO1344" s="15"/>
      <c r="AP1344" s="15"/>
      <c r="AQ1344" s="15"/>
      <c r="AR1344" s="15"/>
      <c r="AS1344" s="15"/>
      <c r="AT1344" s="15"/>
      <c r="AU1344" s="15"/>
      <c r="AV1344" s="15"/>
      <c r="AW1344" s="15"/>
      <c r="AX1344" s="15"/>
      <c r="AY1344" s="15"/>
      <c r="AZ1344" s="15"/>
      <c r="BA1344" s="15"/>
      <c r="BB1344" s="15"/>
      <c r="BC1344" s="15"/>
      <c r="BD1344" s="16"/>
      <c r="BH1344" s="14"/>
      <c r="BI1344" s="15"/>
      <c r="BJ1344" s="15"/>
      <c r="BK1344" s="15"/>
      <c r="BL1344" s="15"/>
      <c r="BM1344" s="15"/>
      <c r="BN1344" s="15"/>
      <c r="BO1344" s="15"/>
      <c r="BP1344" s="15"/>
      <c r="BQ1344" s="15"/>
      <c r="BR1344" s="15"/>
      <c r="BS1344" s="15"/>
      <c r="BT1344" s="15"/>
      <c r="BU1344" s="15"/>
      <c r="BV1344" s="15"/>
      <c r="BW1344" s="15"/>
      <c r="BX1344" s="15"/>
      <c r="BY1344" s="15"/>
      <c r="BZ1344" s="15"/>
      <c r="CA1344" s="15"/>
      <c r="CB1344" s="15"/>
      <c r="CC1344" s="15"/>
      <c r="CD1344" s="15"/>
      <c r="CE1344" s="15"/>
      <c r="CF1344" s="15"/>
      <c r="CG1344" s="15"/>
      <c r="CH1344" s="268"/>
      <c r="CI1344" s="268"/>
      <c r="CJ1344" s="268"/>
      <c r="CK1344" s="268"/>
      <c r="CL1344" s="15"/>
      <c r="CM1344" s="15"/>
      <c r="CN1344" s="15"/>
      <c r="CO1344" s="15"/>
      <c r="CP1344" s="15"/>
      <c r="CQ1344" s="15"/>
      <c r="CR1344" s="15"/>
      <c r="CS1344" s="15"/>
      <c r="CT1344" s="15"/>
      <c r="CU1344" s="15"/>
      <c r="CV1344" s="15"/>
      <c r="CW1344" s="15"/>
      <c r="CX1344" s="15"/>
      <c r="CY1344" s="15"/>
      <c r="CZ1344" s="15"/>
      <c r="DA1344" s="15"/>
      <c r="DB1344" s="15"/>
      <c r="DC1344" s="15"/>
      <c r="DD1344" s="15"/>
      <c r="DE1344" s="15"/>
      <c r="DF1344" s="15"/>
      <c r="DG1344" s="15"/>
      <c r="DH1344" s="15"/>
      <c r="DI1344" s="15"/>
      <c r="DJ1344" s="15"/>
      <c r="DK1344" s="16"/>
      <c r="DN1344" s="13"/>
    </row>
    <row r="1345" spans="34:118" ht="10.75" customHeight="1">
      <c r="AH1345" s="12"/>
      <c r="CH1345" s="271"/>
      <c r="CI1345" s="271"/>
      <c r="CJ1345" s="271"/>
      <c r="CK1345" s="271"/>
      <c r="DN1345" s="13"/>
    </row>
    <row r="1346" spans="34:118" ht="10.75" customHeight="1">
      <c r="AH1346" s="12"/>
      <c r="BL1346" s="20"/>
      <c r="BM1346" s="21"/>
      <c r="BN1346" s="21"/>
      <c r="BO1346" s="21"/>
      <c r="BP1346" s="21"/>
      <c r="BQ1346" s="22"/>
      <c r="BR1346" s="21"/>
      <c r="BS1346" s="21"/>
      <c r="BT1346" s="21"/>
      <c r="BU1346" s="21"/>
      <c r="BV1346" s="21"/>
      <c r="BW1346" s="22"/>
      <c r="CH1346" s="271"/>
      <c r="CI1346" s="271"/>
      <c r="CJ1346" s="271"/>
      <c r="CK1346" s="271"/>
      <c r="DN1346" s="13"/>
    </row>
    <row r="1347" spans="34:118" ht="10.75" customHeight="1">
      <c r="AH1347" s="12"/>
      <c r="CH1347" s="271"/>
      <c r="CI1347" s="271"/>
      <c r="CJ1347" s="271"/>
      <c r="CK1347" s="271"/>
      <c r="DN1347" s="13"/>
    </row>
    <row r="1348" spans="34:118" ht="10.75" customHeight="1">
      <c r="AH1348" s="12"/>
      <c r="AK1348" s="9"/>
      <c r="AL1348" s="10"/>
      <c r="AM1348" s="10"/>
      <c r="AN1348" s="10"/>
      <c r="AO1348" s="10"/>
      <c r="AP1348" s="10"/>
      <c r="AQ1348" s="10"/>
      <c r="AR1348" s="10"/>
      <c r="AS1348" s="10"/>
      <c r="AT1348" s="10"/>
      <c r="AU1348" s="10"/>
      <c r="AV1348" s="10"/>
      <c r="AW1348" s="10"/>
      <c r="AX1348" s="10"/>
      <c r="AY1348" s="10"/>
      <c r="AZ1348" s="10"/>
      <c r="BA1348" s="10"/>
      <c r="BB1348" s="10"/>
      <c r="BC1348" s="10"/>
      <c r="BD1348" s="11"/>
      <c r="BH1348" s="9"/>
      <c r="BI1348" s="10"/>
      <c r="BJ1348" s="10"/>
      <c r="BK1348" s="10"/>
      <c r="BL1348" s="10"/>
      <c r="BM1348" s="10"/>
      <c r="BN1348" s="10"/>
      <c r="BO1348" s="10"/>
      <c r="BP1348" s="10"/>
      <c r="BQ1348" s="10"/>
      <c r="BR1348" s="10"/>
      <c r="BS1348" s="10"/>
      <c r="BT1348" s="10"/>
      <c r="BU1348" s="10"/>
      <c r="BV1348" s="10"/>
      <c r="BW1348" s="10"/>
      <c r="BX1348" s="10"/>
      <c r="BY1348" s="10"/>
      <c r="BZ1348" s="10"/>
      <c r="CA1348" s="10"/>
      <c r="CB1348" s="10"/>
      <c r="CC1348" s="10"/>
      <c r="CD1348" s="10"/>
      <c r="CE1348" s="10"/>
      <c r="CF1348" s="10"/>
      <c r="CG1348" s="10"/>
      <c r="CH1348" s="265"/>
      <c r="CI1348" s="265"/>
      <c r="CJ1348" s="265"/>
      <c r="CK1348" s="265"/>
      <c r="CL1348" s="10"/>
      <c r="CM1348" s="10"/>
      <c r="CN1348" s="10"/>
      <c r="CO1348" s="10"/>
      <c r="CP1348" s="10"/>
      <c r="CQ1348" s="10"/>
      <c r="CR1348" s="10"/>
      <c r="CS1348" s="10"/>
      <c r="CT1348" s="10"/>
      <c r="CU1348" s="10"/>
      <c r="CV1348" s="10"/>
      <c r="CW1348" s="10"/>
      <c r="CX1348" s="10"/>
      <c r="CY1348" s="10"/>
      <c r="CZ1348" s="10"/>
      <c r="DA1348" s="10"/>
      <c r="DB1348" s="10"/>
      <c r="DC1348" s="10"/>
      <c r="DD1348" s="10"/>
      <c r="DE1348" s="10"/>
      <c r="DF1348" s="10"/>
      <c r="DG1348" s="10"/>
      <c r="DH1348" s="10"/>
      <c r="DI1348" s="10"/>
      <c r="DJ1348" s="10"/>
      <c r="DK1348" s="11"/>
      <c r="DN1348" s="13"/>
    </row>
    <row r="1349" spans="34:118" ht="10.75" customHeight="1">
      <c r="AH1349" s="12"/>
      <c r="AK1349" s="12"/>
      <c r="BD1349" s="13"/>
      <c r="BH1349" s="12"/>
      <c r="CH1349" s="271"/>
      <c r="CI1349" s="271"/>
      <c r="CJ1349" s="271"/>
      <c r="CK1349" s="271"/>
      <c r="DK1349" s="13"/>
      <c r="DN1349" s="13"/>
    </row>
    <row r="1350" spans="34:118" ht="10.75" customHeight="1">
      <c r="AH1350" s="12"/>
      <c r="AK1350" s="12"/>
      <c r="BD1350" s="13"/>
      <c r="BH1350" s="12"/>
      <c r="CH1350" s="271"/>
      <c r="CI1350" s="271"/>
      <c r="CJ1350" s="271"/>
      <c r="CK1350" s="271"/>
      <c r="DK1350" s="13"/>
      <c r="DN1350" s="13"/>
    </row>
    <row r="1351" spans="34:118" ht="10.75" customHeight="1">
      <c r="AH1351" s="12"/>
      <c r="AK1351" s="12"/>
      <c r="BD1351" s="13"/>
      <c r="BH1351" s="12"/>
      <c r="CH1351" s="271"/>
      <c r="CI1351" s="271"/>
      <c r="CJ1351" s="271"/>
      <c r="CK1351" s="271"/>
      <c r="DK1351" s="13"/>
      <c r="DN1351" s="13"/>
    </row>
    <row r="1352" spans="34:118" ht="10.75" customHeight="1">
      <c r="AH1352" s="12"/>
      <c r="AK1352" s="12"/>
      <c r="BD1352" s="13"/>
      <c r="BF1352" s="17"/>
      <c r="BH1352" s="12"/>
      <c r="CH1352" s="271"/>
      <c r="CI1352" s="271"/>
      <c r="CJ1352" s="271"/>
      <c r="CK1352" s="271"/>
      <c r="DK1352" s="13"/>
      <c r="DN1352" s="13"/>
    </row>
    <row r="1353" spans="34:118" ht="10.75" customHeight="1">
      <c r="AH1353" s="12"/>
      <c r="AK1353" s="12"/>
      <c r="BD1353" s="13"/>
      <c r="BF1353" s="18"/>
      <c r="BH1353" s="12"/>
      <c r="CH1353" s="271"/>
      <c r="CI1353" s="271"/>
      <c r="CJ1353" s="271"/>
      <c r="CK1353" s="271"/>
      <c r="DK1353" s="13"/>
      <c r="DN1353" s="13"/>
    </row>
    <row r="1354" spans="34:118" ht="10.75" customHeight="1">
      <c r="AH1354" s="12"/>
      <c r="AK1354" s="12"/>
      <c r="BD1354" s="13"/>
      <c r="BF1354" s="18"/>
      <c r="BH1354" s="12"/>
      <c r="CH1354" s="271"/>
      <c r="CI1354" s="271"/>
      <c r="CJ1354" s="271"/>
      <c r="CK1354" s="271"/>
      <c r="DK1354" s="13"/>
      <c r="DN1354" s="13"/>
    </row>
    <row r="1355" spans="34:118" ht="10.75" customHeight="1">
      <c r="AH1355" s="12"/>
      <c r="AK1355" s="12"/>
      <c r="BD1355" s="13"/>
      <c r="BF1355" s="18"/>
      <c r="BH1355" s="12"/>
      <c r="CH1355" s="271"/>
      <c r="CI1355" s="271"/>
      <c r="CJ1355" s="271"/>
      <c r="CK1355" s="271"/>
      <c r="DK1355" s="13"/>
      <c r="DN1355" s="13"/>
    </row>
    <row r="1356" spans="34:118" ht="10.75" customHeight="1">
      <c r="AH1356" s="12"/>
      <c r="AK1356" s="12"/>
      <c r="BD1356" s="13"/>
      <c r="BF1356" s="18"/>
      <c r="BH1356" s="12"/>
      <c r="CH1356" s="271"/>
      <c r="CI1356" s="271"/>
      <c r="CJ1356" s="271"/>
      <c r="CK1356" s="271"/>
      <c r="DK1356" s="13"/>
      <c r="DN1356" s="13"/>
    </row>
    <row r="1357" spans="34:118" ht="10.75" customHeight="1">
      <c r="AH1357" s="12"/>
      <c r="AK1357" s="12"/>
      <c r="BD1357" s="13"/>
      <c r="BF1357" s="18"/>
      <c r="BH1357" s="12"/>
      <c r="CH1357" s="271"/>
      <c r="CI1357" s="271"/>
      <c r="CJ1357" s="271"/>
      <c r="CK1357" s="271"/>
      <c r="DK1357" s="13"/>
      <c r="DN1357" s="13"/>
    </row>
    <row r="1358" spans="34:118" ht="10.75" customHeight="1">
      <c r="AH1358" s="12"/>
      <c r="AK1358" s="12"/>
      <c r="BD1358" s="13"/>
      <c r="BF1358" s="18"/>
      <c r="BH1358" s="12"/>
      <c r="CH1358" s="271"/>
      <c r="CI1358" s="271"/>
      <c r="CJ1358" s="271"/>
      <c r="CK1358" s="271"/>
      <c r="DK1358" s="13"/>
      <c r="DN1358" s="13"/>
    </row>
    <row r="1359" spans="34:118" ht="10.75" customHeight="1">
      <c r="AH1359" s="12"/>
      <c r="AK1359" s="12"/>
      <c r="BD1359" s="13"/>
      <c r="BF1359" s="18"/>
      <c r="BH1359" s="12"/>
      <c r="CH1359" s="271"/>
      <c r="CI1359" s="271"/>
      <c r="CJ1359" s="271"/>
      <c r="CK1359" s="271"/>
      <c r="DK1359" s="13"/>
      <c r="DN1359" s="13"/>
    </row>
    <row r="1360" spans="34:118" ht="10.75" customHeight="1">
      <c r="AH1360" s="12"/>
      <c r="AK1360" s="12"/>
      <c r="BD1360" s="13"/>
      <c r="BF1360" s="18"/>
      <c r="BH1360" s="12"/>
      <c r="CH1360" s="271"/>
      <c r="CI1360" s="271"/>
      <c r="CJ1360" s="271"/>
      <c r="CK1360" s="271"/>
      <c r="DK1360" s="13"/>
      <c r="DN1360" s="13"/>
    </row>
    <row r="1361" spans="34:118" ht="10.75" customHeight="1">
      <c r="AH1361" s="12"/>
      <c r="AK1361" s="12"/>
      <c r="BD1361" s="13"/>
      <c r="BF1361" s="19"/>
      <c r="BH1361" s="12"/>
      <c r="CH1361" s="271"/>
      <c r="CI1361" s="271"/>
      <c r="CJ1361" s="271"/>
      <c r="CK1361" s="271"/>
      <c r="DK1361" s="13"/>
      <c r="DN1361" s="13"/>
    </row>
    <row r="1362" spans="34:118" ht="10.75" customHeight="1">
      <c r="AH1362" s="12"/>
      <c r="AK1362" s="12"/>
      <c r="BD1362" s="13"/>
      <c r="BH1362" s="12"/>
      <c r="CH1362" s="271"/>
      <c r="CI1362" s="271"/>
      <c r="CJ1362" s="271"/>
      <c r="CK1362" s="271"/>
      <c r="DK1362" s="13"/>
      <c r="DN1362" s="13"/>
    </row>
    <row r="1363" spans="34:118" ht="10.75" customHeight="1">
      <c r="AH1363" s="12"/>
      <c r="AK1363" s="12"/>
      <c r="BD1363" s="13"/>
      <c r="BH1363" s="12"/>
      <c r="CH1363" s="271"/>
      <c r="CI1363" s="271"/>
      <c r="CJ1363" s="271"/>
      <c r="CK1363" s="271"/>
      <c r="DK1363" s="13"/>
      <c r="DN1363" s="13"/>
    </row>
    <row r="1364" spans="34:118" ht="10.75" customHeight="1">
      <c r="AH1364" s="12"/>
      <c r="AK1364" s="12"/>
      <c r="BD1364" s="13"/>
      <c r="BH1364" s="12"/>
      <c r="CH1364" s="271"/>
      <c r="CI1364" s="271"/>
      <c r="CJ1364" s="271"/>
      <c r="CK1364" s="271"/>
      <c r="DK1364" s="13"/>
      <c r="DN1364" s="13"/>
    </row>
    <row r="1365" spans="34:118" ht="10.75" customHeight="1">
      <c r="AH1365" s="12"/>
      <c r="AK1365" s="12"/>
      <c r="BD1365" s="13"/>
      <c r="BH1365" s="12"/>
      <c r="CH1365" s="271"/>
      <c r="CI1365" s="271"/>
      <c r="CJ1365" s="271"/>
      <c r="CK1365" s="271"/>
      <c r="DK1365" s="13"/>
      <c r="DN1365" s="13"/>
    </row>
    <row r="1366" spans="34:118" ht="10.75" customHeight="1">
      <c r="AH1366" s="12"/>
      <c r="AK1366" s="12"/>
      <c r="BD1366" s="13"/>
      <c r="BH1366" s="12"/>
      <c r="CH1366" s="271"/>
      <c r="CI1366" s="271"/>
      <c r="CJ1366" s="271"/>
      <c r="CK1366" s="271"/>
      <c r="DK1366" s="13"/>
      <c r="DN1366" s="13"/>
    </row>
    <row r="1367" spans="34:118" ht="10.75" customHeight="1">
      <c r="AH1367" s="107"/>
      <c r="AI1367" s="127"/>
      <c r="AJ1367" s="127"/>
      <c r="AK1367" s="107"/>
      <c r="AL1367" s="127"/>
      <c r="AM1367" s="127"/>
      <c r="AN1367" s="127"/>
      <c r="AO1367" s="127"/>
      <c r="AP1367" s="127"/>
      <c r="AQ1367" s="127"/>
      <c r="AR1367" s="127"/>
      <c r="AS1367" s="127"/>
      <c r="AT1367" s="127"/>
      <c r="AU1367" s="127"/>
      <c r="AV1367" s="127"/>
      <c r="AW1367" s="127"/>
      <c r="AX1367" s="127"/>
      <c r="AY1367" s="127"/>
      <c r="AZ1367" s="127"/>
      <c r="BA1367" s="127"/>
      <c r="BB1367" s="127"/>
      <c r="BC1367" s="127"/>
      <c r="BD1367" s="90"/>
      <c r="BE1367" s="127"/>
      <c r="BF1367" s="127"/>
      <c r="BG1367" s="127"/>
      <c r="BH1367" s="107"/>
      <c r="BI1367" s="127"/>
      <c r="BJ1367" s="127"/>
      <c r="BK1367" s="127"/>
      <c r="BL1367" s="127"/>
      <c r="BM1367" s="127"/>
      <c r="BN1367" s="127"/>
      <c r="BO1367" s="127"/>
      <c r="BP1367" s="127"/>
      <c r="BQ1367" s="127"/>
      <c r="BR1367" s="127"/>
      <c r="BS1367" s="127"/>
      <c r="BT1367" s="127"/>
      <c r="BU1367" s="127"/>
      <c r="BV1367" s="127"/>
      <c r="BW1367" s="127"/>
      <c r="BX1367" s="127"/>
      <c r="BY1367" s="127"/>
      <c r="BZ1367" s="127"/>
      <c r="CA1367" s="127"/>
      <c r="CB1367" s="127"/>
      <c r="CC1367" s="127"/>
      <c r="CD1367" s="127"/>
      <c r="CE1367" s="127"/>
      <c r="CF1367" s="127"/>
      <c r="CG1367" s="127"/>
      <c r="CH1367" s="127"/>
      <c r="CI1367" s="127"/>
      <c r="CJ1367" s="127"/>
      <c r="CK1367" s="127"/>
      <c r="CL1367" s="127"/>
      <c r="CM1367" s="127"/>
      <c r="CN1367" s="127"/>
      <c r="CO1367" s="127"/>
      <c r="CP1367" s="127"/>
      <c r="CQ1367" s="127"/>
      <c r="CR1367" s="127"/>
      <c r="CS1367" s="127"/>
      <c r="CT1367" s="127"/>
      <c r="CU1367" s="127"/>
      <c r="CV1367" s="127"/>
      <c r="CW1367" s="127"/>
      <c r="CX1367" s="127"/>
      <c r="CY1367" s="127"/>
      <c r="CZ1367" s="127"/>
      <c r="DA1367" s="127"/>
      <c r="DB1367" s="127"/>
      <c r="DC1367" s="127"/>
      <c r="DD1367" s="127"/>
      <c r="DE1367" s="127"/>
      <c r="DF1367" s="127"/>
      <c r="DG1367" s="127"/>
      <c r="DH1367" s="127"/>
      <c r="DI1367" s="127"/>
      <c r="DJ1367" s="127"/>
      <c r="DK1367" s="90"/>
      <c r="DL1367" s="127"/>
      <c r="DM1367" s="127"/>
      <c r="DN1367" s="90"/>
    </row>
    <row r="1368" spans="34:118" ht="10.75" customHeight="1">
      <c r="AH1368" s="107"/>
      <c r="AI1368" s="127"/>
      <c r="AJ1368" s="127"/>
      <c r="AK1368" s="107"/>
      <c r="AL1368" s="127"/>
      <c r="AM1368" s="127"/>
      <c r="AN1368" s="127"/>
      <c r="AO1368" s="127"/>
      <c r="AP1368" s="127"/>
      <c r="AQ1368" s="127"/>
      <c r="AR1368" s="127"/>
      <c r="AS1368" s="127"/>
      <c r="AT1368" s="127"/>
      <c r="AU1368" s="127"/>
      <c r="AV1368" s="127"/>
      <c r="AW1368" s="127"/>
      <c r="AX1368" s="127"/>
      <c r="AY1368" s="127"/>
      <c r="AZ1368" s="127"/>
      <c r="BA1368" s="127"/>
      <c r="BB1368" s="127"/>
      <c r="BC1368" s="127"/>
      <c r="BD1368" s="90"/>
      <c r="BE1368" s="127"/>
      <c r="BF1368" s="127"/>
      <c r="BG1368" s="127"/>
      <c r="BH1368" s="107"/>
      <c r="BI1368" s="127"/>
      <c r="BJ1368" s="127"/>
      <c r="BK1368" s="127"/>
      <c r="BL1368" s="127"/>
      <c r="BM1368" s="127"/>
      <c r="BN1368" s="127"/>
      <c r="BO1368" s="127"/>
      <c r="BP1368" s="127"/>
      <c r="BQ1368" s="127"/>
      <c r="BR1368" s="127"/>
      <c r="BS1368" s="127"/>
      <c r="BT1368" s="127"/>
      <c r="BU1368" s="127"/>
      <c r="BV1368" s="127"/>
      <c r="BW1368" s="127"/>
      <c r="BX1368" s="127"/>
      <c r="BY1368" s="127"/>
      <c r="BZ1368" s="127"/>
      <c r="CA1368" s="127"/>
      <c r="CB1368" s="127"/>
      <c r="CC1368" s="127"/>
      <c r="CD1368" s="127"/>
      <c r="CE1368" s="127"/>
      <c r="CF1368" s="127"/>
      <c r="CG1368" s="127"/>
      <c r="CH1368" s="127"/>
      <c r="CI1368" s="127"/>
      <c r="CJ1368" s="127"/>
      <c r="CK1368" s="127"/>
      <c r="CL1368" s="127"/>
      <c r="CM1368" s="127"/>
      <c r="CN1368" s="127"/>
      <c r="CO1368" s="127"/>
      <c r="CP1368" s="127"/>
      <c r="CQ1368" s="127"/>
      <c r="CR1368" s="127"/>
      <c r="CS1368" s="127"/>
      <c r="CT1368" s="127"/>
      <c r="CU1368" s="127"/>
      <c r="CV1368" s="127"/>
      <c r="CW1368" s="127"/>
      <c r="CX1368" s="127"/>
      <c r="CY1368" s="127"/>
      <c r="CZ1368" s="127"/>
      <c r="DA1368" s="127"/>
      <c r="DB1368" s="127"/>
      <c r="DC1368" s="127"/>
      <c r="DD1368" s="127"/>
      <c r="DE1368" s="127"/>
      <c r="DF1368" s="127"/>
      <c r="DG1368" s="127"/>
      <c r="DH1368" s="127"/>
      <c r="DI1368" s="127"/>
      <c r="DJ1368" s="127"/>
      <c r="DK1368" s="90"/>
      <c r="DL1368" s="127"/>
      <c r="DM1368" s="127"/>
      <c r="DN1368" s="90"/>
    </row>
    <row r="1369" spans="34:118" ht="10.75" customHeight="1">
      <c r="AH1369" s="12"/>
      <c r="AK1369" s="12"/>
      <c r="BD1369" s="13"/>
      <c r="BH1369" s="12"/>
      <c r="CH1369" s="271"/>
      <c r="CI1369" s="271"/>
      <c r="CJ1369" s="271"/>
      <c r="CK1369" s="271"/>
      <c r="DK1369" s="13"/>
      <c r="DN1369" s="13"/>
    </row>
    <row r="1370" spans="34:118" ht="10.75" customHeight="1">
      <c r="AH1370" s="12"/>
      <c r="AK1370" s="12"/>
      <c r="BD1370" s="13"/>
      <c r="BH1370" s="12"/>
      <c r="CH1370" s="271"/>
      <c r="CI1370" s="271"/>
      <c r="CJ1370" s="271"/>
      <c r="CK1370" s="271"/>
      <c r="DK1370" s="13"/>
      <c r="DN1370" s="13"/>
    </row>
    <row r="1371" spans="34:118" ht="10.75" customHeight="1">
      <c r="AH1371" s="12"/>
      <c r="AK1371" s="12"/>
      <c r="BD1371" s="13"/>
      <c r="BH1371" s="12"/>
      <c r="CH1371" s="271"/>
      <c r="CI1371" s="271"/>
      <c r="CJ1371" s="271"/>
      <c r="CK1371" s="271"/>
      <c r="DK1371" s="13"/>
      <c r="DN1371" s="13"/>
    </row>
    <row r="1372" spans="34:118" ht="10.75" customHeight="1">
      <c r="AH1372" s="12"/>
      <c r="AK1372" s="12"/>
      <c r="BD1372" s="13"/>
      <c r="BH1372" s="12"/>
      <c r="CH1372" s="271"/>
      <c r="CI1372" s="271"/>
      <c r="CJ1372" s="271"/>
      <c r="CK1372" s="271"/>
      <c r="DK1372" s="13"/>
      <c r="DN1372" s="13"/>
    </row>
    <row r="1373" spans="34:118" ht="10.75" customHeight="1">
      <c r="AH1373" s="12"/>
      <c r="AK1373" s="12"/>
      <c r="BD1373" s="13"/>
      <c r="BH1373" s="12"/>
      <c r="CH1373" s="271"/>
      <c r="CI1373" s="271"/>
      <c r="CJ1373" s="271"/>
      <c r="CK1373" s="271"/>
      <c r="DK1373" s="13"/>
      <c r="DN1373" s="13"/>
    </row>
    <row r="1374" spans="34:118" ht="10.75" customHeight="1">
      <c r="AH1374" s="12"/>
      <c r="AK1374" s="12"/>
      <c r="BD1374" s="13"/>
      <c r="BH1374" s="12"/>
      <c r="CH1374" s="271"/>
      <c r="CI1374" s="271"/>
      <c r="CJ1374" s="271"/>
      <c r="CK1374" s="271"/>
      <c r="DK1374" s="13"/>
      <c r="DN1374" s="13"/>
    </row>
    <row r="1375" spans="34:118" ht="10.75" customHeight="1">
      <c r="AH1375" s="12"/>
      <c r="AK1375" s="12"/>
      <c r="BD1375" s="13"/>
      <c r="BH1375" s="12"/>
      <c r="CH1375" s="271"/>
      <c r="CI1375" s="271"/>
      <c r="CJ1375" s="271"/>
      <c r="CK1375" s="271"/>
      <c r="DK1375" s="13"/>
      <c r="DN1375" s="13"/>
    </row>
    <row r="1376" spans="34:118" ht="10.75" customHeight="1">
      <c r="AH1376" s="12"/>
      <c r="AK1376" s="12"/>
      <c r="BD1376" s="13"/>
      <c r="BH1376" s="12"/>
      <c r="CH1376" s="271"/>
      <c r="CI1376" s="271"/>
      <c r="CJ1376" s="271"/>
      <c r="CK1376" s="271"/>
      <c r="DK1376" s="13"/>
      <c r="DN1376" s="13"/>
    </row>
    <row r="1377" spans="34:333" ht="10.75" customHeight="1">
      <c r="AH1377" s="12"/>
      <c r="AK1377" s="12"/>
      <c r="BD1377" s="13"/>
      <c r="BH1377" s="12"/>
      <c r="CH1377" s="271"/>
      <c r="CI1377" s="271"/>
      <c r="CJ1377" s="271"/>
      <c r="CK1377" s="271"/>
      <c r="DK1377" s="13"/>
      <c r="DN1377" s="13"/>
    </row>
    <row r="1378" spans="34:333" ht="10.75" customHeight="1">
      <c r="AH1378" s="12"/>
      <c r="AK1378" s="12"/>
      <c r="BD1378" s="13"/>
      <c r="BH1378" s="12"/>
      <c r="CH1378" s="271"/>
      <c r="CI1378" s="271"/>
      <c r="CJ1378" s="271"/>
      <c r="CK1378" s="271"/>
      <c r="DK1378" s="13"/>
      <c r="DN1378" s="13"/>
    </row>
    <row r="1379" spans="34:333" ht="10.75" customHeight="1">
      <c r="AH1379" s="12"/>
      <c r="AK1379" s="12"/>
      <c r="BD1379" s="13"/>
      <c r="BH1379" s="12"/>
      <c r="CH1379" s="271"/>
      <c r="CI1379" s="271"/>
      <c r="CJ1379" s="271"/>
      <c r="CK1379" s="271"/>
      <c r="DK1379" s="13"/>
      <c r="DN1379" s="13"/>
    </row>
    <row r="1380" spans="34:333" ht="10.75" customHeight="1">
      <c r="AH1380" s="12"/>
      <c r="AK1380" s="12"/>
      <c r="BD1380" s="13"/>
      <c r="BH1380" s="12"/>
      <c r="CH1380" s="271"/>
      <c r="CI1380" s="271"/>
      <c r="CJ1380" s="271"/>
      <c r="CK1380" s="271"/>
      <c r="DK1380" s="13"/>
      <c r="DN1380" s="13"/>
    </row>
    <row r="1381" spans="34:333" ht="10.75" customHeight="1">
      <c r="AH1381" s="12"/>
      <c r="AK1381" s="12"/>
      <c r="BD1381" s="13"/>
      <c r="BH1381" s="12"/>
      <c r="CH1381" s="271"/>
      <c r="CI1381" s="271"/>
      <c r="CJ1381" s="271"/>
      <c r="CK1381" s="271"/>
      <c r="DK1381" s="13"/>
      <c r="DN1381" s="13"/>
    </row>
    <row r="1382" spans="34:333" ht="10.75" customHeight="1">
      <c r="AH1382" s="12"/>
      <c r="AK1382" s="12"/>
      <c r="BD1382" s="13"/>
      <c r="BH1382" s="12"/>
      <c r="CH1382" s="271"/>
      <c r="CI1382" s="271"/>
      <c r="CJ1382" s="271"/>
      <c r="CK1382" s="271"/>
      <c r="DK1382" s="13"/>
      <c r="DN1382" s="13"/>
    </row>
    <row r="1383" spans="34:333" ht="10.75" customHeight="1">
      <c r="AH1383" s="12"/>
      <c r="AK1383" s="12"/>
      <c r="BD1383" s="13"/>
      <c r="BH1383" s="12"/>
      <c r="CH1383" s="271"/>
      <c r="CI1383" s="271"/>
      <c r="CJ1383" s="271"/>
      <c r="CK1383" s="271"/>
      <c r="DK1383" s="13"/>
      <c r="DN1383" s="13"/>
    </row>
    <row r="1384" spans="34:333" ht="10.75" customHeight="1">
      <c r="AH1384" s="12"/>
      <c r="AK1384" s="12"/>
      <c r="BD1384" s="13"/>
      <c r="BH1384" s="12"/>
      <c r="CH1384" s="271"/>
      <c r="CI1384" s="271"/>
      <c r="CJ1384" s="271"/>
      <c r="CK1384" s="271"/>
      <c r="DK1384" s="13"/>
      <c r="DN1384" s="13"/>
    </row>
    <row r="1385" spans="34:333" ht="10.75" customHeight="1">
      <c r="AH1385" s="12"/>
      <c r="AK1385" s="12"/>
      <c r="BD1385" s="13"/>
      <c r="BH1385" s="12"/>
      <c r="CH1385" s="271"/>
      <c r="CI1385" s="271"/>
      <c r="CJ1385" s="271"/>
      <c r="CK1385" s="271"/>
      <c r="DK1385" s="13"/>
      <c r="DN1385" s="13"/>
      <c r="GT1385" s="9"/>
      <c r="GU1385" s="10"/>
      <c r="GV1385" s="10"/>
      <c r="GW1385" s="10"/>
      <c r="GX1385" s="10"/>
      <c r="GY1385" s="10"/>
      <c r="GZ1385" s="10"/>
      <c r="HA1385" s="10"/>
      <c r="HB1385" s="10"/>
      <c r="HC1385" s="10"/>
      <c r="HD1385" s="10"/>
      <c r="HE1385" s="10"/>
      <c r="HF1385" s="10"/>
      <c r="HG1385" s="10"/>
      <c r="HH1385" s="10"/>
      <c r="HI1385" s="10"/>
      <c r="HJ1385" s="10"/>
      <c r="HK1385" s="10"/>
      <c r="HL1385" s="10"/>
      <c r="HM1385" s="10"/>
      <c r="HN1385" s="10"/>
      <c r="HO1385" s="10"/>
      <c r="HP1385" s="10"/>
      <c r="HQ1385" s="10"/>
      <c r="HR1385" s="10"/>
      <c r="HS1385" s="10"/>
      <c r="HT1385" s="10"/>
      <c r="HU1385" s="10"/>
      <c r="HV1385" s="10"/>
      <c r="HW1385" s="10"/>
      <c r="HX1385" s="10"/>
      <c r="HY1385" s="10"/>
      <c r="HZ1385" s="10"/>
      <c r="IA1385" s="10"/>
      <c r="IB1385" s="10"/>
      <c r="IC1385" s="10"/>
      <c r="ID1385" s="10"/>
      <c r="IE1385" s="10"/>
      <c r="IF1385" s="10"/>
      <c r="IG1385" s="10"/>
      <c r="IH1385" s="10"/>
      <c r="II1385" s="10"/>
      <c r="IJ1385" s="10"/>
      <c r="IK1385" s="10"/>
      <c r="IL1385" s="10"/>
      <c r="IM1385" s="10"/>
      <c r="IN1385" s="10"/>
      <c r="IO1385" s="10"/>
      <c r="IP1385" s="10"/>
      <c r="IQ1385" s="10"/>
      <c r="IR1385" s="10"/>
      <c r="IS1385" s="10"/>
      <c r="IT1385" s="10"/>
      <c r="IU1385" s="10"/>
      <c r="IV1385" s="10"/>
      <c r="IW1385" s="10"/>
      <c r="IX1385" s="9"/>
      <c r="IY1385" s="10"/>
      <c r="IZ1385" s="10"/>
      <c r="JA1385" s="10"/>
      <c r="JB1385" s="10"/>
      <c r="JC1385" s="10"/>
      <c r="JD1385" s="10"/>
      <c r="JE1385" s="10"/>
      <c r="JF1385" s="10"/>
      <c r="JG1385" s="10"/>
      <c r="JH1385" s="10"/>
      <c r="JI1385" s="10"/>
      <c r="JJ1385" s="10"/>
      <c r="JK1385" s="10"/>
      <c r="JL1385" s="10"/>
      <c r="JM1385" s="10"/>
      <c r="JN1385" s="10"/>
      <c r="JO1385" s="10"/>
      <c r="JP1385" s="10"/>
      <c r="JQ1385" s="10"/>
      <c r="JR1385" s="10"/>
      <c r="JS1385" s="10"/>
      <c r="JT1385" s="10"/>
      <c r="JU1385" s="10"/>
      <c r="JV1385" s="10"/>
      <c r="JW1385" s="10"/>
      <c r="JX1385" s="10"/>
      <c r="JY1385" s="10"/>
      <c r="JZ1385" s="10"/>
      <c r="KA1385" s="10"/>
      <c r="KB1385" s="10"/>
      <c r="KC1385" s="11"/>
      <c r="KD1385" s="10"/>
      <c r="KE1385" s="10"/>
      <c r="KF1385" s="10"/>
      <c r="KG1385" s="10"/>
      <c r="KH1385" s="10"/>
      <c r="KI1385" s="10"/>
      <c r="KJ1385" s="10"/>
      <c r="KK1385" s="10"/>
      <c r="KL1385" s="10"/>
      <c r="KM1385" s="10"/>
      <c r="KN1385" s="10"/>
      <c r="KO1385" s="10"/>
      <c r="KP1385" s="10"/>
      <c r="KQ1385" s="10"/>
      <c r="KR1385" s="10"/>
      <c r="KS1385" s="10"/>
      <c r="KT1385" s="10"/>
      <c r="KU1385" s="10"/>
      <c r="KV1385" s="10"/>
      <c r="KW1385" s="10"/>
      <c r="KX1385" s="10"/>
      <c r="KY1385" s="10"/>
      <c r="KZ1385" s="10"/>
      <c r="LA1385" s="10"/>
      <c r="LB1385" s="10"/>
      <c r="LC1385" s="10"/>
      <c r="LD1385" s="10"/>
      <c r="LE1385" s="10"/>
      <c r="LF1385" s="10"/>
      <c r="LG1385" s="10"/>
      <c r="LH1385" s="10"/>
      <c r="LI1385" s="10"/>
      <c r="LJ1385" s="10"/>
      <c r="LK1385" s="10"/>
      <c r="LL1385" s="10"/>
      <c r="LM1385" s="10"/>
      <c r="LN1385" s="10"/>
      <c r="LO1385" s="10"/>
      <c r="LP1385" s="10"/>
      <c r="LQ1385" s="10"/>
      <c r="LR1385" s="10"/>
      <c r="LS1385" s="10"/>
      <c r="LT1385" s="10"/>
      <c r="LU1385" s="11"/>
    </row>
    <row r="1386" spans="34:333" ht="10.75" customHeight="1">
      <c r="AH1386" s="12"/>
      <c r="AK1386" s="12"/>
      <c r="BD1386" s="13"/>
      <c r="BH1386" s="12"/>
      <c r="CH1386" s="271"/>
      <c r="CI1386" s="271"/>
      <c r="CJ1386" s="271"/>
      <c r="CK1386" s="271"/>
      <c r="DK1386" s="13"/>
      <c r="DN1386" s="13"/>
      <c r="GT1386" s="12"/>
      <c r="GU1386" s="342"/>
      <c r="GV1386" s="342"/>
      <c r="GW1386" s="342"/>
      <c r="GX1386" s="342"/>
      <c r="GY1386" s="342"/>
      <c r="GZ1386" s="342"/>
      <c r="HA1386" s="342"/>
      <c r="HB1386" s="342"/>
      <c r="HC1386" s="342"/>
      <c r="HD1386" s="342"/>
      <c r="HE1386" s="342"/>
      <c r="HF1386" s="342"/>
      <c r="HG1386" s="342"/>
      <c r="HH1386" s="342"/>
      <c r="HI1386" s="342"/>
      <c r="HJ1386" s="342"/>
      <c r="HK1386" s="342"/>
      <c r="HL1386" s="342"/>
      <c r="HM1386" s="342"/>
      <c r="HN1386" s="342"/>
      <c r="HO1386" s="342"/>
      <c r="HP1386" s="342"/>
      <c r="HQ1386" s="342"/>
      <c r="HR1386" s="342"/>
      <c r="HS1386" s="342"/>
      <c r="HT1386" s="342"/>
      <c r="HU1386" s="342"/>
      <c r="HV1386" s="342"/>
      <c r="HW1386" s="342"/>
      <c r="HX1386" s="342"/>
      <c r="HY1386" s="342"/>
      <c r="HZ1386" s="342"/>
      <c r="IA1386" s="342"/>
      <c r="IB1386" s="342"/>
      <c r="IC1386" s="342"/>
      <c r="ID1386" s="342"/>
      <c r="IE1386" s="342"/>
      <c r="IF1386" s="342"/>
      <c r="IG1386" s="342"/>
      <c r="IH1386" s="342"/>
      <c r="II1386" s="342"/>
      <c r="IJ1386" s="342"/>
      <c r="IK1386" s="342"/>
      <c r="IL1386" s="342"/>
      <c r="IM1386" s="342"/>
      <c r="IN1386" s="342"/>
      <c r="IO1386" s="342"/>
      <c r="IP1386" s="342"/>
      <c r="IQ1386" s="342"/>
      <c r="IR1386" s="342"/>
      <c r="IS1386" s="342"/>
      <c r="IT1386" s="342"/>
      <c r="IU1386" s="342"/>
      <c r="IV1386" s="342"/>
      <c r="IW1386" s="342"/>
      <c r="IX1386" s="12"/>
      <c r="IY1386" s="342"/>
      <c r="IZ1386" s="342"/>
      <c r="JA1386" s="342"/>
      <c r="JB1386" s="342"/>
      <c r="JC1386" s="342"/>
      <c r="JD1386" s="342"/>
      <c r="JE1386" s="342"/>
      <c r="JF1386" s="342"/>
      <c r="JG1386" s="342"/>
      <c r="JH1386" s="342"/>
      <c r="JI1386" s="342"/>
      <c r="JJ1386" s="342"/>
      <c r="JK1386" s="342"/>
      <c r="JL1386" s="342"/>
      <c r="JM1386" s="342"/>
      <c r="JN1386" s="342"/>
      <c r="JO1386" s="342"/>
      <c r="JP1386" s="342"/>
      <c r="JQ1386" s="342"/>
      <c r="JR1386" s="342"/>
      <c r="JS1386" s="342"/>
      <c r="JT1386" s="342"/>
      <c r="JU1386" s="342"/>
      <c r="JV1386" s="342"/>
      <c r="JW1386" s="342"/>
      <c r="JX1386" s="342"/>
      <c r="JY1386" s="342"/>
      <c r="JZ1386" s="342"/>
      <c r="KA1386" s="342"/>
      <c r="KB1386" s="342"/>
      <c r="KC1386" s="13"/>
      <c r="KD1386" s="342"/>
      <c r="KE1386" s="342"/>
      <c r="KF1386" s="342"/>
      <c r="KG1386" s="342"/>
      <c r="KH1386" s="342"/>
      <c r="KI1386" s="342"/>
      <c r="KJ1386" s="342"/>
      <c r="KK1386" s="342"/>
      <c r="KL1386" s="342"/>
      <c r="KM1386" s="342"/>
      <c r="KN1386" s="342"/>
      <c r="KO1386" s="342"/>
      <c r="KP1386" s="342"/>
      <c r="KQ1386" s="342"/>
      <c r="KR1386" s="342"/>
      <c r="KS1386" s="342"/>
      <c r="KT1386" s="342"/>
      <c r="KU1386" s="342"/>
      <c r="KV1386" s="342"/>
      <c r="KW1386" s="342"/>
      <c r="KX1386" s="342"/>
      <c r="KY1386" s="342"/>
      <c r="KZ1386" s="342"/>
      <c r="LA1386" s="342"/>
      <c r="LB1386" s="342"/>
      <c r="LC1386" s="342"/>
      <c r="LD1386" s="342"/>
      <c r="LE1386" s="342"/>
      <c r="LF1386" s="342"/>
      <c r="LG1386" s="342"/>
      <c r="LH1386" s="342"/>
      <c r="LI1386" s="342"/>
      <c r="LJ1386" s="342"/>
      <c r="LK1386" s="342"/>
      <c r="LL1386" s="342"/>
      <c r="LM1386" s="342"/>
      <c r="LN1386" s="342"/>
      <c r="LO1386" s="342"/>
      <c r="LP1386" s="342"/>
      <c r="LQ1386" s="342"/>
      <c r="LR1386" s="342"/>
      <c r="LS1386" s="342"/>
      <c r="LT1386" s="342"/>
      <c r="LU1386" s="13"/>
    </row>
    <row r="1387" spans="34:333" ht="10.75" customHeight="1">
      <c r="AH1387" s="12"/>
      <c r="AK1387" s="14"/>
      <c r="AL1387" s="15"/>
      <c r="AM1387" s="15"/>
      <c r="AN1387" s="15"/>
      <c r="AO1387" s="15"/>
      <c r="AP1387" s="15"/>
      <c r="AQ1387" s="15"/>
      <c r="AR1387" s="15"/>
      <c r="AS1387" s="15"/>
      <c r="AT1387" s="15"/>
      <c r="AU1387" s="15"/>
      <c r="AV1387" s="15"/>
      <c r="AW1387" s="15"/>
      <c r="AX1387" s="15"/>
      <c r="AY1387" s="15"/>
      <c r="AZ1387" s="15"/>
      <c r="BA1387" s="15"/>
      <c r="BB1387" s="15"/>
      <c r="BC1387" s="15"/>
      <c r="BD1387" s="16"/>
      <c r="BH1387" s="14"/>
      <c r="BI1387" s="15"/>
      <c r="BJ1387" s="15"/>
      <c r="BK1387" s="15"/>
      <c r="BL1387" s="15"/>
      <c r="BM1387" s="15"/>
      <c r="BN1387" s="15"/>
      <c r="BO1387" s="15"/>
      <c r="BP1387" s="15"/>
      <c r="BQ1387" s="15"/>
      <c r="BR1387" s="15"/>
      <c r="BS1387" s="15"/>
      <c r="BT1387" s="15"/>
      <c r="BU1387" s="15"/>
      <c r="BV1387" s="15"/>
      <c r="BW1387" s="15"/>
      <c r="BX1387" s="15"/>
      <c r="BY1387" s="15"/>
      <c r="BZ1387" s="15"/>
      <c r="CA1387" s="15"/>
      <c r="CB1387" s="15"/>
      <c r="CC1387" s="15"/>
      <c r="CD1387" s="15"/>
      <c r="CE1387" s="15"/>
      <c r="CF1387" s="15"/>
      <c r="CG1387" s="15"/>
      <c r="CH1387" s="268"/>
      <c r="CI1387" s="268"/>
      <c r="CJ1387" s="268"/>
      <c r="CK1387" s="268"/>
      <c r="CL1387" s="15"/>
      <c r="CM1387" s="15"/>
      <c r="CN1387" s="15"/>
      <c r="CO1387" s="15"/>
      <c r="CP1387" s="15"/>
      <c r="CQ1387" s="15"/>
      <c r="CR1387" s="15"/>
      <c r="CS1387" s="15"/>
      <c r="CT1387" s="15"/>
      <c r="CU1387" s="15"/>
      <c r="CV1387" s="15"/>
      <c r="CW1387" s="15"/>
      <c r="CX1387" s="15"/>
      <c r="CY1387" s="15"/>
      <c r="CZ1387" s="15"/>
      <c r="DA1387" s="15"/>
      <c r="DB1387" s="15"/>
      <c r="DC1387" s="15"/>
      <c r="DD1387" s="15"/>
      <c r="DE1387" s="15"/>
      <c r="DF1387" s="15"/>
      <c r="DG1387" s="15"/>
      <c r="DH1387" s="15"/>
      <c r="DI1387" s="15"/>
      <c r="DJ1387" s="15"/>
      <c r="DK1387" s="16"/>
      <c r="DN1387" s="13"/>
      <c r="GT1387" s="12"/>
      <c r="GU1387" s="342"/>
      <c r="GV1387" s="342"/>
      <c r="GW1387" s="342"/>
      <c r="GX1387" s="342"/>
      <c r="GY1387" s="342"/>
      <c r="GZ1387" s="342"/>
      <c r="HA1387" s="342"/>
      <c r="HB1387" s="342"/>
      <c r="HC1387" s="342"/>
      <c r="HD1387" s="342"/>
      <c r="HE1387" s="342"/>
      <c r="HF1387" s="342"/>
      <c r="HG1387" s="342"/>
      <c r="HH1387" s="342"/>
      <c r="HI1387" s="342"/>
      <c r="HJ1387" s="342"/>
      <c r="HK1387" s="342"/>
      <c r="HL1387" s="342"/>
      <c r="HM1387" s="342"/>
      <c r="HN1387" s="342"/>
      <c r="HO1387" s="342"/>
      <c r="HP1387" s="342"/>
      <c r="HQ1387" s="342"/>
      <c r="HR1387" s="342"/>
      <c r="HS1387" s="342"/>
      <c r="HT1387" s="342"/>
      <c r="HU1387" s="342"/>
      <c r="HV1387" s="342"/>
      <c r="HW1387" s="342"/>
      <c r="HX1387" s="342"/>
      <c r="HY1387" s="342"/>
      <c r="HZ1387" s="342"/>
      <c r="IA1387" s="342"/>
      <c r="IB1387" s="342"/>
      <c r="IC1387" s="342"/>
      <c r="ID1387" s="342"/>
      <c r="IE1387" s="342"/>
      <c r="IF1387" s="342"/>
      <c r="IG1387" s="342"/>
      <c r="IH1387" s="342"/>
      <c r="II1387" s="342"/>
      <c r="IJ1387" s="342"/>
      <c r="IK1387" s="342"/>
      <c r="IL1387" s="342"/>
      <c r="IM1387" s="342"/>
      <c r="IN1387" s="342"/>
      <c r="IO1387" s="342"/>
      <c r="IP1387" s="342"/>
      <c r="IQ1387" s="342"/>
      <c r="IR1387" s="342"/>
      <c r="IS1387" s="342"/>
      <c r="IT1387" s="342"/>
      <c r="IU1387" s="342"/>
      <c r="IV1387" s="342"/>
      <c r="IW1387" s="342"/>
      <c r="IX1387" s="12"/>
      <c r="IY1387" s="342"/>
      <c r="IZ1387" s="342"/>
      <c r="JA1387" s="342"/>
      <c r="JB1387" s="342"/>
      <c r="JC1387" s="342"/>
      <c r="JD1387" s="342"/>
      <c r="JE1387" s="342"/>
      <c r="JF1387" s="342"/>
      <c r="JG1387" s="342"/>
      <c r="JH1387" s="342"/>
      <c r="JI1387" s="342"/>
      <c r="JJ1387" s="342"/>
      <c r="JK1387" s="342"/>
      <c r="JL1387" s="342"/>
      <c r="JM1387" s="342"/>
      <c r="JN1387" s="342"/>
      <c r="JO1387" s="342"/>
      <c r="JP1387" s="342"/>
      <c r="JQ1387" s="342"/>
      <c r="JR1387" s="342"/>
      <c r="JS1387" s="342"/>
      <c r="JT1387" s="342"/>
      <c r="JU1387" s="342"/>
      <c r="JV1387" s="342"/>
      <c r="JW1387" s="342"/>
      <c r="JX1387" s="342"/>
      <c r="JY1387" s="342"/>
      <c r="JZ1387" s="342"/>
      <c r="KA1387" s="342"/>
      <c r="KB1387" s="342"/>
      <c r="KC1387" s="13"/>
      <c r="KD1387" s="342"/>
      <c r="KE1387" s="342"/>
      <c r="KF1387" s="342"/>
      <c r="KG1387" s="342"/>
      <c r="KH1387" s="342"/>
      <c r="KI1387" s="342"/>
      <c r="KJ1387" s="342"/>
      <c r="KK1387" s="342"/>
      <c r="KL1387" s="342"/>
      <c r="KM1387" s="342"/>
      <c r="KN1387" s="342"/>
      <c r="KO1387" s="342"/>
      <c r="KP1387" s="342"/>
      <c r="KQ1387" s="342"/>
      <c r="KR1387" s="342"/>
      <c r="KS1387" s="342"/>
      <c r="KT1387" s="342"/>
      <c r="KU1387" s="342"/>
      <c r="KV1387" s="342"/>
      <c r="KW1387" s="342"/>
      <c r="KX1387" s="342"/>
      <c r="KY1387" s="342"/>
      <c r="KZ1387" s="342"/>
      <c r="LA1387" s="342"/>
      <c r="LB1387" s="342"/>
      <c r="LC1387" s="342"/>
      <c r="LD1387" s="342"/>
      <c r="LE1387" s="342"/>
      <c r="LF1387" s="342"/>
      <c r="LG1387" s="342"/>
      <c r="LH1387" s="342"/>
      <c r="LI1387" s="342"/>
      <c r="LJ1387" s="342"/>
      <c r="LK1387" s="342"/>
      <c r="LL1387" s="342"/>
      <c r="LM1387" s="342"/>
      <c r="LN1387" s="342"/>
      <c r="LO1387" s="342"/>
      <c r="LP1387" s="342"/>
      <c r="LQ1387" s="342"/>
      <c r="LR1387" s="342"/>
      <c r="LS1387" s="342"/>
      <c r="LT1387" s="342"/>
      <c r="LU1387" s="13"/>
    </row>
    <row r="1388" spans="34:333" ht="10.75" customHeight="1">
      <c r="AH1388" s="12"/>
      <c r="CH1388" s="271"/>
      <c r="CI1388" s="271"/>
      <c r="CJ1388" s="271"/>
      <c r="CK1388" s="271"/>
      <c r="DN1388" s="13"/>
      <c r="GT1388" s="12"/>
      <c r="GU1388" s="342"/>
      <c r="GV1388" s="342"/>
      <c r="GW1388" s="342"/>
      <c r="GX1388" s="342"/>
      <c r="GY1388" s="342"/>
      <c r="GZ1388" s="342"/>
      <c r="HA1388" s="342"/>
      <c r="HB1388" s="342"/>
      <c r="HC1388" s="342"/>
      <c r="HD1388" s="342"/>
      <c r="HE1388" s="342"/>
      <c r="HF1388" s="342"/>
      <c r="HG1388" s="342"/>
      <c r="HH1388" s="342"/>
      <c r="HI1388" s="342"/>
      <c r="HJ1388" s="342"/>
      <c r="HK1388" s="342"/>
      <c r="HL1388" s="342"/>
      <c r="HM1388" s="342"/>
      <c r="HN1388" s="342"/>
      <c r="HO1388" s="342"/>
      <c r="HP1388" s="342"/>
      <c r="HQ1388" s="342"/>
      <c r="HR1388" s="342"/>
      <c r="HS1388" s="342"/>
      <c r="HT1388" s="342"/>
      <c r="HU1388" s="342"/>
      <c r="HV1388" s="342"/>
      <c r="HW1388" s="342"/>
      <c r="HX1388" s="342"/>
      <c r="HY1388" s="342"/>
      <c r="HZ1388" s="342"/>
      <c r="IA1388" s="342"/>
      <c r="IB1388" s="342"/>
      <c r="IC1388" s="342"/>
      <c r="ID1388" s="342"/>
      <c r="IE1388" s="342"/>
      <c r="IF1388" s="342"/>
      <c r="IG1388" s="342"/>
      <c r="IH1388" s="342"/>
      <c r="II1388" s="342"/>
      <c r="IJ1388" s="342"/>
      <c r="IK1388" s="342"/>
      <c r="IL1388" s="342"/>
      <c r="IM1388" s="342"/>
      <c r="IN1388" s="342"/>
      <c r="IO1388" s="342"/>
      <c r="IP1388" s="342"/>
      <c r="IQ1388" s="342"/>
      <c r="IR1388" s="342"/>
      <c r="IS1388" s="342"/>
      <c r="IT1388" s="342"/>
      <c r="IU1388" s="342"/>
      <c r="IV1388" s="342"/>
      <c r="IW1388" s="342"/>
      <c r="IX1388" s="12"/>
      <c r="IY1388" s="342"/>
      <c r="IZ1388" s="342"/>
      <c r="JA1388" s="9"/>
      <c r="JB1388" s="10"/>
      <c r="JC1388" s="10"/>
      <c r="JD1388" s="10"/>
      <c r="JE1388" s="10"/>
      <c r="JF1388" s="10"/>
      <c r="JG1388" s="10"/>
      <c r="JH1388" s="10"/>
      <c r="JI1388" s="10"/>
      <c r="JJ1388" s="10"/>
      <c r="JK1388" s="10"/>
      <c r="JL1388" s="10"/>
      <c r="JM1388" s="10"/>
      <c r="JN1388" s="10"/>
      <c r="JO1388" s="10"/>
      <c r="JP1388" s="10"/>
      <c r="JQ1388" s="10"/>
      <c r="JR1388" s="10"/>
      <c r="JS1388" s="10"/>
      <c r="JT1388" s="10"/>
      <c r="JU1388" s="10"/>
      <c r="JV1388" s="10"/>
      <c r="JW1388" s="10"/>
      <c r="JX1388" s="10"/>
      <c r="JY1388" s="10"/>
      <c r="JZ1388" s="11"/>
      <c r="KA1388" s="342"/>
      <c r="KB1388" s="342"/>
      <c r="KC1388" s="13"/>
      <c r="KD1388" s="342"/>
      <c r="KE1388" s="342"/>
      <c r="KF1388" s="342"/>
      <c r="KG1388" s="342"/>
      <c r="KH1388" s="342"/>
      <c r="KI1388" s="342"/>
      <c r="KJ1388" s="342"/>
      <c r="KK1388" s="342"/>
      <c r="KL1388" s="342"/>
      <c r="KM1388" s="342"/>
      <c r="KN1388" s="342"/>
      <c r="KO1388" s="342"/>
      <c r="KP1388" s="342"/>
      <c r="KQ1388" s="342"/>
      <c r="KR1388" s="342"/>
      <c r="KS1388" s="342"/>
      <c r="KT1388" s="342"/>
      <c r="KU1388" s="342"/>
      <c r="KV1388" s="342"/>
      <c r="KW1388" s="342"/>
      <c r="KX1388" s="342"/>
      <c r="KY1388" s="342"/>
      <c r="KZ1388" s="342"/>
      <c r="LA1388" s="342"/>
      <c r="LB1388" s="342"/>
      <c r="LC1388" s="342"/>
      <c r="LD1388" s="342"/>
      <c r="LE1388" s="342"/>
      <c r="LF1388" s="342"/>
      <c r="LG1388" s="342"/>
      <c r="LH1388" s="342"/>
      <c r="LI1388" s="342"/>
      <c r="LJ1388" s="342"/>
      <c r="LK1388" s="342"/>
      <c r="LL1388" s="342"/>
      <c r="LM1388" s="342"/>
      <c r="LN1388" s="342"/>
      <c r="LO1388" s="342"/>
      <c r="LP1388" s="342"/>
      <c r="LQ1388" s="342"/>
      <c r="LR1388" s="342"/>
      <c r="LS1388" s="342"/>
      <c r="LT1388" s="342"/>
      <c r="LU1388" s="13"/>
    </row>
    <row r="1389" spans="34:333" ht="10.75" customHeight="1">
      <c r="AH1389" s="12"/>
      <c r="BL1389" s="20"/>
      <c r="BM1389" s="21"/>
      <c r="BN1389" s="21"/>
      <c r="BO1389" s="21"/>
      <c r="BP1389" s="21"/>
      <c r="BQ1389" s="22"/>
      <c r="BR1389" s="21"/>
      <c r="BS1389" s="21"/>
      <c r="BT1389" s="21"/>
      <c r="BU1389" s="21"/>
      <c r="BV1389" s="21"/>
      <c r="BW1389" s="22"/>
      <c r="CH1389" s="271"/>
      <c r="CI1389" s="271"/>
      <c r="CJ1389" s="271"/>
      <c r="CK1389" s="271"/>
      <c r="DN1389" s="13"/>
      <c r="GT1389" s="12"/>
      <c r="GU1389" s="342"/>
      <c r="GV1389" s="342"/>
      <c r="GW1389" s="342"/>
      <c r="GX1389" s="342"/>
      <c r="GY1389" s="342"/>
      <c r="GZ1389" s="342"/>
      <c r="HA1389" s="342"/>
      <c r="HB1389" s="342"/>
      <c r="HC1389" s="342"/>
      <c r="HD1389" s="342"/>
      <c r="HE1389" s="342"/>
      <c r="HF1389" s="342"/>
      <c r="HG1389" s="342"/>
      <c r="HH1389" s="342"/>
      <c r="HI1389" s="342"/>
      <c r="HJ1389" s="342"/>
      <c r="HK1389" s="342"/>
      <c r="HL1389" s="342"/>
      <c r="HM1389" s="342"/>
      <c r="HN1389" s="342"/>
      <c r="HO1389" s="342"/>
      <c r="HP1389" s="342"/>
      <c r="HQ1389" s="342"/>
      <c r="HR1389" s="342"/>
      <c r="HS1389" s="342"/>
      <c r="HT1389" s="342"/>
      <c r="HU1389" s="342"/>
      <c r="HV1389" s="342"/>
      <c r="HW1389" s="342"/>
      <c r="HX1389" s="342"/>
      <c r="HY1389" s="342"/>
      <c r="HZ1389" s="342"/>
      <c r="IA1389" s="342"/>
      <c r="IB1389" s="342"/>
      <c r="IC1389" s="342"/>
      <c r="ID1389" s="342"/>
      <c r="IE1389" s="342"/>
      <c r="IF1389" s="342"/>
      <c r="IG1389" s="342"/>
      <c r="IH1389" s="342"/>
      <c r="II1389" s="342"/>
      <c r="IJ1389" s="342"/>
      <c r="IK1389" s="342"/>
      <c r="IL1389" s="342"/>
      <c r="IM1389" s="342"/>
      <c r="IN1389" s="342"/>
      <c r="IO1389" s="342"/>
      <c r="IP1389" s="342"/>
      <c r="IQ1389" s="342"/>
      <c r="IR1389" s="342"/>
      <c r="IS1389" s="342"/>
      <c r="IT1389" s="342"/>
      <c r="IU1389" s="342"/>
      <c r="IV1389" s="342"/>
      <c r="IW1389" s="342"/>
      <c r="IX1389" s="12"/>
      <c r="IY1389" s="342"/>
      <c r="IZ1389" s="342"/>
      <c r="JA1389" s="12"/>
      <c r="JB1389" s="342"/>
      <c r="JC1389" s="342"/>
      <c r="JD1389" s="342"/>
      <c r="JE1389" s="342"/>
      <c r="JF1389" s="342"/>
      <c r="JG1389" s="342"/>
      <c r="JH1389" s="342"/>
      <c r="JI1389" s="342"/>
      <c r="JJ1389" s="342"/>
      <c r="JK1389" s="342"/>
      <c r="JL1389" s="342"/>
      <c r="JM1389" s="342"/>
      <c r="JN1389" s="342"/>
      <c r="JO1389" s="342"/>
      <c r="JP1389" s="342"/>
      <c r="JQ1389" s="342"/>
      <c r="JR1389" s="342"/>
      <c r="JS1389" s="342"/>
      <c r="JT1389" s="342"/>
      <c r="JU1389" s="342"/>
      <c r="JV1389" s="342"/>
      <c r="JW1389" s="342"/>
      <c r="JX1389" s="342"/>
      <c r="JY1389" s="342"/>
      <c r="JZ1389" s="13"/>
      <c r="KA1389" s="342"/>
      <c r="KB1389" s="342"/>
      <c r="KC1389" s="13"/>
      <c r="KD1389" s="342"/>
      <c r="KE1389" s="342"/>
      <c r="KF1389" s="342"/>
      <c r="KG1389" s="342"/>
      <c r="KH1389" s="342"/>
      <c r="KI1389" s="342"/>
      <c r="KJ1389" s="342"/>
      <c r="KK1389" s="342"/>
      <c r="KL1389" s="342"/>
      <c r="KM1389" s="342"/>
      <c r="KN1389" s="342"/>
      <c r="KO1389" s="342"/>
      <c r="KP1389" s="342"/>
      <c r="KQ1389" s="342"/>
      <c r="KR1389" s="342"/>
      <c r="KS1389" s="342"/>
      <c r="KT1389" s="342"/>
      <c r="KU1389" s="342"/>
      <c r="KV1389" s="342"/>
      <c r="KW1389" s="342"/>
      <c r="KX1389" s="342"/>
      <c r="KY1389" s="342"/>
      <c r="KZ1389" s="342"/>
      <c r="LA1389" s="342"/>
      <c r="LB1389" s="342"/>
      <c r="LC1389" s="342"/>
      <c r="LD1389" s="342"/>
      <c r="LE1389" s="342"/>
      <c r="LF1389" s="342"/>
      <c r="LG1389" s="342"/>
      <c r="LH1389" s="342"/>
      <c r="LI1389" s="342"/>
      <c r="LJ1389" s="342"/>
      <c r="LK1389" s="342"/>
      <c r="LL1389" s="342"/>
      <c r="LM1389" s="342"/>
      <c r="LN1389" s="342"/>
      <c r="LO1389" s="342"/>
      <c r="LP1389" s="342"/>
      <c r="LQ1389" s="342"/>
      <c r="LR1389" s="342"/>
      <c r="LS1389" s="342"/>
      <c r="LT1389" s="342"/>
      <c r="LU1389" s="13"/>
    </row>
    <row r="1390" spans="34:333" ht="10.75" customHeight="1">
      <c r="AH1390" s="14"/>
      <c r="AI1390" s="15"/>
      <c r="AJ1390" s="15"/>
      <c r="AK1390" s="15"/>
      <c r="AL1390" s="15"/>
      <c r="AM1390" s="15"/>
      <c r="AN1390" s="15"/>
      <c r="AO1390" s="15"/>
      <c r="AP1390" s="15"/>
      <c r="AQ1390" s="15"/>
      <c r="AR1390" s="15"/>
      <c r="AS1390" s="15"/>
      <c r="AT1390" s="15"/>
      <c r="AU1390" s="15"/>
      <c r="AV1390" s="15"/>
      <c r="AW1390" s="15"/>
      <c r="AX1390" s="15"/>
      <c r="AY1390" s="15"/>
      <c r="AZ1390" s="15"/>
      <c r="BA1390" s="15"/>
      <c r="BB1390" s="15"/>
      <c r="BC1390" s="15"/>
      <c r="BD1390" s="15"/>
      <c r="BE1390" s="15"/>
      <c r="BF1390" s="15"/>
      <c r="BG1390" s="15"/>
      <c r="BH1390" s="15"/>
      <c r="BI1390" s="15"/>
      <c r="BJ1390" s="15"/>
      <c r="BK1390" s="15"/>
      <c r="BL1390" s="15"/>
      <c r="BM1390" s="15"/>
      <c r="BN1390" s="15"/>
      <c r="BO1390" s="15"/>
      <c r="BP1390" s="15"/>
      <c r="BQ1390" s="15"/>
      <c r="BR1390" s="15"/>
      <c r="BS1390" s="15"/>
      <c r="BT1390" s="15"/>
      <c r="BU1390" s="15"/>
      <c r="BV1390" s="15"/>
      <c r="BW1390" s="15"/>
      <c r="BX1390" s="15"/>
      <c r="BY1390" s="15"/>
      <c r="BZ1390" s="15"/>
      <c r="CA1390" s="15"/>
      <c r="CB1390" s="15"/>
      <c r="CC1390" s="15"/>
      <c r="CD1390" s="15"/>
      <c r="CE1390" s="15"/>
      <c r="CF1390" s="15"/>
      <c r="CG1390" s="15"/>
      <c r="CH1390" s="268"/>
      <c r="CI1390" s="268"/>
      <c r="CJ1390" s="268"/>
      <c r="CK1390" s="268"/>
      <c r="CL1390" s="15"/>
      <c r="CM1390" s="15"/>
      <c r="CN1390" s="15"/>
      <c r="CO1390" s="15"/>
      <c r="CP1390" s="15"/>
      <c r="CQ1390" s="15"/>
      <c r="CR1390" s="15"/>
      <c r="CS1390" s="15"/>
      <c r="CT1390" s="15"/>
      <c r="CU1390" s="15"/>
      <c r="CV1390" s="15"/>
      <c r="CW1390" s="15"/>
      <c r="CX1390" s="15"/>
      <c r="CY1390" s="15"/>
      <c r="CZ1390" s="15"/>
      <c r="DA1390" s="15"/>
      <c r="DB1390" s="15"/>
      <c r="DC1390" s="15"/>
      <c r="DD1390" s="15"/>
      <c r="DE1390" s="15"/>
      <c r="DF1390" s="15"/>
      <c r="DG1390" s="15"/>
      <c r="DH1390" s="15"/>
      <c r="DI1390" s="15"/>
      <c r="DJ1390" s="15"/>
      <c r="DK1390" s="15"/>
      <c r="DL1390" s="15"/>
      <c r="DM1390" s="15"/>
      <c r="DN1390" s="16"/>
      <c r="GT1390" s="12"/>
      <c r="GU1390" s="342"/>
      <c r="GV1390" s="342"/>
      <c r="GW1390" s="342"/>
      <c r="GX1390" s="342"/>
      <c r="GY1390" s="342"/>
      <c r="GZ1390" s="342"/>
      <c r="HA1390" s="342"/>
      <c r="HB1390" s="342"/>
      <c r="HC1390" s="342"/>
      <c r="HD1390" s="342"/>
      <c r="HE1390" s="342"/>
      <c r="HF1390" s="342"/>
      <c r="HG1390" s="342"/>
      <c r="HH1390" s="342"/>
      <c r="HI1390" s="342"/>
      <c r="HJ1390" s="342"/>
      <c r="HK1390" s="342"/>
      <c r="HL1390" s="342"/>
      <c r="HM1390" s="342"/>
      <c r="HN1390" s="342"/>
      <c r="HO1390" s="342"/>
      <c r="HP1390" s="342"/>
      <c r="HQ1390" s="342"/>
      <c r="HR1390" s="342"/>
      <c r="HS1390" s="342"/>
      <c r="HT1390" s="342"/>
      <c r="HU1390" s="342"/>
      <c r="HV1390" s="342"/>
      <c r="HW1390" s="342"/>
      <c r="HX1390" s="342"/>
      <c r="HY1390" s="342"/>
      <c r="HZ1390" s="342"/>
      <c r="IA1390" s="342"/>
      <c r="IB1390" s="342"/>
      <c r="IC1390" s="342"/>
      <c r="ID1390" s="342"/>
      <c r="IE1390" s="342"/>
      <c r="IF1390" s="342"/>
      <c r="IG1390" s="342"/>
      <c r="IH1390" s="342"/>
      <c r="II1390" s="342"/>
      <c r="IJ1390" s="342"/>
      <c r="IK1390" s="342"/>
      <c r="IL1390" s="342"/>
      <c r="IM1390" s="342"/>
      <c r="IN1390" s="342"/>
      <c r="IO1390" s="342"/>
      <c r="IP1390" s="342"/>
      <c r="IQ1390" s="342"/>
      <c r="IR1390" s="342"/>
      <c r="IS1390" s="342"/>
      <c r="IT1390" s="342"/>
      <c r="IU1390" s="342"/>
      <c r="IV1390" s="342"/>
      <c r="IW1390" s="342"/>
      <c r="IX1390" s="12"/>
      <c r="IY1390" s="342"/>
      <c r="IZ1390" s="342"/>
      <c r="JA1390" s="12"/>
      <c r="JB1390" s="342"/>
      <c r="JC1390" s="342"/>
      <c r="JD1390" s="342"/>
      <c r="JE1390" s="342"/>
      <c r="JF1390" s="342"/>
      <c r="JG1390" s="342"/>
      <c r="JH1390" s="342"/>
      <c r="JI1390" s="342"/>
      <c r="JJ1390" s="342"/>
      <c r="JK1390" s="342"/>
      <c r="JL1390" s="342"/>
      <c r="JM1390" s="342"/>
      <c r="JN1390" s="342"/>
      <c r="JO1390" s="342"/>
      <c r="JP1390" s="342"/>
      <c r="JQ1390" s="342"/>
      <c r="JR1390" s="342"/>
      <c r="JS1390" s="342"/>
      <c r="JT1390" s="342"/>
      <c r="JU1390" s="342"/>
      <c r="JV1390" s="342"/>
      <c r="JW1390" s="342"/>
      <c r="JX1390" s="342"/>
      <c r="JY1390" s="342"/>
      <c r="JZ1390" s="13"/>
      <c r="KA1390" s="342"/>
      <c r="KB1390" s="342"/>
      <c r="KC1390" s="13"/>
      <c r="KD1390" s="342"/>
      <c r="KE1390" s="342"/>
      <c r="KF1390" s="342"/>
      <c r="KG1390" s="342"/>
      <c r="KH1390" s="342"/>
      <c r="KI1390" s="342"/>
      <c r="KJ1390" s="342"/>
      <c r="KK1390" s="342"/>
      <c r="KL1390" s="342"/>
      <c r="KM1390" s="342"/>
      <c r="KN1390" s="342"/>
      <c r="KO1390" s="342"/>
      <c r="KP1390" s="342"/>
      <c r="KQ1390" s="342"/>
      <c r="KR1390" s="342"/>
      <c r="KS1390" s="342"/>
      <c r="KT1390" s="342"/>
      <c r="KU1390" s="342"/>
      <c r="KV1390" s="342"/>
      <c r="KW1390" s="342"/>
      <c r="KX1390" s="342"/>
      <c r="KY1390" s="342"/>
      <c r="KZ1390" s="342"/>
      <c r="LA1390" s="342"/>
      <c r="LB1390" s="342"/>
      <c r="LC1390" s="342"/>
      <c r="LD1390" s="342"/>
      <c r="LE1390" s="342"/>
      <c r="LF1390" s="342"/>
      <c r="LG1390" s="342"/>
      <c r="LH1390" s="342"/>
      <c r="LI1390" s="342"/>
      <c r="LJ1390" s="342"/>
      <c r="LK1390" s="342"/>
      <c r="LL1390" s="342"/>
      <c r="LM1390" s="342"/>
      <c r="LN1390" s="342"/>
      <c r="LO1390" s="342"/>
      <c r="LP1390" s="342"/>
      <c r="LQ1390" s="342"/>
      <c r="LR1390" s="342"/>
      <c r="LS1390" s="342"/>
      <c r="LT1390" s="342"/>
      <c r="LU1390" s="13"/>
    </row>
    <row r="1391" spans="34:333" ht="10.75" customHeight="1">
      <c r="GT1391" s="12"/>
      <c r="GU1391" s="342"/>
      <c r="GV1391" s="342"/>
      <c r="GW1391" s="342"/>
      <c r="GX1391" s="342"/>
      <c r="GY1391" s="342"/>
      <c r="GZ1391" s="342"/>
      <c r="HA1391" s="342"/>
      <c r="HB1391" s="342"/>
      <c r="HC1391" s="342"/>
      <c r="HD1391" s="342"/>
      <c r="HE1391" s="342"/>
      <c r="HF1391" s="342"/>
      <c r="HG1391" s="342"/>
      <c r="HH1391" s="342"/>
      <c r="HI1391" s="342"/>
      <c r="HJ1391" s="342"/>
      <c r="HK1391" s="342"/>
      <c r="HL1391" s="342"/>
      <c r="HM1391" s="342"/>
      <c r="HN1391" s="342"/>
      <c r="HO1391" s="342"/>
      <c r="HP1391" s="342"/>
      <c r="HQ1391" s="342"/>
      <c r="HR1391" s="342"/>
      <c r="HS1391" s="342"/>
      <c r="HT1391" s="342"/>
      <c r="HU1391" s="342"/>
      <c r="HV1391" s="342"/>
      <c r="HW1391" s="342"/>
      <c r="HX1391" s="342"/>
      <c r="HY1391" s="342"/>
      <c r="HZ1391" s="342"/>
      <c r="IA1391" s="342"/>
      <c r="IB1391" s="342"/>
      <c r="IC1391" s="342"/>
      <c r="ID1391" s="342"/>
      <c r="IE1391" s="342"/>
      <c r="IF1391" s="342"/>
      <c r="IG1391" s="342"/>
      <c r="IH1391" s="342"/>
      <c r="II1391" s="342"/>
      <c r="IJ1391" s="342"/>
      <c r="IK1391" s="342"/>
      <c r="IL1391" s="342"/>
      <c r="IM1391" s="342"/>
      <c r="IN1391" s="342"/>
      <c r="IO1391" s="342"/>
      <c r="IP1391" s="342"/>
      <c r="IQ1391" s="342"/>
      <c r="IR1391" s="342"/>
      <c r="IS1391" s="342"/>
      <c r="IT1391" s="342"/>
      <c r="IU1391" s="342"/>
      <c r="IV1391" s="342"/>
      <c r="IW1391" s="342"/>
      <c r="IX1391" s="12"/>
      <c r="IY1391" s="342"/>
      <c r="IZ1391" s="342"/>
      <c r="JA1391" s="9"/>
      <c r="JB1391" s="11"/>
      <c r="JC1391" s="10"/>
      <c r="JD1391" s="10"/>
      <c r="JE1391" s="10"/>
      <c r="JF1391" s="11"/>
      <c r="JG1391" s="342"/>
      <c r="JH1391" s="342"/>
      <c r="JI1391" s="342"/>
      <c r="JJ1391" s="342"/>
      <c r="JK1391" s="342"/>
      <c r="JL1391" s="342"/>
      <c r="JM1391" s="342"/>
      <c r="JN1391" s="342"/>
      <c r="JO1391" s="342"/>
      <c r="JP1391" s="342"/>
      <c r="JQ1391" s="342"/>
      <c r="JR1391" s="342"/>
      <c r="JS1391" s="342"/>
      <c r="JT1391" s="342"/>
      <c r="JU1391" s="342"/>
      <c r="JV1391" s="342"/>
      <c r="JW1391" s="342"/>
      <c r="JX1391" s="342"/>
      <c r="JY1391" s="9"/>
      <c r="JZ1391" s="11"/>
      <c r="KA1391" s="342"/>
      <c r="KB1391" s="342"/>
      <c r="KC1391" s="13"/>
      <c r="KD1391" s="342"/>
      <c r="KE1391" s="342"/>
      <c r="KF1391" s="342"/>
      <c r="KG1391" s="342"/>
      <c r="KH1391" s="342"/>
      <c r="KI1391" s="342"/>
      <c r="KJ1391" s="342"/>
      <c r="KK1391" s="342"/>
      <c r="KL1391" s="342"/>
      <c r="KM1391" s="342"/>
      <c r="KN1391" s="342"/>
      <c r="KO1391" s="342"/>
      <c r="KP1391" s="342"/>
      <c r="KQ1391" s="342"/>
      <c r="KR1391" s="342"/>
      <c r="KS1391" s="342"/>
      <c r="KT1391" s="342"/>
      <c r="KU1391" s="342"/>
      <c r="KV1391" s="342"/>
      <c r="KW1391" s="342"/>
      <c r="KX1391" s="342"/>
      <c r="KY1391" s="342"/>
      <c r="KZ1391" s="342"/>
      <c r="LA1391" s="342"/>
      <c r="LB1391" s="342"/>
      <c r="LC1391" s="342"/>
      <c r="LD1391" s="342"/>
      <c r="LE1391" s="342"/>
      <c r="LF1391" s="342"/>
      <c r="LG1391" s="342"/>
      <c r="LH1391" s="342"/>
      <c r="LI1391" s="342"/>
      <c r="LJ1391" s="342"/>
      <c r="LK1391" s="342"/>
      <c r="LL1391" s="342"/>
      <c r="LM1391" s="342"/>
      <c r="LN1391" s="342"/>
      <c r="LO1391" s="342"/>
      <c r="LP1391" s="342"/>
      <c r="LQ1391" s="342"/>
      <c r="LR1391" s="342"/>
      <c r="LS1391" s="342"/>
      <c r="LT1391" s="342"/>
      <c r="LU1391" s="13"/>
    </row>
    <row r="1392" spans="34:333" ht="10.75" customHeight="1">
      <c r="GT1392" s="12"/>
      <c r="GU1392" s="342"/>
      <c r="GV1392" s="342"/>
      <c r="GW1392" s="342"/>
      <c r="GX1392" s="342"/>
      <c r="GY1392" s="342"/>
      <c r="GZ1392" s="342"/>
      <c r="HA1392" s="342"/>
      <c r="HB1392" s="342"/>
      <c r="HC1392" s="342"/>
      <c r="HD1392" s="342"/>
      <c r="HE1392" s="342"/>
      <c r="HF1392" s="342"/>
      <c r="HG1392" s="342"/>
      <c r="HH1392" s="342"/>
      <c r="HI1392" s="342"/>
      <c r="HJ1392" s="342"/>
      <c r="HK1392" s="342"/>
      <c r="HL1392" s="342"/>
      <c r="HM1392" s="342"/>
      <c r="HN1392" s="342"/>
      <c r="HO1392" s="342"/>
      <c r="HP1392" s="342"/>
      <c r="HQ1392" s="342"/>
      <c r="HR1392" s="342"/>
      <c r="HS1392" s="342"/>
      <c r="HT1392" s="342"/>
      <c r="HU1392" s="342"/>
      <c r="HV1392" s="342"/>
      <c r="HW1392" s="342"/>
      <c r="HX1392" s="342"/>
      <c r="HY1392" s="342"/>
      <c r="HZ1392" s="342"/>
      <c r="IA1392" s="342"/>
      <c r="IB1392" s="342"/>
      <c r="IC1392" s="342"/>
      <c r="ID1392" s="342"/>
      <c r="IE1392" s="342"/>
      <c r="IF1392" s="342"/>
      <c r="IG1392" s="342"/>
      <c r="IH1392" s="342"/>
      <c r="II1392" s="342"/>
      <c r="IJ1392" s="342"/>
      <c r="IK1392" s="342"/>
      <c r="IL1392" s="342"/>
      <c r="IM1392" s="342"/>
      <c r="IN1392" s="342"/>
      <c r="IO1392" s="342"/>
      <c r="IP1392" s="342"/>
      <c r="IQ1392" s="342"/>
      <c r="IR1392" s="342"/>
      <c r="IS1392" s="342"/>
      <c r="IT1392" s="342"/>
      <c r="IU1392" s="342"/>
      <c r="IV1392" s="342"/>
      <c r="IW1392" s="342"/>
      <c r="IX1392" s="12"/>
      <c r="IY1392" s="342"/>
      <c r="IZ1392" s="342"/>
      <c r="JA1392" s="12"/>
      <c r="JB1392" s="13"/>
      <c r="JC1392" s="342"/>
      <c r="JD1392" s="342"/>
      <c r="JE1392" s="342"/>
      <c r="JF1392" s="13"/>
      <c r="JG1392" s="342"/>
      <c r="JH1392" s="342"/>
      <c r="JI1392" s="342"/>
      <c r="JJ1392" s="342"/>
      <c r="JK1392" s="342"/>
      <c r="JL1392" s="342"/>
      <c r="JM1392" s="342"/>
      <c r="JN1392" s="342"/>
      <c r="JO1392" s="342"/>
      <c r="JP1392" s="342"/>
      <c r="JQ1392" s="342"/>
      <c r="JR1392" s="9"/>
      <c r="JS1392" s="10"/>
      <c r="JT1392" s="10"/>
      <c r="JU1392" s="10"/>
      <c r="JV1392" s="10"/>
      <c r="JW1392" s="10"/>
      <c r="JX1392" s="11"/>
      <c r="JY1392" s="12"/>
      <c r="JZ1392" s="13"/>
      <c r="KA1392" s="342"/>
      <c r="KB1392" s="342"/>
      <c r="KC1392" s="13"/>
      <c r="KD1392" s="342"/>
      <c r="KE1392" s="342"/>
      <c r="KF1392" s="342"/>
      <c r="KG1392" s="342"/>
      <c r="KH1392" s="342"/>
      <c r="KI1392" s="342"/>
      <c r="KJ1392" s="342"/>
      <c r="KK1392" s="342"/>
      <c r="KL1392" s="342"/>
      <c r="KM1392" s="342"/>
      <c r="KN1392" s="342"/>
      <c r="KO1392" s="342"/>
      <c r="KP1392" s="342"/>
      <c r="KQ1392" s="342"/>
      <c r="KR1392" s="342"/>
      <c r="KS1392" s="342"/>
      <c r="KT1392" s="342"/>
      <c r="KU1392" s="342"/>
      <c r="KV1392" s="342"/>
      <c r="KW1392" s="342"/>
      <c r="KX1392" s="342"/>
      <c r="KY1392" s="342"/>
      <c r="KZ1392" s="342"/>
      <c r="LA1392" s="342"/>
      <c r="LB1392" s="342"/>
      <c r="LC1392" s="342"/>
      <c r="LD1392" s="342"/>
      <c r="LE1392" s="342"/>
      <c r="LF1392" s="342"/>
      <c r="LG1392" s="342"/>
      <c r="LH1392" s="342"/>
      <c r="LI1392" s="342"/>
      <c r="LJ1392" s="342"/>
      <c r="LK1392" s="342"/>
      <c r="LL1392" s="342"/>
      <c r="LM1392" s="342"/>
      <c r="LN1392" s="342"/>
      <c r="LO1392" s="342"/>
      <c r="LP1392" s="342"/>
      <c r="LQ1392" s="342"/>
      <c r="LR1392" s="342"/>
      <c r="LS1392" s="342"/>
      <c r="LT1392" s="342"/>
      <c r="LU1392" s="13"/>
    </row>
    <row r="1393" spans="6:333" ht="10.75" customHeight="1">
      <c r="GT1393" s="12"/>
      <c r="GU1393" s="342"/>
      <c r="GV1393" s="342"/>
      <c r="GW1393" s="342"/>
      <c r="GX1393" s="342"/>
      <c r="GY1393" s="342"/>
      <c r="GZ1393" s="342"/>
      <c r="HA1393" s="342"/>
      <c r="HB1393" s="342"/>
      <c r="HC1393" s="342"/>
      <c r="HD1393" s="342"/>
      <c r="HE1393" s="342"/>
      <c r="HF1393" s="342"/>
      <c r="HG1393" s="342"/>
      <c r="HH1393" s="342"/>
      <c r="HI1393" s="342"/>
      <c r="HJ1393" s="342"/>
      <c r="HK1393" s="342"/>
      <c r="HL1393" s="342"/>
      <c r="HM1393" s="342"/>
      <c r="HN1393" s="342"/>
      <c r="HO1393" s="342"/>
      <c r="HP1393" s="342"/>
      <c r="HQ1393" s="342"/>
      <c r="HR1393" s="342"/>
      <c r="HS1393" s="342"/>
      <c r="HT1393" s="342"/>
      <c r="HU1393" s="342"/>
      <c r="HV1393" s="342"/>
      <c r="HW1393" s="342"/>
      <c r="HX1393" s="342"/>
      <c r="HY1393" s="342"/>
      <c r="HZ1393" s="342"/>
      <c r="IA1393" s="342"/>
      <c r="IB1393" s="342"/>
      <c r="IC1393" s="342"/>
      <c r="ID1393" s="342"/>
      <c r="IE1393" s="342"/>
      <c r="IF1393" s="342"/>
      <c r="IG1393" s="342"/>
      <c r="IH1393" s="342"/>
      <c r="II1393" s="342"/>
      <c r="IJ1393" s="342"/>
      <c r="IK1393" s="342"/>
      <c r="IL1393" s="342"/>
      <c r="IM1393" s="342"/>
      <c r="IN1393" s="342"/>
      <c r="IO1393" s="342"/>
      <c r="IP1393" s="342"/>
      <c r="IQ1393" s="342"/>
      <c r="IR1393" s="342"/>
      <c r="IS1393" s="342"/>
      <c r="IT1393" s="342"/>
      <c r="IU1393" s="342"/>
      <c r="IV1393" s="342"/>
      <c r="IW1393" s="342"/>
      <c r="IX1393" s="12"/>
      <c r="IY1393" s="342"/>
      <c r="IZ1393" s="342"/>
      <c r="JA1393" s="12"/>
      <c r="JB1393" s="13"/>
      <c r="JC1393" s="342"/>
      <c r="JD1393" s="342"/>
      <c r="JE1393" s="342"/>
      <c r="JF1393" s="13"/>
      <c r="JG1393" s="342"/>
      <c r="JH1393" s="342"/>
      <c r="JI1393" s="342"/>
      <c r="JJ1393" s="342"/>
      <c r="JK1393" s="342"/>
      <c r="JL1393" s="342"/>
      <c r="JM1393" s="342"/>
      <c r="JN1393" s="342"/>
      <c r="JO1393" s="342"/>
      <c r="JP1393" s="342"/>
      <c r="JQ1393" s="342"/>
      <c r="JR1393" s="12"/>
      <c r="JS1393" s="342"/>
      <c r="JT1393" s="342"/>
      <c r="JU1393" s="342"/>
      <c r="JV1393" s="342"/>
      <c r="JW1393" s="342"/>
      <c r="JX1393" s="13"/>
      <c r="JY1393" s="12"/>
      <c r="JZ1393" s="13"/>
      <c r="KA1393" s="342"/>
      <c r="KB1393" s="342"/>
      <c r="KC1393" s="13"/>
      <c r="KD1393" s="342"/>
      <c r="KE1393" s="342"/>
      <c r="KF1393" s="342"/>
      <c r="KG1393" s="342"/>
      <c r="KH1393" s="342"/>
      <c r="KI1393" s="342"/>
      <c r="KJ1393" s="342"/>
      <c r="KK1393" s="342"/>
      <c r="KL1393" s="342"/>
      <c r="KM1393" s="342"/>
      <c r="KN1393" s="342"/>
      <c r="KO1393" s="342"/>
      <c r="KP1393" s="342"/>
      <c r="KQ1393" s="342"/>
      <c r="KR1393" s="342"/>
      <c r="KS1393" s="342"/>
      <c r="KT1393" s="342"/>
      <c r="KU1393" s="342"/>
      <c r="KV1393" s="342"/>
      <c r="KW1393" s="342"/>
      <c r="KX1393" s="342"/>
      <c r="KY1393" s="342"/>
      <c r="KZ1393" s="342"/>
      <c r="LA1393" s="342"/>
      <c r="LB1393" s="342"/>
      <c r="LC1393" s="342"/>
      <c r="LD1393" s="342"/>
      <c r="LE1393" s="342"/>
      <c r="LF1393" s="342"/>
      <c r="LG1393" s="342"/>
      <c r="LH1393" s="342"/>
      <c r="LI1393" s="342"/>
      <c r="LJ1393" s="342"/>
      <c r="LK1393" s="342"/>
      <c r="LL1393" s="342"/>
      <c r="LM1393" s="342"/>
      <c r="LN1393" s="342"/>
      <c r="LO1393" s="342"/>
      <c r="LP1393" s="342"/>
      <c r="LQ1393" s="342"/>
      <c r="LR1393" s="342"/>
      <c r="LS1393" s="342"/>
      <c r="LT1393" s="342"/>
      <c r="LU1393" s="13"/>
    </row>
    <row r="1394" spans="6:333" ht="10.75" customHeight="1">
      <c r="GT1394" s="12"/>
      <c r="GU1394" s="342"/>
      <c r="GV1394" s="342"/>
      <c r="GW1394" s="342"/>
      <c r="GX1394" s="342"/>
      <c r="GY1394" s="342"/>
      <c r="GZ1394" s="342"/>
      <c r="HA1394" s="342"/>
      <c r="HB1394" s="342"/>
      <c r="HC1394" s="342"/>
      <c r="HD1394" s="342"/>
      <c r="HE1394" s="342"/>
      <c r="HF1394" s="342"/>
      <c r="HG1394" s="342"/>
      <c r="HH1394" s="342"/>
      <c r="HI1394" s="342"/>
      <c r="HJ1394" s="342"/>
      <c r="HK1394" s="342"/>
      <c r="HL1394" s="342"/>
      <c r="HM1394" s="342"/>
      <c r="HN1394" s="342"/>
      <c r="HO1394" s="342"/>
      <c r="HP1394" s="342"/>
      <c r="HQ1394" s="342"/>
      <c r="HR1394" s="342"/>
      <c r="HS1394" s="342"/>
      <c r="HT1394" s="342"/>
      <c r="HU1394" s="342"/>
      <c r="HV1394" s="342"/>
      <c r="HW1394" s="342"/>
      <c r="HX1394" s="342"/>
      <c r="HY1394" s="342"/>
      <c r="HZ1394" s="342"/>
      <c r="IA1394" s="342"/>
      <c r="IB1394" s="342"/>
      <c r="IC1394" s="342"/>
      <c r="ID1394" s="342"/>
      <c r="IE1394" s="342"/>
      <c r="IF1394" s="342"/>
      <c r="IG1394" s="342"/>
      <c r="IH1394" s="342"/>
      <c r="II1394" s="342"/>
      <c r="IJ1394" s="342"/>
      <c r="IK1394" s="342"/>
      <c r="IL1394" s="342"/>
      <c r="IM1394" s="342"/>
      <c r="IN1394" s="342"/>
      <c r="IO1394" s="342"/>
      <c r="IP1394" s="342"/>
      <c r="IQ1394" s="342"/>
      <c r="IR1394" s="342"/>
      <c r="IS1394" s="342"/>
      <c r="IT1394" s="342"/>
      <c r="IU1394" s="351"/>
      <c r="IV1394" s="351"/>
      <c r="IW1394" s="351"/>
      <c r="IX1394" s="347"/>
      <c r="IY1394" s="351"/>
      <c r="IZ1394" s="351"/>
      <c r="JA1394" s="347"/>
      <c r="JB1394" s="13"/>
      <c r="JC1394" s="351"/>
      <c r="JD1394" s="351"/>
      <c r="JE1394" s="351"/>
      <c r="JF1394" s="343"/>
      <c r="JG1394" s="351"/>
      <c r="JH1394" s="351"/>
      <c r="JI1394" s="351"/>
      <c r="JJ1394" s="351"/>
      <c r="JK1394" s="351"/>
      <c r="JL1394" s="351"/>
      <c r="JM1394" s="351"/>
      <c r="JN1394" s="351"/>
      <c r="JO1394" s="351"/>
      <c r="JP1394" s="351"/>
      <c r="JQ1394" s="351"/>
      <c r="JR1394" s="347"/>
      <c r="JS1394" s="351"/>
      <c r="JT1394" s="351"/>
      <c r="JU1394" s="351"/>
      <c r="JV1394" s="351"/>
      <c r="JW1394" s="351"/>
      <c r="JX1394" s="343"/>
      <c r="JY1394" s="347"/>
      <c r="JZ1394" s="343"/>
      <c r="KA1394" s="351"/>
      <c r="KB1394" s="351"/>
      <c r="KC1394" s="343"/>
      <c r="KD1394" s="351"/>
      <c r="KE1394" s="351"/>
      <c r="KF1394" s="342"/>
      <c r="KG1394" s="342"/>
      <c r="KH1394" s="342"/>
      <c r="KI1394" s="342"/>
      <c r="KJ1394" s="342"/>
      <c r="KK1394" s="342"/>
      <c r="KL1394" s="342"/>
      <c r="KM1394" s="342"/>
      <c r="KN1394" s="342"/>
      <c r="KO1394" s="342"/>
      <c r="KP1394" s="342"/>
      <c r="KQ1394" s="342"/>
      <c r="KR1394" s="342"/>
      <c r="KS1394" s="342"/>
      <c r="KT1394" s="342"/>
      <c r="KU1394" s="342"/>
      <c r="KV1394" s="342"/>
      <c r="KW1394" s="342"/>
      <c r="KX1394" s="342"/>
      <c r="KY1394" s="342"/>
      <c r="KZ1394" s="342"/>
      <c r="LA1394" s="342"/>
      <c r="LB1394" s="342"/>
      <c r="LC1394" s="342"/>
      <c r="LD1394" s="342"/>
      <c r="LE1394" s="342"/>
      <c r="LF1394" s="342"/>
      <c r="LG1394" s="342"/>
      <c r="LH1394" s="342"/>
      <c r="LI1394" s="342"/>
      <c r="LJ1394" s="342"/>
      <c r="LK1394" s="342"/>
      <c r="LL1394" s="342"/>
      <c r="LM1394" s="342"/>
      <c r="LN1394" s="342"/>
      <c r="LO1394" s="342"/>
      <c r="LP1394" s="342"/>
      <c r="LQ1394" s="342"/>
      <c r="LR1394" s="342"/>
      <c r="LS1394" s="342"/>
      <c r="LT1394" s="342"/>
      <c r="LU1394" s="13"/>
    </row>
    <row r="1395" spans="6:333" ht="10.75" customHeight="1">
      <c r="GT1395" s="12"/>
      <c r="GU1395" s="342"/>
      <c r="GV1395" s="342"/>
      <c r="GW1395" s="342"/>
      <c r="GX1395" s="342"/>
      <c r="GY1395" s="342"/>
      <c r="GZ1395" s="342"/>
      <c r="HA1395" s="342"/>
      <c r="HB1395" s="342"/>
      <c r="HC1395" s="342"/>
      <c r="HD1395" s="342"/>
      <c r="HE1395" s="342"/>
      <c r="HF1395" s="342"/>
      <c r="HG1395" s="351"/>
      <c r="HH1395" s="351"/>
      <c r="HI1395" s="351"/>
      <c r="HJ1395" s="351"/>
      <c r="HK1395" s="351"/>
      <c r="HL1395" s="351"/>
      <c r="HM1395" s="351"/>
      <c r="HN1395" s="351"/>
      <c r="HO1395" s="351"/>
      <c r="HP1395" s="351"/>
      <c r="HQ1395" s="351"/>
      <c r="HR1395" s="351"/>
      <c r="HS1395" s="351"/>
      <c r="HT1395" s="351"/>
      <c r="HU1395" s="351"/>
      <c r="HV1395" s="351"/>
      <c r="HW1395" s="351"/>
      <c r="HX1395" s="351"/>
      <c r="HY1395" s="351"/>
      <c r="HZ1395" s="351"/>
      <c r="IA1395" s="351"/>
      <c r="IB1395" s="351"/>
      <c r="IC1395" s="351"/>
      <c r="ID1395" s="351"/>
      <c r="IE1395" s="351"/>
      <c r="IF1395" s="351"/>
      <c r="IG1395" s="351"/>
      <c r="IH1395" s="351"/>
      <c r="II1395" s="351"/>
      <c r="IJ1395" s="351"/>
      <c r="IK1395" s="351"/>
      <c r="IL1395" s="351"/>
      <c r="IM1395" s="351"/>
      <c r="IN1395" s="351"/>
      <c r="IO1395" s="351"/>
      <c r="IP1395" s="351"/>
      <c r="IQ1395" s="351"/>
      <c r="IR1395" s="351"/>
      <c r="IS1395" s="351"/>
      <c r="IT1395" s="351"/>
      <c r="IU1395" s="351"/>
      <c r="IV1395" s="351"/>
      <c r="IW1395" s="351"/>
      <c r="IX1395" s="347"/>
      <c r="IY1395" s="351"/>
      <c r="IZ1395" s="351"/>
      <c r="JA1395" s="347"/>
      <c r="JB1395" s="13"/>
      <c r="JC1395" s="351"/>
      <c r="JD1395" s="351"/>
      <c r="JE1395" s="351"/>
      <c r="JF1395" s="343"/>
      <c r="JG1395" s="351"/>
      <c r="JH1395" s="351"/>
      <c r="JI1395" s="351"/>
      <c r="JJ1395" s="351"/>
      <c r="JK1395" s="351"/>
      <c r="JL1395" s="351"/>
      <c r="JM1395" s="351"/>
      <c r="JN1395" s="351"/>
      <c r="JO1395" s="351"/>
      <c r="JP1395" s="351"/>
      <c r="JQ1395" s="351"/>
      <c r="JR1395" s="347"/>
      <c r="JS1395" s="351"/>
      <c r="JT1395" s="351"/>
      <c r="JU1395" s="351"/>
      <c r="JV1395" s="351"/>
      <c r="JW1395" s="351"/>
      <c r="JX1395" s="343"/>
      <c r="JY1395" s="347"/>
      <c r="JZ1395" s="343"/>
      <c r="KA1395" s="351"/>
      <c r="KB1395" s="351"/>
      <c r="KC1395" s="343"/>
      <c r="KD1395" s="351"/>
      <c r="KE1395" s="351"/>
      <c r="KF1395" s="351"/>
      <c r="KG1395" s="351"/>
      <c r="KH1395" s="351"/>
      <c r="KI1395" s="351"/>
      <c r="KJ1395" s="351"/>
      <c r="KK1395" s="351"/>
      <c r="KL1395" s="351"/>
      <c r="KM1395" s="351"/>
      <c r="KN1395" s="351"/>
      <c r="KO1395" s="351"/>
      <c r="KP1395" s="351"/>
      <c r="KQ1395" s="351"/>
      <c r="KR1395" s="351"/>
      <c r="KS1395" s="351"/>
      <c r="KT1395" s="351"/>
      <c r="KU1395" s="351"/>
      <c r="KV1395" s="351"/>
      <c r="KW1395" s="351"/>
      <c r="KX1395" s="351"/>
      <c r="KY1395" s="351"/>
      <c r="KZ1395" s="351"/>
      <c r="LA1395" s="351"/>
      <c r="LB1395" s="351"/>
      <c r="LC1395" s="351"/>
      <c r="LD1395" s="351"/>
      <c r="LE1395" s="351"/>
      <c r="LF1395" s="351"/>
      <c r="LG1395" s="351"/>
      <c r="LH1395" s="351"/>
      <c r="LI1395" s="351"/>
      <c r="LJ1395" s="351"/>
      <c r="LK1395" s="351"/>
      <c r="LL1395" s="351"/>
      <c r="LM1395" s="351"/>
      <c r="LN1395" s="342"/>
      <c r="LO1395" s="342"/>
      <c r="LP1395" s="342"/>
      <c r="LQ1395" s="342"/>
      <c r="LR1395" s="342"/>
      <c r="LS1395" s="342"/>
      <c r="LT1395" s="342"/>
      <c r="LU1395" s="13"/>
    </row>
    <row r="1396" spans="6:333" ht="10.75" customHeight="1">
      <c r="GT1396" s="12"/>
      <c r="GU1396" s="342"/>
      <c r="GV1396" s="342"/>
      <c r="GW1396" s="342"/>
      <c r="GX1396" s="342"/>
      <c r="GY1396" s="342"/>
      <c r="GZ1396" s="342"/>
      <c r="HA1396" s="342"/>
      <c r="HB1396" s="342"/>
      <c r="HC1396" s="342"/>
      <c r="HD1396" s="342"/>
      <c r="HE1396" s="342"/>
      <c r="HF1396" s="342"/>
      <c r="HG1396" s="351"/>
      <c r="HH1396" s="351"/>
      <c r="HI1396" s="351"/>
      <c r="HJ1396" s="351"/>
      <c r="HK1396" s="351"/>
      <c r="HL1396" s="351"/>
      <c r="HM1396" s="351"/>
      <c r="HN1396" s="351"/>
      <c r="HO1396" s="351"/>
      <c r="HP1396" s="351"/>
      <c r="HQ1396" s="351"/>
      <c r="HR1396" s="351"/>
      <c r="HS1396" s="351"/>
      <c r="HT1396" s="351"/>
      <c r="HU1396" s="351"/>
      <c r="HV1396" s="351"/>
      <c r="HW1396" s="351"/>
      <c r="HX1396" s="351"/>
      <c r="HY1396" s="351"/>
      <c r="HZ1396" s="351"/>
      <c r="IA1396" s="351"/>
      <c r="IB1396" s="351"/>
      <c r="IC1396" s="351"/>
      <c r="ID1396" s="351"/>
      <c r="IE1396" s="351"/>
      <c r="IF1396" s="351"/>
      <c r="IG1396" s="351"/>
      <c r="IH1396" s="351"/>
      <c r="II1396" s="351"/>
      <c r="IJ1396" s="351"/>
      <c r="IK1396" s="351"/>
      <c r="IL1396" s="351"/>
      <c r="IM1396" s="351"/>
      <c r="IN1396" s="351"/>
      <c r="IO1396" s="351"/>
      <c r="IP1396" s="351"/>
      <c r="IQ1396" s="351"/>
      <c r="IR1396" s="351"/>
      <c r="IS1396" s="351"/>
      <c r="IT1396" s="351"/>
      <c r="IU1396" s="351"/>
      <c r="IV1396" s="351"/>
      <c r="IW1396" s="351"/>
      <c r="IX1396" s="347"/>
      <c r="IY1396" s="351"/>
      <c r="IZ1396" s="351"/>
      <c r="JA1396" s="347"/>
      <c r="JB1396" s="13"/>
      <c r="JC1396" s="351"/>
      <c r="JD1396" s="351"/>
      <c r="JE1396" s="351"/>
      <c r="JF1396" s="343"/>
      <c r="JG1396" s="351"/>
      <c r="JH1396" s="351"/>
      <c r="JI1396" s="351"/>
      <c r="JJ1396" s="351"/>
      <c r="JK1396" s="351"/>
      <c r="JL1396" s="351"/>
      <c r="JM1396" s="351"/>
      <c r="JN1396" s="351"/>
      <c r="JO1396" s="351"/>
      <c r="JP1396" s="351"/>
      <c r="JQ1396" s="351"/>
      <c r="JR1396" s="348"/>
      <c r="JS1396" s="349"/>
      <c r="JT1396" s="349"/>
      <c r="JU1396" s="349"/>
      <c r="JV1396" s="349"/>
      <c r="JW1396" s="349"/>
      <c r="JX1396" s="350"/>
      <c r="JY1396" s="347"/>
      <c r="JZ1396" s="343"/>
      <c r="KA1396" s="351"/>
      <c r="KB1396" s="351"/>
      <c r="KC1396" s="343"/>
      <c r="KD1396" s="351"/>
      <c r="KE1396" s="351"/>
      <c r="KF1396" s="351"/>
      <c r="KG1396" s="351"/>
      <c r="KH1396" s="351"/>
      <c r="KI1396" s="351"/>
      <c r="KJ1396" s="351"/>
      <c r="KK1396" s="351"/>
      <c r="KL1396" s="351"/>
      <c r="KM1396" s="351"/>
      <c r="KN1396" s="351"/>
      <c r="KO1396" s="351"/>
      <c r="KP1396" s="351"/>
      <c r="KQ1396" s="351"/>
      <c r="KR1396" s="351"/>
      <c r="KS1396" s="351"/>
      <c r="KT1396" s="351"/>
      <c r="KU1396" s="351"/>
      <c r="KV1396" s="351"/>
      <c r="KW1396" s="351"/>
      <c r="KX1396" s="351"/>
      <c r="KY1396" s="351"/>
      <c r="KZ1396" s="351"/>
      <c r="LA1396" s="351"/>
      <c r="LB1396" s="351"/>
      <c r="LC1396" s="351"/>
      <c r="LD1396" s="351"/>
      <c r="LE1396" s="351"/>
      <c r="LF1396" s="351"/>
      <c r="LG1396" s="351"/>
      <c r="LH1396" s="351"/>
      <c r="LI1396" s="351"/>
      <c r="LJ1396" s="351"/>
      <c r="LK1396" s="351"/>
      <c r="LL1396" s="351"/>
      <c r="LM1396" s="351"/>
      <c r="LN1396" s="351"/>
      <c r="LO1396" s="342"/>
      <c r="LP1396" s="342"/>
      <c r="LQ1396" s="342"/>
      <c r="LR1396" s="342"/>
      <c r="LS1396" s="342"/>
      <c r="LT1396" s="342"/>
      <c r="LU1396" s="13"/>
    </row>
    <row r="1397" spans="6:333" ht="10.75" customHeight="1">
      <c r="GT1397" s="12"/>
      <c r="GU1397" s="342"/>
      <c r="GV1397" s="342"/>
      <c r="GW1397" s="342"/>
      <c r="GX1397" s="342"/>
      <c r="GY1397" s="342"/>
      <c r="GZ1397" s="342"/>
      <c r="HA1397" s="342"/>
      <c r="HB1397" s="342"/>
      <c r="HC1397" s="342"/>
      <c r="HD1397" s="342"/>
      <c r="HE1397" s="342"/>
      <c r="HF1397" s="342"/>
      <c r="HG1397" s="351"/>
      <c r="HH1397" s="351"/>
      <c r="HI1397" s="351"/>
      <c r="HJ1397" s="351"/>
      <c r="HK1397" s="351"/>
      <c r="HL1397" s="351"/>
      <c r="HM1397" s="351"/>
      <c r="HN1397" s="351"/>
      <c r="HO1397" s="351"/>
      <c r="HP1397" s="351"/>
      <c r="HQ1397" s="351"/>
      <c r="HR1397" s="351"/>
      <c r="HS1397" s="351"/>
      <c r="HT1397" s="351"/>
      <c r="HU1397" s="351"/>
      <c r="HV1397" s="351"/>
      <c r="HW1397" s="351"/>
      <c r="HX1397" s="351"/>
      <c r="HY1397" s="351"/>
      <c r="HZ1397" s="351"/>
      <c r="IA1397" s="351"/>
      <c r="IB1397" s="351"/>
      <c r="IC1397" s="351"/>
      <c r="ID1397" s="351"/>
      <c r="IE1397" s="351"/>
      <c r="IF1397" s="351"/>
      <c r="IG1397" s="351"/>
      <c r="IH1397" s="351"/>
      <c r="II1397" s="351"/>
      <c r="IJ1397" s="351"/>
      <c r="IK1397" s="351"/>
      <c r="IL1397" s="351"/>
      <c r="IM1397" s="351"/>
      <c r="IN1397" s="351"/>
      <c r="IO1397" s="351"/>
      <c r="IP1397" s="351"/>
      <c r="IQ1397" s="351"/>
      <c r="IR1397" s="351"/>
      <c r="IS1397" s="351"/>
      <c r="IT1397" s="351"/>
      <c r="IU1397" s="351"/>
      <c r="IV1397" s="351"/>
      <c r="IW1397" s="351"/>
      <c r="IX1397" s="347"/>
      <c r="IY1397" s="351"/>
      <c r="IZ1397" s="351"/>
      <c r="JA1397" s="348"/>
      <c r="JB1397" s="16"/>
      <c r="JC1397" s="349"/>
      <c r="JD1397" s="349"/>
      <c r="JE1397" s="349"/>
      <c r="JF1397" s="350"/>
      <c r="JG1397" s="351"/>
      <c r="JH1397" s="351"/>
      <c r="JI1397" s="351"/>
      <c r="JJ1397" s="351"/>
      <c r="JK1397" s="351"/>
      <c r="JL1397" s="351"/>
      <c r="JM1397" s="351"/>
      <c r="JN1397" s="351"/>
      <c r="JO1397" s="351"/>
      <c r="JP1397" s="351"/>
      <c r="JQ1397" s="351"/>
      <c r="JR1397" s="351"/>
      <c r="JS1397" s="351"/>
      <c r="JT1397" s="351"/>
      <c r="JU1397" s="351"/>
      <c r="JV1397" s="351"/>
      <c r="JW1397" s="351"/>
      <c r="JX1397" s="351"/>
      <c r="JY1397" s="348"/>
      <c r="JZ1397" s="350"/>
      <c r="KA1397" s="351"/>
      <c r="KB1397" s="351"/>
      <c r="KC1397" s="343"/>
      <c r="KD1397" s="351"/>
      <c r="KE1397" s="351"/>
      <c r="KF1397" s="351"/>
      <c r="KG1397" s="351"/>
      <c r="KH1397" s="351"/>
      <c r="KI1397" s="351"/>
      <c r="KJ1397" s="351"/>
      <c r="KK1397" s="351"/>
      <c r="KL1397" s="351"/>
      <c r="KM1397" s="351"/>
      <c r="KN1397" s="351"/>
      <c r="KO1397" s="351"/>
      <c r="KP1397" s="351"/>
      <c r="KQ1397" s="351"/>
      <c r="KR1397" s="351"/>
      <c r="KS1397" s="351"/>
      <c r="KT1397" s="351"/>
      <c r="KU1397" s="351"/>
      <c r="KV1397" s="351"/>
      <c r="KW1397" s="351"/>
      <c r="KX1397" s="351"/>
      <c r="KY1397" s="351"/>
      <c r="KZ1397" s="351"/>
      <c r="LA1397" s="351"/>
      <c r="LB1397" s="351"/>
      <c r="LC1397" s="351"/>
      <c r="LD1397" s="351"/>
      <c r="LE1397" s="351"/>
      <c r="LF1397" s="351"/>
      <c r="LG1397" s="351"/>
      <c r="LH1397" s="351"/>
      <c r="LI1397" s="351"/>
      <c r="LJ1397" s="351"/>
      <c r="LK1397" s="351"/>
      <c r="LL1397" s="351"/>
      <c r="LM1397" s="351"/>
      <c r="LN1397" s="351"/>
      <c r="LO1397" s="342"/>
      <c r="LP1397" s="342"/>
      <c r="LQ1397" s="342"/>
      <c r="LR1397" s="342"/>
      <c r="LS1397" s="342"/>
      <c r="LT1397" s="342"/>
      <c r="LU1397" s="13"/>
    </row>
    <row r="1398" spans="6:333" ht="10.75" customHeight="1">
      <c r="GT1398" s="12"/>
      <c r="GU1398" s="342"/>
      <c r="GV1398" s="342"/>
      <c r="GW1398" s="342"/>
      <c r="GX1398" s="342"/>
      <c r="GY1398" s="342"/>
      <c r="GZ1398" s="342"/>
      <c r="HA1398" s="342"/>
      <c r="HB1398" s="342"/>
      <c r="HC1398" s="342"/>
      <c r="HD1398" s="342"/>
      <c r="HE1398" s="342"/>
      <c r="HF1398" s="342"/>
      <c r="HG1398" s="351"/>
      <c r="HH1398" s="351"/>
      <c r="HI1398" s="351"/>
      <c r="HJ1398" s="351"/>
      <c r="HK1398" s="351"/>
      <c r="HL1398" s="351"/>
      <c r="HM1398" s="351"/>
      <c r="HN1398" s="351"/>
      <c r="HO1398" s="351"/>
      <c r="HP1398" s="351"/>
      <c r="HQ1398" s="351"/>
      <c r="HR1398" s="351"/>
      <c r="HS1398" s="351"/>
      <c r="HT1398" s="351"/>
      <c r="HU1398" s="351"/>
      <c r="HV1398" s="351"/>
      <c r="HW1398" s="351"/>
      <c r="HX1398" s="351"/>
      <c r="HY1398" s="351"/>
      <c r="HZ1398" s="351"/>
      <c r="IA1398" s="351"/>
      <c r="IB1398" s="351"/>
      <c r="IC1398" s="351"/>
      <c r="ID1398" s="351"/>
      <c r="IE1398" s="351"/>
      <c r="IF1398" s="351"/>
      <c r="IG1398" s="351"/>
      <c r="IH1398" s="351"/>
      <c r="II1398" s="351"/>
      <c r="IJ1398" s="351"/>
      <c r="IK1398" s="351"/>
      <c r="IL1398" s="351"/>
      <c r="IM1398" s="351"/>
      <c r="IN1398" s="351"/>
      <c r="IO1398" s="351"/>
      <c r="IP1398" s="351"/>
      <c r="IQ1398" s="351"/>
      <c r="IR1398" s="351"/>
      <c r="IS1398" s="351"/>
      <c r="IT1398" s="351"/>
      <c r="IU1398" s="351"/>
      <c r="IV1398" s="351"/>
      <c r="IW1398" s="351"/>
      <c r="IX1398" s="347"/>
      <c r="IY1398" s="351"/>
      <c r="IZ1398" s="351"/>
      <c r="JA1398" s="347"/>
      <c r="JB1398" s="342"/>
      <c r="JC1398" s="351"/>
      <c r="JD1398" s="351"/>
      <c r="JE1398" s="351"/>
      <c r="JF1398" s="351"/>
      <c r="JG1398" s="351"/>
      <c r="JH1398" s="351"/>
      <c r="JI1398" s="351"/>
      <c r="JJ1398" s="351"/>
      <c r="JK1398" s="351"/>
      <c r="JL1398" s="351"/>
      <c r="JM1398" s="351"/>
      <c r="JN1398" s="351"/>
      <c r="JO1398" s="351"/>
      <c r="JP1398" s="351"/>
      <c r="JQ1398" s="351"/>
      <c r="JR1398" s="351"/>
      <c r="JS1398" s="351"/>
      <c r="JT1398" s="351"/>
      <c r="JU1398" s="351"/>
      <c r="JV1398" s="351"/>
      <c r="JW1398" s="351"/>
      <c r="JX1398" s="351"/>
      <c r="JY1398" s="351"/>
      <c r="JZ1398" s="343"/>
      <c r="KA1398" s="351"/>
      <c r="KB1398" s="351"/>
      <c r="KC1398" s="343"/>
      <c r="KD1398" s="351"/>
      <c r="KE1398" s="351"/>
      <c r="KF1398" s="351"/>
      <c r="KG1398" s="351"/>
      <c r="KH1398" s="351"/>
      <c r="KI1398" s="351"/>
      <c r="KJ1398" s="351"/>
      <c r="KK1398" s="351"/>
      <c r="KL1398" s="351"/>
      <c r="KM1398" s="351"/>
      <c r="KN1398" s="351"/>
      <c r="KO1398" s="351"/>
      <c r="KP1398" s="351"/>
      <c r="KQ1398" s="351"/>
      <c r="KR1398" s="351"/>
      <c r="KS1398" s="351"/>
      <c r="KT1398" s="351"/>
      <c r="KU1398" s="351"/>
      <c r="KV1398" s="351"/>
      <c r="KW1398" s="351"/>
      <c r="KX1398" s="351"/>
      <c r="KY1398" s="351"/>
      <c r="KZ1398" s="351"/>
      <c r="LA1398" s="351"/>
      <c r="LB1398" s="351"/>
      <c r="LC1398" s="351"/>
      <c r="LD1398" s="351"/>
      <c r="LE1398" s="351"/>
      <c r="LF1398" s="351"/>
      <c r="LG1398" s="351"/>
      <c r="LH1398" s="351"/>
      <c r="LI1398" s="351"/>
      <c r="LJ1398" s="351"/>
      <c r="LK1398" s="351"/>
      <c r="LL1398" s="351"/>
      <c r="LM1398" s="351"/>
      <c r="LN1398" s="351"/>
      <c r="LO1398" s="342"/>
      <c r="LP1398" s="342"/>
      <c r="LQ1398" s="342"/>
      <c r="LR1398" s="342"/>
      <c r="LS1398" s="342"/>
      <c r="LT1398" s="342"/>
      <c r="LU1398" s="13"/>
    </row>
    <row r="1399" spans="6:333" ht="10.75" customHeight="1">
      <c r="GT1399" s="12"/>
      <c r="GU1399" s="342"/>
      <c r="GV1399" s="342"/>
      <c r="GW1399" s="342"/>
      <c r="GX1399" s="342"/>
      <c r="GY1399" s="342"/>
      <c r="GZ1399" s="342"/>
      <c r="HA1399" s="342"/>
      <c r="HB1399" s="342"/>
      <c r="HC1399" s="342"/>
      <c r="HD1399" s="342"/>
      <c r="HE1399" s="342"/>
      <c r="HF1399" s="342"/>
      <c r="HG1399" s="351"/>
      <c r="HH1399" s="351"/>
      <c r="HI1399" s="351"/>
      <c r="HJ1399" s="351"/>
      <c r="HK1399" s="351"/>
      <c r="HL1399" s="351"/>
      <c r="HM1399" s="351"/>
      <c r="HN1399" s="351"/>
      <c r="HO1399" s="351"/>
      <c r="HP1399" s="351"/>
      <c r="HQ1399" s="351"/>
      <c r="HR1399" s="351"/>
      <c r="HS1399" s="351"/>
      <c r="HT1399" s="351"/>
      <c r="HU1399" s="351"/>
      <c r="HV1399" s="351"/>
      <c r="HW1399" s="351"/>
      <c r="HX1399" s="351"/>
      <c r="HY1399" s="351"/>
      <c r="HZ1399" s="351"/>
      <c r="IA1399" s="351"/>
      <c r="IB1399" s="351"/>
      <c r="IC1399" s="351"/>
      <c r="ID1399" s="351"/>
      <c r="IE1399" s="351"/>
      <c r="IF1399" s="351"/>
      <c r="IG1399" s="351"/>
      <c r="IH1399" s="351"/>
      <c r="II1399" s="351"/>
      <c r="IJ1399" s="351"/>
      <c r="IK1399" s="351"/>
      <c r="IL1399" s="351"/>
      <c r="IM1399" s="351"/>
      <c r="IN1399" s="351"/>
      <c r="IO1399" s="351"/>
      <c r="IP1399" s="351"/>
      <c r="IQ1399" s="351"/>
      <c r="IR1399" s="351"/>
      <c r="IS1399" s="351"/>
      <c r="IT1399" s="351"/>
      <c r="IU1399" s="351"/>
      <c r="IV1399" s="351"/>
      <c r="IW1399" s="351"/>
      <c r="IX1399" s="347"/>
      <c r="IY1399" s="351"/>
      <c r="IZ1399" s="351"/>
      <c r="JA1399" s="347"/>
      <c r="JB1399" s="342"/>
      <c r="JC1399" s="351"/>
      <c r="JD1399" s="351"/>
      <c r="JE1399" s="351"/>
      <c r="JF1399" s="351"/>
      <c r="JG1399" s="351"/>
      <c r="JH1399" s="351"/>
      <c r="JI1399" s="351"/>
      <c r="JJ1399" s="351"/>
      <c r="JK1399" s="351"/>
      <c r="JL1399" s="351"/>
      <c r="JM1399" s="351"/>
      <c r="JN1399" s="351"/>
      <c r="JO1399" s="351"/>
      <c r="JP1399" s="351"/>
      <c r="JQ1399" s="351"/>
      <c r="JR1399" s="351"/>
      <c r="JS1399" s="351"/>
      <c r="JT1399" s="351"/>
      <c r="JU1399" s="351"/>
      <c r="JV1399" s="351"/>
      <c r="JW1399" s="351"/>
      <c r="JX1399" s="351"/>
      <c r="JY1399" s="351"/>
      <c r="JZ1399" s="343"/>
      <c r="KA1399" s="351"/>
      <c r="KB1399" s="351"/>
      <c r="KC1399" s="343"/>
      <c r="KD1399" s="351"/>
      <c r="KE1399" s="351"/>
      <c r="KF1399" s="351"/>
      <c r="KG1399" s="351"/>
      <c r="KH1399" s="351"/>
      <c r="KI1399" s="351"/>
      <c r="KJ1399" s="351"/>
      <c r="KK1399" s="351"/>
      <c r="KL1399" s="351"/>
      <c r="KM1399" s="351"/>
      <c r="KN1399" s="351"/>
      <c r="KO1399" s="351"/>
      <c r="KP1399" s="351"/>
      <c r="KQ1399" s="351"/>
      <c r="KR1399" s="351"/>
      <c r="KS1399" s="351"/>
      <c r="KT1399" s="351"/>
      <c r="KU1399" s="351"/>
      <c r="KV1399" s="351"/>
      <c r="KW1399" s="351"/>
      <c r="KX1399" s="351"/>
      <c r="KY1399" s="351"/>
      <c r="KZ1399" s="351"/>
      <c r="LA1399" s="351"/>
      <c r="LB1399" s="351"/>
      <c r="LC1399" s="351"/>
      <c r="LD1399" s="351"/>
      <c r="LE1399" s="351"/>
      <c r="LF1399" s="351"/>
      <c r="LG1399" s="351"/>
      <c r="LH1399" s="351"/>
      <c r="LI1399" s="351"/>
      <c r="LJ1399" s="342"/>
      <c r="LK1399" s="342"/>
      <c r="LL1399" s="342"/>
      <c r="LM1399" s="342"/>
      <c r="LN1399" s="342"/>
      <c r="LO1399" s="342"/>
      <c r="LP1399" s="342"/>
      <c r="LQ1399" s="342"/>
      <c r="LR1399" s="342"/>
      <c r="LS1399" s="342"/>
      <c r="LT1399" s="342"/>
      <c r="LU1399" s="13"/>
    </row>
    <row r="1400" spans="6:333" ht="10.75" customHeight="1">
      <c r="F1400" s="342"/>
      <c r="G1400" s="342"/>
      <c r="H1400" s="342"/>
      <c r="I1400" s="342"/>
      <c r="J1400" s="342"/>
      <c r="K1400" s="342"/>
      <c r="L1400" s="342"/>
      <c r="M1400" s="342"/>
      <c r="N1400" s="342"/>
      <c r="O1400" s="342"/>
      <c r="P1400" s="342"/>
      <c r="Q1400" s="342"/>
      <c r="R1400" s="342"/>
      <c r="S1400" s="342"/>
      <c r="T1400" s="342"/>
      <c r="U1400" s="342"/>
      <c r="V1400" s="342"/>
      <c r="W1400" s="342"/>
      <c r="X1400" s="342"/>
      <c r="Y1400" s="342"/>
      <c r="Z1400" s="342"/>
      <c r="AA1400" s="342"/>
      <c r="AB1400" s="342"/>
      <c r="AC1400" s="342"/>
      <c r="AD1400" s="342"/>
      <c r="AE1400" s="342"/>
      <c r="AF1400" s="342"/>
      <c r="AG1400" s="342"/>
      <c r="AH1400" s="342"/>
      <c r="AI1400" s="342"/>
      <c r="AJ1400" s="342"/>
      <c r="AK1400" s="342"/>
      <c r="AL1400" s="342"/>
      <c r="AM1400" s="342"/>
      <c r="AN1400" s="342"/>
      <c r="AO1400" s="342"/>
      <c r="AP1400" s="342"/>
      <c r="AQ1400" s="342"/>
      <c r="AR1400" s="342"/>
      <c r="AS1400" s="342"/>
      <c r="AT1400" s="342"/>
      <c r="AU1400" s="342"/>
      <c r="AV1400" s="342"/>
      <c r="AW1400" s="342"/>
      <c r="AX1400" s="342"/>
      <c r="AY1400" s="342"/>
      <c r="AZ1400" s="342"/>
      <c r="BA1400" s="342"/>
      <c r="BB1400" s="342"/>
      <c r="BC1400" s="342"/>
      <c r="BD1400" s="342"/>
      <c r="BE1400" s="342"/>
      <c r="BF1400" s="342"/>
      <c r="BG1400" s="342"/>
      <c r="BH1400" s="342"/>
      <c r="BI1400" s="342"/>
      <c r="BJ1400" s="342"/>
      <c r="BK1400" s="342"/>
      <c r="BL1400" s="342"/>
      <c r="BM1400" s="342"/>
      <c r="BN1400" s="342"/>
      <c r="BO1400" s="342"/>
      <c r="BP1400" s="342"/>
      <c r="BQ1400" s="342"/>
      <c r="BR1400" s="342"/>
      <c r="BS1400" s="342"/>
      <c r="BT1400" s="342"/>
      <c r="BU1400" s="342"/>
      <c r="BV1400" s="342"/>
      <c r="BW1400" s="342"/>
      <c r="BX1400" s="342"/>
      <c r="BY1400" s="342"/>
      <c r="BZ1400" s="342"/>
      <c r="CA1400" s="342"/>
      <c r="CB1400" s="342"/>
      <c r="CC1400" s="342"/>
      <c r="CD1400" s="342"/>
      <c r="CE1400" s="342"/>
      <c r="CF1400" s="342"/>
      <c r="CG1400" s="342"/>
      <c r="CH1400" s="342"/>
      <c r="CI1400" s="342"/>
      <c r="CJ1400" s="342"/>
      <c r="CK1400" s="342"/>
      <c r="CL1400" s="342"/>
      <c r="CM1400" s="342"/>
      <c r="CN1400" s="342"/>
      <c r="CO1400" s="342"/>
      <c r="CP1400" s="342"/>
      <c r="CQ1400" s="342"/>
      <c r="CR1400" s="342"/>
      <c r="CS1400" s="342"/>
      <c r="CT1400" s="342"/>
      <c r="CU1400" s="342"/>
      <c r="CV1400" s="342"/>
      <c r="CW1400" s="342"/>
      <c r="CX1400" s="342"/>
      <c r="CY1400" s="342"/>
      <c r="CZ1400" s="342"/>
      <c r="DA1400" s="342"/>
      <c r="DB1400" s="342"/>
      <c r="DC1400" s="342"/>
      <c r="DD1400" s="342"/>
      <c r="DE1400" s="342"/>
      <c r="DF1400" s="342"/>
      <c r="DG1400" s="342"/>
      <c r="DH1400" s="342"/>
      <c r="DI1400" s="342"/>
      <c r="DJ1400" s="342"/>
      <c r="DK1400" s="342"/>
      <c r="DL1400" s="342"/>
      <c r="DM1400" s="342"/>
      <c r="DN1400" s="342"/>
      <c r="DO1400" s="342"/>
      <c r="DP1400" s="342"/>
      <c r="DQ1400" s="342"/>
      <c r="DR1400" s="342"/>
      <c r="DS1400" s="342"/>
      <c r="DT1400" s="342"/>
      <c r="DU1400" s="342"/>
      <c r="GT1400" s="12"/>
      <c r="GU1400" s="342"/>
      <c r="GV1400" s="342"/>
      <c r="GW1400" s="342"/>
      <c r="GX1400" s="342"/>
      <c r="GY1400" s="342"/>
      <c r="GZ1400" s="342"/>
      <c r="HA1400" s="342"/>
      <c r="HB1400" s="342"/>
      <c r="HC1400" s="342"/>
      <c r="HD1400" s="342"/>
      <c r="HE1400" s="342"/>
      <c r="HF1400" s="342"/>
      <c r="HG1400" s="351"/>
      <c r="HH1400" s="351"/>
      <c r="HI1400" s="351"/>
      <c r="HJ1400" s="344"/>
      <c r="HK1400" s="345"/>
      <c r="HL1400" s="346"/>
      <c r="HM1400" s="351"/>
      <c r="HN1400" s="351"/>
      <c r="HO1400" s="351"/>
      <c r="HP1400" s="351"/>
      <c r="HQ1400" s="351"/>
      <c r="HR1400" s="351"/>
      <c r="HS1400" s="351"/>
      <c r="HT1400" s="351"/>
      <c r="HU1400" s="351"/>
      <c r="HV1400" s="351"/>
      <c r="HW1400" s="351"/>
      <c r="HX1400" s="351"/>
      <c r="HY1400" s="351"/>
      <c r="HZ1400" s="351"/>
      <c r="IA1400" s="351"/>
      <c r="IB1400" s="351"/>
      <c r="IC1400" s="351"/>
      <c r="ID1400" s="351"/>
      <c r="IE1400" s="351"/>
      <c r="IF1400" s="351"/>
      <c r="IG1400" s="351"/>
      <c r="IH1400" s="351"/>
      <c r="II1400" s="351"/>
      <c r="IJ1400" s="351"/>
      <c r="IK1400" s="351"/>
      <c r="IL1400" s="351"/>
      <c r="IM1400" s="351"/>
      <c r="IN1400" s="351"/>
      <c r="IO1400" s="351"/>
      <c r="IP1400" s="351"/>
      <c r="IQ1400" s="351"/>
      <c r="IR1400" s="351"/>
      <c r="IS1400" s="351"/>
      <c r="IT1400" s="351"/>
      <c r="IU1400" s="351"/>
      <c r="IV1400" s="351"/>
      <c r="IW1400" s="351"/>
      <c r="IX1400" s="347"/>
      <c r="IY1400" s="351"/>
      <c r="IZ1400" s="351"/>
      <c r="JA1400" s="347"/>
      <c r="JB1400" s="342"/>
      <c r="JC1400" s="351"/>
      <c r="JD1400" s="351"/>
      <c r="JE1400" s="351"/>
      <c r="JF1400" s="351"/>
      <c r="JG1400" s="351"/>
      <c r="JH1400" s="351"/>
      <c r="JI1400" s="351"/>
      <c r="JJ1400" s="351"/>
      <c r="JK1400" s="351"/>
      <c r="JL1400" s="351"/>
      <c r="JM1400" s="351"/>
      <c r="JN1400" s="351"/>
      <c r="JO1400" s="351"/>
      <c r="JP1400" s="351"/>
      <c r="JQ1400" s="351"/>
      <c r="JR1400" s="351"/>
      <c r="JS1400" s="351"/>
      <c r="JT1400" s="351"/>
      <c r="JU1400" s="351"/>
      <c r="JV1400" s="351"/>
      <c r="JW1400" s="351"/>
      <c r="JX1400" s="351"/>
      <c r="JY1400" s="351"/>
      <c r="JZ1400" s="343"/>
      <c r="KA1400" s="351"/>
      <c r="KB1400" s="351"/>
      <c r="KC1400" s="343"/>
      <c r="KD1400" s="351"/>
      <c r="KE1400" s="351"/>
      <c r="KF1400" s="351"/>
      <c r="KG1400" s="351"/>
      <c r="KH1400" s="351"/>
      <c r="KI1400" s="351"/>
      <c r="KJ1400" s="351"/>
      <c r="KK1400" s="351"/>
      <c r="KL1400" s="351"/>
      <c r="KM1400" s="351"/>
      <c r="KN1400" s="351"/>
      <c r="KO1400" s="351"/>
      <c r="KP1400" s="351"/>
      <c r="KQ1400" s="351"/>
      <c r="KR1400" s="351"/>
      <c r="KS1400" s="351"/>
      <c r="KT1400" s="351"/>
      <c r="KU1400" s="351"/>
      <c r="KV1400" s="351"/>
      <c r="KW1400" s="351"/>
      <c r="KX1400" s="351"/>
      <c r="KY1400" s="351"/>
      <c r="KZ1400" s="351"/>
      <c r="LA1400" s="351"/>
      <c r="LB1400" s="351"/>
      <c r="LC1400" s="351"/>
      <c r="LD1400" s="351"/>
      <c r="LE1400" s="351"/>
      <c r="LF1400" s="351"/>
      <c r="LG1400" s="351"/>
      <c r="LH1400" s="351"/>
      <c r="LI1400" s="351"/>
      <c r="LJ1400" s="342"/>
      <c r="LK1400" s="342"/>
      <c r="LL1400" s="342"/>
      <c r="LM1400" s="342"/>
      <c r="LN1400" s="342"/>
      <c r="LO1400" s="342"/>
      <c r="LP1400" s="342"/>
      <c r="LQ1400" s="342"/>
      <c r="LR1400" s="342"/>
      <c r="LS1400" s="342"/>
      <c r="LT1400" s="342"/>
      <c r="LU1400" s="13"/>
    </row>
    <row r="1401" spans="6:333" ht="10.75" customHeight="1">
      <c r="F1401" s="342"/>
      <c r="G1401" s="342"/>
      <c r="H1401" s="342"/>
      <c r="I1401" s="342"/>
      <c r="J1401" s="342"/>
      <c r="K1401" s="342"/>
      <c r="L1401" s="342"/>
      <c r="M1401" s="342"/>
      <c r="N1401" s="342"/>
      <c r="O1401" s="342"/>
      <c r="P1401" s="342"/>
      <c r="Q1401" s="342"/>
      <c r="R1401" s="342"/>
      <c r="S1401" s="342"/>
      <c r="T1401" s="342"/>
      <c r="U1401" s="342"/>
      <c r="V1401" s="342"/>
      <c r="W1401" s="342"/>
      <c r="X1401" s="342"/>
      <c r="Y1401" s="342"/>
      <c r="Z1401" s="342"/>
      <c r="AA1401" s="342"/>
      <c r="AB1401" s="342"/>
      <c r="AC1401" s="342"/>
      <c r="AD1401" s="342"/>
      <c r="AE1401" s="342"/>
      <c r="AF1401" s="342"/>
      <c r="AG1401" s="342"/>
      <c r="AH1401" s="342"/>
      <c r="AI1401" s="342"/>
      <c r="AJ1401" s="342"/>
      <c r="AK1401" s="342"/>
      <c r="AL1401" s="342"/>
      <c r="AM1401" s="342"/>
      <c r="AN1401" s="342"/>
      <c r="AO1401" s="342"/>
      <c r="AP1401" s="342"/>
      <c r="AQ1401" s="342"/>
      <c r="AR1401" s="342"/>
      <c r="AS1401" s="342"/>
      <c r="AT1401" s="342"/>
      <c r="AU1401" s="342"/>
      <c r="AV1401" s="342"/>
      <c r="AW1401" s="342"/>
      <c r="AX1401" s="342"/>
      <c r="AY1401" s="342"/>
      <c r="AZ1401" s="342"/>
      <c r="BA1401" s="342"/>
      <c r="BB1401" s="342"/>
      <c r="BC1401" s="342"/>
      <c r="BD1401" s="342"/>
      <c r="BE1401" s="342"/>
      <c r="BF1401" s="342"/>
      <c r="BG1401" s="342"/>
      <c r="BH1401" s="342"/>
      <c r="BI1401" s="342"/>
      <c r="BJ1401" s="342"/>
      <c r="BK1401" s="342"/>
      <c r="BL1401" s="342"/>
      <c r="BM1401" s="342"/>
      <c r="BN1401" s="342"/>
      <c r="BO1401" s="342"/>
      <c r="BP1401" s="342"/>
      <c r="BQ1401" s="342"/>
      <c r="BR1401" s="342"/>
      <c r="BS1401" s="342"/>
      <c r="BT1401" s="342"/>
      <c r="BU1401" s="342"/>
      <c r="BV1401" s="342"/>
      <c r="BW1401" s="342"/>
      <c r="BX1401" s="342"/>
      <c r="BY1401" s="342"/>
      <c r="BZ1401" s="342"/>
      <c r="CA1401" s="342"/>
      <c r="CB1401" s="342"/>
      <c r="CC1401" s="342"/>
      <c r="CD1401" s="342"/>
      <c r="CE1401" s="342"/>
      <c r="CF1401" s="342"/>
      <c r="CG1401" s="342"/>
      <c r="CH1401" s="342"/>
      <c r="CI1401" s="342"/>
      <c r="CJ1401" s="342"/>
      <c r="CK1401" s="342"/>
      <c r="CL1401" s="342"/>
      <c r="CM1401" s="342"/>
      <c r="CN1401" s="342"/>
      <c r="CO1401" s="342"/>
      <c r="CP1401" s="342"/>
      <c r="CQ1401" s="342"/>
      <c r="CR1401" s="342"/>
      <c r="CS1401" s="342"/>
      <c r="CT1401" s="342"/>
      <c r="CU1401" s="342"/>
      <c r="CV1401" s="342"/>
      <c r="CW1401" s="342"/>
      <c r="CX1401" s="342"/>
      <c r="CY1401" s="342"/>
      <c r="CZ1401" s="342"/>
      <c r="DA1401" s="342"/>
      <c r="DB1401" s="342"/>
      <c r="DC1401" s="342"/>
      <c r="DD1401" s="342"/>
      <c r="DE1401" s="342"/>
      <c r="DF1401" s="342"/>
      <c r="DG1401" s="342"/>
      <c r="DH1401" s="342"/>
      <c r="DI1401" s="342"/>
      <c r="DJ1401" s="342"/>
      <c r="DK1401" s="342"/>
      <c r="DL1401" s="342"/>
      <c r="DM1401" s="342"/>
      <c r="DN1401" s="342"/>
      <c r="DO1401" s="342"/>
      <c r="DP1401" s="342"/>
      <c r="DQ1401" s="342"/>
      <c r="DR1401" s="342"/>
      <c r="DS1401" s="342"/>
      <c r="DT1401" s="342"/>
      <c r="DU1401" s="342"/>
      <c r="EF1401" s="9"/>
      <c r="EG1401" s="11"/>
      <c r="EH1401" s="10"/>
      <c r="EI1401" s="10"/>
      <c r="EJ1401" s="10"/>
      <c r="EK1401" s="10"/>
      <c r="EL1401" s="10"/>
      <c r="EM1401" s="10"/>
      <c r="EN1401" s="10"/>
      <c r="EO1401" s="10"/>
      <c r="EP1401" s="10"/>
      <c r="EQ1401" s="10"/>
      <c r="ER1401" s="10"/>
      <c r="ES1401" s="9"/>
      <c r="ET1401" s="9"/>
      <c r="EU1401" s="10"/>
      <c r="EV1401" s="10"/>
      <c r="EW1401" s="10"/>
      <c r="EX1401" s="10"/>
      <c r="EY1401" s="10"/>
      <c r="EZ1401" s="10"/>
      <c r="FA1401" s="10"/>
      <c r="FB1401" s="10"/>
      <c r="FC1401" s="10"/>
      <c r="FD1401" s="10"/>
      <c r="FE1401" s="10"/>
      <c r="FF1401" s="10"/>
      <c r="FG1401" s="10"/>
      <c r="FH1401" s="10"/>
      <c r="FI1401" s="10"/>
      <c r="FJ1401" s="10"/>
      <c r="FK1401" s="10"/>
      <c r="FL1401" s="10"/>
      <c r="FM1401" s="10"/>
      <c r="FN1401" s="10"/>
      <c r="FO1401" s="10"/>
      <c r="FP1401" s="10"/>
      <c r="FQ1401" s="10"/>
      <c r="FR1401" s="10"/>
      <c r="FS1401" s="10"/>
      <c r="FT1401" s="10"/>
      <c r="FU1401" s="11"/>
      <c r="FV1401" s="9"/>
      <c r="FW1401" s="10"/>
      <c r="FX1401" s="10"/>
      <c r="FY1401" s="10"/>
      <c r="FZ1401" s="10"/>
      <c r="GA1401" s="10"/>
      <c r="GB1401" s="10"/>
      <c r="GC1401" s="10"/>
      <c r="GD1401" s="10"/>
      <c r="GE1401" s="11"/>
      <c r="GT1401" s="12"/>
      <c r="GU1401" s="342"/>
      <c r="GV1401" s="342"/>
      <c r="GW1401" s="342"/>
      <c r="GX1401" s="9"/>
      <c r="GY1401" s="10"/>
      <c r="GZ1401" s="10"/>
      <c r="HA1401" s="10"/>
      <c r="HB1401" s="10"/>
      <c r="HC1401" s="10"/>
      <c r="HD1401" s="10"/>
      <c r="HE1401" s="10"/>
      <c r="HF1401" s="10"/>
      <c r="HG1401" s="345"/>
      <c r="HH1401" s="345"/>
      <c r="HI1401" s="345"/>
      <c r="HJ1401" s="347"/>
      <c r="HK1401" s="351"/>
      <c r="HL1401" s="343"/>
      <c r="HM1401" s="345"/>
      <c r="HN1401" s="345"/>
      <c r="HO1401" s="345"/>
      <c r="HP1401" s="345"/>
      <c r="HQ1401" s="345"/>
      <c r="HR1401" s="345"/>
      <c r="HS1401" s="345"/>
      <c r="HT1401" s="345"/>
      <c r="HU1401" s="345"/>
      <c r="HV1401" s="345"/>
      <c r="HW1401" s="345"/>
      <c r="HX1401" s="345"/>
      <c r="HY1401" s="345"/>
      <c r="HZ1401" s="345"/>
      <c r="IA1401" s="345"/>
      <c r="IB1401" s="345"/>
      <c r="IC1401" s="345"/>
      <c r="ID1401" s="345"/>
      <c r="IE1401" s="345"/>
      <c r="IF1401" s="345"/>
      <c r="IG1401" s="345"/>
      <c r="IH1401" s="345"/>
      <c r="II1401" s="345"/>
      <c r="IJ1401" s="345"/>
      <c r="IK1401" s="345"/>
      <c r="IL1401" s="345"/>
      <c r="IM1401" s="345"/>
      <c r="IN1401" s="345"/>
      <c r="IO1401" s="345"/>
      <c r="IP1401" s="345"/>
      <c r="IQ1401" s="345"/>
      <c r="IR1401" s="345"/>
      <c r="IS1401" s="345"/>
      <c r="IT1401" s="345"/>
      <c r="IU1401" s="345"/>
      <c r="IV1401" s="345"/>
      <c r="IW1401" s="345"/>
      <c r="IX1401" s="351"/>
      <c r="IY1401" s="351"/>
      <c r="IZ1401" s="351"/>
      <c r="JA1401" s="348"/>
      <c r="JB1401" s="15"/>
      <c r="JC1401" s="344"/>
      <c r="JD1401" s="345"/>
      <c r="JE1401" s="345"/>
      <c r="JF1401" s="346"/>
      <c r="JG1401" s="349"/>
      <c r="JH1401" s="349"/>
      <c r="JI1401" s="349"/>
      <c r="JJ1401" s="349"/>
      <c r="JK1401" s="349"/>
      <c r="JL1401" s="349"/>
      <c r="JM1401" s="349"/>
      <c r="JN1401" s="349"/>
      <c r="JO1401" s="349"/>
      <c r="JP1401" s="349"/>
      <c r="JQ1401" s="349"/>
      <c r="JR1401" s="349"/>
      <c r="JS1401" s="349"/>
      <c r="JT1401" s="349"/>
      <c r="JU1401" s="349"/>
      <c r="JV1401" s="349"/>
      <c r="JW1401" s="349"/>
      <c r="JX1401" s="349"/>
      <c r="JY1401" s="349"/>
      <c r="JZ1401" s="350"/>
      <c r="KA1401" s="351"/>
      <c r="KB1401" s="351"/>
      <c r="KC1401" s="351"/>
      <c r="KD1401" s="345"/>
      <c r="KE1401" s="345"/>
      <c r="KF1401" s="345"/>
      <c r="KG1401" s="345"/>
      <c r="KH1401" s="345"/>
      <c r="KI1401" s="345"/>
      <c r="KJ1401" s="345"/>
      <c r="KK1401" s="345"/>
      <c r="KL1401" s="345"/>
      <c r="KM1401" s="345"/>
      <c r="KN1401" s="345"/>
      <c r="KO1401" s="345"/>
      <c r="KP1401" s="345"/>
      <c r="KQ1401" s="345"/>
      <c r="KR1401" s="345"/>
      <c r="KS1401" s="345"/>
      <c r="KT1401" s="345"/>
      <c r="KU1401" s="345"/>
      <c r="KV1401" s="345"/>
      <c r="KW1401" s="345"/>
      <c r="KX1401" s="345"/>
      <c r="KY1401" s="345"/>
      <c r="KZ1401" s="345"/>
      <c r="LA1401" s="345"/>
      <c r="LB1401" s="345"/>
      <c r="LC1401" s="344"/>
      <c r="LD1401" s="345"/>
      <c r="LE1401" s="345"/>
      <c r="LF1401" s="346"/>
      <c r="LG1401" s="351"/>
      <c r="LH1401" s="351"/>
      <c r="LI1401" s="351"/>
      <c r="LJ1401" s="342"/>
      <c r="LK1401" s="342"/>
      <c r="LL1401" s="342"/>
      <c r="LM1401" s="342"/>
      <c r="LN1401" s="342"/>
      <c r="LO1401" s="342"/>
      <c r="LP1401" s="342"/>
      <c r="LQ1401" s="342"/>
      <c r="LR1401" s="342"/>
      <c r="LS1401" s="342"/>
      <c r="LT1401" s="342"/>
      <c r="LU1401" s="13"/>
    </row>
    <row r="1402" spans="6:333" ht="10.75" customHeight="1">
      <c r="F1402" s="342"/>
      <c r="G1402" s="342"/>
      <c r="H1402" s="342"/>
      <c r="I1402" s="342"/>
      <c r="J1402" s="342"/>
      <c r="K1402" s="342"/>
      <c r="L1402" s="342"/>
      <c r="M1402" s="342"/>
      <c r="N1402" s="342"/>
      <c r="O1402" s="342"/>
      <c r="P1402" s="342"/>
      <c r="Q1402" s="342"/>
      <c r="R1402" s="342"/>
      <c r="S1402" s="342"/>
      <c r="T1402" s="342"/>
      <c r="U1402" s="342"/>
      <c r="V1402" s="342"/>
      <c r="W1402" s="342"/>
      <c r="X1402" s="342"/>
      <c r="Y1402" s="342"/>
      <c r="Z1402" s="342"/>
      <c r="AA1402" s="342"/>
      <c r="AB1402" s="342"/>
      <c r="AC1402" s="342"/>
      <c r="AD1402" s="342"/>
      <c r="AE1402" s="342"/>
      <c r="AF1402" s="342"/>
      <c r="AG1402" s="342"/>
      <c r="AH1402" s="342"/>
      <c r="AI1402" s="342"/>
      <c r="AJ1402" s="342"/>
      <c r="AK1402" s="342"/>
      <c r="AL1402" s="342"/>
      <c r="AM1402" s="342"/>
      <c r="AN1402" s="342"/>
      <c r="AO1402" s="342"/>
      <c r="AP1402" s="342"/>
      <c r="AQ1402" s="342"/>
      <c r="AR1402" s="342"/>
      <c r="AS1402" s="342"/>
      <c r="AT1402" s="342"/>
      <c r="AU1402" s="342"/>
      <c r="AV1402" s="342"/>
      <c r="AW1402" s="342"/>
      <c r="AX1402" s="342"/>
      <c r="AY1402" s="342"/>
      <c r="AZ1402" s="342"/>
      <c r="BA1402" s="342"/>
      <c r="BB1402" s="342"/>
      <c r="BC1402" s="342"/>
      <c r="BD1402" s="342"/>
      <c r="BE1402" s="342"/>
      <c r="BF1402" s="342"/>
      <c r="BG1402" s="342"/>
      <c r="BH1402" s="342"/>
      <c r="BI1402" s="342"/>
      <c r="BJ1402" s="342"/>
      <c r="BK1402" s="342"/>
      <c r="BL1402" s="342"/>
      <c r="BM1402" s="342"/>
      <c r="BN1402" s="342"/>
      <c r="BO1402" s="342"/>
      <c r="BP1402" s="342"/>
      <c r="BQ1402" s="342"/>
      <c r="BR1402" s="342"/>
      <c r="BS1402" s="342"/>
      <c r="BT1402" s="342"/>
      <c r="BU1402" s="342"/>
      <c r="BV1402" s="342"/>
      <c r="BW1402" s="342"/>
      <c r="BX1402" s="342"/>
      <c r="BY1402" s="342"/>
      <c r="BZ1402" s="342"/>
      <c r="CA1402" s="342"/>
      <c r="CB1402" s="342"/>
      <c r="CC1402" s="342"/>
      <c r="CD1402" s="342"/>
      <c r="CE1402" s="342"/>
      <c r="CF1402" s="342"/>
      <c r="CG1402" s="342"/>
      <c r="CH1402" s="342"/>
      <c r="CI1402" s="342"/>
      <c r="CJ1402" s="342"/>
      <c r="CK1402" s="342"/>
      <c r="CL1402" s="342"/>
      <c r="CM1402" s="342"/>
      <c r="CN1402" s="342"/>
      <c r="CO1402" s="342"/>
      <c r="CP1402" s="342"/>
      <c r="CQ1402" s="342"/>
      <c r="CR1402" s="342"/>
      <c r="CS1402" s="342"/>
      <c r="CT1402" s="342"/>
      <c r="CU1402" s="342"/>
      <c r="CV1402" s="342"/>
      <c r="CW1402" s="342"/>
      <c r="CX1402" s="342"/>
      <c r="CY1402" s="342"/>
      <c r="CZ1402" s="342"/>
      <c r="DA1402" s="342"/>
      <c r="DB1402" s="342"/>
      <c r="DC1402" s="342"/>
      <c r="DD1402" s="342"/>
      <c r="DE1402" s="342"/>
      <c r="DF1402" s="342"/>
      <c r="DG1402" s="342"/>
      <c r="DH1402" s="342"/>
      <c r="DI1402" s="342"/>
      <c r="DJ1402" s="342"/>
      <c r="DK1402" s="342"/>
      <c r="DL1402" s="342"/>
      <c r="DM1402" s="342"/>
      <c r="DN1402" s="342"/>
      <c r="DO1402" s="342"/>
      <c r="DP1402" s="342"/>
      <c r="DQ1402" s="342"/>
      <c r="DR1402" s="342"/>
      <c r="DS1402" s="342"/>
      <c r="DT1402" s="342"/>
      <c r="DU1402" s="342"/>
      <c r="EF1402" s="12"/>
      <c r="EG1402" s="13"/>
      <c r="EH1402" s="342"/>
      <c r="EI1402" s="342"/>
      <c r="EJ1402" s="342"/>
      <c r="EK1402" s="342"/>
      <c r="EL1402" s="342"/>
      <c r="EM1402" s="342"/>
      <c r="EN1402" s="342"/>
      <c r="EO1402" s="342"/>
      <c r="EP1402" s="342"/>
      <c r="EQ1402" s="342"/>
      <c r="ER1402" s="342"/>
      <c r="ES1402" s="12"/>
      <c r="ET1402" s="12"/>
      <c r="EU1402" s="342"/>
      <c r="EV1402" s="342"/>
      <c r="EW1402" s="342"/>
      <c r="EX1402" s="342"/>
      <c r="EY1402" s="342"/>
      <c r="EZ1402" s="342"/>
      <c r="FA1402" s="342"/>
      <c r="FB1402" s="342"/>
      <c r="FC1402" s="342"/>
      <c r="FD1402" s="342"/>
      <c r="FE1402" s="342"/>
      <c r="FF1402" s="342"/>
      <c r="FG1402" s="342"/>
      <c r="FH1402" s="342"/>
      <c r="FI1402" s="342"/>
      <c r="FJ1402" s="342"/>
      <c r="FK1402" s="342"/>
      <c r="FL1402" s="342"/>
      <c r="FM1402" s="342"/>
      <c r="FN1402" s="342"/>
      <c r="FO1402" s="342"/>
      <c r="FP1402" s="342"/>
      <c r="FQ1402" s="342"/>
      <c r="FR1402" s="342"/>
      <c r="FS1402" s="342"/>
      <c r="FT1402" s="342"/>
      <c r="FU1402" s="13"/>
      <c r="FV1402" s="12"/>
      <c r="FW1402" s="342"/>
      <c r="FX1402" s="342"/>
      <c r="FY1402" s="342"/>
      <c r="FZ1402" s="342"/>
      <c r="GA1402" s="342"/>
      <c r="GB1402" s="342"/>
      <c r="GC1402" s="342"/>
      <c r="GD1402" s="342"/>
      <c r="GE1402" s="13"/>
      <c r="GT1402" s="12"/>
      <c r="GU1402" s="342"/>
      <c r="GV1402" s="342"/>
      <c r="GW1402" s="342"/>
      <c r="GX1402" s="12"/>
      <c r="GY1402" s="9"/>
      <c r="GZ1402" s="10"/>
      <c r="HA1402" s="10"/>
      <c r="HB1402" s="10"/>
      <c r="HC1402" s="10"/>
      <c r="HD1402" s="10"/>
      <c r="HE1402" s="10"/>
      <c r="HF1402" s="10"/>
      <c r="HG1402" s="345"/>
      <c r="HH1402" s="345"/>
      <c r="HI1402" s="345"/>
      <c r="HJ1402" s="347"/>
      <c r="HK1402" s="351"/>
      <c r="HL1402" s="343"/>
      <c r="HM1402" s="351"/>
      <c r="HN1402" s="351"/>
      <c r="HO1402" s="351"/>
      <c r="HP1402" s="351"/>
      <c r="HQ1402" s="351"/>
      <c r="HR1402" s="351"/>
      <c r="HS1402" s="351"/>
      <c r="HT1402" s="351"/>
      <c r="HU1402" s="351"/>
      <c r="HV1402" s="351"/>
      <c r="HW1402" s="351"/>
      <c r="HX1402" s="351"/>
      <c r="HY1402" s="351"/>
      <c r="HZ1402" s="351"/>
      <c r="IA1402" s="351"/>
      <c r="IB1402" s="351"/>
      <c r="IC1402" s="351"/>
      <c r="ID1402" s="351"/>
      <c r="IE1402" s="351"/>
      <c r="IF1402" s="351"/>
      <c r="IG1402" s="351"/>
      <c r="IH1402" s="351"/>
      <c r="II1402" s="351"/>
      <c r="IJ1402" s="351"/>
      <c r="IK1402" s="351"/>
      <c r="IL1402" s="351"/>
      <c r="IM1402" s="351"/>
      <c r="IN1402" s="351"/>
      <c r="IO1402" s="351"/>
      <c r="IP1402" s="351"/>
      <c r="IQ1402" s="351"/>
      <c r="IR1402" s="351"/>
      <c r="IS1402" s="351"/>
      <c r="IT1402" s="351"/>
      <c r="IU1402" s="351"/>
      <c r="IV1402" s="351"/>
      <c r="IW1402" s="351"/>
      <c r="IX1402" s="351"/>
      <c r="IY1402" s="351"/>
      <c r="IZ1402" s="351"/>
      <c r="JA1402" s="351"/>
      <c r="JB1402" s="351"/>
      <c r="JC1402" s="347"/>
      <c r="JD1402" s="351"/>
      <c r="JE1402" s="351"/>
      <c r="JF1402" s="343"/>
      <c r="JG1402" s="351"/>
      <c r="JH1402" s="264"/>
      <c r="JI1402" s="345"/>
      <c r="JJ1402" s="345"/>
      <c r="JK1402" s="345"/>
      <c r="JL1402" s="345"/>
      <c r="JM1402" s="345"/>
      <c r="JN1402" s="345"/>
      <c r="JO1402" s="345"/>
      <c r="JP1402" s="345"/>
      <c r="JQ1402" s="345"/>
      <c r="JR1402" s="345"/>
      <c r="JS1402" s="266"/>
      <c r="JT1402" s="351"/>
      <c r="JU1402" s="351"/>
      <c r="JV1402" s="351"/>
      <c r="JW1402" s="351"/>
      <c r="JX1402" s="351"/>
      <c r="JY1402" s="351"/>
      <c r="JZ1402" s="351"/>
      <c r="KA1402" s="351"/>
      <c r="KB1402" s="351"/>
      <c r="KC1402" s="351"/>
      <c r="KD1402" s="351"/>
      <c r="KE1402" s="351"/>
      <c r="KF1402" s="351"/>
      <c r="KG1402" s="351"/>
      <c r="KH1402" s="351"/>
      <c r="KI1402" s="351"/>
      <c r="KJ1402" s="351"/>
      <c r="KK1402" s="351"/>
      <c r="KL1402" s="351"/>
      <c r="KM1402" s="351"/>
      <c r="KN1402" s="351"/>
      <c r="KO1402" s="351"/>
      <c r="KP1402" s="351"/>
      <c r="KQ1402" s="351"/>
      <c r="KR1402" s="351"/>
      <c r="KS1402" s="351"/>
      <c r="KT1402" s="351"/>
      <c r="KU1402" s="351"/>
      <c r="KV1402" s="351"/>
      <c r="KW1402" s="351"/>
      <c r="KX1402" s="351"/>
      <c r="KY1402" s="351"/>
      <c r="KZ1402" s="351"/>
      <c r="LA1402" s="351"/>
      <c r="LB1402" s="351"/>
      <c r="LC1402" s="347"/>
      <c r="LD1402" s="351"/>
      <c r="LE1402" s="351"/>
      <c r="LF1402" s="343"/>
      <c r="LG1402" s="351"/>
      <c r="LH1402" s="351"/>
      <c r="LI1402" s="351"/>
      <c r="LJ1402" s="342"/>
      <c r="LK1402" s="342"/>
      <c r="LL1402" s="342"/>
      <c r="LM1402" s="342"/>
      <c r="LN1402" s="342"/>
      <c r="LO1402" s="342"/>
      <c r="LP1402" s="342"/>
      <c r="LQ1402" s="342"/>
      <c r="LR1402" s="342"/>
      <c r="LS1402" s="342"/>
      <c r="LT1402" s="342"/>
      <c r="LU1402" s="13"/>
    </row>
    <row r="1403" spans="6:333" ht="10.75" customHeight="1">
      <c r="F1403" s="342"/>
      <c r="G1403" s="342"/>
      <c r="H1403" s="342"/>
      <c r="I1403" s="342"/>
      <c r="J1403" s="342"/>
      <c r="K1403" s="342"/>
      <c r="L1403" s="342"/>
      <c r="M1403" s="342"/>
      <c r="N1403" s="342"/>
      <c r="O1403" s="342"/>
      <c r="P1403" s="342"/>
      <c r="Q1403" s="342"/>
      <c r="R1403" s="342"/>
      <c r="S1403" s="342"/>
      <c r="T1403" s="342"/>
      <c r="U1403" s="342"/>
      <c r="V1403" s="342"/>
      <c r="W1403" s="342"/>
      <c r="X1403" s="342"/>
      <c r="Y1403" s="342"/>
      <c r="Z1403" s="342"/>
      <c r="AA1403" s="342"/>
      <c r="AB1403" s="342"/>
      <c r="AC1403" s="342"/>
      <c r="AD1403" s="342"/>
      <c r="AE1403" s="342"/>
      <c r="AF1403" s="342"/>
      <c r="AG1403" s="342"/>
      <c r="AH1403" s="342"/>
      <c r="AI1403" s="342"/>
      <c r="AJ1403" s="342"/>
      <c r="AK1403" s="342"/>
      <c r="AL1403" s="342"/>
      <c r="AM1403" s="342"/>
      <c r="AN1403" s="342"/>
      <c r="AO1403" s="342"/>
      <c r="AP1403" s="342"/>
      <c r="AQ1403" s="342"/>
      <c r="AR1403" s="342"/>
      <c r="AS1403" s="342"/>
      <c r="AT1403" s="342"/>
      <c r="AU1403" s="342"/>
      <c r="AV1403" s="342"/>
      <c r="AW1403" s="342"/>
      <c r="AX1403" s="342"/>
      <c r="AY1403" s="342"/>
      <c r="AZ1403" s="342"/>
      <c r="BA1403" s="342"/>
      <c r="BB1403" s="342"/>
      <c r="BC1403" s="342"/>
      <c r="BD1403" s="342"/>
      <c r="BE1403" s="342"/>
      <c r="BF1403" s="342"/>
      <c r="BG1403" s="342"/>
      <c r="BH1403" s="342"/>
      <c r="BI1403" s="342"/>
      <c r="BJ1403" s="342"/>
      <c r="BK1403" s="342"/>
      <c r="BL1403" s="342"/>
      <c r="BM1403" s="342"/>
      <c r="BN1403" s="342"/>
      <c r="BO1403" s="342"/>
      <c r="BP1403" s="342"/>
      <c r="BQ1403" s="342"/>
      <c r="BR1403" s="342"/>
      <c r="BS1403" s="342"/>
      <c r="BT1403" s="342"/>
      <c r="BU1403" s="342"/>
      <c r="BV1403" s="342"/>
      <c r="BW1403" s="342"/>
      <c r="BX1403" s="342"/>
      <c r="BY1403" s="342"/>
      <c r="BZ1403" s="342"/>
      <c r="CA1403" s="342"/>
      <c r="CB1403" s="342"/>
      <c r="CC1403" s="342"/>
      <c r="CD1403" s="342"/>
      <c r="CE1403" s="342"/>
      <c r="CF1403" s="342"/>
      <c r="CG1403" s="342"/>
      <c r="CH1403" s="342"/>
      <c r="CI1403" s="342"/>
      <c r="CJ1403" s="342"/>
      <c r="CK1403" s="342"/>
      <c r="CL1403" s="342"/>
      <c r="CM1403" s="342"/>
      <c r="CN1403" s="342"/>
      <c r="CO1403" s="342"/>
      <c r="CP1403" s="342"/>
      <c r="CQ1403" s="342"/>
      <c r="CR1403" s="342"/>
      <c r="CS1403" s="342"/>
      <c r="CT1403" s="342"/>
      <c r="CU1403" s="342"/>
      <c r="CV1403" s="342"/>
      <c r="CW1403" s="342"/>
      <c r="CX1403" s="342"/>
      <c r="CY1403" s="342"/>
      <c r="CZ1403" s="342"/>
      <c r="DA1403" s="342"/>
      <c r="DB1403" s="342"/>
      <c r="DC1403" s="342"/>
      <c r="DD1403" s="342"/>
      <c r="DE1403" s="342"/>
      <c r="DF1403" s="342"/>
      <c r="DG1403" s="342"/>
      <c r="DH1403" s="342"/>
      <c r="DI1403" s="342"/>
      <c r="DJ1403" s="342"/>
      <c r="DK1403" s="342"/>
      <c r="DL1403" s="342"/>
      <c r="DM1403" s="342"/>
      <c r="DN1403" s="342"/>
      <c r="DO1403" s="342"/>
      <c r="DP1403" s="342"/>
      <c r="DQ1403" s="342"/>
      <c r="DR1403" s="342"/>
      <c r="DS1403" s="342"/>
      <c r="DT1403" s="342"/>
      <c r="DU1403" s="342"/>
      <c r="EF1403" s="12"/>
      <c r="EG1403" s="13"/>
      <c r="EH1403" s="342"/>
      <c r="EI1403" s="342"/>
      <c r="EJ1403" s="342"/>
      <c r="EK1403" s="342"/>
      <c r="EL1403" s="342"/>
      <c r="EM1403" s="342"/>
      <c r="EN1403" s="342"/>
      <c r="EO1403" s="342"/>
      <c r="EP1403" s="342"/>
      <c r="EQ1403" s="342"/>
      <c r="ER1403" s="342"/>
      <c r="ES1403" s="12"/>
      <c r="ET1403" s="12"/>
      <c r="EU1403" s="342"/>
      <c r="EV1403" s="342"/>
      <c r="EW1403" s="342"/>
      <c r="EX1403" s="342"/>
      <c r="EY1403" s="342"/>
      <c r="EZ1403" s="342"/>
      <c r="FA1403" s="342"/>
      <c r="FB1403" s="342"/>
      <c r="FC1403" s="342"/>
      <c r="FD1403" s="342"/>
      <c r="FE1403" s="342"/>
      <c r="FF1403" s="342"/>
      <c r="FG1403" s="342"/>
      <c r="FH1403" s="342"/>
      <c r="FI1403" s="342"/>
      <c r="FJ1403" s="342"/>
      <c r="FK1403" s="342"/>
      <c r="FL1403" s="342"/>
      <c r="FM1403" s="342"/>
      <c r="FN1403" s="342"/>
      <c r="FO1403" s="342"/>
      <c r="FP1403" s="342"/>
      <c r="FQ1403" s="342"/>
      <c r="FR1403" s="342"/>
      <c r="FS1403" s="342"/>
      <c r="FT1403" s="342"/>
      <c r="FU1403" s="13"/>
      <c r="FV1403" s="12"/>
      <c r="FW1403" s="342"/>
      <c r="FX1403" s="342"/>
      <c r="FY1403" s="342"/>
      <c r="FZ1403" s="342"/>
      <c r="GA1403" s="342"/>
      <c r="GB1403" s="342"/>
      <c r="GC1403" s="342"/>
      <c r="GD1403" s="342"/>
      <c r="GE1403" s="13"/>
      <c r="GT1403" s="12"/>
      <c r="GU1403" s="342"/>
      <c r="GV1403" s="342"/>
      <c r="GW1403" s="342"/>
      <c r="GX1403" s="12"/>
      <c r="GY1403" s="12"/>
      <c r="GZ1403" s="342"/>
      <c r="HA1403" s="342"/>
      <c r="HB1403" s="342"/>
      <c r="HC1403" s="342"/>
      <c r="HD1403" s="342"/>
      <c r="HE1403" s="342"/>
      <c r="HF1403" s="342"/>
      <c r="HG1403" s="351"/>
      <c r="HH1403" s="351"/>
      <c r="HI1403" s="351"/>
      <c r="HJ1403" s="348"/>
      <c r="HK1403" s="349"/>
      <c r="HL1403" s="350"/>
      <c r="HM1403" s="351"/>
      <c r="HN1403" s="351"/>
      <c r="HO1403" s="351"/>
      <c r="HP1403" s="351"/>
      <c r="HQ1403" s="351"/>
      <c r="HR1403" s="351"/>
      <c r="HS1403" s="351"/>
      <c r="HT1403" s="351"/>
      <c r="HU1403" s="351"/>
      <c r="HV1403" s="351"/>
      <c r="HW1403" s="351"/>
      <c r="HX1403" s="351"/>
      <c r="HY1403" s="351"/>
      <c r="HZ1403" s="351"/>
      <c r="IA1403" s="351"/>
      <c r="IB1403" s="351"/>
      <c r="IC1403" s="351"/>
      <c r="ID1403" s="351"/>
      <c r="IE1403" s="351"/>
      <c r="IF1403" s="351"/>
      <c r="IG1403" s="351"/>
      <c r="IH1403" s="351"/>
      <c r="II1403" s="351"/>
      <c r="IJ1403" s="351"/>
      <c r="IK1403" s="351"/>
      <c r="IL1403" s="351"/>
      <c r="IM1403" s="351"/>
      <c r="IN1403" s="351"/>
      <c r="IO1403" s="351"/>
      <c r="IP1403" s="351"/>
      <c r="IQ1403" s="351"/>
      <c r="IR1403" s="351"/>
      <c r="IS1403" s="351"/>
      <c r="IT1403" s="351"/>
      <c r="IU1403" s="351"/>
      <c r="IV1403" s="351"/>
      <c r="IW1403" s="351"/>
      <c r="IX1403" s="351"/>
      <c r="IY1403" s="351"/>
      <c r="IZ1403" s="351"/>
      <c r="JA1403" s="351"/>
      <c r="JB1403" s="351"/>
      <c r="JC1403" s="348"/>
      <c r="JD1403" s="349"/>
      <c r="JE1403" s="349"/>
      <c r="JF1403" s="350"/>
      <c r="JG1403" s="351"/>
      <c r="JH1403" s="267"/>
      <c r="JI1403" s="349"/>
      <c r="JJ1403" s="349"/>
      <c r="JK1403" s="349"/>
      <c r="JL1403" s="349"/>
      <c r="JM1403" s="349"/>
      <c r="JN1403" s="349"/>
      <c r="JO1403" s="349"/>
      <c r="JP1403" s="349"/>
      <c r="JQ1403" s="349"/>
      <c r="JR1403" s="349"/>
      <c r="JS1403" s="269"/>
      <c r="JT1403" s="351"/>
      <c r="JU1403" s="351"/>
      <c r="JV1403" s="351"/>
      <c r="JW1403" s="351"/>
      <c r="JX1403" s="351"/>
      <c r="JY1403" s="351"/>
      <c r="JZ1403" s="351"/>
      <c r="KA1403" s="351"/>
      <c r="KB1403" s="351"/>
      <c r="KC1403" s="351"/>
      <c r="KD1403" s="351"/>
      <c r="KE1403" s="351"/>
      <c r="KF1403" s="351"/>
      <c r="KG1403" s="351"/>
      <c r="KH1403" s="351"/>
      <c r="KI1403" s="351"/>
      <c r="KJ1403" s="351"/>
      <c r="KK1403" s="351"/>
      <c r="KL1403" s="351"/>
      <c r="KM1403" s="351"/>
      <c r="KN1403" s="351"/>
      <c r="KO1403" s="351"/>
      <c r="KP1403" s="351"/>
      <c r="KQ1403" s="351"/>
      <c r="KR1403" s="351"/>
      <c r="KS1403" s="351"/>
      <c r="KT1403" s="351"/>
      <c r="KU1403" s="351"/>
      <c r="KV1403" s="351"/>
      <c r="KW1403" s="351"/>
      <c r="KX1403" s="351"/>
      <c r="KY1403" s="351"/>
      <c r="KZ1403" s="351"/>
      <c r="LA1403" s="351"/>
      <c r="LB1403" s="351"/>
      <c r="LC1403" s="348"/>
      <c r="LD1403" s="349"/>
      <c r="LE1403" s="349"/>
      <c r="LF1403" s="350"/>
      <c r="LG1403" s="351"/>
      <c r="LH1403" s="351"/>
      <c r="LI1403" s="351"/>
      <c r="LJ1403" s="342"/>
      <c r="LK1403" s="342"/>
      <c r="LL1403" s="342"/>
      <c r="LM1403" s="342"/>
      <c r="LN1403" s="342"/>
      <c r="LO1403" s="342"/>
      <c r="LP1403" s="342"/>
      <c r="LQ1403" s="342"/>
      <c r="LR1403" s="342"/>
      <c r="LS1403" s="342"/>
      <c r="LT1403" s="342"/>
      <c r="LU1403" s="13"/>
    </row>
    <row r="1404" spans="6:333" ht="10.75" customHeight="1">
      <c r="F1404" s="342"/>
      <c r="G1404" s="342"/>
      <c r="H1404" s="342"/>
      <c r="I1404" s="342"/>
      <c r="J1404" s="342"/>
      <c r="K1404" s="342"/>
      <c r="L1404" s="342"/>
      <c r="M1404" s="342"/>
      <c r="N1404" s="342"/>
      <c r="O1404" s="342"/>
      <c r="P1404" s="342"/>
      <c r="Q1404" s="342"/>
      <c r="R1404" s="342"/>
      <c r="S1404" s="342"/>
      <c r="T1404" s="342"/>
      <c r="U1404" s="342"/>
      <c r="V1404" s="342"/>
      <c r="W1404" s="342"/>
      <c r="X1404" s="342"/>
      <c r="Y1404" s="342"/>
      <c r="Z1404" s="342"/>
      <c r="AA1404" s="342"/>
      <c r="AB1404" s="342"/>
      <c r="AC1404" s="342"/>
      <c r="AD1404" s="342"/>
      <c r="AE1404" s="342"/>
      <c r="AF1404" s="342"/>
      <c r="AG1404" s="342"/>
      <c r="AH1404" s="342"/>
      <c r="AI1404" s="342"/>
      <c r="AJ1404" s="342"/>
      <c r="AK1404" s="342"/>
      <c r="AL1404" s="342"/>
      <c r="AM1404" s="342"/>
      <c r="AN1404" s="342"/>
      <c r="AO1404" s="342"/>
      <c r="AP1404" s="342"/>
      <c r="AQ1404" s="342"/>
      <c r="AR1404" s="342"/>
      <c r="AS1404" s="342"/>
      <c r="AT1404" s="342"/>
      <c r="AU1404" s="342"/>
      <c r="AV1404" s="342"/>
      <c r="AW1404" s="342"/>
      <c r="AX1404" s="342"/>
      <c r="AY1404" s="342"/>
      <c r="AZ1404" s="342"/>
      <c r="BA1404" s="342"/>
      <c r="BB1404" s="342"/>
      <c r="BC1404" s="342"/>
      <c r="BD1404" s="342"/>
      <c r="BE1404" s="342"/>
      <c r="BF1404" s="342"/>
      <c r="BG1404" s="342"/>
      <c r="BH1404" s="342"/>
      <c r="BI1404" s="342"/>
      <c r="BJ1404" s="342"/>
      <c r="BK1404" s="342"/>
      <c r="BL1404" s="342"/>
      <c r="BM1404" s="342"/>
      <c r="BN1404" s="342"/>
      <c r="BO1404" s="342"/>
      <c r="BP1404" s="342"/>
      <c r="BQ1404" s="342"/>
      <c r="BR1404" s="342"/>
      <c r="BS1404" s="342"/>
      <c r="BT1404" s="342"/>
      <c r="BU1404" s="342"/>
      <c r="BV1404" s="342"/>
      <c r="BW1404" s="342"/>
      <c r="BX1404" s="342"/>
      <c r="BY1404" s="342"/>
      <c r="BZ1404" s="342"/>
      <c r="CA1404" s="342"/>
      <c r="CB1404" s="342"/>
      <c r="CC1404" s="342"/>
      <c r="CD1404" s="342"/>
      <c r="CE1404" s="342"/>
      <c r="CF1404" s="342"/>
      <c r="CG1404" s="342"/>
      <c r="CH1404" s="342"/>
      <c r="CI1404" s="342"/>
      <c r="CJ1404" s="342"/>
      <c r="CK1404" s="342"/>
      <c r="CL1404" s="342"/>
      <c r="CM1404" s="342"/>
      <c r="CN1404" s="342"/>
      <c r="CO1404" s="342"/>
      <c r="CP1404" s="342"/>
      <c r="CQ1404" s="342"/>
      <c r="CR1404" s="342"/>
      <c r="CS1404" s="342"/>
      <c r="CT1404" s="342"/>
      <c r="CU1404" s="342"/>
      <c r="CV1404" s="342"/>
      <c r="CW1404" s="342"/>
      <c r="CX1404" s="342"/>
      <c r="CY1404" s="342"/>
      <c r="CZ1404" s="342"/>
      <c r="DA1404" s="342"/>
      <c r="DB1404" s="342"/>
      <c r="DC1404" s="342"/>
      <c r="DD1404" s="342"/>
      <c r="DE1404" s="342"/>
      <c r="DF1404" s="342"/>
      <c r="DG1404" s="342"/>
      <c r="DH1404" s="342"/>
      <c r="DI1404" s="342"/>
      <c r="DJ1404" s="342"/>
      <c r="DK1404" s="342"/>
      <c r="DL1404" s="342"/>
      <c r="DM1404" s="342"/>
      <c r="DN1404" s="342"/>
      <c r="DO1404" s="342"/>
      <c r="DP1404" s="342"/>
      <c r="DQ1404" s="342"/>
      <c r="DR1404" s="342"/>
      <c r="DS1404" s="342"/>
      <c r="DT1404" s="342"/>
      <c r="DU1404" s="342"/>
      <c r="EF1404" s="12"/>
      <c r="EG1404" s="13"/>
      <c r="EH1404" s="342"/>
      <c r="EI1404" s="342"/>
      <c r="EJ1404" s="342"/>
      <c r="EK1404" s="342"/>
      <c r="EL1404" s="342"/>
      <c r="EM1404" s="342"/>
      <c r="EN1404" s="342"/>
      <c r="EO1404" s="342"/>
      <c r="EP1404" s="342"/>
      <c r="EQ1404" s="342"/>
      <c r="ER1404" s="342"/>
      <c r="ES1404" s="12"/>
      <c r="ET1404" s="12"/>
      <c r="EU1404" s="342"/>
      <c r="EV1404" s="342"/>
      <c r="EW1404" s="342"/>
      <c r="EX1404" s="342"/>
      <c r="EY1404" s="342"/>
      <c r="EZ1404" s="342"/>
      <c r="FA1404" s="342"/>
      <c r="FB1404" s="342"/>
      <c r="FC1404" s="342"/>
      <c r="FD1404" s="342"/>
      <c r="FE1404" s="342"/>
      <c r="FF1404" s="342"/>
      <c r="FG1404" s="342"/>
      <c r="FH1404" s="342"/>
      <c r="FI1404" s="342"/>
      <c r="FJ1404" s="342"/>
      <c r="FK1404" s="342"/>
      <c r="FL1404" s="342"/>
      <c r="FM1404" s="342"/>
      <c r="FN1404" s="342"/>
      <c r="FO1404" s="342"/>
      <c r="FP1404" s="342"/>
      <c r="FQ1404" s="342"/>
      <c r="FR1404" s="342"/>
      <c r="FS1404" s="342"/>
      <c r="FT1404" s="342"/>
      <c r="FU1404" s="13"/>
      <c r="FV1404" s="12"/>
      <c r="FW1404" s="342"/>
      <c r="FX1404" s="342"/>
      <c r="FY1404" s="342"/>
      <c r="FZ1404" s="342"/>
      <c r="GA1404" s="342"/>
      <c r="GB1404" s="342"/>
      <c r="GC1404" s="342"/>
      <c r="GD1404" s="342"/>
      <c r="GE1404" s="13"/>
      <c r="GT1404" s="12"/>
      <c r="GU1404" s="342"/>
      <c r="GV1404" s="342"/>
      <c r="GW1404" s="342"/>
      <c r="GX1404" s="12"/>
      <c r="GY1404" s="12"/>
      <c r="GZ1404" s="342"/>
      <c r="HA1404" s="342"/>
      <c r="HB1404" s="342"/>
      <c r="HC1404" s="342"/>
      <c r="HD1404" s="342"/>
      <c r="HE1404" s="342"/>
      <c r="HF1404" s="342"/>
      <c r="HG1404" s="351"/>
      <c r="HH1404" s="351"/>
      <c r="HI1404" s="343"/>
      <c r="HJ1404" s="347"/>
      <c r="HK1404" s="351"/>
      <c r="HL1404" s="351"/>
      <c r="HM1404" s="344"/>
      <c r="HN1404" s="345"/>
      <c r="HO1404" s="345"/>
      <c r="HP1404" s="345"/>
      <c r="HQ1404" s="345"/>
      <c r="HR1404" s="345"/>
      <c r="HS1404" s="345"/>
      <c r="HT1404" s="345"/>
      <c r="HU1404" s="345"/>
      <c r="HV1404" s="345"/>
      <c r="HW1404" s="345"/>
      <c r="HX1404" s="345"/>
      <c r="HY1404" s="345"/>
      <c r="HZ1404" s="345"/>
      <c r="IA1404" s="345"/>
      <c r="IB1404" s="345"/>
      <c r="IC1404" s="345"/>
      <c r="ID1404" s="345"/>
      <c r="IE1404" s="345"/>
      <c r="IF1404" s="345"/>
      <c r="IG1404" s="345"/>
      <c r="IH1404" s="345"/>
      <c r="II1404" s="345"/>
      <c r="IJ1404" s="345"/>
      <c r="IK1404" s="345"/>
      <c r="IL1404" s="345"/>
      <c r="IM1404" s="345"/>
      <c r="IN1404" s="345"/>
      <c r="IO1404" s="345"/>
      <c r="IP1404" s="345"/>
      <c r="IQ1404" s="345"/>
      <c r="IR1404" s="345"/>
      <c r="IS1404" s="345"/>
      <c r="IT1404" s="345"/>
      <c r="IU1404" s="345"/>
      <c r="IV1404" s="345"/>
      <c r="IW1404" s="345"/>
      <c r="IX1404" s="345"/>
      <c r="IY1404" s="345"/>
      <c r="IZ1404" s="345"/>
      <c r="JA1404" s="345"/>
      <c r="JB1404" s="345"/>
      <c r="JC1404" s="345"/>
      <c r="JD1404" s="345"/>
      <c r="JE1404" s="344"/>
      <c r="JF1404" s="346"/>
      <c r="JG1404" s="345"/>
      <c r="JH1404" s="345"/>
      <c r="JI1404" s="345"/>
      <c r="JJ1404" s="345"/>
      <c r="JK1404" s="345"/>
      <c r="JL1404" s="345"/>
      <c r="JM1404" s="345"/>
      <c r="JN1404" s="345"/>
      <c r="JO1404" s="345"/>
      <c r="JP1404" s="345"/>
      <c r="JQ1404" s="345"/>
      <c r="JR1404" s="345"/>
      <c r="JS1404" s="345"/>
      <c r="JT1404" s="345"/>
      <c r="JU1404" s="345"/>
      <c r="JV1404" s="345"/>
      <c r="JW1404" s="345"/>
      <c r="JX1404" s="345"/>
      <c r="JY1404" s="345"/>
      <c r="JZ1404" s="345"/>
      <c r="KA1404" s="345"/>
      <c r="KB1404" s="345"/>
      <c r="KC1404" s="345"/>
      <c r="KD1404" s="345"/>
      <c r="KE1404" s="345"/>
      <c r="KF1404" s="345"/>
      <c r="KG1404" s="345"/>
      <c r="KH1404" s="345"/>
      <c r="KI1404" s="345"/>
      <c r="KJ1404" s="345"/>
      <c r="KK1404" s="345"/>
      <c r="KL1404" s="345"/>
      <c r="KM1404" s="345"/>
      <c r="KN1404" s="345"/>
      <c r="KO1404" s="345"/>
      <c r="KP1404" s="345"/>
      <c r="KQ1404" s="345"/>
      <c r="KR1404" s="345"/>
      <c r="KS1404" s="345"/>
      <c r="KT1404" s="345"/>
      <c r="KU1404" s="345"/>
      <c r="KV1404" s="345"/>
      <c r="KW1404" s="345"/>
      <c r="KX1404" s="345"/>
      <c r="KY1404" s="345"/>
      <c r="KZ1404" s="345"/>
      <c r="LA1404" s="345"/>
      <c r="LB1404" s="346"/>
      <c r="LC1404" s="351"/>
      <c r="LD1404" s="351"/>
      <c r="LE1404" s="343"/>
      <c r="LF1404" s="351"/>
      <c r="LG1404" s="351"/>
      <c r="LH1404" s="351"/>
      <c r="LI1404" s="351"/>
      <c r="LJ1404" s="342"/>
      <c r="LK1404" s="342"/>
      <c r="LL1404" s="342"/>
      <c r="LM1404" s="342"/>
      <c r="LN1404" s="342"/>
      <c r="LO1404" s="342"/>
      <c r="LP1404" s="342"/>
      <c r="LQ1404" s="342"/>
      <c r="LR1404" s="342"/>
      <c r="LS1404" s="342"/>
      <c r="LT1404" s="342"/>
      <c r="LU1404" s="13"/>
    </row>
    <row r="1405" spans="6:333" ht="10.75" customHeight="1">
      <c r="F1405" s="342"/>
      <c r="G1405" s="342"/>
      <c r="H1405" s="342"/>
      <c r="I1405" s="342"/>
      <c r="J1405" s="342"/>
      <c r="K1405" s="342"/>
      <c r="L1405" s="342"/>
      <c r="M1405" s="342"/>
      <c r="N1405" s="342"/>
      <c r="O1405" s="342"/>
      <c r="P1405" s="342"/>
      <c r="Q1405" s="342"/>
      <c r="R1405" s="342"/>
      <c r="S1405" s="342"/>
      <c r="T1405" s="342"/>
      <c r="U1405" s="342"/>
      <c r="V1405" s="342"/>
      <c r="W1405" s="342"/>
      <c r="X1405" s="342"/>
      <c r="Y1405" s="342"/>
      <c r="Z1405" s="342"/>
      <c r="AA1405" s="342"/>
      <c r="AB1405" s="342"/>
      <c r="AC1405" s="342"/>
      <c r="AD1405" s="342"/>
      <c r="AE1405" s="342"/>
      <c r="AF1405" s="342"/>
      <c r="AG1405" s="342"/>
      <c r="AH1405" s="342"/>
      <c r="AI1405" s="342"/>
      <c r="AJ1405" s="342"/>
      <c r="AK1405" s="342"/>
      <c r="AL1405" s="342"/>
      <c r="AM1405" s="342"/>
      <c r="AN1405" s="342"/>
      <c r="AO1405" s="342"/>
      <c r="AP1405" s="342"/>
      <c r="AQ1405" s="342"/>
      <c r="AR1405" s="342"/>
      <c r="AS1405" s="342"/>
      <c r="AT1405" s="342"/>
      <c r="AU1405" s="342"/>
      <c r="AV1405" s="342"/>
      <c r="AW1405" s="342"/>
      <c r="AX1405" s="342"/>
      <c r="AY1405" s="342"/>
      <c r="AZ1405" s="342"/>
      <c r="BA1405" s="342"/>
      <c r="BB1405" s="342"/>
      <c r="BC1405" s="342"/>
      <c r="BD1405" s="342"/>
      <c r="BE1405" s="342"/>
      <c r="BF1405" s="342"/>
      <c r="BG1405" s="342"/>
      <c r="BH1405" s="342"/>
      <c r="BI1405" s="342"/>
      <c r="BJ1405" s="342"/>
      <c r="BK1405" s="342"/>
      <c r="BL1405" s="342"/>
      <c r="BM1405" s="342"/>
      <c r="BN1405" s="342"/>
      <c r="BO1405" s="342"/>
      <c r="BP1405" s="342"/>
      <c r="BQ1405" s="342"/>
      <c r="BR1405" s="342"/>
      <c r="BS1405" s="342"/>
      <c r="BT1405" s="342"/>
      <c r="BU1405" s="342"/>
      <c r="BV1405" s="342"/>
      <c r="BW1405" s="342"/>
      <c r="BX1405" s="342"/>
      <c r="BY1405" s="342"/>
      <c r="BZ1405" s="342"/>
      <c r="CA1405" s="342"/>
      <c r="CB1405" s="342"/>
      <c r="CC1405" s="342"/>
      <c r="CD1405" s="342"/>
      <c r="CE1405" s="342"/>
      <c r="CF1405" s="342"/>
      <c r="CG1405" s="342"/>
      <c r="CH1405" s="342"/>
      <c r="CI1405" s="342"/>
      <c r="CJ1405" s="342"/>
      <c r="CK1405" s="342"/>
      <c r="CL1405" s="342"/>
      <c r="CM1405" s="342"/>
      <c r="CN1405" s="342"/>
      <c r="CO1405" s="342"/>
      <c r="CP1405" s="342"/>
      <c r="CQ1405" s="342"/>
      <c r="CR1405" s="342"/>
      <c r="CS1405" s="342"/>
      <c r="CT1405" s="342"/>
      <c r="CU1405" s="342"/>
      <c r="CV1405" s="342"/>
      <c r="CW1405" s="342"/>
      <c r="CX1405" s="342"/>
      <c r="CY1405" s="342"/>
      <c r="CZ1405" s="342"/>
      <c r="DA1405" s="342"/>
      <c r="DB1405" s="342"/>
      <c r="DC1405" s="342"/>
      <c r="DD1405" s="342"/>
      <c r="DE1405" s="342"/>
      <c r="DF1405" s="342"/>
      <c r="DG1405" s="342"/>
      <c r="DH1405" s="342"/>
      <c r="DI1405" s="342"/>
      <c r="DJ1405" s="342"/>
      <c r="DK1405" s="342"/>
      <c r="DL1405" s="342"/>
      <c r="DM1405" s="342"/>
      <c r="DN1405" s="342"/>
      <c r="DO1405" s="342"/>
      <c r="DP1405" s="342"/>
      <c r="DQ1405" s="342"/>
      <c r="DR1405" s="342"/>
      <c r="DS1405" s="342"/>
      <c r="DT1405" s="342"/>
      <c r="DU1405" s="342"/>
      <c r="EF1405" s="12"/>
      <c r="EG1405" s="13"/>
      <c r="EH1405" s="342"/>
      <c r="EI1405" s="342"/>
      <c r="EJ1405" s="342"/>
      <c r="EK1405" s="342"/>
      <c r="EL1405" s="342"/>
      <c r="EM1405" s="342"/>
      <c r="EN1405" s="342"/>
      <c r="EO1405" s="342"/>
      <c r="EP1405" s="342"/>
      <c r="EQ1405" s="342"/>
      <c r="ER1405" s="342"/>
      <c r="ES1405" s="12"/>
      <c r="ET1405" s="12"/>
      <c r="EU1405" s="342"/>
      <c r="EV1405" s="342"/>
      <c r="EW1405" s="342"/>
      <c r="EX1405" s="342"/>
      <c r="EY1405" s="342"/>
      <c r="EZ1405" s="342"/>
      <c r="FA1405" s="342"/>
      <c r="FB1405" s="342"/>
      <c r="FC1405" s="342"/>
      <c r="FD1405" s="342"/>
      <c r="FE1405" s="342"/>
      <c r="FF1405" s="342"/>
      <c r="FG1405" s="342"/>
      <c r="FH1405" s="342"/>
      <c r="FI1405" s="342"/>
      <c r="FJ1405" s="342"/>
      <c r="FK1405" s="342"/>
      <c r="FL1405" s="342"/>
      <c r="FM1405" s="342"/>
      <c r="FN1405" s="342"/>
      <c r="FO1405" s="342"/>
      <c r="FP1405" s="342"/>
      <c r="FQ1405" s="342"/>
      <c r="FR1405" s="342"/>
      <c r="FS1405" s="342"/>
      <c r="FT1405" s="342"/>
      <c r="FU1405" s="13"/>
      <c r="FV1405" s="12"/>
      <c r="FW1405" s="342"/>
      <c r="FX1405" s="342"/>
      <c r="FY1405" s="342"/>
      <c r="FZ1405" s="342"/>
      <c r="GA1405" s="342"/>
      <c r="GB1405" s="342"/>
      <c r="GC1405" s="342"/>
      <c r="GD1405" s="342"/>
      <c r="GE1405" s="13"/>
      <c r="GT1405" s="12"/>
      <c r="GU1405" s="342"/>
      <c r="GV1405" s="342"/>
      <c r="GW1405" s="342"/>
      <c r="GX1405" s="12"/>
      <c r="GY1405" s="12"/>
      <c r="GZ1405" s="342"/>
      <c r="HA1405" s="342"/>
      <c r="HB1405" s="342"/>
      <c r="HC1405" s="342"/>
      <c r="HD1405" s="342"/>
      <c r="HE1405" s="342"/>
      <c r="HF1405" s="342"/>
      <c r="HG1405" s="351"/>
      <c r="HH1405" s="351"/>
      <c r="HI1405" s="343"/>
      <c r="HJ1405" s="347"/>
      <c r="HK1405" s="351"/>
      <c r="HL1405" s="351"/>
      <c r="HM1405" s="347"/>
      <c r="HN1405" s="351"/>
      <c r="HO1405" s="351"/>
      <c r="HP1405" s="351"/>
      <c r="HQ1405" s="351"/>
      <c r="HR1405" s="351"/>
      <c r="HS1405" s="351"/>
      <c r="HT1405" s="351"/>
      <c r="HU1405" s="351"/>
      <c r="HV1405" s="351"/>
      <c r="HW1405" s="351"/>
      <c r="HX1405" s="351"/>
      <c r="HY1405" s="351"/>
      <c r="HZ1405" s="351"/>
      <c r="IA1405" s="351"/>
      <c r="IB1405" s="351"/>
      <c r="IC1405" s="351"/>
      <c r="ID1405" s="351"/>
      <c r="IE1405" s="351"/>
      <c r="IF1405" s="351"/>
      <c r="IG1405" s="351"/>
      <c r="IH1405" s="351"/>
      <c r="II1405" s="351"/>
      <c r="IJ1405" s="351"/>
      <c r="IK1405" s="351"/>
      <c r="IL1405" s="351"/>
      <c r="IM1405" s="351"/>
      <c r="IN1405" s="351"/>
      <c r="IO1405" s="351"/>
      <c r="IP1405" s="351"/>
      <c r="IQ1405" s="351"/>
      <c r="IR1405" s="351"/>
      <c r="IS1405" s="351"/>
      <c r="IT1405" s="351"/>
      <c r="IU1405" s="351"/>
      <c r="IV1405" s="351"/>
      <c r="IW1405" s="351"/>
      <c r="IX1405" s="351"/>
      <c r="IY1405" s="351"/>
      <c r="IZ1405" s="351"/>
      <c r="JA1405" s="351"/>
      <c r="JB1405" s="351"/>
      <c r="JC1405" s="351"/>
      <c r="JD1405" s="351"/>
      <c r="JE1405" s="347"/>
      <c r="JF1405" s="343"/>
      <c r="JG1405" s="351"/>
      <c r="JH1405" s="351"/>
      <c r="JI1405" s="351"/>
      <c r="JJ1405" s="351"/>
      <c r="JK1405" s="351"/>
      <c r="JL1405" s="351"/>
      <c r="JM1405" s="351"/>
      <c r="JN1405" s="351"/>
      <c r="JO1405" s="351"/>
      <c r="JP1405" s="351"/>
      <c r="JQ1405" s="351"/>
      <c r="JR1405" s="351"/>
      <c r="JS1405" s="351"/>
      <c r="JT1405" s="351"/>
      <c r="JU1405" s="351"/>
      <c r="JV1405" s="351"/>
      <c r="JW1405" s="351"/>
      <c r="JX1405" s="351"/>
      <c r="JY1405" s="351"/>
      <c r="JZ1405" s="351"/>
      <c r="KA1405" s="351"/>
      <c r="KB1405" s="351"/>
      <c r="KC1405" s="351"/>
      <c r="KD1405" s="351"/>
      <c r="KE1405" s="351"/>
      <c r="KF1405" s="351"/>
      <c r="KG1405" s="351"/>
      <c r="KH1405" s="351"/>
      <c r="KI1405" s="351"/>
      <c r="KJ1405" s="351"/>
      <c r="KK1405" s="351"/>
      <c r="KL1405" s="351"/>
      <c r="KM1405" s="351"/>
      <c r="KN1405" s="351"/>
      <c r="KO1405" s="351"/>
      <c r="KP1405" s="351"/>
      <c r="KQ1405" s="351"/>
      <c r="KR1405" s="351"/>
      <c r="KS1405" s="351"/>
      <c r="KT1405" s="351"/>
      <c r="KU1405" s="351"/>
      <c r="KV1405" s="351"/>
      <c r="KW1405" s="351"/>
      <c r="KX1405" s="351"/>
      <c r="KY1405" s="351"/>
      <c r="KZ1405" s="351"/>
      <c r="LA1405" s="351"/>
      <c r="LB1405" s="343"/>
      <c r="LC1405" s="351"/>
      <c r="LD1405" s="351"/>
      <c r="LE1405" s="343"/>
      <c r="LF1405" s="351"/>
      <c r="LG1405" s="351"/>
      <c r="LH1405" s="351"/>
      <c r="LI1405" s="351"/>
      <c r="LJ1405" s="342"/>
      <c r="LK1405" s="342"/>
      <c r="LL1405" s="342"/>
      <c r="LM1405" s="342"/>
      <c r="LN1405" s="342"/>
      <c r="LO1405" s="342"/>
      <c r="LP1405" s="342"/>
      <c r="LQ1405" s="342"/>
      <c r="LR1405" s="342"/>
      <c r="LS1405" s="342"/>
      <c r="LT1405" s="342"/>
      <c r="LU1405" s="13"/>
    </row>
    <row r="1406" spans="6:333" ht="10.75" customHeight="1">
      <c r="F1406" s="342"/>
      <c r="G1406" s="342"/>
      <c r="H1406" s="342"/>
      <c r="I1406" s="342"/>
      <c r="J1406" s="342"/>
      <c r="K1406" s="342"/>
      <c r="L1406" s="342"/>
      <c r="M1406" s="342"/>
      <c r="N1406" s="342"/>
      <c r="O1406" s="342"/>
      <c r="P1406" s="342"/>
      <c r="Q1406" s="342"/>
      <c r="R1406" s="342"/>
      <c r="S1406" s="342"/>
      <c r="T1406" s="342"/>
      <c r="U1406" s="342"/>
      <c r="V1406" s="342"/>
      <c r="W1406" s="342"/>
      <c r="X1406" s="342"/>
      <c r="Y1406" s="342"/>
      <c r="Z1406" s="342"/>
      <c r="AA1406" s="342"/>
      <c r="AB1406" s="342"/>
      <c r="AC1406" s="342"/>
      <c r="AD1406" s="342"/>
      <c r="AE1406" s="342"/>
      <c r="AF1406" s="342"/>
      <c r="AG1406" s="342"/>
      <c r="AH1406" s="342"/>
      <c r="AI1406" s="342"/>
      <c r="AJ1406" s="342"/>
      <c r="AK1406" s="342"/>
      <c r="AL1406" s="342"/>
      <c r="AM1406" s="342"/>
      <c r="AN1406" s="342"/>
      <c r="AO1406" s="342"/>
      <c r="AP1406" s="342"/>
      <c r="AQ1406" s="342"/>
      <c r="AR1406" s="342"/>
      <c r="AS1406" s="342"/>
      <c r="AT1406" s="342"/>
      <c r="AU1406" s="342"/>
      <c r="AV1406" s="342"/>
      <c r="AW1406" s="342"/>
      <c r="AX1406" s="342"/>
      <c r="AY1406" s="342"/>
      <c r="AZ1406" s="342"/>
      <c r="BA1406" s="342"/>
      <c r="BB1406" s="342"/>
      <c r="BC1406" s="342"/>
      <c r="BD1406" s="342"/>
      <c r="BE1406" s="342"/>
      <c r="BF1406" s="342"/>
      <c r="BG1406" s="342"/>
      <c r="BH1406" s="342"/>
      <c r="BI1406" s="342"/>
      <c r="BJ1406" s="342"/>
      <c r="BK1406" s="342"/>
      <c r="BL1406" s="342"/>
      <c r="BM1406" s="342"/>
      <c r="BN1406" s="342"/>
      <c r="BO1406" s="342"/>
      <c r="BP1406" s="342"/>
      <c r="BQ1406" s="342"/>
      <c r="BR1406" s="342"/>
      <c r="BS1406" s="342"/>
      <c r="BT1406" s="342"/>
      <c r="BU1406" s="342"/>
      <c r="BV1406" s="342"/>
      <c r="BW1406" s="342"/>
      <c r="BX1406" s="342"/>
      <c r="BY1406" s="342"/>
      <c r="BZ1406" s="342"/>
      <c r="CA1406" s="342"/>
      <c r="CB1406" s="342"/>
      <c r="CC1406" s="342"/>
      <c r="CD1406" s="342"/>
      <c r="CE1406" s="342"/>
      <c r="CF1406" s="342"/>
      <c r="CG1406" s="342"/>
      <c r="CH1406" s="342"/>
      <c r="CI1406" s="342"/>
      <c r="CJ1406" s="342"/>
      <c r="CK1406" s="342"/>
      <c r="CL1406" s="342"/>
      <c r="CM1406" s="342"/>
      <c r="CN1406" s="342"/>
      <c r="CO1406" s="342"/>
      <c r="CP1406" s="342"/>
      <c r="CQ1406" s="342"/>
      <c r="CR1406" s="342"/>
      <c r="CS1406" s="342"/>
      <c r="CT1406" s="342"/>
      <c r="CU1406" s="342"/>
      <c r="CV1406" s="342"/>
      <c r="CW1406" s="342"/>
      <c r="CX1406" s="342"/>
      <c r="CY1406" s="342"/>
      <c r="CZ1406" s="342"/>
      <c r="DA1406" s="342"/>
      <c r="DB1406" s="342"/>
      <c r="DC1406" s="342"/>
      <c r="DD1406" s="342"/>
      <c r="DE1406" s="342"/>
      <c r="DF1406" s="342"/>
      <c r="DG1406" s="342"/>
      <c r="DH1406" s="342"/>
      <c r="DI1406" s="342"/>
      <c r="DJ1406" s="342"/>
      <c r="DK1406" s="342"/>
      <c r="DL1406" s="342"/>
      <c r="DM1406" s="342"/>
      <c r="DN1406" s="342"/>
      <c r="DO1406" s="342"/>
      <c r="DP1406" s="342"/>
      <c r="DQ1406" s="342"/>
      <c r="DR1406" s="342"/>
      <c r="DS1406" s="342"/>
      <c r="DT1406" s="342"/>
      <c r="DU1406" s="342"/>
      <c r="EF1406" s="12"/>
      <c r="EG1406" s="13"/>
      <c r="EH1406" s="342"/>
      <c r="EI1406" s="342"/>
      <c r="EJ1406" s="342"/>
      <c r="EK1406" s="342"/>
      <c r="EL1406" s="342"/>
      <c r="EM1406" s="342"/>
      <c r="EN1406" s="342"/>
      <c r="EO1406" s="342"/>
      <c r="EP1406" s="342"/>
      <c r="EQ1406" s="342"/>
      <c r="ER1406" s="342"/>
      <c r="ES1406" s="12"/>
      <c r="ET1406" s="12"/>
      <c r="EU1406" s="342"/>
      <c r="EV1406" s="342"/>
      <c r="EW1406" s="342"/>
      <c r="EX1406" s="342"/>
      <c r="EY1406" s="342"/>
      <c r="EZ1406" s="342"/>
      <c r="FA1406" s="342"/>
      <c r="FB1406" s="342"/>
      <c r="FC1406" s="342"/>
      <c r="FD1406" s="342"/>
      <c r="FE1406" s="342"/>
      <c r="FF1406" s="342"/>
      <c r="FG1406" s="342"/>
      <c r="FH1406" s="342"/>
      <c r="FI1406" s="342"/>
      <c r="FJ1406" s="342"/>
      <c r="FK1406" s="342"/>
      <c r="FL1406" s="342"/>
      <c r="FM1406" s="342"/>
      <c r="FN1406" s="342"/>
      <c r="FO1406" s="342"/>
      <c r="FP1406" s="342"/>
      <c r="FQ1406" s="342"/>
      <c r="FR1406" s="342"/>
      <c r="FS1406" s="342"/>
      <c r="FT1406" s="342"/>
      <c r="FU1406" s="13"/>
      <c r="FV1406" s="12"/>
      <c r="FW1406" s="342"/>
      <c r="FX1406" s="342"/>
      <c r="FY1406" s="342"/>
      <c r="FZ1406" s="342"/>
      <c r="GA1406" s="342"/>
      <c r="GB1406" s="342"/>
      <c r="GC1406" s="342"/>
      <c r="GD1406" s="342"/>
      <c r="GE1406" s="13"/>
      <c r="GT1406" s="12"/>
      <c r="GU1406" s="342"/>
      <c r="GV1406" s="342"/>
      <c r="GW1406" s="342"/>
      <c r="GX1406" s="12"/>
      <c r="GY1406" s="12"/>
      <c r="GZ1406" s="342"/>
      <c r="HA1406" s="342"/>
      <c r="HB1406" s="342"/>
      <c r="HC1406" s="342"/>
      <c r="HD1406" s="342"/>
      <c r="HE1406" s="342"/>
      <c r="HF1406" s="342"/>
      <c r="HG1406" s="351"/>
      <c r="HH1406" s="351"/>
      <c r="HI1406" s="343"/>
      <c r="HJ1406" s="347"/>
      <c r="HK1406" s="351"/>
      <c r="HL1406" s="351"/>
      <c r="HM1406" s="347"/>
      <c r="HN1406" s="351"/>
      <c r="HO1406" s="351"/>
      <c r="HP1406" s="351"/>
      <c r="HQ1406" s="351"/>
      <c r="HR1406" s="351"/>
      <c r="HS1406" s="351"/>
      <c r="HT1406" s="351"/>
      <c r="HU1406" s="351"/>
      <c r="HV1406" s="351"/>
      <c r="HW1406" s="351"/>
      <c r="HX1406" s="351"/>
      <c r="HY1406" s="351"/>
      <c r="HZ1406" s="351"/>
      <c r="IA1406" s="351"/>
      <c r="IB1406" s="351"/>
      <c r="IC1406" s="351"/>
      <c r="ID1406" s="351"/>
      <c r="IE1406" s="351"/>
      <c r="IF1406" s="351"/>
      <c r="IG1406" s="351"/>
      <c r="IH1406" s="351"/>
      <c r="II1406" s="351"/>
      <c r="IJ1406" s="351"/>
      <c r="IK1406" s="351"/>
      <c r="IL1406" s="351"/>
      <c r="IM1406" s="351"/>
      <c r="IN1406" s="351"/>
      <c r="IO1406" s="351"/>
      <c r="IP1406" s="351"/>
      <c r="IQ1406" s="351"/>
      <c r="IR1406" s="351"/>
      <c r="IS1406" s="351"/>
      <c r="IT1406" s="351"/>
      <c r="IU1406" s="351"/>
      <c r="IV1406" s="351"/>
      <c r="IW1406" s="351"/>
      <c r="IX1406" s="351"/>
      <c r="IY1406" s="351"/>
      <c r="IZ1406" s="351"/>
      <c r="JA1406" s="351"/>
      <c r="JB1406" s="351"/>
      <c r="JC1406" s="351"/>
      <c r="JD1406" s="351"/>
      <c r="JE1406" s="347"/>
      <c r="JF1406" s="343"/>
      <c r="JG1406" s="351"/>
      <c r="JH1406" s="351"/>
      <c r="JI1406" s="351"/>
      <c r="JJ1406" s="351"/>
      <c r="JK1406" s="351"/>
      <c r="JL1406" s="351"/>
      <c r="JM1406" s="351"/>
      <c r="JN1406" s="351"/>
      <c r="JO1406" s="351"/>
      <c r="JP1406" s="351"/>
      <c r="JQ1406" s="351"/>
      <c r="JR1406" s="351"/>
      <c r="JS1406" s="351"/>
      <c r="JT1406" s="351"/>
      <c r="JU1406" s="351"/>
      <c r="JV1406" s="351"/>
      <c r="JW1406" s="351"/>
      <c r="JX1406" s="351"/>
      <c r="JY1406" s="351"/>
      <c r="JZ1406" s="351"/>
      <c r="KA1406" s="351"/>
      <c r="KB1406" s="351"/>
      <c r="KC1406" s="351"/>
      <c r="KD1406" s="351"/>
      <c r="KE1406" s="351"/>
      <c r="KF1406" s="351"/>
      <c r="KG1406" s="351"/>
      <c r="KH1406" s="351"/>
      <c r="KI1406" s="351"/>
      <c r="KJ1406" s="351"/>
      <c r="KK1406" s="351"/>
      <c r="KL1406" s="351"/>
      <c r="KM1406" s="351"/>
      <c r="KN1406" s="351"/>
      <c r="KO1406" s="351"/>
      <c r="KP1406" s="351"/>
      <c r="KQ1406" s="351"/>
      <c r="KR1406" s="351"/>
      <c r="KS1406" s="351"/>
      <c r="KT1406" s="351"/>
      <c r="KU1406" s="351"/>
      <c r="KV1406" s="351"/>
      <c r="KW1406" s="351"/>
      <c r="KX1406" s="351"/>
      <c r="KY1406" s="351"/>
      <c r="KZ1406" s="351"/>
      <c r="LA1406" s="351"/>
      <c r="LB1406" s="343"/>
      <c r="LC1406" s="351"/>
      <c r="LD1406" s="351"/>
      <c r="LE1406" s="343"/>
      <c r="LF1406" s="351"/>
      <c r="LG1406" s="351"/>
      <c r="LH1406" s="351"/>
      <c r="LI1406" s="351"/>
      <c r="LJ1406" s="342"/>
      <c r="LK1406" s="342"/>
      <c r="LL1406" s="342"/>
      <c r="LM1406" s="342"/>
      <c r="LN1406" s="342"/>
      <c r="LO1406" s="342"/>
      <c r="LP1406" s="342"/>
      <c r="LQ1406" s="342"/>
      <c r="LR1406" s="342"/>
      <c r="LS1406" s="342"/>
      <c r="LT1406" s="342"/>
      <c r="LU1406" s="13"/>
    </row>
    <row r="1407" spans="6:333" ht="10.75" customHeight="1">
      <c r="F1407" s="342"/>
      <c r="G1407" s="342"/>
      <c r="H1407" s="342"/>
      <c r="I1407" s="342"/>
      <c r="J1407" s="342"/>
      <c r="K1407" s="342"/>
      <c r="L1407" s="342"/>
      <c r="M1407" s="342"/>
      <c r="N1407" s="342"/>
      <c r="O1407" s="342"/>
      <c r="P1407" s="342"/>
      <c r="Q1407" s="342"/>
      <c r="R1407" s="342"/>
      <c r="S1407" s="342"/>
      <c r="T1407" s="342"/>
      <c r="U1407" s="342"/>
      <c r="V1407" s="342"/>
      <c r="W1407" s="342"/>
      <c r="X1407" s="342"/>
      <c r="Y1407" s="342"/>
      <c r="Z1407" s="342"/>
      <c r="AA1407" s="342"/>
      <c r="AB1407" s="342"/>
      <c r="AC1407" s="342"/>
      <c r="AD1407" s="342"/>
      <c r="AE1407" s="342"/>
      <c r="AF1407" s="342"/>
      <c r="AG1407" s="342"/>
      <c r="AH1407" s="342"/>
      <c r="AI1407" s="342"/>
      <c r="AJ1407" s="342"/>
      <c r="AK1407" s="342"/>
      <c r="AL1407" s="342"/>
      <c r="AM1407" s="342"/>
      <c r="AN1407" s="342"/>
      <c r="AO1407" s="342"/>
      <c r="AP1407" s="342"/>
      <c r="AQ1407" s="342"/>
      <c r="AR1407" s="342"/>
      <c r="AS1407" s="342"/>
      <c r="AT1407" s="342"/>
      <c r="AU1407" s="342"/>
      <c r="AV1407" s="342"/>
      <c r="AW1407" s="342"/>
      <c r="AX1407" s="342"/>
      <c r="AY1407" s="342"/>
      <c r="AZ1407" s="342"/>
      <c r="BA1407" s="342"/>
      <c r="BB1407" s="342"/>
      <c r="BC1407" s="342"/>
      <c r="BD1407" s="342"/>
      <c r="BE1407" s="342"/>
      <c r="BF1407" s="342"/>
      <c r="BG1407" s="342"/>
      <c r="BH1407" s="342"/>
      <c r="BI1407" s="342"/>
      <c r="BJ1407" s="342"/>
      <c r="BK1407" s="342"/>
      <c r="BL1407" s="342"/>
      <c r="BM1407" s="342"/>
      <c r="BN1407" s="342"/>
      <c r="BO1407" s="342"/>
      <c r="BP1407" s="342"/>
      <c r="BQ1407" s="342"/>
      <c r="BR1407" s="342"/>
      <c r="BS1407" s="342"/>
      <c r="BT1407" s="342"/>
      <c r="BU1407" s="342"/>
      <c r="BV1407" s="342"/>
      <c r="BW1407" s="342"/>
      <c r="BX1407" s="342"/>
      <c r="BY1407" s="342"/>
      <c r="BZ1407" s="342"/>
      <c r="CA1407" s="342"/>
      <c r="CB1407" s="342"/>
      <c r="CC1407" s="342"/>
      <c r="CD1407" s="342"/>
      <c r="CE1407" s="342"/>
      <c r="CF1407" s="342"/>
      <c r="CG1407" s="342"/>
      <c r="CH1407" s="342"/>
      <c r="CI1407" s="342"/>
      <c r="CJ1407" s="342"/>
      <c r="CK1407" s="342"/>
      <c r="CL1407" s="342"/>
      <c r="CM1407" s="342"/>
      <c r="CN1407" s="342"/>
      <c r="CO1407" s="342"/>
      <c r="CP1407" s="342"/>
      <c r="CQ1407" s="342"/>
      <c r="CR1407" s="342"/>
      <c r="CS1407" s="342"/>
      <c r="CT1407" s="342"/>
      <c r="CU1407" s="342"/>
      <c r="CV1407" s="342"/>
      <c r="CW1407" s="342"/>
      <c r="CX1407" s="342"/>
      <c r="CY1407" s="342"/>
      <c r="CZ1407" s="342"/>
      <c r="DA1407" s="342"/>
      <c r="DB1407" s="342"/>
      <c r="DC1407" s="342"/>
      <c r="DD1407" s="342"/>
      <c r="DE1407" s="342"/>
      <c r="DF1407" s="342"/>
      <c r="DG1407" s="342"/>
      <c r="DH1407" s="342"/>
      <c r="DI1407" s="342"/>
      <c r="DJ1407" s="342"/>
      <c r="DK1407" s="342"/>
      <c r="DL1407" s="342"/>
      <c r="DM1407" s="342"/>
      <c r="DN1407" s="342"/>
      <c r="DO1407" s="342"/>
      <c r="DP1407" s="342"/>
      <c r="DQ1407" s="342"/>
      <c r="DR1407" s="342"/>
      <c r="DS1407" s="342"/>
      <c r="DT1407" s="342"/>
      <c r="DU1407" s="342"/>
      <c r="EF1407" s="12"/>
      <c r="EG1407" s="13"/>
      <c r="EH1407" s="342"/>
      <c r="EI1407" s="342"/>
      <c r="EJ1407" s="342"/>
      <c r="EK1407" s="342"/>
      <c r="EL1407" s="342"/>
      <c r="EM1407" s="342"/>
      <c r="EN1407" s="342"/>
      <c r="EO1407" s="342"/>
      <c r="EP1407" s="342"/>
      <c r="EQ1407" s="342"/>
      <c r="ER1407" s="342"/>
      <c r="ES1407" s="12"/>
      <c r="ET1407" s="12"/>
      <c r="EU1407" s="342"/>
      <c r="EV1407" s="342"/>
      <c r="EW1407" s="342"/>
      <c r="EX1407" s="342"/>
      <c r="EY1407" s="342"/>
      <c r="EZ1407" s="342"/>
      <c r="FA1407" s="342"/>
      <c r="FB1407" s="342"/>
      <c r="FC1407" s="342"/>
      <c r="FD1407" s="342"/>
      <c r="FE1407" s="342"/>
      <c r="FF1407" s="342"/>
      <c r="FG1407" s="342"/>
      <c r="FH1407" s="342"/>
      <c r="FI1407" s="342"/>
      <c r="FJ1407" s="342"/>
      <c r="FK1407" s="342"/>
      <c r="FL1407" s="342"/>
      <c r="FM1407" s="342"/>
      <c r="FN1407" s="342"/>
      <c r="FO1407" s="342"/>
      <c r="FP1407" s="342"/>
      <c r="FQ1407" s="342"/>
      <c r="FR1407" s="342"/>
      <c r="FS1407" s="342"/>
      <c r="FT1407" s="342"/>
      <c r="FU1407" s="13"/>
      <c r="FV1407" s="12"/>
      <c r="FW1407" s="342"/>
      <c r="FX1407" s="342"/>
      <c r="FY1407" s="342"/>
      <c r="FZ1407" s="342"/>
      <c r="GA1407" s="342"/>
      <c r="GB1407" s="342"/>
      <c r="GC1407" s="342"/>
      <c r="GD1407" s="342"/>
      <c r="GE1407" s="13"/>
      <c r="GT1407" s="12"/>
      <c r="GU1407" s="342"/>
      <c r="GV1407" s="342"/>
      <c r="GW1407" s="342"/>
      <c r="GX1407" s="12"/>
      <c r="GY1407" s="12"/>
      <c r="GZ1407" s="342"/>
      <c r="HA1407" s="342"/>
      <c r="HB1407" s="342"/>
      <c r="HC1407" s="342"/>
      <c r="HD1407" s="342"/>
      <c r="HE1407" s="342"/>
      <c r="HF1407" s="342"/>
      <c r="HG1407" s="351"/>
      <c r="HH1407" s="351"/>
      <c r="HI1407" s="343"/>
      <c r="HJ1407" s="347"/>
      <c r="HK1407" s="351"/>
      <c r="HL1407" s="351"/>
      <c r="HM1407" s="347"/>
      <c r="HN1407" s="351"/>
      <c r="HO1407" s="351"/>
      <c r="HP1407" s="351"/>
      <c r="HQ1407" s="351"/>
      <c r="HR1407" s="351"/>
      <c r="HS1407" s="351"/>
      <c r="HT1407" s="351"/>
      <c r="HU1407" s="351"/>
      <c r="HV1407" s="351"/>
      <c r="HW1407" s="351"/>
      <c r="HX1407" s="351"/>
      <c r="HY1407" s="351"/>
      <c r="HZ1407" s="351"/>
      <c r="IA1407" s="351"/>
      <c r="IB1407" s="351"/>
      <c r="IC1407" s="351"/>
      <c r="ID1407" s="351"/>
      <c r="IE1407" s="351"/>
      <c r="IF1407" s="351"/>
      <c r="IG1407" s="351"/>
      <c r="IH1407" s="351"/>
      <c r="II1407" s="351"/>
      <c r="IJ1407" s="351"/>
      <c r="IK1407" s="351"/>
      <c r="IL1407" s="351"/>
      <c r="IM1407" s="351"/>
      <c r="IN1407" s="351"/>
      <c r="IO1407" s="351"/>
      <c r="IP1407" s="351"/>
      <c r="IQ1407" s="351"/>
      <c r="IR1407" s="351"/>
      <c r="IS1407" s="351"/>
      <c r="IT1407" s="351"/>
      <c r="IU1407" s="351"/>
      <c r="IV1407" s="351"/>
      <c r="IW1407" s="351"/>
      <c r="IX1407" s="351"/>
      <c r="IY1407" s="351"/>
      <c r="IZ1407" s="351"/>
      <c r="JA1407" s="351"/>
      <c r="JB1407" s="351"/>
      <c r="JC1407" s="351"/>
      <c r="JD1407" s="351"/>
      <c r="JE1407" s="347"/>
      <c r="JF1407" s="343"/>
      <c r="JG1407" s="351"/>
      <c r="JH1407" s="351"/>
      <c r="JI1407" s="351"/>
      <c r="JJ1407" s="351"/>
      <c r="JK1407" s="351"/>
      <c r="JL1407" s="351"/>
      <c r="JM1407" s="351"/>
      <c r="JN1407" s="351"/>
      <c r="JO1407" s="351"/>
      <c r="JP1407" s="351"/>
      <c r="JQ1407" s="351"/>
      <c r="JR1407" s="351"/>
      <c r="JS1407" s="351"/>
      <c r="JT1407" s="351"/>
      <c r="JU1407" s="351"/>
      <c r="JV1407" s="351"/>
      <c r="JW1407" s="351"/>
      <c r="JX1407" s="351"/>
      <c r="JY1407" s="351"/>
      <c r="JZ1407" s="351"/>
      <c r="KA1407" s="351"/>
      <c r="KB1407" s="351"/>
      <c r="KC1407" s="351"/>
      <c r="KD1407" s="351"/>
      <c r="KE1407" s="351"/>
      <c r="KF1407" s="351"/>
      <c r="KG1407" s="351"/>
      <c r="KH1407" s="351"/>
      <c r="KI1407" s="351"/>
      <c r="KJ1407" s="351"/>
      <c r="KK1407" s="351"/>
      <c r="KL1407" s="351"/>
      <c r="KM1407" s="351"/>
      <c r="KN1407" s="351"/>
      <c r="KO1407" s="351"/>
      <c r="KP1407" s="351"/>
      <c r="KQ1407" s="351"/>
      <c r="KR1407" s="351"/>
      <c r="KS1407" s="351"/>
      <c r="KT1407" s="351"/>
      <c r="KU1407" s="351"/>
      <c r="KV1407" s="351"/>
      <c r="KW1407" s="351"/>
      <c r="KX1407" s="351"/>
      <c r="KY1407" s="351"/>
      <c r="KZ1407" s="351"/>
      <c r="LA1407" s="351"/>
      <c r="LB1407" s="343"/>
      <c r="LC1407" s="351"/>
      <c r="LD1407" s="351"/>
      <c r="LE1407" s="343"/>
      <c r="LF1407" s="351"/>
      <c r="LG1407" s="351"/>
      <c r="LH1407" s="351"/>
      <c r="LI1407" s="351"/>
      <c r="LJ1407" s="342"/>
      <c r="LK1407" s="342"/>
      <c r="LL1407" s="342"/>
      <c r="LM1407" s="342"/>
      <c r="LN1407" s="342"/>
      <c r="LO1407" s="342"/>
      <c r="LP1407" s="342"/>
      <c r="LQ1407" s="342"/>
      <c r="LR1407" s="342"/>
      <c r="LS1407" s="342"/>
      <c r="LT1407" s="342"/>
      <c r="LU1407" s="13"/>
    </row>
    <row r="1408" spans="6:333" ht="10.75" customHeight="1">
      <c r="F1408" s="342"/>
      <c r="G1408" s="342"/>
      <c r="H1408" s="342"/>
      <c r="I1408" s="342"/>
      <c r="J1408" s="342"/>
      <c r="K1408" s="342"/>
      <c r="L1408" s="342"/>
      <c r="M1408" s="342"/>
      <c r="N1408" s="342"/>
      <c r="O1408" s="342"/>
      <c r="P1408" s="342"/>
      <c r="Q1408" s="342"/>
      <c r="R1408" s="342"/>
      <c r="S1408" s="342"/>
      <c r="T1408" s="342"/>
      <c r="U1408" s="342"/>
      <c r="V1408" s="342"/>
      <c r="W1408" s="342"/>
      <c r="X1408" s="342"/>
      <c r="Y1408" s="342"/>
      <c r="Z1408" s="342"/>
      <c r="AA1408" s="342"/>
      <c r="AB1408" s="342"/>
      <c r="AC1408" s="342"/>
      <c r="AD1408" s="342"/>
      <c r="AE1408" s="342"/>
      <c r="AF1408" s="342"/>
      <c r="AG1408" s="342"/>
      <c r="AH1408" s="342"/>
      <c r="AI1408" s="342"/>
      <c r="AJ1408" s="342"/>
      <c r="AK1408" s="342"/>
      <c r="AL1408" s="342"/>
      <c r="AM1408" s="342"/>
      <c r="AN1408" s="342"/>
      <c r="AO1408" s="342"/>
      <c r="AP1408" s="342"/>
      <c r="AQ1408" s="342"/>
      <c r="AR1408" s="342"/>
      <c r="AS1408" s="342"/>
      <c r="AT1408" s="342"/>
      <c r="AU1408" s="342"/>
      <c r="AV1408" s="342"/>
      <c r="AW1408" s="342"/>
      <c r="AX1408" s="342"/>
      <c r="AY1408" s="342"/>
      <c r="AZ1408" s="342"/>
      <c r="BA1408" s="342"/>
      <c r="BB1408" s="342"/>
      <c r="BC1408" s="342"/>
      <c r="BD1408" s="342"/>
      <c r="BE1408" s="342"/>
      <c r="BF1408" s="342"/>
      <c r="BG1408" s="342"/>
      <c r="BH1408" s="342"/>
      <c r="BI1408" s="342"/>
      <c r="BJ1408" s="342"/>
      <c r="BK1408" s="342"/>
      <c r="BL1408" s="342"/>
      <c r="BM1408" s="342"/>
      <c r="BN1408" s="342"/>
      <c r="BO1408" s="342"/>
      <c r="BP1408" s="342"/>
      <c r="BQ1408" s="342"/>
      <c r="BR1408" s="342"/>
      <c r="BS1408" s="342"/>
      <c r="BT1408" s="342"/>
      <c r="BU1408" s="342"/>
      <c r="BV1408" s="342"/>
      <c r="BW1408" s="342"/>
      <c r="BX1408" s="342"/>
      <c r="BY1408" s="342"/>
      <c r="BZ1408" s="342"/>
      <c r="CA1408" s="342"/>
      <c r="CB1408" s="342"/>
      <c r="CC1408" s="342"/>
      <c r="CD1408" s="342"/>
      <c r="CE1408" s="342"/>
      <c r="CF1408" s="342"/>
      <c r="CG1408" s="342"/>
      <c r="CH1408" s="342"/>
      <c r="CI1408" s="342"/>
      <c r="CJ1408" s="342"/>
      <c r="CK1408" s="342"/>
      <c r="CL1408" s="342"/>
      <c r="CM1408" s="342"/>
      <c r="CN1408" s="342"/>
      <c r="CO1408" s="342"/>
      <c r="CP1408" s="342"/>
      <c r="CQ1408" s="342"/>
      <c r="CR1408" s="342"/>
      <c r="CS1408" s="342"/>
      <c r="CT1408" s="342"/>
      <c r="CU1408" s="342"/>
      <c r="CV1408" s="342"/>
      <c r="CW1408" s="342"/>
      <c r="CX1408" s="342"/>
      <c r="CY1408" s="342"/>
      <c r="CZ1408" s="342"/>
      <c r="DA1408" s="342"/>
      <c r="DB1408" s="342"/>
      <c r="DC1408" s="342"/>
      <c r="DD1408" s="342"/>
      <c r="DE1408" s="342"/>
      <c r="DF1408" s="342"/>
      <c r="DG1408" s="342"/>
      <c r="DH1408" s="342"/>
      <c r="DI1408" s="342"/>
      <c r="DJ1408" s="342"/>
      <c r="DK1408" s="342"/>
      <c r="DL1408" s="342"/>
      <c r="DM1408" s="342"/>
      <c r="DN1408" s="342"/>
      <c r="DO1408" s="342"/>
      <c r="DP1408" s="342"/>
      <c r="DQ1408" s="342"/>
      <c r="DR1408" s="342"/>
      <c r="DS1408" s="342"/>
      <c r="DT1408" s="342"/>
      <c r="DU1408" s="342"/>
      <c r="EF1408" s="12"/>
      <c r="EG1408" s="13"/>
      <c r="EH1408" s="342"/>
      <c r="EI1408" s="342"/>
      <c r="EJ1408" s="342"/>
      <c r="EK1408" s="342"/>
      <c r="EL1408" s="342"/>
      <c r="EM1408" s="342"/>
      <c r="EN1408" s="342"/>
      <c r="EO1408" s="342"/>
      <c r="EP1408" s="342"/>
      <c r="EQ1408" s="342"/>
      <c r="ER1408" s="342"/>
      <c r="ES1408" s="12"/>
      <c r="ET1408" s="12"/>
      <c r="EU1408" s="342"/>
      <c r="EV1408" s="342"/>
      <c r="EW1408" s="342"/>
      <c r="EX1408" s="342"/>
      <c r="EY1408" s="342"/>
      <c r="EZ1408" s="342"/>
      <c r="FA1408" s="342"/>
      <c r="FB1408" s="342"/>
      <c r="FC1408" s="342"/>
      <c r="FD1408" s="342"/>
      <c r="FE1408" s="342"/>
      <c r="FF1408" s="342"/>
      <c r="FG1408" s="342"/>
      <c r="FH1408" s="342"/>
      <c r="FI1408" s="342"/>
      <c r="FJ1408" s="342"/>
      <c r="FK1408" s="342"/>
      <c r="FL1408" s="342"/>
      <c r="FM1408" s="342"/>
      <c r="FN1408" s="342"/>
      <c r="FO1408" s="342"/>
      <c r="FP1408" s="342"/>
      <c r="FQ1408" s="342"/>
      <c r="FR1408" s="342"/>
      <c r="FS1408" s="342"/>
      <c r="FT1408" s="342"/>
      <c r="FU1408" s="13"/>
      <c r="FV1408" s="12"/>
      <c r="FW1408" s="342"/>
      <c r="FX1408" s="342"/>
      <c r="FY1408" s="342"/>
      <c r="FZ1408" s="342"/>
      <c r="GA1408" s="342"/>
      <c r="GB1408" s="342"/>
      <c r="GC1408" s="342"/>
      <c r="GD1408" s="342"/>
      <c r="GE1408" s="13"/>
      <c r="GT1408" s="12"/>
      <c r="GU1408" s="342"/>
      <c r="GV1408" s="342"/>
      <c r="GW1408" s="342"/>
      <c r="GX1408" s="12"/>
      <c r="GY1408" s="12"/>
      <c r="GZ1408" s="342"/>
      <c r="HA1408" s="342"/>
      <c r="HB1408" s="342"/>
      <c r="HC1408" s="342"/>
      <c r="HD1408" s="342"/>
      <c r="HE1408" s="342"/>
      <c r="HF1408" s="342"/>
      <c r="HG1408" s="351"/>
      <c r="HH1408" s="351"/>
      <c r="HI1408" s="343"/>
      <c r="HJ1408" s="347"/>
      <c r="HK1408" s="351"/>
      <c r="HL1408" s="351"/>
      <c r="HM1408" s="347"/>
      <c r="HN1408" s="351"/>
      <c r="HO1408" s="351"/>
      <c r="HP1408" s="351"/>
      <c r="HQ1408" s="351"/>
      <c r="HR1408" s="351"/>
      <c r="HS1408" s="351"/>
      <c r="HT1408" s="351"/>
      <c r="HU1408" s="351"/>
      <c r="HV1408" s="351"/>
      <c r="HW1408" s="351"/>
      <c r="HX1408" s="351"/>
      <c r="HY1408" s="351"/>
      <c r="HZ1408" s="351"/>
      <c r="IA1408" s="351"/>
      <c r="IB1408" s="351"/>
      <c r="IC1408" s="351"/>
      <c r="ID1408" s="351"/>
      <c r="IE1408" s="351"/>
      <c r="IF1408" s="351"/>
      <c r="IG1408" s="351"/>
      <c r="IH1408" s="351"/>
      <c r="II1408" s="351"/>
      <c r="IJ1408" s="351"/>
      <c r="IK1408" s="351"/>
      <c r="IL1408" s="351"/>
      <c r="IM1408" s="351"/>
      <c r="IN1408" s="351"/>
      <c r="IO1408" s="351"/>
      <c r="IP1408" s="351"/>
      <c r="IQ1408" s="351"/>
      <c r="IR1408" s="351"/>
      <c r="IS1408" s="351"/>
      <c r="IT1408" s="351"/>
      <c r="IU1408" s="351"/>
      <c r="IV1408" s="351"/>
      <c r="IW1408" s="351"/>
      <c r="IX1408" s="351"/>
      <c r="IY1408" s="351"/>
      <c r="IZ1408" s="351"/>
      <c r="JA1408" s="351"/>
      <c r="JB1408" s="351"/>
      <c r="JC1408" s="351"/>
      <c r="JD1408" s="351"/>
      <c r="JE1408" s="347"/>
      <c r="JF1408" s="343"/>
      <c r="JG1408" s="351"/>
      <c r="JH1408" s="351"/>
      <c r="JI1408" s="351"/>
      <c r="JJ1408" s="351"/>
      <c r="JK1408" s="351"/>
      <c r="JL1408" s="351"/>
      <c r="JM1408" s="351"/>
      <c r="JN1408" s="351"/>
      <c r="JO1408" s="351"/>
      <c r="JP1408" s="351"/>
      <c r="JQ1408" s="351"/>
      <c r="JR1408" s="351"/>
      <c r="JS1408" s="351"/>
      <c r="JT1408" s="351"/>
      <c r="JU1408" s="351"/>
      <c r="JV1408" s="351"/>
      <c r="JW1408" s="351"/>
      <c r="JX1408" s="351"/>
      <c r="JY1408" s="351"/>
      <c r="JZ1408" s="351"/>
      <c r="KA1408" s="351"/>
      <c r="KB1408" s="351"/>
      <c r="KC1408" s="351"/>
      <c r="KD1408" s="351"/>
      <c r="KE1408" s="351"/>
      <c r="KF1408" s="351"/>
      <c r="KG1408" s="351"/>
      <c r="KH1408" s="351"/>
      <c r="KI1408" s="351"/>
      <c r="KJ1408" s="351"/>
      <c r="KK1408" s="351"/>
      <c r="KL1408" s="351"/>
      <c r="KM1408" s="351"/>
      <c r="KN1408" s="351"/>
      <c r="KO1408" s="351"/>
      <c r="KP1408" s="351"/>
      <c r="KQ1408" s="351"/>
      <c r="KR1408" s="351"/>
      <c r="KS1408" s="351"/>
      <c r="KT1408" s="351"/>
      <c r="KU1408" s="351"/>
      <c r="KV1408" s="351"/>
      <c r="KW1408" s="351"/>
      <c r="KX1408" s="351"/>
      <c r="KY1408" s="351"/>
      <c r="KZ1408" s="351"/>
      <c r="LA1408" s="351"/>
      <c r="LB1408" s="343"/>
      <c r="LC1408" s="351"/>
      <c r="LD1408" s="351"/>
      <c r="LE1408" s="343"/>
      <c r="LF1408" s="351"/>
      <c r="LG1408" s="351"/>
      <c r="LH1408" s="351"/>
      <c r="LI1408" s="351"/>
      <c r="LJ1408" s="342"/>
      <c r="LK1408" s="342"/>
      <c r="LL1408" s="342"/>
      <c r="LM1408" s="342"/>
      <c r="LN1408" s="342"/>
      <c r="LO1408" s="342"/>
      <c r="LP1408" s="342"/>
      <c r="LQ1408" s="342"/>
      <c r="LR1408" s="342"/>
      <c r="LS1408" s="342"/>
      <c r="LT1408" s="342"/>
      <c r="LU1408" s="13"/>
    </row>
    <row r="1409" spans="6:333" ht="10.75" customHeight="1">
      <c r="F1409" s="342"/>
      <c r="G1409" s="342"/>
      <c r="H1409" s="342"/>
      <c r="I1409" s="342"/>
      <c r="J1409" s="342"/>
      <c r="K1409" s="342"/>
      <c r="L1409" s="342"/>
      <c r="M1409" s="342"/>
      <c r="N1409" s="342"/>
      <c r="O1409" s="342"/>
      <c r="P1409" s="342"/>
      <c r="Q1409" s="342"/>
      <c r="R1409" s="342"/>
      <c r="S1409" s="342"/>
      <c r="T1409" s="342"/>
      <c r="U1409" s="342"/>
      <c r="V1409" s="342"/>
      <c r="W1409" s="342"/>
      <c r="X1409" s="342"/>
      <c r="Y1409" s="342"/>
      <c r="Z1409" s="342"/>
      <c r="AA1409" s="342"/>
      <c r="AB1409" s="342"/>
      <c r="AC1409" s="342"/>
      <c r="AD1409" s="342"/>
      <c r="AE1409" s="342"/>
      <c r="AF1409" s="342"/>
      <c r="AG1409" s="342"/>
      <c r="AH1409" s="342"/>
      <c r="AI1409" s="342"/>
      <c r="AJ1409" s="342"/>
      <c r="AK1409" s="342"/>
      <c r="AL1409" s="342"/>
      <c r="AM1409" s="342"/>
      <c r="AN1409" s="342"/>
      <c r="AO1409" s="342"/>
      <c r="AP1409" s="342"/>
      <c r="AQ1409" s="342"/>
      <c r="AR1409" s="342"/>
      <c r="AS1409" s="342"/>
      <c r="AT1409" s="342"/>
      <c r="AU1409" s="342"/>
      <c r="AV1409" s="342"/>
      <c r="AW1409" s="342"/>
      <c r="AX1409" s="342"/>
      <c r="AY1409" s="342"/>
      <c r="AZ1409" s="342"/>
      <c r="BA1409" s="342"/>
      <c r="BB1409" s="342"/>
      <c r="BC1409" s="342"/>
      <c r="BD1409" s="342"/>
      <c r="BE1409" s="342"/>
      <c r="BF1409" s="342"/>
      <c r="BG1409" s="342"/>
      <c r="BH1409" s="342"/>
      <c r="BI1409" s="342"/>
      <c r="BJ1409" s="342"/>
      <c r="BK1409" s="342"/>
      <c r="BL1409" s="342"/>
      <c r="BM1409" s="342"/>
      <c r="BN1409" s="342"/>
      <c r="BO1409" s="342"/>
      <c r="BP1409" s="342"/>
      <c r="BQ1409" s="342"/>
      <c r="BR1409" s="342"/>
      <c r="BS1409" s="342"/>
      <c r="BT1409" s="342"/>
      <c r="BU1409" s="342"/>
      <c r="BV1409" s="342"/>
      <c r="BW1409" s="342"/>
      <c r="BX1409" s="342"/>
      <c r="BY1409" s="342"/>
      <c r="BZ1409" s="342"/>
      <c r="CA1409" s="342"/>
      <c r="CB1409" s="342"/>
      <c r="CC1409" s="342"/>
      <c r="CD1409" s="342"/>
      <c r="CE1409" s="342"/>
      <c r="CF1409" s="342"/>
      <c r="CG1409" s="342"/>
      <c r="CH1409" s="342"/>
      <c r="CI1409" s="342"/>
      <c r="CJ1409" s="342"/>
      <c r="CK1409" s="342"/>
      <c r="CL1409" s="342"/>
      <c r="CM1409" s="342"/>
      <c r="CN1409" s="342"/>
      <c r="CO1409" s="342"/>
      <c r="CP1409" s="342"/>
      <c r="CQ1409" s="342"/>
      <c r="CR1409" s="342"/>
      <c r="CS1409" s="342"/>
      <c r="CT1409" s="342"/>
      <c r="CU1409" s="342"/>
      <c r="CV1409" s="342"/>
      <c r="CW1409" s="342"/>
      <c r="CX1409" s="342"/>
      <c r="CY1409" s="342"/>
      <c r="CZ1409" s="342"/>
      <c r="DA1409" s="342"/>
      <c r="DB1409" s="342"/>
      <c r="DC1409" s="342"/>
      <c r="DD1409" s="342"/>
      <c r="DE1409" s="342"/>
      <c r="DF1409" s="342"/>
      <c r="DG1409" s="342"/>
      <c r="DH1409" s="342"/>
      <c r="DI1409" s="342"/>
      <c r="DJ1409" s="342"/>
      <c r="DK1409" s="342"/>
      <c r="DL1409" s="342"/>
      <c r="DM1409" s="342"/>
      <c r="DN1409" s="342"/>
      <c r="DO1409" s="342"/>
      <c r="DP1409" s="342"/>
      <c r="DQ1409" s="342"/>
      <c r="DR1409" s="342"/>
      <c r="DS1409" s="342"/>
      <c r="DT1409" s="342"/>
      <c r="DU1409" s="342"/>
      <c r="EF1409" s="12"/>
      <c r="EG1409" s="13"/>
      <c r="EH1409" s="342"/>
      <c r="EI1409" s="342"/>
      <c r="EJ1409" s="342"/>
      <c r="EK1409" s="342"/>
      <c r="EL1409" s="342"/>
      <c r="EM1409" s="342"/>
      <c r="EN1409" s="342"/>
      <c r="EO1409" s="342"/>
      <c r="EP1409" s="342"/>
      <c r="EQ1409" s="342"/>
      <c r="ER1409" s="342"/>
      <c r="ES1409" s="12"/>
      <c r="ET1409" s="12"/>
      <c r="EU1409" s="342"/>
      <c r="EV1409" s="342"/>
      <c r="EW1409" s="342"/>
      <c r="EX1409" s="342"/>
      <c r="EY1409" s="342"/>
      <c r="EZ1409" s="342"/>
      <c r="FA1409" s="342"/>
      <c r="FB1409" s="342"/>
      <c r="FC1409" s="342"/>
      <c r="FD1409" s="342"/>
      <c r="FE1409" s="342"/>
      <c r="FF1409" s="342"/>
      <c r="FG1409" s="342"/>
      <c r="FH1409" s="342"/>
      <c r="FI1409" s="342"/>
      <c r="FJ1409" s="342"/>
      <c r="FK1409" s="342"/>
      <c r="FL1409" s="342"/>
      <c r="FM1409" s="342"/>
      <c r="FN1409" s="342"/>
      <c r="FO1409" s="342"/>
      <c r="FP1409" s="342"/>
      <c r="FQ1409" s="342"/>
      <c r="FR1409" s="342"/>
      <c r="FS1409" s="342"/>
      <c r="FT1409" s="342"/>
      <c r="FU1409" s="13"/>
      <c r="FV1409" s="12"/>
      <c r="FW1409" s="342"/>
      <c r="FX1409" s="342"/>
      <c r="FY1409" s="342"/>
      <c r="FZ1409" s="342"/>
      <c r="GA1409" s="342"/>
      <c r="GB1409" s="342"/>
      <c r="GC1409" s="342"/>
      <c r="GD1409" s="342"/>
      <c r="GE1409" s="13"/>
      <c r="GT1409" s="12"/>
      <c r="GU1409" s="342"/>
      <c r="GV1409" s="342"/>
      <c r="GW1409" s="342"/>
      <c r="GX1409" s="12"/>
      <c r="GY1409" s="12"/>
      <c r="GZ1409" s="342"/>
      <c r="HA1409" s="342"/>
      <c r="HB1409" s="342"/>
      <c r="HC1409" s="342"/>
      <c r="HD1409" s="342"/>
      <c r="HE1409" s="342"/>
      <c r="HF1409" s="342"/>
      <c r="HG1409" s="351"/>
      <c r="HH1409" s="351"/>
      <c r="HI1409" s="343"/>
      <c r="HJ1409" s="347"/>
      <c r="HK1409" s="351"/>
      <c r="HL1409" s="351"/>
      <c r="HM1409" s="347"/>
      <c r="HN1409" s="351"/>
      <c r="HO1409" s="351"/>
      <c r="HP1409" s="351"/>
      <c r="HQ1409" s="351"/>
      <c r="HR1409" s="351"/>
      <c r="HS1409" s="351"/>
      <c r="HT1409" s="351"/>
      <c r="HU1409" s="351"/>
      <c r="HV1409" s="351"/>
      <c r="HW1409" s="351"/>
      <c r="HX1409" s="351"/>
      <c r="HY1409" s="351"/>
      <c r="HZ1409" s="351"/>
      <c r="IA1409" s="351"/>
      <c r="IB1409" s="351"/>
      <c r="IC1409" s="351"/>
      <c r="ID1409" s="351"/>
      <c r="IE1409" s="351"/>
      <c r="IF1409" s="351"/>
      <c r="IG1409" s="351"/>
      <c r="IH1409" s="351"/>
      <c r="II1409" s="351"/>
      <c r="IJ1409" s="351"/>
      <c r="IK1409" s="351"/>
      <c r="IL1409" s="351"/>
      <c r="IM1409" s="351"/>
      <c r="IN1409" s="351"/>
      <c r="IO1409" s="351"/>
      <c r="IP1409" s="351"/>
      <c r="IQ1409" s="351"/>
      <c r="IR1409" s="351"/>
      <c r="IS1409" s="351"/>
      <c r="IT1409" s="351"/>
      <c r="IU1409" s="351"/>
      <c r="IV1409" s="351"/>
      <c r="IW1409" s="351"/>
      <c r="IX1409" s="351"/>
      <c r="IY1409" s="351"/>
      <c r="IZ1409" s="351"/>
      <c r="JA1409" s="351"/>
      <c r="JB1409" s="351"/>
      <c r="JC1409" s="351"/>
      <c r="JD1409" s="351"/>
      <c r="JE1409" s="347"/>
      <c r="JF1409" s="343"/>
      <c r="JG1409" s="351"/>
      <c r="JH1409" s="351"/>
      <c r="JI1409" s="351"/>
      <c r="JJ1409" s="351"/>
      <c r="JK1409" s="351"/>
      <c r="JL1409" s="351"/>
      <c r="JM1409" s="351"/>
      <c r="JN1409" s="351"/>
      <c r="JO1409" s="351"/>
      <c r="JP1409" s="351"/>
      <c r="JQ1409" s="351"/>
      <c r="JR1409" s="351"/>
      <c r="JS1409" s="351"/>
      <c r="JT1409" s="351"/>
      <c r="JU1409" s="351"/>
      <c r="JV1409" s="351"/>
      <c r="JW1409" s="351"/>
      <c r="JX1409" s="351"/>
      <c r="JY1409" s="351"/>
      <c r="JZ1409" s="351"/>
      <c r="KA1409" s="351"/>
      <c r="KB1409" s="351"/>
      <c r="KC1409" s="351"/>
      <c r="KD1409" s="351"/>
      <c r="KE1409" s="351"/>
      <c r="KF1409" s="351"/>
      <c r="KG1409" s="351"/>
      <c r="KH1409" s="351"/>
      <c r="KI1409" s="351"/>
      <c r="KJ1409" s="351"/>
      <c r="KK1409" s="351"/>
      <c r="KL1409" s="351"/>
      <c r="KM1409" s="351"/>
      <c r="KN1409" s="351"/>
      <c r="KO1409" s="351"/>
      <c r="KP1409" s="351"/>
      <c r="KQ1409" s="351"/>
      <c r="KR1409" s="351"/>
      <c r="KS1409" s="351"/>
      <c r="KT1409" s="351"/>
      <c r="KU1409" s="351"/>
      <c r="KV1409" s="351"/>
      <c r="KW1409" s="351"/>
      <c r="KX1409" s="351"/>
      <c r="KY1409" s="351"/>
      <c r="KZ1409" s="351"/>
      <c r="LA1409" s="351"/>
      <c r="LB1409" s="343"/>
      <c r="LC1409" s="351"/>
      <c r="LD1409" s="351"/>
      <c r="LE1409" s="343"/>
      <c r="LF1409" s="351"/>
      <c r="LG1409" s="351"/>
      <c r="LH1409" s="351"/>
      <c r="LI1409" s="351"/>
      <c r="LJ1409" s="342"/>
      <c r="LK1409" s="342"/>
      <c r="LL1409" s="342"/>
      <c r="LM1409" s="342"/>
      <c r="LN1409" s="342"/>
      <c r="LO1409" s="342"/>
      <c r="LP1409" s="342"/>
      <c r="LQ1409" s="342"/>
      <c r="LR1409" s="342"/>
      <c r="LS1409" s="342"/>
      <c r="LT1409" s="342"/>
      <c r="LU1409" s="13"/>
    </row>
    <row r="1410" spans="6:333" ht="10.75" customHeight="1">
      <c r="F1410" s="342"/>
      <c r="G1410" s="342"/>
      <c r="H1410" s="342"/>
      <c r="I1410" s="342"/>
      <c r="J1410" s="342"/>
      <c r="K1410" s="342"/>
      <c r="L1410" s="342"/>
      <c r="M1410" s="342"/>
      <c r="N1410" s="342"/>
      <c r="O1410" s="342"/>
      <c r="P1410" s="342"/>
      <c r="Q1410" s="342"/>
      <c r="R1410" s="342"/>
      <c r="S1410" s="342"/>
      <c r="T1410" s="342"/>
      <c r="U1410" s="342"/>
      <c r="V1410" s="342"/>
      <c r="W1410" s="342"/>
      <c r="X1410" s="342"/>
      <c r="Y1410" s="342"/>
      <c r="Z1410" s="342"/>
      <c r="AA1410" s="342"/>
      <c r="AB1410" s="342"/>
      <c r="AC1410" s="342"/>
      <c r="AD1410" s="342"/>
      <c r="AE1410" s="342"/>
      <c r="AF1410" s="342"/>
      <c r="AG1410" s="342"/>
      <c r="AH1410" s="342"/>
      <c r="AI1410" s="342"/>
      <c r="AJ1410" s="342"/>
      <c r="AK1410" s="342"/>
      <c r="AL1410" s="342"/>
      <c r="AM1410" s="342"/>
      <c r="AN1410" s="342"/>
      <c r="AO1410" s="342"/>
      <c r="AP1410" s="342"/>
      <c r="AQ1410" s="342"/>
      <c r="AR1410" s="342"/>
      <c r="AS1410" s="342"/>
      <c r="AT1410" s="342"/>
      <c r="AU1410" s="342"/>
      <c r="AV1410" s="342"/>
      <c r="AW1410" s="342"/>
      <c r="AX1410" s="342"/>
      <c r="AY1410" s="342"/>
      <c r="AZ1410" s="342"/>
      <c r="BA1410" s="342"/>
      <c r="BB1410" s="342"/>
      <c r="BC1410" s="342"/>
      <c r="BD1410" s="342"/>
      <c r="BE1410" s="342"/>
      <c r="BF1410" s="342"/>
      <c r="BG1410" s="342"/>
      <c r="BH1410" s="342"/>
      <c r="BI1410" s="342"/>
      <c r="BJ1410" s="342"/>
      <c r="BK1410" s="342"/>
      <c r="BL1410" s="342"/>
      <c r="BM1410" s="342"/>
      <c r="BN1410" s="342"/>
      <c r="BO1410" s="342"/>
      <c r="BP1410" s="342"/>
      <c r="BQ1410" s="342"/>
      <c r="BR1410" s="342"/>
      <c r="BS1410" s="342"/>
      <c r="BT1410" s="342"/>
      <c r="BU1410" s="342"/>
      <c r="BV1410" s="342"/>
      <c r="BW1410" s="342"/>
      <c r="BX1410" s="342"/>
      <c r="BY1410" s="342"/>
      <c r="BZ1410" s="342"/>
      <c r="CA1410" s="342"/>
      <c r="CB1410" s="342"/>
      <c r="CC1410" s="342"/>
      <c r="CD1410" s="342"/>
      <c r="CE1410" s="342"/>
      <c r="CF1410" s="342"/>
      <c r="CG1410" s="342"/>
      <c r="CH1410" s="342"/>
      <c r="CI1410" s="342"/>
      <c r="CJ1410" s="342"/>
      <c r="CK1410" s="342"/>
      <c r="CL1410" s="342"/>
      <c r="CM1410" s="342"/>
      <c r="CN1410" s="342"/>
      <c r="CO1410" s="342"/>
      <c r="CP1410" s="342"/>
      <c r="CQ1410" s="342"/>
      <c r="CR1410" s="342"/>
      <c r="CS1410" s="342"/>
      <c r="CT1410" s="342"/>
      <c r="CU1410" s="342"/>
      <c r="CV1410" s="342"/>
      <c r="CW1410" s="342"/>
      <c r="CX1410" s="342"/>
      <c r="CY1410" s="342"/>
      <c r="CZ1410" s="342"/>
      <c r="DA1410" s="342"/>
      <c r="DB1410" s="342"/>
      <c r="DC1410" s="342"/>
      <c r="DD1410" s="342"/>
      <c r="DE1410" s="342"/>
      <c r="DF1410" s="342"/>
      <c r="DG1410" s="342"/>
      <c r="DH1410" s="342"/>
      <c r="DI1410" s="342"/>
      <c r="DJ1410" s="342"/>
      <c r="DK1410" s="342"/>
      <c r="DL1410" s="342"/>
      <c r="DM1410" s="342"/>
      <c r="DN1410" s="342"/>
      <c r="DO1410" s="342"/>
      <c r="DP1410" s="342"/>
      <c r="DQ1410" s="342"/>
      <c r="DR1410" s="342"/>
      <c r="DS1410" s="342"/>
      <c r="DT1410" s="342"/>
      <c r="DU1410" s="342"/>
      <c r="EF1410" s="12"/>
      <c r="EG1410" s="13"/>
      <c r="EH1410" s="342"/>
      <c r="EI1410" s="342"/>
      <c r="EJ1410" s="342"/>
      <c r="EK1410" s="342"/>
      <c r="EL1410" s="342"/>
      <c r="EM1410" s="342"/>
      <c r="EN1410" s="342"/>
      <c r="EO1410" s="342"/>
      <c r="EP1410" s="342"/>
      <c r="EQ1410" s="342"/>
      <c r="ER1410" s="342"/>
      <c r="ES1410" s="12"/>
      <c r="ET1410" s="12"/>
      <c r="EU1410" s="342"/>
      <c r="EV1410" s="342"/>
      <c r="EW1410" s="342"/>
      <c r="EX1410" s="342"/>
      <c r="EY1410" s="342"/>
      <c r="EZ1410" s="342"/>
      <c r="FA1410" s="342"/>
      <c r="FB1410" s="342"/>
      <c r="FC1410" s="342"/>
      <c r="FD1410" s="342"/>
      <c r="FE1410" s="342"/>
      <c r="FF1410" s="342"/>
      <c r="FG1410" s="342"/>
      <c r="FH1410" s="342"/>
      <c r="FI1410" s="342"/>
      <c r="FJ1410" s="342"/>
      <c r="FK1410" s="342"/>
      <c r="FL1410" s="342"/>
      <c r="FM1410" s="342"/>
      <c r="FN1410" s="342"/>
      <c r="FO1410" s="342"/>
      <c r="FP1410" s="342"/>
      <c r="FQ1410" s="342"/>
      <c r="FR1410" s="342"/>
      <c r="FS1410" s="342"/>
      <c r="FT1410" s="342"/>
      <c r="FU1410" s="13"/>
      <c r="FV1410" s="12"/>
      <c r="FW1410" s="342"/>
      <c r="FX1410" s="342"/>
      <c r="FY1410" s="342"/>
      <c r="FZ1410" s="342"/>
      <c r="GA1410" s="342"/>
      <c r="GB1410" s="342"/>
      <c r="GC1410" s="342"/>
      <c r="GD1410" s="342"/>
      <c r="GE1410" s="13"/>
      <c r="GT1410" s="12"/>
      <c r="GU1410" s="342"/>
      <c r="GV1410" s="342"/>
      <c r="GW1410" s="342"/>
      <c r="GX1410" s="12"/>
      <c r="GY1410" s="12"/>
      <c r="GZ1410" s="342"/>
      <c r="HA1410" s="342"/>
      <c r="HB1410" s="342"/>
      <c r="HC1410" s="342"/>
      <c r="HD1410" s="342"/>
      <c r="HE1410" s="342"/>
      <c r="HF1410" s="342"/>
      <c r="HG1410" s="351"/>
      <c r="HH1410" s="351"/>
      <c r="HI1410" s="343"/>
      <c r="HJ1410" s="347"/>
      <c r="HK1410" s="351"/>
      <c r="HL1410" s="351"/>
      <c r="HM1410" s="347"/>
      <c r="HN1410" s="351"/>
      <c r="HO1410" s="351"/>
      <c r="HP1410" s="351"/>
      <c r="HQ1410" s="351"/>
      <c r="HR1410" s="351"/>
      <c r="HS1410" s="351"/>
      <c r="HT1410" s="351"/>
      <c r="HU1410" s="351"/>
      <c r="HV1410" s="351"/>
      <c r="HW1410" s="351"/>
      <c r="HX1410" s="351"/>
      <c r="HY1410" s="351"/>
      <c r="HZ1410" s="351"/>
      <c r="IA1410" s="351"/>
      <c r="IB1410" s="351"/>
      <c r="IC1410" s="351"/>
      <c r="ID1410" s="351"/>
      <c r="IE1410" s="351"/>
      <c r="IF1410" s="351"/>
      <c r="IG1410" s="351"/>
      <c r="IH1410" s="351"/>
      <c r="II1410" s="351"/>
      <c r="IJ1410" s="351"/>
      <c r="IK1410" s="351"/>
      <c r="IL1410" s="351"/>
      <c r="IM1410" s="351"/>
      <c r="IN1410" s="351"/>
      <c r="IO1410" s="351"/>
      <c r="IP1410" s="351"/>
      <c r="IQ1410" s="351"/>
      <c r="IR1410" s="351"/>
      <c r="IS1410" s="351"/>
      <c r="IT1410" s="351"/>
      <c r="IU1410" s="351"/>
      <c r="IV1410" s="351"/>
      <c r="IW1410" s="351"/>
      <c r="IX1410" s="351"/>
      <c r="IY1410" s="351"/>
      <c r="IZ1410" s="351"/>
      <c r="JA1410" s="351"/>
      <c r="JB1410" s="351"/>
      <c r="JC1410" s="351"/>
      <c r="JD1410" s="351"/>
      <c r="JE1410" s="347"/>
      <c r="JF1410" s="343"/>
      <c r="JG1410" s="351"/>
      <c r="JH1410" s="351"/>
      <c r="JI1410" s="351"/>
      <c r="JJ1410" s="351"/>
      <c r="JK1410" s="351"/>
      <c r="JL1410" s="351"/>
      <c r="JM1410" s="351"/>
      <c r="JN1410" s="351"/>
      <c r="JO1410" s="351"/>
      <c r="JP1410" s="351"/>
      <c r="JQ1410" s="351"/>
      <c r="JR1410" s="351"/>
      <c r="JS1410" s="351"/>
      <c r="JT1410" s="351"/>
      <c r="JU1410" s="351"/>
      <c r="JV1410" s="351"/>
      <c r="JW1410" s="351"/>
      <c r="JX1410" s="351"/>
      <c r="JY1410" s="351"/>
      <c r="JZ1410" s="351"/>
      <c r="KA1410" s="351"/>
      <c r="KB1410" s="351"/>
      <c r="KC1410" s="351"/>
      <c r="KD1410" s="351"/>
      <c r="KE1410" s="351"/>
      <c r="KF1410" s="351"/>
      <c r="KG1410" s="351"/>
      <c r="KH1410" s="351"/>
      <c r="KI1410" s="351"/>
      <c r="KJ1410" s="351"/>
      <c r="KK1410" s="351"/>
      <c r="KL1410" s="351"/>
      <c r="KM1410" s="351"/>
      <c r="KN1410" s="351"/>
      <c r="KO1410" s="351"/>
      <c r="KP1410" s="351"/>
      <c r="KQ1410" s="351"/>
      <c r="KR1410" s="351"/>
      <c r="KS1410" s="351"/>
      <c r="KT1410" s="351"/>
      <c r="KU1410" s="351"/>
      <c r="KV1410" s="351"/>
      <c r="KW1410" s="351"/>
      <c r="KX1410" s="351"/>
      <c r="KY1410" s="351"/>
      <c r="KZ1410" s="351"/>
      <c r="LA1410" s="351"/>
      <c r="LB1410" s="343"/>
      <c r="LC1410" s="351"/>
      <c r="LD1410" s="351"/>
      <c r="LE1410" s="343"/>
      <c r="LF1410" s="351"/>
      <c r="LG1410" s="351"/>
      <c r="LH1410" s="351"/>
      <c r="LI1410" s="351"/>
      <c r="LJ1410" s="342"/>
      <c r="LK1410" s="342"/>
      <c r="LL1410" s="342"/>
      <c r="LM1410" s="342"/>
      <c r="LN1410" s="342"/>
      <c r="LO1410" s="342"/>
      <c r="LP1410" s="342"/>
      <c r="LQ1410" s="342"/>
      <c r="LR1410" s="342"/>
      <c r="LS1410" s="342"/>
      <c r="LT1410" s="342"/>
      <c r="LU1410" s="13"/>
    </row>
    <row r="1411" spans="6:333" ht="10.75" customHeight="1">
      <c r="F1411" s="342"/>
      <c r="G1411" s="342"/>
      <c r="H1411" s="342"/>
      <c r="I1411" s="342"/>
      <c r="J1411" s="342"/>
      <c r="K1411" s="342"/>
      <c r="L1411" s="342"/>
      <c r="M1411" s="342"/>
      <c r="N1411" s="342"/>
      <c r="O1411" s="342"/>
      <c r="P1411" s="342"/>
      <c r="Q1411" s="342"/>
      <c r="R1411" s="342"/>
      <c r="S1411" s="342"/>
      <c r="T1411" s="342"/>
      <c r="U1411" s="342"/>
      <c r="V1411" s="342"/>
      <c r="W1411" s="342"/>
      <c r="X1411" s="342"/>
      <c r="Y1411" s="342"/>
      <c r="Z1411" s="342"/>
      <c r="AA1411" s="342"/>
      <c r="AB1411" s="342"/>
      <c r="AC1411" s="342"/>
      <c r="AD1411" s="342"/>
      <c r="AE1411" s="342"/>
      <c r="AF1411" s="342"/>
      <c r="AG1411" s="342"/>
      <c r="AH1411" s="342"/>
      <c r="AI1411" s="342"/>
      <c r="AJ1411" s="342"/>
      <c r="AK1411" s="342"/>
      <c r="AL1411" s="342"/>
      <c r="AM1411" s="342"/>
      <c r="AN1411" s="342"/>
      <c r="AO1411" s="342"/>
      <c r="AP1411" s="342"/>
      <c r="AQ1411" s="342"/>
      <c r="AR1411" s="342"/>
      <c r="AS1411" s="342"/>
      <c r="AT1411" s="342"/>
      <c r="AU1411" s="342"/>
      <c r="AV1411" s="342"/>
      <c r="AW1411" s="342"/>
      <c r="AX1411" s="342"/>
      <c r="AY1411" s="342"/>
      <c r="AZ1411" s="342"/>
      <c r="BA1411" s="342"/>
      <c r="BB1411" s="342"/>
      <c r="BC1411" s="342"/>
      <c r="BD1411" s="342"/>
      <c r="BE1411" s="342"/>
      <c r="BF1411" s="342"/>
      <c r="BG1411" s="342"/>
      <c r="BH1411" s="342"/>
      <c r="BI1411" s="342"/>
      <c r="BJ1411" s="342"/>
      <c r="BK1411" s="342"/>
      <c r="BL1411" s="342"/>
      <c r="BM1411" s="342"/>
      <c r="BN1411" s="342"/>
      <c r="BO1411" s="342"/>
      <c r="BP1411" s="342"/>
      <c r="BQ1411" s="342"/>
      <c r="BR1411" s="342"/>
      <c r="BS1411" s="342"/>
      <c r="BT1411" s="342"/>
      <c r="BU1411" s="342"/>
      <c r="BV1411" s="342"/>
      <c r="BW1411" s="342"/>
      <c r="BX1411" s="342"/>
      <c r="BY1411" s="342"/>
      <c r="BZ1411" s="342"/>
      <c r="CA1411" s="342"/>
      <c r="CB1411" s="342"/>
      <c r="CC1411" s="342"/>
      <c r="CD1411" s="342"/>
      <c r="CE1411" s="342"/>
      <c r="CF1411" s="342"/>
      <c r="CG1411" s="342"/>
      <c r="CH1411" s="342"/>
      <c r="CI1411" s="342"/>
      <c r="CJ1411" s="342"/>
      <c r="CK1411" s="342"/>
      <c r="CL1411" s="342"/>
      <c r="CM1411" s="342"/>
      <c r="CN1411" s="342"/>
      <c r="CO1411" s="342"/>
      <c r="CP1411" s="342"/>
      <c r="CQ1411" s="342"/>
      <c r="CR1411" s="342"/>
      <c r="CS1411" s="342"/>
      <c r="CT1411" s="342"/>
      <c r="CU1411" s="342"/>
      <c r="CV1411" s="342"/>
      <c r="CW1411" s="342"/>
      <c r="CX1411" s="342"/>
      <c r="CY1411" s="342"/>
      <c r="CZ1411" s="342"/>
      <c r="DA1411" s="342"/>
      <c r="DB1411" s="342"/>
      <c r="DC1411" s="342"/>
      <c r="DD1411" s="342"/>
      <c r="DE1411" s="342"/>
      <c r="DF1411" s="342"/>
      <c r="DG1411" s="342"/>
      <c r="DH1411" s="342"/>
      <c r="DI1411" s="342"/>
      <c r="DJ1411" s="342"/>
      <c r="DK1411" s="342"/>
      <c r="DL1411" s="342"/>
      <c r="DM1411" s="342"/>
      <c r="DN1411" s="342"/>
      <c r="DO1411" s="342"/>
      <c r="DP1411" s="342"/>
      <c r="DQ1411" s="342"/>
      <c r="DR1411" s="342"/>
      <c r="DS1411" s="342"/>
      <c r="DT1411" s="342"/>
      <c r="DU1411" s="342"/>
      <c r="EF1411" s="12"/>
      <c r="EG1411" s="13"/>
      <c r="EH1411" s="342"/>
      <c r="EI1411" s="342"/>
      <c r="EJ1411" s="342"/>
      <c r="EK1411" s="342"/>
      <c r="EL1411" s="342"/>
      <c r="EM1411" s="342"/>
      <c r="EN1411" s="342"/>
      <c r="EO1411" s="342"/>
      <c r="EP1411" s="342"/>
      <c r="EQ1411" s="342"/>
      <c r="ER1411" s="342"/>
      <c r="ES1411" s="12"/>
      <c r="ET1411" s="12"/>
      <c r="EU1411" s="342"/>
      <c r="EV1411" s="342"/>
      <c r="EW1411" s="342"/>
      <c r="EX1411" s="342"/>
      <c r="EY1411" s="342"/>
      <c r="EZ1411" s="342"/>
      <c r="FA1411" s="342"/>
      <c r="FB1411" s="342"/>
      <c r="FC1411" s="342"/>
      <c r="FD1411" s="342"/>
      <c r="FE1411" s="342"/>
      <c r="FF1411" s="342"/>
      <c r="FG1411" s="342"/>
      <c r="FH1411" s="342"/>
      <c r="FI1411" s="342"/>
      <c r="FJ1411" s="342"/>
      <c r="FK1411" s="342"/>
      <c r="FL1411" s="342"/>
      <c r="FM1411" s="342"/>
      <c r="FN1411" s="342"/>
      <c r="FO1411" s="342"/>
      <c r="FP1411" s="342"/>
      <c r="FQ1411" s="342"/>
      <c r="FR1411" s="342"/>
      <c r="FS1411" s="342"/>
      <c r="FT1411" s="342"/>
      <c r="FU1411" s="13"/>
      <c r="FV1411" s="12"/>
      <c r="FW1411" s="342"/>
      <c r="FX1411" s="342"/>
      <c r="FY1411" s="342"/>
      <c r="FZ1411" s="342"/>
      <c r="GA1411" s="342"/>
      <c r="GB1411" s="342"/>
      <c r="GC1411" s="342"/>
      <c r="GD1411" s="342"/>
      <c r="GE1411" s="13"/>
      <c r="GT1411" s="12"/>
      <c r="GU1411" s="342"/>
      <c r="GV1411" s="342"/>
      <c r="GW1411" s="342"/>
      <c r="GX1411" s="12"/>
      <c r="GY1411" s="12"/>
      <c r="GZ1411" s="342"/>
      <c r="HA1411" s="342"/>
      <c r="HB1411" s="342"/>
      <c r="HC1411" s="342"/>
      <c r="HD1411" s="342"/>
      <c r="HE1411" s="342"/>
      <c r="HF1411" s="342"/>
      <c r="HG1411" s="351"/>
      <c r="HH1411" s="351"/>
      <c r="HI1411" s="343"/>
      <c r="HJ1411" s="347"/>
      <c r="HK1411" s="351"/>
      <c r="HL1411" s="351"/>
      <c r="HM1411" s="347"/>
      <c r="HN1411" s="351"/>
      <c r="HO1411" s="351"/>
      <c r="HP1411" s="351"/>
      <c r="HQ1411" s="351"/>
      <c r="HR1411" s="351"/>
      <c r="HS1411" s="351"/>
      <c r="HT1411" s="351"/>
      <c r="HU1411" s="351"/>
      <c r="HV1411" s="351"/>
      <c r="HW1411" s="351"/>
      <c r="HX1411" s="351"/>
      <c r="HY1411" s="351"/>
      <c r="HZ1411" s="351"/>
      <c r="IA1411" s="351"/>
      <c r="IB1411" s="351"/>
      <c r="IC1411" s="351"/>
      <c r="ID1411" s="351"/>
      <c r="IE1411" s="351"/>
      <c r="IF1411" s="351"/>
      <c r="IG1411" s="351"/>
      <c r="IH1411" s="351"/>
      <c r="II1411" s="351"/>
      <c r="IJ1411" s="351"/>
      <c r="IK1411" s="351"/>
      <c r="IL1411" s="351"/>
      <c r="IM1411" s="351"/>
      <c r="IN1411" s="351"/>
      <c r="IO1411" s="351"/>
      <c r="IP1411" s="351"/>
      <c r="IQ1411" s="351"/>
      <c r="IR1411" s="351"/>
      <c r="IS1411" s="351"/>
      <c r="IT1411" s="351"/>
      <c r="IU1411" s="351"/>
      <c r="IV1411" s="351"/>
      <c r="IW1411" s="351"/>
      <c r="IX1411" s="351"/>
      <c r="IY1411" s="351"/>
      <c r="IZ1411" s="351"/>
      <c r="JA1411" s="351"/>
      <c r="JB1411" s="351"/>
      <c r="JC1411" s="351"/>
      <c r="JD1411" s="351"/>
      <c r="JE1411" s="347"/>
      <c r="JF1411" s="343"/>
      <c r="JG1411" s="351"/>
      <c r="JH1411" s="351"/>
      <c r="JI1411" s="351"/>
      <c r="JJ1411" s="351"/>
      <c r="JK1411" s="351"/>
      <c r="JL1411" s="351"/>
      <c r="JM1411" s="351"/>
      <c r="JN1411" s="351"/>
      <c r="JO1411" s="351"/>
      <c r="JP1411" s="351"/>
      <c r="JQ1411" s="351"/>
      <c r="JR1411" s="351"/>
      <c r="JS1411" s="351"/>
      <c r="JT1411" s="351"/>
      <c r="JU1411" s="351"/>
      <c r="JV1411" s="351"/>
      <c r="JW1411" s="351"/>
      <c r="JX1411" s="351"/>
      <c r="JY1411" s="351"/>
      <c r="JZ1411" s="351"/>
      <c r="KA1411" s="351"/>
      <c r="KB1411" s="351"/>
      <c r="KC1411" s="351"/>
      <c r="KD1411" s="351"/>
      <c r="KE1411" s="351"/>
      <c r="KF1411" s="351"/>
      <c r="KG1411" s="351"/>
      <c r="KH1411" s="351"/>
      <c r="KI1411" s="351"/>
      <c r="KJ1411" s="351"/>
      <c r="KK1411" s="351"/>
      <c r="KL1411" s="351"/>
      <c r="KM1411" s="351"/>
      <c r="KN1411" s="351"/>
      <c r="KO1411" s="351"/>
      <c r="KP1411" s="351"/>
      <c r="KQ1411" s="351"/>
      <c r="KR1411" s="351"/>
      <c r="KS1411" s="351"/>
      <c r="KT1411" s="351"/>
      <c r="KU1411" s="351"/>
      <c r="KV1411" s="351"/>
      <c r="KW1411" s="351"/>
      <c r="KX1411" s="351"/>
      <c r="KY1411" s="351"/>
      <c r="KZ1411" s="351"/>
      <c r="LA1411" s="351"/>
      <c r="LB1411" s="343"/>
      <c r="LC1411" s="351"/>
      <c r="LD1411" s="351"/>
      <c r="LE1411" s="343"/>
      <c r="LF1411" s="351"/>
      <c r="LG1411" s="351"/>
      <c r="LH1411" s="351"/>
      <c r="LI1411" s="351"/>
      <c r="LJ1411" s="342"/>
      <c r="LK1411" s="342"/>
      <c r="LL1411" s="342"/>
      <c r="LM1411" s="342"/>
      <c r="LN1411" s="342"/>
      <c r="LO1411" s="342"/>
      <c r="LP1411" s="342"/>
      <c r="LQ1411" s="342"/>
      <c r="LR1411" s="342"/>
      <c r="LS1411" s="342"/>
      <c r="LT1411" s="342"/>
      <c r="LU1411" s="13"/>
    </row>
    <row r="1412" spans="6:333" ht="10.75" customHeight="1">
      <c r="F1412" s="342"/>
      <c r="G1412" s="342"/>
      <c r="H1412" s="342"/>
      <c r="I1412" s="342"/>
      <c r="J1412" s="342"/>
      <c r="K1412" s="342"/>
      <c r="L1412" s="342"/>
      <c r="M1412" s="342"/>
      <c r="N1412" s="342"/>
      <c r="O1412" s="342"/>
      <c r="P1412" s="342"/>
      <c r="Q1412" s="342"/>
      <c r="R1412" s="342"/>
      <c r="S1412" s="342"/>
      <c r="T1412" s="342"/>
      <c r="U1412" s="342"/>
      <c r="V1412" s="342"/>
      <c r="W1412" s="342"/>
      <c r="X1412" s="342"/>
      <c r="Y1412" s="342"/>
      <c r="Z1412" s="342"/>
      <c r="AA1412" s="342"/>
      <c r="AB1412" s="342"/>
      <c r="AC1412" s="342"/>
      <c r="AD1412" s="342"/>
      <c r="AE1412" s="342"/>
      <c r="AF1412" s="342"/>
      <c r="AG1412" s="342"/>
      <c r="AH1412" s="342"/>
      <c r="AI1412" s="342"/>
      <c r="AJ1412" s="342"/>
      <c r="AK1412" s="342"/>
      <c r="AL1412" s="342"/>
      <c r="AM1412" s="342"/>
      <c r="AN1412" s="342"/>
      <c r="AO1412" s="342"/>
      <c r="AP1412" s="342"/>
      <c r="AQ1412" s="342"/>
      <c r="AR1412" s="342"/>
      <c r="AS1412" s="342"/>
      <c r="AT1412" s="342"/>
      <c r="AU1412" s="342"/>
      <c r="AV1412" s="342"/>
      <c r="AW1412" s="342"/>
      <c r="AX1412" s="342"/>
      <c r="AY1412" s="342"/>
      <c r="AZ1412" s="342"/>
      <c r="BA1412" s="342"/>
      <c r="BB1412" s="342"/>
      <c r="BC1412" s="342"/>
      <c r="BD1412" s="342"/>
      <c r="BE1412" s="342"/>
      <c r="BF1412" s="342"/>
      <c r="BG1412" s="342"/>
      <c r="BH1412" s="342"/>
      <c r="BI1412" s="342"/>
      <c r="BJ1412" s="342"/>
      <c r="BK1412" s="342"/>
      <c r="BL1412" s="342"/>
      <c r="BM1412" s="342"/>
      <c r="BN1412" s="342"/>
      <c r="BO1412" s="342"/>
      <c r="BP1412" s="342"/>
      <c r="BQ1412" s="342"/>
      <c r="BR1412" s="342"/>
      <c r="BS1412" s="342"/>
      <c r="BT1412" s="342"/>
      <c r="BU1412" s="342"/>
      <c r="BV1412" s="342"/>
      <c r="BW1412" s="342"/>
      <c r="BX1412" s="342"/>
      <c r="BY1412" s="342"/>
      <c r="BZ1412" s="342"/>
      <c r="CA1412" s="342"/>
      <c r="CB1412" s="342"/>
      <c r="CC1412" s="342"/>
      <c r="CD1412" s="342"/>
      <c r="CE1412" s="342"/>
      <c r="CF1412" s="342"/>
      <c r="CG1412" s="342"/>
      <c r="CH1412" s="342"/>
      <c r="CI1412" s="342"/>
      <c r="CJ1412" s="342"/>
      <c r="CK1412" s="342"/>
      <c r="CL1412" s="342"/>
      <c r="CM1412" s="342"/>
      <c r="CN1412" s="342"/>
      <c r="CO1412" s="342"/>
      <c r="CP1412" s="342"/>
      <c r="CQ1412" s="342"/>
      <c r="CR1412" s="342"/>
      <c r="CS1412" s="342"/>
      <c r="CT1412" s="342"/>
      <c r="CU1412" s="342"/>
      <c r="CV1412" s="342"/>
      <c r="CW1412" s="342"/>
      <c r="CX1412" s="342"/>
      <c r="CY1412" s="342"/>
      <c r="CZ1412" s="342"/>
      <c r="DA1412" s="342"/>
      <c r="DB1412" s="342"/>
      <c r="DC1412" s="342"/>
      <c r="DD1412" s="342"/>
      <c r="DE1412" s="342"/>
      <c r="DF1412" s="342"/>
      <c r="DG1412" s="342"/>
      <c r="DH1412" s="342"/>
      <c r="DI1412" s="342"/>
      <c r="DJ1412" s="342"/>
      <c r="DK1412" s="342"/>
      <c r="DL1412" s="342"/>
      <c r="DM1412" s="342"/>
      <c r="DN1412" s="342"/>
      <c r="DO1412" s="342"/>
      <c r="DP1412" s="342"/>
      <c r="DQ1412" s="342"/>
      <c r="DR1412" s="342"/>
      <c r="DS1412" s="342"/>
      <c r="DT1412" s="342"/>
      <c r="DU1412" s="342"/>
      <c r="EF1412" s="12"/>
      <c r="EG1412" s="13"/>
      <c r="EH1412" s="342"/>
      <c r="EI1412" s="342"/>
      <c r="EJ1412" s="342"/>
      <c r="EK1412" s="342"/>
      <c r="EL1412" s="342"/>
      <c r="EM1412" s="342"/>
      <c r="EN1412" s="342"/>
      <c r="EO1412" s="342"/>
      <c r="EP1412" s="342"/>
      <c r="EQ1412" s="342"/>
      <c r="ER1412" s="342"/>
      <c r="ES1412" s="12"/>
      <c r="ET1412" s="12"/>
      <c r="EU1412" s="342"/>
      <c r="EV1412" s="342"/>
      <c r="EW1412" s="342"/>
      <c r="EX1412" s="342"/>
      <c r="EY1412" s="342"/>
      <c r="EZ1412" s="342"/>
      <c r="FA1412" s="342"/>
      <c r="FB1412" s="342"/>
      <c r="FC1412" s="342"/>
      <c r="FD1412" s="342"/>
      <c r="FE1412" s="342"/>
      <c r="FF1412" s="342"/>
      <c r="FG1412" s="342"/>
      <c r="FH1412" s="342"/>
      <c r="FI1412" s="342"/>
      <c r="FJ1412" s="342"/>
      <c r="FK1412" s="342"/>
      <c r="FL1412" s="342"/>
      <c r="FM1412" s="342"/>
      <c r="FN1412" s="342"/>
      <c r="FO1412" s="342"/>
      <c r="FP1412" s="342"/>
      <c r="FQ1412" s="342"/>
      <c r="FR1412" s="342"/>
      <c r="FS1412" s="342"/>
      <c r="FT1412" s="342"/>
      <c r="FU1412" s="13"/>
      <c r="FV1412" s="12"/>
      <c r="FW1412" s="342"/>
      <c r="FX1412" s="342"/>
      <c r="FY1412" s="342"/>
      <c r="FZ1412" s="342"/>
      <c r="GA1412" s="342"/>
      <c r="GB1412" s="342"/>
      <c r="GC1412" s="342"/>
      <c r="GD1412" s="342"/>
      <c r="GE1412" s="13"/>
      <c r="GT1412" s="12"/>
      <c r="GU1412" s="342"/>
      <c r="GV1412" s="342"/>
      <c r="GW1412" s="342"/>
      <c r="GX1412" s="12"/>
      <c r="GY1412" s="12"/>
      <c r="GZ1412" s="342"/>
      <c r="HA1412" s="342"/>
      <c r="HB1412" s="342"/>
      <c r="HC1412" s="342"/>
      <c r="HD1412" s="342"/>
      <c r="HE1412" s="342"/>
      <c r="HF1412" s="342"/>
      <c r="HG1412" s="351"/>
      <c r="HH1412" s="351"/>
      <c r="HI1412" s="343"/>
      <c r="HJ1412" s="347"/>
      <c r="HK1412" s="351"/>
      <c r="HL1412" s="351"/>
      <c r="HM1412" s="347"/>
      <c r="HN1412" s="351"/>
      <c r="HO1412" s="351"/>
      <c r="HP1412" s="351"/>
      <c r="HQ1412" s="351"/>
      <c r="HR1412" s="351"/>
      <c r="HS1412" s="351"/>
      <c r="HT1412" s="351"/>
      <c r="HU1412" s="351"/>
      <c r="HV1412" s="351"/>
      <c r="HW1412" s="351"/>
      <c r="HX1412" s="351"/>
      <c r="HY1412" s="351"/>
      <c r="HZ1412" s="351"/>
      <c r="IA1412" s="351"/>
      <c r="IB1412" s="351"/>
      <c r="IC1412" s="351"/>
      <c r="ID1412" s="351"/>
      <c r="IE1412" s="351"/>
      <c r="IF1412" s="351"/>
      <c r="IG1412" s="351"/>
      <c r="IH1412" s="351"/>
      <c r="II1412" s="351"/>
      <c r="IJ1412" s="351"/>
      <c r="IK1412" s="351"/>
      <c r="IL1412" s="351"/>
      <c r="IM1412" s="351"/>
      <c r="IN1412" s="351"/>
      <c r="IO1412" s="351"/>
      <c r="IP1412" s="351"/>
      <c r="IQ1412" s="351"/>
      <c r="IR1412" s="351"/>
      <c r="IS1412" s="351"/>
      <c r="IT1412" s="351"/>
      <c r="IU1412" s="351"/>
      <c r="IV1412" s="351"/>
      <c r="IW1412" s="351"/>
      <c r="IX1412" s="351"/>
      <c r="IY1412" s="351"/>
      <c r="IZ1412" s="351"/>
      <c r="JA1412" s="351"/>
      <c r="JB1412" s="351"/>
      <c r="JC1412" s="351"/>
      <c r="JD1412" s="351"/>
      <c r="JE1412" s="347"/>
      <c r="JF1412" s="343"/>
      <c r="JG1412" s="351"/>
      <c r="JH1412" s="351"/>
      <c r="JI1412" s="351"/>
      <c r="JJ1412" s="351"/>
      <c r="JK1412" s="351"/>
      <c r="JL1412" s="351"/>
      <c r="JM1412" s="351"/>
      <c r="JN1412" s="351"/>
      <c r="JO1412" s="351"/>
      <c r="JP1412" s="351"/>
      <c r="JQ1412" s="351"/>
      <c r="JR1412" s="351"/>
      <c r="JS1412" s="351"/>
      <c r="JT1412" s="351"/>
      <c r="JU1412" s="351"/>
      <c r="JV1412" s="351"/>
      <c r="JW1412" s="351"/>
      <c r="JX1412" s="351"/>
      <c r="JY1412" s="351"/>
      <c r="JZ1412" s="351"/>
      <c r="KA1412" s="351"/>
      <c r="KB1412" s="351"/>
      <c r="KC1412" s="351"/>
      <c r="KD1412" s="351"/>
      <c r="KE1412" s="351"/>
      <c r="KF1412" s="351"/>
      <c r="KG1412" s="351"/>
      <c r="KH1412" s="351"/>
      <c r="KI1412" s="351"/>
      <c r="KJ1412" s="351"/>
      <c r="KK1412" s="351"/>
      <c r="KL1412" s="351"/>
      <c r="KM1412" s="351"/>
      <c r="KN1412" s="351"/>
      <c r="KO1412" s="351"/>
      <c r="KP1412" s="351"/>
      <c r="KQ1412" s="351"/>
      <c r="KR1412" s="351"/>
      <c r="KS1412" s="351"/>
      <c r="KT1412" s="351"/>
      <c r="KU1412" s="351"/>
      <c r="KV1412" s="351"/>
      <c r="KW1412" s="351"/>
      <c r="KX1412" s="351"/>
      <c r="KY1412" s="351"/>
      <c r="KZ1412" s="351"/>
      <c r="LA1412" s="351"/>
      <c r="LB1412" s="343"/>
      <c r="LC1412" s="351"/>
      <c r="LD1412" s="351"/>
      <c r="LE1412" s="343"/>
      <c r="LF1412" s="351"/>
      <c r="LG1412" s="351"/>
      <c r="LH1412" s="351"/>
      <c r="LI1412" s="351"/>
      <c r="LJ1412" s="342"/>
      <c r="LK1412" s="342"/>
      <c r="LL1412" s="342"/>
      <c r="LM1412" s="342"/>
      <c r="LN1412" s="342"/>
      <c r="LO1412" s="342"/>
      <c r="LP1412" s="342"/>
      <c r="LQ1412" s="342"/>
      <c r="LR1412" s="342"/>
      <c r="LS1412" s="342"/>
      <c r="LT1412" s="342"/>
      <c r="LU1412" s="13"/>
    </row>
    <row r="1413" spans="6:333" ht="10.75" customHeight="1">
      <c r="F1413" s="342"/>
      <c r="G1413" s="342"/>
      <c r="H1413" s="342"/>
      <c r="I1413" s="342"/>
      <c r="J1413" s="342"/>
      <c r="K1413" s="342"/>
      <c r="L1413" s="342"/>
      <c r="M1413" s="342"/>
      <c r="N1413" s="342"/>
      <c r="O1413" s="342"/>
      <c r="P1413" s="342"/>
      <c r="Q1413" s="342"/>
      <c r="R1413" s="342"/>
      <c r="S1413" s="342"/>
      <c r="T1413" s="342"/>
      <c r="U1413" s="342"/>
      <c r="V1413" s="342"/>
      <c r="W1413" s="342"/>
      <c r="X1413" s="342"/>
      <c r="Y1413" s="342"/>
      <c r="Z1413" s="342"/>
      <c r="AA1413" s="342"/>
      <c r="AB1413" s="342"/>
      <c r="AC1413" s="342"/>
      <c r="AD1413" s="342"/>
      <c r="AE1413" s="342"/>
      <c r="AF1413" s="342"/>
      <c r="AG1413" s="342"/>
      <c r="AH1413" s="342"/>
      <c r="AI1413" s="342"/>
      <c r="AJ1413" s="342"/>
      <c r="AK1413" s="342"/>
      <c r="AL1413" s="342"/>
      <c r="AM1413" s="342"/>
      <c r="AN1413" s="342"/>
      <c r="AO1413" s="342"/>
      <c r="AP1413" s="342"/>
      <c r="AQ1413" s="342"/>
      <c r="AR1413" s="342"/>
      <c r="AS1413" s="342"/>
      <c r="AT1413" s="342"/>
      <c r="AU1413" s="342"/>
      <c r="AV1413" s="342"/>
      <c r="AW1413" s="342"/>
      <c r="AX1413" s="342"/>
      <c r="AY1413" s="342"/>
      <c r="AZ1413" s="342"/>
      <c r="BA1413" s="342"/>
      <c r="BB1413" s="342"/>
      <c r="BC1413" s="342"/>
      <c r="BD1413" s="342"/>
      <c r="BE1413" s="342"/>
      <c r="BF1413" s="342"/>
      <c r="BG1413" s="342"/>
      <c r="BH1413" s="342"/>
      <c r="BI1413" s="342"/>
      <c r="BJ1413" s="342"/>
      <c r="BK1413" s="342"/>
      <c r="BL1413" s="342"/>
      <c r="BM1413" s="342"/>
      <c r="BN1413" s="342"/>
      <c r="BO1413" s="342"/>
      <c r="BP1413" s="342"/>
      <c r="BQ1413" s="342"/>
      <c r="BR1413" s="342"/>
      <c r="BS1413" s="342"/>
      <c r="BT1413" s="342"/>
      <c r="BU1413" s="342"/>
      <c r="BV1413" s="342"/>
      <c r="BW1413" s="342"/>
      <c r="BX1413" s="342"/>
      <c r="BY1413" s="342"/>
      <c r="BZ1413" s="342"/>
      <c r="CA1413" s="342"/>
      <c r="CB1413" s="342"/>
      <c r="CC1413" s="342"/>
      <c r="CD1413" s="342"/>
      <c r="CE1413" s="342"/>
      <c r="CF1413" s="342"/>
      <c r="CG1413" s="342"/>
      <c r="CH1413" s="342"/>
      <c r="CI1413" s="342"/>
      <c r="CJ1413" s="342"/>
      <c r="CK1413" s="342"/>
      <c r="CL1413" s="342"/>
      <c r="CM1413" s="342"/>
      <c r="CN1413" s="342"/>
      <c r="CO1413" s="342"/>
      <c r="CP1413" s="342"/>
      <c r="CQ1413" s="342"/>
      <c r="CR1413" s="342"/>
      <c r="CS1413" s="342"/>
      <c r="CT1413" s="342"/>
      <c r="CU1413" s="342"/>
      <c r="CV1413" s="342"/>
      <c r="CW1413" s="342"/>
      <c r="CX1413" s="342"/>
      <c r="CY1413" s="342"/>
      <c r="CZ1413" s="342"/>
      <c r="DA1413" s="342"/>
      <c r="DB1413" s="342"/>
      <c r="DC1413" s="342"/>
      <c r="DD1413" s="342"/>
      <c r="DE1413" s="342"/>
      <c r="DF1413" s="342"/>
      <c r="DG1413" s="342"/>
      <c r="DH1413" s="342"/>
      <c r="DI1413" s="342"/>
      <c r="DJ1413" s="342"/>
      <c r="DK1413" s="342"/>
      <c r="DL1413" s="342"/>
      <c r="DM1413" s="342"/>
      <c r="DN1413" s="342"/>
      <c r="DO1413" s="342"/>
      <c r="DP1413" s="342"/>
      <c r="DQ1413" s="342"/>
      <c r="DR1413" s="342"/>
      <c r="DS1413" s="342"/>
      <c r="DT1413" s="342"/>
      <c r="DU1413" s="342"/>
      <c r="EF1413" s="12"/>
      <c r="EG1413" s="13"/>
      <c r="EH1413" s="342"/>
      <c r="EI1413" s="342"/>
      <c r="EJ1413" s="342"/>
      <c r="EK1413" s="342"/>
      <c r="EL1413" s="342"/>
      <c r="EM1413" s="342"/>
      <c r="EN1413" s="342"/>
      <c r="EO1413" s="342"/>
      <c r="EP1413" s="342"/>
      <c r="EQ1413" s="342"/>
      <c r="ER1413" s="342"/>
      <c r="ES1413" s="12"/>
      <c r="ET1413" s="12"/>
      <c r="EU1413" s="342"/>
      <c r="EV1413" s="342"/>
      <c r="EW1413" s="342"/>
      <c r="EX1413" s="342"/>
      <c r="EY1413" s="342"/>
      <c r="EZ1413" s="342"/>
      <c r="FA1413" s="342"/>
      <c r="FB1413" s="342"/>
      <c r="FC1413" s="342"/>
      <c r="FD1413" s="342"/>
      <c r="FE1413" s="342"/>
      <c r="FF1413" s="342"/>
      <c r="FG1413" s="342"/>
      <c r="FH1413" s="342"/>
      <c r="FI1413" s="342"/>
      <c r="FJ1413" s="342"/>
      <c r="FK1413" s="342"/>
      <c r="FL1413" s="342"/>
      <c r="FM1413" s="342"/>
      <c r="FN1413" s="342"/>
      <c r="FO1413" s="342"/>
      <c r="FP1413" s="342"/>
      <c r="FQ1413" s="342"/>
      <c r="FR1413" s="342"/>
      <c r="FS1413" s="342"/>
      <c r="FT1413" s="342"/>
      <c r="FU1413" s="13"/>
      <c r="FV1413" s="12"/>
      <c r="FW1413" s="342"/>
      <c r="FX1413" s="342"/>
      <c r="FY1413" s="342"/>
      <c r="FZ1413" s="342"/>
      <c r="GA1413" s="342"/>
      <c r="GB1413" s="342"/>
      <c r="GC1413" s="342"/>
      <c r="GD1413" s="342"/>
      <c r="GE1413" s="13"/>
      <c r="GT1413" s="12"/>
      <c r="GU1413" s="342"/>
      <c r="GV1413" s="342"/>
      <c r="GW1413" s="342"/>
      <c r="GX1413" s="12"/>
      <c r="GY1413" s="12"/>
      <c r="GZ1413" s="342"/>
      <c r="HA1413" s="342"/>
      <c r="HB1413" s="342"/>
      <c r="HC1413" s="342"/>
      <c r="HD1413" s="342"/>
      <c r="HE1413" s="342"/>
      <c r="HF1413" s="342"/>
      <c r="HG1413" s="351"/>
      <c r="HH1413" s="351"/>
      <c r="HI1413" s="343"/>
      <c r="HJ1413" s="347"/>
      <c r="HK1413" s="351"/>
      <c r="HL1413" s="351"/>
      <c r="HM1413" s="347"/>
      <c r="HN1413" s="351"/>
      <c r="HO1413" s="351"/>
      <c r="HP1413" s="351"/>
      <c r="HQ1413" s="351"/>
      <c r="HR1413" s="351"/>
      <c r="HS1413" s="351"/>
      <c r="HT1413" s="351"/>
      <c r="HU1413" s="351"/>
      <c r="HV1413" s="351"/>
      <c r="HW1413" s="351"/>
      <c r="HX1413" s="351"/>
      <c r="HY1413" s="351"/>
      <c r="HZ1413" s="351"/>
      <c r="IA1413" s="351"/>
      <c r="IB1413" s="351"/>
      <c r="IC1413" s="351"/>
      <c r="ID1413" s="351"/>
      <c r="IE1413" s="351"/>
      <c r="IF1413" s="351"/>
      <c r="IG1413" s="351"/>
      <c r="IH1413" s="351"/>
      <c r="II1413" s="351"/>
      <c r="IJ1413" s="351"/>
      <c r="IK1413" s="351"/>
      <c r="IL1413" s="351"/>
      <c r="IM1413" s="351"/>
      <c r="IN1413" s="351"/>
      <c r="IO1413" s="351"/>
      <c r="IP1413" s="351"/>
      <c r="IQ1413" s="351"/>
      <c r="IR1413" s="351"/>
      <c r="IS1413" s="351"/>
      <c r="IT1413" s="351"/>
      <c r="IU1413" s="351"/>
      <c r="IV1413" s="351"/>
      <c r="IW1413" s="351"/>
      <c r="IX1413" s="351"/>
      <c r="IY1413" s="351"/>
      <c r="IZ1413" s="351"/>
      <c r="JA1413" s="351"/>
      <c r="JB1413" s="351"/>
      <c r="JC1413" s="351"/>
      <c r="JD1413" s="351"/>
      <c r="JE1413" s="347"/>
      <c r="JF1413" s="343"/>
      <c r="JG1413" s="351"/>
      <c r="JH1413" s="351"/>
      <c r="JI1413" s="351"/>
      <c r="JJ1413" s="351"/>
      <c r="JK1413" s="351"/>
      <c r="JL1413" s="351"/>
      <c r="JM1413" s="351"/>
      <c r="JN1413" s="351"/>
      <c r="JO1413" s="351"/>
      <c r="JP1413" s="351"/>
      <c r="JQ1413" s="351"/>
      <c r="JR1413" s="351"/>
      <c r="JS1413" s="351"/>
      <c r="JT1413" s="351"/>
      <c r="JU1413" s="351"/>
      <c r="JV1413" s="351"/>
      <c r="JW1413" s="351"/>
      <c r="JX1413" s="351"/>
      <c r="JY1413" s="351"/>
      <c r="JZ1413" s="351"/>
      <c r="KA1413" s="351"/>
      <c r="KB1413" s="351"/>
      <c r="KC1413" s="351"/>
      <c r="KD1413" s="351"/>
      <c r="KE1413" s="351"/>
      <c r="KF1413" s="351"/>
      <c r="KG1413" s="351"/>
      <c r="KH1413" s="351"/>
      <c r="KI1413" s="351"/>
      <c r="KJ1413" s="351"/>
      <c r="KK1413" s="351"/>
      <c r="KL1413" s="351"/>
      <c r="KM1413" s="351"/>
      <c r="KN1413" s="351"/>
      <c r="KO1413" s="351"/>
      <c r="KP1413" s="351"/>
      <c r="KQ1413" s="351"/>
      <c r="KR1413" s="351"/>
      <c r="KS1413" s="351"/>
      <c r="KT1413" s="351"/>
      <c r="KU1413" s="351"/>
      <c r="KV1413" s="351"/>
      <c r="KW1413" s="351"/>
      <c r="KX1413" s="351"/>
      <c r="KY1413" s="351"/>
      <c r="KZ1413" s="351"/>
      <c r="LA1413" s="351"/>
      <c r="LB1413" s="343"/>
      <c r="LC1413" s="351"/>
      <c r="LD1413" s="351"/>
      <c r="LE1413" s="343"/>
      <c r="LF1413" s="351"/>
      <c r="LG1413" s="351"/>
      <c r="LH1413" s="351"/>
      <c r="LI1413" s="351"/>
      <c r="LJ1413" s="342"/>
      <c r="LK1413" s="342"/>
      <c r="LL1413" s="342"/>
      <c r="LM1413" s="342"/>
      <c r="LN1413" s="342"/>
      <c r="LO1413" s="342"/>
      <c r="LP1413" s="342"/>
      <c r="LQ1413" s="342"/>
      <c r="LR1413" s="342"/>
      <c r="LS1413" s="342"/>
      <c r="LT1413" s="342"/>
      <c r="LU1413" s="13"/>
    </row>
    <row r="1414" spans="6:333" ht="10.75" customHeight="1">
      <c r="F1414" s="342"/>
      <c r="G1414" s="342"/>
      <c r="H1414" s="342"/>
      <c r="I1414" s="342"/>
      <c r="J1414" s="342"/>
      <c r="K1414" s="342"/>
      <c r="L1414" s="342"/>
      <c r="M1414" s="342"/>
      <c r="N1414" s="342"/>
      <c r="O1414" s="342"/>
      <c r="P1414" s="342"/>
      <c r="Q1414" s="342"/>
      <c r="R1414" s="342"/>
      <c r="S1414" s="342"/>
      <c r="T1414" s="342"/>
      <c r="U1414" s="342"/>
      <c r="V1414" s="342"/>
      <c r="W1414" s="342"/>
      <c r="X1414" s="342"/>
      <c r="Y1414" s="342"/>
      <c r="Z1414" s="342"/>
      <c r="AA1414" s="342"/>
      <c r="AB1414" s="342"/>
      <c r="AC1414" s="342"/>
      <c r="AD1414" s="342"/>
      <c r="AE1414" s="342"/>
      <c r="AF1414" s="342"/>
      <c r="AG1414" s="342"/>
      <c r="AH1414" s="342"/>
      <c r="AI1414" s="342"/>
      <c r="AJ1414" s="342"/>
      <c r="AK1414" s="342"/>
      <c r="AL1414" s="342"/>
      <c r="AM1414" s="342"/>
      <c r="AN1414" s="342"/>
      <c r="AO1414" s="342"/>
      <c r="AP1414" s="342"/>
      <c r="AQ1414" s="342"/>
      <c r="AR1414" s="342"/>
      <c r="AS1414" s="342"/>
      <c r="AT1414" s="342"/>
      <c r="AU1414" s="342"/>
      <c r="AV1414" s="342"/>
      <c r="AW1414" s="342"/>
      <c r="AX1414" s="342"/>
      <c r="AY1414" s="342"/>
      <c r="AZ1414" s="342"/>
      <c r="BA1414" s="342"/>
      <c r="BB1414" s="342"/>
      <c r="BC1414" s="342"/>
      <c r="BD1414" s="342"/>
      <c r="BE1414" s="342"/>
      <c r="BF1414" s="342"/>
      <c r="BG1414" s="342"/>
      <c r="BH1414" s="342"/>
      <c r="BI1414" s="342"/>
      <c r="BJ1414" s="342"/>
      <c r="BK1414" s="342"/>
      <c r="BL1414" s="342"/>
      <c r="BM1414" s="342"/>
      <c r="BN1414" s="342"/>
      <c r="BO1414" s="342"/>
      <c r="BP1414" s="342"/>
      <c r="BQ1414" s="342"/>
      <c r="BR1414" s="342"/>
      <c r="BS1414" s="342"/>
      <c r="BT1414" s="342"/>
      <c r="BU1414" s="342"/>
      <c r="BV1414" s="342"/>
      <c r="BW1414" s="342"/>
      <c r="BX1414" s="342"/>
      <c r="BY1414" s="342"/>
      <c r="BZ1414" s="342"/>
      <c r="CA1414" s="342"/>
      <c r="CB1414" s="342"/>
      <c r="CC1414" s="342"/>
      <c r="CD1414" s="342"/>
      <c r="CE1414" s="342"/>
      <c r="CF1414" s="342"/>
      <c r="CG1414" s="342"/>
      <c r="CH1414" s="342"/>
      <c r="CI1414" s="342"/>
      <c r="CJ1414" s="342"/>
      <c r="CK1414" s="342"/>
      <c r="CL1414" s="342"/>
      <c r="CM1414" s="342"/>
      <c r="CN1414" s="342"/>
      <c r="CO1414" s="342"/>
      <c r="CP1414" s="342"/>
      <c r="CQ1414" s="342"/>
      <c r="CR1414" s="342"/>
      <c r="CS1414" s="342"/>
      <c r="CT1414" s="342"/>
      <c r="CU1414" s="342"/>
      <c r="CV1414" s="342"/>
      <c r="CW1414" s="342"/>
      <c r="CX1414" s="342"/>
      <c r="CY1414" s="342"/>
      <c r="CZ1414" s="342"/>
      <c r="DA1414" s="342"/>
      <c r="DB1414" s="342"/>
      <c r="DC1414" s="342"/>
      <c r="DD1414" s="342"/>
      <c r="DE1414" s="342"/>
      <c r="DF1414" s="342"/>
      <c r="DG1414" s="342"/>
      <c r="DH1414" s="342"/>
      <c r="DI1414" s="342"/>
      <c r="DJ1414" s="342"/>
      <c r="DK1414" s="342"/>
      <c r="DL1414" s="342"/>
      <c r="DM1414" s="342"/>
      <c r="DN1414" s="342"/>
      <c r="DO1414" s="342"/>
      <c r="DP1414" s="342"/>
      <c r="DQ1414" s="342"/>
      <c r="DR1414" s="342"/>
      <c r="DS1414" s="342"/>
      <c r="DT1414" s="342"/>
      <c r="DU1414" s="342"/>
      <c r="EF1414" s="12"/>
      <c r="EG1414" s="13"/>
      <c r="EH1414" s="342"/>
      <c r="EI1414" s="342"/>
      <c r="EJ1414" s="342"/>
      <c r="EK1414" s="342"/>
      <c r="EL1414" s="342"/>
      <c r="EM1414" s="342"/>
      <c r="EN1414" s="342"/>
      <c r="EO1414" s="342"/>
      <c r="EP1414" s="342"/>
      <c r="EQ1414" s="342"/>
      <c r="ER1414" s="342"/>
      <c r="ES1414" s="12"/>
      <c r="ET1414" s="12"/>
      <c r="EU1414" s="342"/>
      <c r="EV1414" s="342"/>
      <c r="EW1414" s="342"/>
      <c r="EX1414" s="342"/>
      <c r="EY1414" s="342"/>
      <c r="EZ1414" s="342"/>
      <c r="FA1414" s="342"/>
      <c r="FB1414" s="342"/>
      <c r="FC1414" s="342"/>
      <c r="FD1414" s="342"/>
      <c r="FE1414" s="342"/>
      <c r="FF1414" s="342"/>
      <c r="FG1414" s="342"/>
      <c r="FH1414" s="342"/>
      <c r="FI1414" s="342"/>
      <c r="FJ1414" s="342"/>
      <c r="FK1414" s="342"/>
      <c r="FL1414" s="342"/>
      <c r="FM1414" s="342"/>
      <c r="FN1414" s="342"/>
      <c r="FO1414" s="342"/>
      <c r="FP1414" s="342"/>
      <c r="FQ1414" s="342"/>
      <c r="FR1414" s="342"/>
      <c r="FS1414" s="342"/>
      <c r="FT1414" s="342"/>
      <c r="FU1414" s="13"/>
      <c r="FV1414" s="12"/>
      <c r="FW1414" s="342"/>
      <c r="FX1414" s="342"/>
      <c r="FY1414" s="342"/>
      <c r="FZ1414" s="342"/>
      <c r="GA1414" s="342"/>
      <c r="GB1414" s="342"/>
      <c r="GC1414" s="342"/>
      <c r="GD1414" s="342"/>
      <c r="GE1414" s="13"/>
      <c r="GT1414" s="12"/>
      <c r="GU1414" s="342"/>
      <c r="GV1414" s="342"/>
      <c r="GW1414" s="342"/>
      <c r="GX1414" s="12"/>
      <c r="GY1414" s="12"/>
      <c r="GZ1414" s="342"/>
      <c r="HA1414" s="342"/>
      <c r="HB1414" s="342"/>
      <c r="HC1414" s="342"/>
      <c r="HD1414" s="342"/>
      <c r="HE1414" s="342"/>
      <c r="HF1414" s="342"/>
      <c r="HG1414" s="351"/>
      <c r="HH1414" s="351"/>
      <c r="HI1414" s="343"/>
      <c r="HJ1414" s="347"/>
      <c r="HK1414" s="351"/>
      <c r="HL1414" s="351"/>
      <c r="HM1414" s="347"/>
      <c r="HN1414" s="351"/>
      <c r="HO1414" s="351"/>
      <c r="HP1414" s="351"/>
      <c r="HQ1414" s="351"/>
      <c r="HR1414" s="351"/>
      <c r="HS1414" s="351"/>
      <c r="HT1414" s="351"/>
      <c r="HU1414" s="351"/>
      <c r="HV1414" s="351"/>
      <c r="HW1414" s="351"/>
      <c r="HX1414" s="351"/>
      <c r="HY1414" s="351"/>
      <c r="HZ1414" s="351"/>
      <c r="IA1414" s="351"/>
      <c r="IB1414" s="351"/>
      <c r="IC1414" s="351"/>
      <c r="ID1414" s="351"/>
      <c r="IE1414" s="351"/>
      <c r="IF1414" s="351"/>
      <c r="IG1414" s="351"/>
      <c r="IH1414" s="351"/>
      <c r="II1414" s="351"/>
      <c r="IJ1414" s="351"/>
      <c r="IK1414" s="351"/>
      <c r="IL1414" s="351"/>
      <c r="IM1414" s="351"/>
      <c r="IN1414" s="351"/>
      <c r="IO1414" s="351"/>
      <c r="IP1414" s="351"/>
      <c r="IQ1414" s="351"/>
      <c r="IR1414" s="351"/>
      <c r="IS1414" s="351"/>
      <c r="IT1414" s="351"/>
      <c r="IU1414" s="351"/>
      <c r="IV1414" s="351"/>
      <c r="IW1414" s="351"/>
      <c r="IX1414" s="351"/>
      <c r="IY1414" s="351"/>
      <c r="IZ1414" s="351"/>
      <c r="JA1414" s="351"/>
      <c r="JB1414" s="351"/>
      <c r="JC1414" s="351"/>
      <c r="JD1414" s="351"/>
      <c r="JE1414" s="347"/>
      <c r="JF1414" s="343"/>
      <c r="JG1414" s="351"/>
      <c r="JH1414" s="351"/>
      <c r="JI1414" s="351"/>
      <c r="JJ1414" s="351"/>
      <c r="JK1414" s="351"/>
      <c r="JL1414" s="351"/>
      <c r="JM1414" s="351"/>
      <c r="JN1414" s="351"/>
      <c r="JO1414" s="351"/>
      <c r="JP1414" s="351"/>
      <c r="JQ1414" s="351"/>
      <c r="JR1414" s="351"/>
      <c r="JS1414" s="351"/>
      <c r="JT1414" s="351"/>
      <c r="JU1414" s="351"/>
      <c r="JV1414" s="351"/>
      <c r="JW1414" s="351"/>
      <c r="JX1414" s="351"/>
      <c r="JY1414" s="351"/>
      <c r="JZ1414" s="351"/>
      <c r="KA1414" s="351"/>
      <c r="KB1414" s="351"/>
      <c r="KC1414" s="351"/>
      <c r="KD1414" s="351"/>
      <c r="KE1414" s="351"/>
      <c r="KF1414" s="351"/>
      <c r="KG1414" s="351"/>
      <c r="KH1414" s="351"/>
      <c r="KI1414" s="351"/>
      <c r="KJ1414" s="351"/>
      <c r="KK1414" s="351"/>
      <c r="KL1414" s="351"/>
      <c r="KM1414" s="351"/>
      <c r="KN1414" s="351"/>
      <c r="KO1414" s="351"/>
      <c r="KP1414" s="351"/>
      <c r="KQ1414" s="351"/>
      <c r="KR1414" s="351"/>
      <c r="KS1414" s="351"/>
      <c r="KT1414" s="351"/>
      <c r="KU1414" s="351"/>
      <c r="KV1414" s="351"/>
      <c r="KW1414" s="351"/>
      <c r="KX1414" s="351"/>
      <c r="KY1414" s="351"/>
      <c r="KZ1414" s="351"/>
      <c r="LA1414" s="351"/>
      <c r="LB1414" s="343"/>
      <c r="LC1414" s="351"/>
      <c r="LD1414" s="351"/>
      <c r="LE1414" s="343"/>
      <c r="LF1414" s="351"/>
      <c r="LG1414" s="351"/>
      <c r="LH1414" s="351"/>
      <c r="LI1414" s="351"/>
      <c r="LJ1414" s="342"/>
      <c r="LK1414" s="342"/>
      <c r="LL1414" s="342"/>
      <c r="LM1414" s="342"/>
      <c r="LN1414" s="342"/>
      <c r="LO1414" s="342"/>
      <c r="LP1414" s="342"/>
      <c r="LQ1414" s="342"/>
      <c r="LR1414" s="342"/>
      <c r="LS1414" s="342"/>
      <c r="LT1414" s="342"/>
      <c r="LU1414" s="13"/>
    </row>
    <row r="1415" spans="6:333" ht="10.75" customHeight="1">
      <c r="F1415" s="342"/>
      <c r="G1415" s="342"/>
      <c r="H1415" s="342"/>
      <c r="I1415" s="342"/>
      <c r="J1415" s="342"/>
      <c r="K1415" s="342"/>
      <c r="L1415" s="342"/>
      <c r="M1415" s="342"/>
      <c r="N1415" s="342"/>
      <c r="O1415" s="342"/>
      <c r="P1415" s="342"/>
      <c r="Q1415" s="342"/>
      <c r="R1415" s="342"/>
      <c r="S1415" s="342"/>
      <c r="T1415" s="342"/>
      <c r="U1415" s="342"/>
      <c r="V1415" s="342"/>
      <c r="W1415" s="342"/>
      <c r="X1415" s="342"/>
      <c r="Y1415" s="342"/>
      <c r="Z1415" s="342"/>
      <c r="AA1415" s="342"/>
      <c r="AB1415" s="342"/>
      <c r="AC1415" s="342"/>
      <c r="AD1415" s="342"/>
      <c r="AE1415" s="342"/>
      <c r="AF1415" s="342"/>
      <c r="AG1415" s="342"/>
      <c r="AH1415" s="342"/>
      <c r="AI1415" s="342"/>
      <c r="AJ1415" s="342"/>
      <c r="AK1415" s="342"/>
      <c r="AL1415" s="342"/>
      <c r="AM1415" s="342"/>
      <c r="AN1415" s="342"/>
      <c r="AO1415" s="342"/>
      <c r="AP1415" s="342"/>
      <c r="AQ1415" s="342"/>
      <c r="AR1415" s="342"/>
      <c r="AS1415" s="342"/>
      <c r="AT1415" s="342"/>
      <c r="AU1415" s="342"/>
      <c r="AV1415" s="342"/>
      <c r="AW1415" s="342"/>
      <c r="AX1415" s="342"/>
      <c r="AY1415" s="342"/>
      <c r="AZ1415" s="342"/>
      <c r="BA1415" s="342"/>
      <c r="BB1415" s="342"/>
      <c r="BC1415" s="342"/>
      <c r="BD1415" s="342"/>
      <c r="BE1415" s="342"/>
      <c r="BF1415" s="342"/>
      <c r="BG1415" s="342"/>
      <c r="BH1415" s="342"/>
      <c r="BI1415" s="342"/>
      <c r="BJ1415" s="342"/>
      <c r="BK1415" s="342"/>
      <c r="BL1415" s="342"/>
      <c r="BM1415" s="342"/>
      <c r="BN1415" s="342"/>
      <c r="BO1415" s="342"/>
      <c r="BP1415" s="342"/>
      <c r="BQ1415" s="342"/>
      <c r="BR1415" s="342"/>
      <c r="BS1415" s="342"/>
      <c r="BT1415" s="342"/>
      <c r="BU1415" s="342"/>
      <c r="BV1415" s="342"/>
      <c r="BW1415" s="342"/>
      <c r="BX1415" s="342"/>
      <c r="BY1415" s="342"/>
      <c r="BZ1415" s="342"/>
      <c r="CA1415" s="342"/>
      <c r="CB1415" s="342"/>
      <c r="CC1415" s="342"/>
      <c r="CD1415" s="342"/>
      <c r="CE1415" s="342"/>
      <c r="CF1415" s="342"/>
      <c r="CG1415" s="342"/>
      <c r="CH1415" s="342"/>
      <c r="CI1415" s="342"/>
      <c r="CJ1415" s="342"/>
      <c r="CK1415" s="342"/>
      <c r="CL1415" s="342"/>
      <c r="CM1415" s="342"/>
      <c r="CN1415" s="342"/>
      <c r="CO1415" s="342"/>
      <c r="CP1415" s="342"/>
      <c r="CQ1415" s="342"/>
      <c r="CR1415" s="342"/>
      <c r="CS1415" s="342"/>
      <c r="CT1415" s="342"/>
      <c r="CU1415" s="342"/>
      <c r="CV1415" s="342"/>
      <c r="CW1415" s="342"/>
      <c r="CX1415" s="342"/>
      <c r="CY1415" s="342"/>
      <c r="CZ1415" s="342"/>
      <c r="DA1415" s="342"/>
      <c r="DB1415" s="342"/>
      <c r="DC1415" s="342"/>
      <c r="DD1415" s="342"/>
      <c r="DE1415" s="342"/>
      <c r="DF1415" s="342"/>
      <c r="DG1415" s="342"/>
      <c r="DH1415" s="342"/>
      <c r="DI1415" s="342"/>
      <c r="DJ1415" s="342"/>
      <c r="DK1415" s="342"/>
      <c r="DL1415" s="342"/>
      <c r="DM1415" s="342"/>
      <c r="DN1415" s="342"/>
      <c r="DO1415" s="342"/>
      <c r="DP1415" s="342"/>
      <c r="DQ1415" s="342"/>
      <c r="DR1415" s="342"/>
      <c r="DS1415" s="342"/>
      <c r="DT1415" s="342"/>
      <c r="DU1415" s="342"/>
      <c r="EF1415" s="12"/>
      <c r="EG1415" s="13"/>
      <c r="EH1415" s="342"/>
      <c r="EI1415" s="342"/>
      <c r="EJ1415" s="342"/>
      <c r="EK1415" s="342"/>
      <c r="EL1415" s="342"/>
      <c r="EM1415" s="342"/>
      <c r="EN1415" s="342"/>
      <c r="EO1415" s="342"/>
      <c r="EP1415" s="342"/>
      <c r="EQ1415" s="342"/>
      <c r="ER1415" s="342"/>
      <c r="ES1415" s="12"/>
      <c r="ET1415" s="12"/>
      <c r="EU1415" s="342"/>
      <c r="EV1415" s="342"/>
      <c r="EW1415" s="342"/>
      <c r="EX1415" s="342"/>
      <c r="EY1415" s="342"/>
      <c r="EZ1415" s="342"/>
      <c r="FA1415" s="342"/>
      <c r="FB1415" s="342"/>
      <c r="FC1415" s="342"/>
      <c r="FD1415" s="342"/>
      <c r="FE1415" s="342"/>
      <c r="FF1415" s="342"/>
      <c r="FG1415" s="342"/>
      <c r="FH1415" s="342"/>
      <c r="FI1415" s="342"/>
      <c r="FJ1415" s="342"/>
      <c r="FK1415" s="342"/>
      <c r="FL1415" s="342"/>
      <c r="FM1415" s="342"/>
      <c r="FN1415" s="342"/>
      <c r="FO1415" s="342"/>
      <c r="FP1415" s="342"/>
      <c r="FQ1415" s="342"/>
      <c r="FR1415" s="342"/>
      <c r="FS1415" s="342"/>
      <c r="FT1415" s="342"/>
      <c r="FU1415" s="13"/>
      <c r="FV1415" s="12"/>
      <c r="FW1415" s="342"/>
      <c r="FX1415" s="342"/>
      <c r="FY1415" s="342"/>
      <c r="FZ1415" s="342"/>
      <c r="GA1415" s="342"/>
      <c r="GB1415" s="342"/>
      <c r="GC1415" s="342"/>
      <c r="GD1415" s="342"/>
      <c r="GE1415" s="13"/>
      <c r="GM1415" s="9"/>
      <c r="GN1415" s="10"/>
      <c r="GO1415" s="10"/>
      <c r="GP1415" s="10"/>
      <c r="GQ1415" s="10"/>
      <c r="GR1415" s="10"/>
      <c r="GS1415" s="10"/>
      <c r="GT1415" s="10"/>
      <c r="GU1415" s="10"/>
      <c r="GV1415" s="10"/>
      <c r="GW1415" s="10"/>
      <c r="GX1415" s="10"/>
      <c r="GY1415" s="10"/>
      <c r="GZ1415" s="10"/>
      <c r="HA1415" s="10"/>
      <c r="HB1415" s="10"/>
      <c r="HC1415" s="10"/>
      <c r="HD1415" s="10"/>
      <c r="HE1415" s="10"/>
      <c r="HF1415" s="10"/>
      <c r="HG1415" s="345"/>
      <c r="HH1415" s="345"/>
      <c r="HI1415" s="345"/>
      <c r="HJ1415" s="351"/>
      <c r="HK1415" s="351"/>
      <c r="HL1415" s="351"/>
      <c r="HM1415" s="347"/>
      <c r="HN1415" s="351"/>
      <c r="HO1415" s="351"/>
      <c r="HP1415" s="351"/>
      <c r="HQ1415" s="351"/>
      <c r="HR1415" s="351"/>
      <c r="HS1415" s="351"/>
      <c r="HT1415" s="351"/>
      <c r="HU1415" s="351"/>
      <c r="HV1415" s="351"/>
      <c r="HW1415" s="351"/>
      <c r="HX1415" s="351"/>
      <c r="HY1415" s="351"/>
      <c r="HZ1415" s="351"/>
      <c r="IA1415" s="351"/>
      <c r="IB1415" s="351"/>
      <c r="IC1415" s="351"/>
      <c r="ID1415" s="351"/>
      <c r="IE1415" s="351"/>
      <c r="IF1415" s="351"/>
      <c r="IG1415" s="351"/>
      <c r="IH1415" s="351"/>
      <c r="II1415" s="351"/>
      <c r="IJ1415" s="351"/>
      <c r="IK1415" s="351"/>
      <c r="IL1415" s="351"/>
      <c r="IM1415" s="351"/>
      <c r="IN1415" s="351"/>
      <c r="IO1415" s="351"/>
      <c r="IP1415" s="351"/>
      <c r="IQ1415" s="351"/>
      <c r="IR1415" s="351"/>
      <c r="IS1415" s="351"/>
      <c r="IT1415" s="351"/>
      <c r="IU1415" s="351"/>
      <c r="IV1415" s="351"/>
      <c r="IW1415" s="351"/>
      <c r="IX1415" s="351"/>
      <c r="IY1415" s="351"/>
      <c r="IZ1415" s="351"/>
      <c r="JA1415" s="351"/>
      <c r="JB1415" s="351"/>
      <c r="JC1415" s="351"/>
      <c r="JD1415" s="351"/>
      <c r="JE1415" s="347"/>
      <c r="JF1415" s="343"/>
      <c r="JG1415" s="351"/>
      <c r="JH1415" s="351"/>
      <c r="JI1415" s="351"/>
      <c r="JJ1415" s="351"/>
      <c r="JK1415" s="351"/>
      <c r="JL1415" s="351"/>
      <c r="JM1415" s="351"/>
      <c r="JN1415" s="351"/>
      <c r="JO1415" s="351"/>
      <c r="JP1415" s="351"/>
      <c r="JQ1415" s="351"/>
      <c r="JR1415" s="351"/>
      <c r="JS1415" s="351"/>
      <c r="JT1415" s="351"/>
      <c r="JU1415" s="351"/>
      <c r="JV1415" s="351"/>
      <c r="JW1415" s="351"/>
      <c r="JX1415" s="351"/>
      <c r="JY1415" s="351"/>
      <c r="JZ1415" s="351"/>
      <c r="KA1415" s="351"/>
      <c r="KB1415" s="351"/>
      <c r="KC1415" s="351"/>
      <c r="KD1415" s="351"/>
      <c r="KE1415" s="351"/>
      <c r="KF1415" s="351"/>
      <c r="KG1415" s="351"/>
      <c r="KH1415" s="351"/>
      <c r="KI1415" s="351"/>
      <c r="KJ1415" s="351"/>
      <c r="KK1415" s="351"/>
      <c r="KL1415" s="351"/>
      <c r="KM1415" s="351"/>
      <c r="KN1415" s="351"/>
      <c r="KO1415" s="351"/>
      <c r="KP1415" s="351"/>
      <c r="KQ1415" s="351"/>
      <c r="KR1415" s="351"/>
      <c r="KS1415" s="351"/>
      <c r="KT1415" s="351"/>
      <c r="KU1415" s="351"/>
      <c r="KV1415" s="351"/>
      <c r="KW1415" s="351"/>
      <c r="KX1415" s="351"/>
      <c r="KY1415" s="351"/>
      <c r="KZ1415" s="351"/>
      <c r="LA1415" s="351"/>
      <c r="LB1415" s="343"/>
      <c r="LC1415" s="351"/>
      <c r="LD1415" s="351"/>
      <c r="LE1415" s="343"/>
      <c r="LF1415" s="351"/>
      <c r="LG1415" s="351"/>
      <c r="LH1415" s="351"/>
      <c r="LI1415" s="351"/>
      <c r="LJ1415" s="342"/>
      <c r="LK1415" s="342"/>
      <c r="LL1415" s="342"/>
      <c r="LM1415" s="342"/>
      <c r="LN1415" s="342"/>
      <c r="LO1415" s="342"/>
      <c r="LP1415" s="342"/>
      <c r="LQ1415" s="342"/>
      <c r="LR1415" s="342"/>
      <c r="LS1415" s="342"/>
      <c r="LT1415" s="342"/>
      <c r="LU1415" s="13"/>
    </row>
    <row r="1416" spans="6:333" ht="10.75" customHeight="1">
      <c r="F1416" s="342"/>
      <c r="G1416" s="342"/>
      <c r="H1416" s="342"/>
      <c r="I1416" s="342"/>
      <c r="J1416" s="342"/>
      <c r="K1416" s="342"/>
      <c r="L1416" s="342"/>
      <c r="M1416" s="342"/>
      <c r="N1416" s="342"/>
      <c r="O1416" s="342"/>
      <c r="P1416" s="342"/>
      <c r="Q1416" s="342"/>
      <c r="R1416" s="342"/>
      <c r="S1416" s="342"/>
      <c r="T1416" s="342"/>
      <c r="U1416" s="342"/>
      <c r="V1416" s="342"/>
      <c r="W1416" s="342"/>
      <c r="X1416" s="342"/>
      <c r="Y1416" s="342"/>
      <c r="Z1416" s="342"/>
      <c r="AA1416" s="342"/>
      <c r="AB1416" s="342"/>
      <c r="AC1416" s="342"/>
      <c r="AD1416" s="342"/>
      <c r="AE1416" s="342"/>
      <c r="AF1416" s="342"/>
      <c r="AG1416" s="342"/>
      <c r="AH1416" s="342"/>
      <c r="AI1416" s="342"/>
      <c r="AJ1416" s="342"/>
      <c r="AK1416" s="342"/>
      <c r="AL1416" s="342"/>
      <c r="AM1416" s="342"/>
      <c r="AN1416" s="342"/>
      <c r="AO1416" s="342"/>
      <c r="AP1416" s="342"/>
      <c r="AQ1416" s="342"/>
      <c r="AR1416" s="342"/>
      <c r="AS1416" s="342"/>
      <c r="AT1416" s="342"/>
      <c r="AU1416" s="342"/>
      <c r="AV1416" s="342"/>
      <c r="AW1416" s="342"/>
      <c r="AX1416" s="342"/>
      <c r="AY1416" s="342"/>
      <c r="AZ1416" s="342"/>
      <c r="BA1416" s="342"/>
      <c r="BB1416" s="342"/>
      <c r="BC1416" s="342"/>
      <c r="BD1416" s="342"/>
      <c r="BE1416" s="342"/>
      <c r="BF1416" s="342"/>
      <c r="BG1416" s="342"/>
      <c r="BH1416" s="342"/>
      <c r="BI1416" s="342"/>
      <c r="BJ1416" s="342"/>
      <c r="BK1416" s="342"/>
      <c r="BL1416" s="342"/>
      <c r="BM1416" s="342"/>
      <c r="BN1416" s="342"/>
      <c r="BO1416" s="342"/>
      <c r="BP1416" s="342"/>
      <c r="BQ1416" s="342"/>
      <c r="BR1416" s="342"/>
      <c r="BS1416" s="342"/>
      <c r="BT1416" s="342"/>
      <c r="BU1416" s="342"/>
      <c r="BV1416" s="342"/>
      <c r="BW1416" s="342"/>
      <c r="BX1416" s="342"/>
      <c r="BY1416" s="342"/>
      <c r="BZ1416" s="342"/>
      <c r="CA1416" s="342"/>
      <c r="CB1416" s="342"/>
      <c r="CC1416" s="342"/>
      <c r="CD1416" s="342"/>
      <c r="CE1416" s="342"/>
      <c r="CF1416" s="342"/>
      <c r="CG1416" s="342"/>
      <c r="CH1416" s="342"/>
      <c r="CI1416" s="342"/>
      <c r="CJ1416" s="342"/>
      <c r="CK1416" s="342"/>
      <c r="CL1416" s="342"/>
      <c r="CM1416" s="342"/>
      <c r="CN1416" s="342"/>
      <c r="CO1416" s="342"/>
      <c r="CP1416" s="342"/>
      <c r="CQ1416" s="342"/>
      <c r="CR1416" s="342"/>
      <c r="CS1416" s="342"/>
      <c r="CT1416" s="342"/>
      <c r="CU1416" s="342"/>
      <c r="CV1416" s="342"/>
      <c r="CW1416" s="342"/>
      <c r="CX1416" s="342"/>
      <c r="CY1416" s="342"/>
      <c r="CZ1416" s="342"/>
      <c r="DA1416" s="342"/>
      <c r="DB1416" s="342"/>
      <c r="DC1416" s="342"/>
      <c r="DD1416" s="342"/>
      <c r="DE1416" s="342"/>
      <c r="DF1416" s="342"/>
      <c r="DG1416" s="342"/>
      <c r="DH1416" s="342"/>
      <c r="DI1416" s="342"/>
      <c r="DJ1416" s="342"/>
      <c r="DK1416" s="342"/>
      <c r="DL1416" s="342"/>
      <c r="DM1416" s="342"/>
      <c r="DN1416" s="342"/>
      <c r="DO1416" s="342"/>
      <c r="DP1416" s="342"/>
      <c r="DQ1416" s="342"/>
      <c r="DR1416" s="342"/>
      <c r="DS1416" s="342"/>
      <c r="DT1416" s="342"/>
      <c r="DU1416" s="342"/>
      <c r="EF1416" s="12"/>
      <c r="EG1416" s="13"/>
      <c r="EH1416" s="342"/>
      <c r="EI1416" s="342"/>
      <c r="EJ1416" s="342"/>
      <c r="EK1416" s="342"/>
      <c r="EL1416" s="342"/>
      <c r="EM1416" s="342"/>
      <c r="EN1416" s="342"/>
      <c r="EO1416" s="342"/>
      <c r="EP1416" s="342"/>
      <c r="EQ1416" s="342"/>
      <c r="ER1416" s="342"/>
      <c r="ES1416" s="12"/>
      <c r="ET1416" s="12"/>
      <c r="EU1416" s="342"/>
      <c r="EV1416" s="342"/>
      <c r="EW1416" s="342"/>
      <c r="EX1416" s="342"/>
      <c r="EY1416" s="342"/>
      <c r="EZ1416" s="342"/>
      <c r="FA1416" s="342"/>
      <c r="FB1416" s="342"/>
      <c r="FC1416" s="342"/>
      <c r="FD1416" s="342"/>
      <c r="FE1416" s="342"/>
      <c r="FF1416" s="342"/>
      <c r="FG1416" s="342"/>
      <c r="FH1416" s="342"/>
      <c r="FI1416" s="342"/>
      <c r="FJ1416" s="342"/>
      <c r="FK1416" s="342"/>
      <c r="FL1416" s="342"/>
      <c r="FM1416" s="342"/>
      <c r="FN1416" s="342"/>
      <c r="FO1416" s="342"/>
      <c r="FP1416" s="342"/>
      <c r="FQ1416" s="342"/>
      <c r="FR1416" s="342"/>
      <c r="FS1416" s="342"/>
      <c r="FT1416" s="342"/>
      <c r="FU1416" s="13"/>
      <c r="FV1416" s="12"/>
      <c r="FW1416" s="342"/>
      <c r="FX1416" s="342"/>
      <c r="FY1416" s="342"/>
      <c r="FZ1416" s="342"/>
      <c r="GA1416" s="342"/>
      <c r="GB1416" s="342"/>
      <c r="GC1416" s="342"/>
      <c r="GD1416" s="342"/>
      <c r="GE1416" s="13"/>
      <c r="GM1416" s="12"/>
      <c r="GT1416" s="342"/>
      <c r="GU1416" s="342"/>
      <c r="GV1416" s="342"/>
      <c r="GW1416" s="342"/>
      <c r="GX1416" s="342"/>
      <c r="GY1416" s="342"/>
      <c r="GZ1416" s="342"/>
      <c r="HA1416" s="342"/>
      <c r="HB1416" s="342"/>
      <c r="HC1416" s="342"/>
      <c r="HD1416" s="342"/>
      <c r="HE1416" s="342"/>
      <c r="HF1416" s="342"/>
      <c r="HG1416" s="351"/>
      <c r="HH1416" s="351"/>
      <c r="HI1416" s="351"/>
      <c r="HJ1416" s="351"/>
      <c r="HK1416" s="351"/>
      <c r="HL1416" s="351"/>
      <c r="HM1416" s="347"/>
      <c r="HN1416" s="351"/>
      <c r="HO1416" s="351"/>
      <c r="HP1416" s="351"/>
      <c r="HQ1416" s="351"/>
      <c r="HR1416" s="351"/>
      <c r="HS1416" s="351"/>
      <c r="HT1416" s="351"/>
      <c r="HU1416" s="351"/>
      <c r="HV1416" s="351"/>
      <c r="HW1416" s="351"/>
      <c r="HX1416" s="351"/>
      <c r="HY1416" s="351"/>
      <c r="HZ1416" s="351"/>
      <c r="IA1416" s="351"/>
      <c r="IB1416" s="351"/>
      <c r="IC1416" s="351"/>
      <c r="ID1416" s="351"/>
      <c r="IE1416" s="351"/>
      <c r="IF1416" s="351"/>
      <c r="IG1416" s="351"/>
      <c r="IH1416" s="351"/>
      <c r="II1416" s="351"/>
      <c r="IJ1416" s="351"/>
      <c r="IK1416" s="351"/>
      <c r="IL1416" s="351"/>
      <c r="IM1416" s="351"/>
      <c r="IN1416" s="351"/>
      <c r="IO1416" s="351"/>
      <c r="IP1416" s="351"/>
      <c r="IQ1416" s="351"/>
      <c r="IR1416" s="351"/>
      <c r="IS1416" s="351"/>
      <c r="IT1416" s="351"/>
      <c r="IU1416" s="351"/>
      <c r="IV1416" s="351"/>
      <c r="IW1416" s="351"/>
      <c r="IX1416" s="351"/>
      <c r="IY1416" s="351"/>
      <c r="IZ1416" s="351"/>
      <c r="JA1416" s="351"/>
      <c r="JB1416" s="351"/>
      <c r="JC1416" s="351"/>
      <c r="JD1416" s="351"/>
      <c r="JE1416" s="347"/>
      <c r="JF1416" s="343"/>
      <c r="JG1416" s="351"/>
      <c r="JH1416" s="351"/>
      <c r="JI1416" s="351"/>
      <c r="JJ1416" s="351"/>
      <c r="JK1416" s="351"/>
      <c r="JL1416" s="351"/>
      <c r="JM1416" s="351"/>
      <c r="JN1416" s="351"/>
      <c r="JO1416" s="351"/>
      <c r="JP1416" s="351"/>
      <c r="JQ1416" s="351"/>
      <c r="JR1416" s="351"/>
      <c r="JS1416" s="351"/>
      <c r="JT1416" s="351"/>
      <c r="JU1416" s="351"/>
      <c r="JV1416" s="351"/>
      <c r="JW1416" s="351"/>
      <c r="JX1416" s="351"/>
      <c r="JY1416" s="351"/>
      <c r="JZ1416" s="351"/>
      <c r="KA1416" s="351"/>
      <c r="KB1416" s="351"/>
      <c r="KC1416" s="351"/>
      <c r="KD1416" s="351"/>
      <c r="KE1416" s="351"/>
      <c r="KF1416" s="351"/>
      <c r="KG1416" s="351"/>
      <c r="KH1416" s="351"/>
      <c r="KI1416" s="351"/>
      <c r="KJ1416" s="351"/>
      <c r="KK1416" s="351"/>
      <c r="KL1416" s="351"/>
      <c r="KM1416" s="351"/>
      <c r="KN1416" s="351"/>
      <c r="KO1416" s="351"/>
      <c r="KP1416" s="351"/>
      <c r="KQ1416" s="351"/>
      <c r="KR1416" s="351"/>
      <c r="KS1416" s="351"/>
      <c r="KT1416" s="351"/>
      <c r="KU1416" s="351"/>
      <c r="KV1416" s="351"/>
      <c r="KW1416" s="351"/>
      <c r="KX1416" s="351"/>
      <c r="KY1416" s="351"/>
      <c r="KZ1416" s="351"/>
      <c r="LA1416" s="351"/>
      <c r="LB1416" s="343"/>
      <c r="LC1416" s="351"/>
      <c r="LD1416" s="351"/>
      <c r="LE1416" s="343"/>
      <c r="LF1416" s="351"/>
      <c r="LG1416" s="351"/>
      <c r="LH1416" s="351"/>
      <c r="LI1416" s="351"/>
      <c r="LJ1416" s="342"/>
      <c r="LK1416" s="342"/>
      <c r="LL1416" s="342"/>
      <c r="LM1416" s="342"/>
      <c r="LN1416" s="342"/>
      <c r="LO1416" s="342"/>
      <c r="LP1416" s="342"/>
      <c r="LQ1416" s="342"/>
      <c r="LR1416" s="342"/>
      <c r="LS1416" s="342"/>
      <c r="LT1416" s="342"/>
      <c r="LU1416" s="13"/>
    </row>
    <row r="1417" spans="6:333" ht="10.75" customHeight="1">
      <c r="F1417" s="342"/>
      <c r="G1417" s="342"/>
      <c r="H1417" s="342"/>
      <c r="I1417" s="342"/>
      <c r="J1417" s="342"/>
      <c r="K1417" s="342"/>
      <c r="L1417" s="342"/>
      <c r="M1417" s="342"/>
      <c r="N1417" s="342"/>
      <c r="O1417" s="342"/>
      <c r="P1417" s="342"/>
      <c r="Q1417" s="342"/>
      <c r="R1417" s="342"/>
      <c r="S1417" s="342"/>
      <c r="T1417" s="342"/>
      <c r="U1417" s="342"/>
      <c r="V1417" s="342"/>
      <c r="W1417" s="342"/>
      <c r="X1417" s="342"/>
      <c r="Y1417" s="342"/>
      <c r="Z1417" s="342"/>
      <c r="AA1417" s="342"/>
      <c r="AB1417" s="342"/>
      <c r="AC1417" s="342"/>
      <c r="AD1417" s="342"/>
      <c r="AE1417" s="342"/>
      <c r="AF1417" s="342"/>
      <c r="AG1417" s="342"/>
      <c r="AH1417" s="342"/>
      <c r="AI1417" s="342"/>
      <c r="AJ1417" s="342"/>
      <c r="AK1417" s="342"/>
      <c r="AL1417" s="342"/>
      <c r="AM1417" s="342"/>
      <c r="AN1417" s="342"/>
      <c r="AO1417" s="342"/>
      <c r="AP1417" s="342"/>
      <c r="AQ1417" s="342"/>
      <c r="AR1417" s="342"/>
      <c r="AS1417" s="342"/>
      <c r="AT1417" s="342"/>
      <c r="AU1417" s="342"/>
      <c r="AV1417" s="342"/>
      <c r="AW1417" s="342"/>
      <c r="AX1417" s="342"/>
      <c r="AY1417" s="342"/>
      <c r="AZ1417" s="342"/>
      <c r="BA1417" s="342"/>
      <c r="BB1417" s="342"/>
      <c r="BC1417" s="342"/>
      <c r="BD1417" s="342"/>
      <c r="BE1417" s="342"/>
      <c r="BF1417" s="342"/>
      <c r="BG1417" s="342"/>
      <c r="BH1417" s="342"/>
      <c r="BI1417" s="342"/>
      <c r="BJ1417" s="342"/>
      <c r="BK1417" s="342"/>
      <c r="BL1417" s="342"/>
      <c r="BM1417" s="342"/>
      <c r="BN1417" s="342"/>
      <c r="BO1417" s="342"/>
      <c r="BP1417" s="342"/>
      <c r="BQ1417" s="342"/>
      <c r="BR1417" s="342"/>
      <c r="BS1417" s="342"/>
      <c r="BT1417" s="342"/>
      <c r="BU1417" s="342"/>
      <c r="BV1417" s="342"/>
      <c r="BW1417" s="342"/>
      <c r="BX1417" s="342"/>
      <c r="BY1417" s="342"/>
      <c r="BZ1417" s="342"/>
      <c r="CA1417" s="342"/>
      <c r="CB1417" s="342"/>
      <c r="CC1417" s="342"/>
      <c r="CD1417" s="342"/>
      <c r="CE1417" s="342"/>
      <c r="CF1417" s="342"/>
      <c r="CG1417" s="342"/>
      <c r="CH1417" s="342"/>
      <c r="CI1417" s="342"/>
      <c r="CJ1417" s="342"/>
      <c r="CK1417" s="342"/>
      <c r="CL1417" s="342"/>
      <c r="CM1417" s="342"/>
      <c r="CN1417" s="342"/>
      <c r="CO1417" s="342"/>
      <c r="CP1417" s="342"/>
      <c r="CQ1417" s="342"/>
      <c r="CR1417" s="342"/>
      <c r="CS1417" s="342"/>
      <c r="CT1417" s="342"/>
      <c r="CU1417" s="342"/>
      <c r="CV1417" s="342"/>
      <c r="CW1417" s="342"/>
      <c r="CX1417" s="342"/>
      <c r="CY1417" s="342"/>
      <c r="CZ1417" s="342"/>
      <c r="DA1417" s="342"/>
      <c r="DB1417" s="342"/>
      <c r="DC1417" s="342"/>
      <c r="DD1417" s="342"/>
      <c r="DE1417" s="342"/>
      <c r="DF1417" s="342"/>
      <c r="DG1417" s="342"/>
      <c r="DH1417" s="342"/>
      <c r="DI1417" s="342"/>
      <c r="DJ1417" s="342"/>
      <c r="DK1417" s="342"/>
      <c r="DL1417" s="342"/>
      <c r="DM1417" s="342"/>
      <c r="DN1417" s="342"/>
      <c r="DO1417" s="342"/>
      <c r="DP1417" s="342"/>
      <c r="DQ1417" s="342"/>
      <c r="DR1417" s="342"/>
      <c r="DS1417" s="342"/>
      <c r="DT1417" s="342"/>
      <c r="DU1417" s="342"/>
      <c r="EF1417" s="12"/>
      <c r="EG1417" s="13"/>
      <c r="EH1417" s="342"/>
      <c r="EI1417" s="342"/>
      <c r="EJ1417" s="342"/>
      <c r="EK1417" s="342"/>
      <c r="EL1417" s="342"/>
      <c r="EM1417" s="342"/>
      <c r="EN1417" s="342"/>
      <c r="EO1417" s="342"/>
      <c r="EP1417" s="342"/>
      <c r="EQ1417" s="342"/>
      <c r="ER1417" s="342"/>
      <c r="ES1417" s="12"/>
      <c r="ET1417" s="12"/>
      <c r="EU1417" s="342"/>
      <c r="EV1417" s="342"/>
      <c r="EW1417" s="342"/>
      <c r="EX1417" s="342"/>
      <c r="EY1417" s="342"/>
      <c r="EZ1417" s="342"/>
      <c r="FA1417" s="342"/>
      <c r="FB1417" s="342"/>
      <c r="FC1417" s="342"/>
      <c r="FD1417" s="342"/>
      <c r="FE1417" s="342"/>
      <c r="FF1417" s="342"/>
      <c r="FG1417" s="342"/>
      <c r="FH1417" s="342"/>
      <c r="FI1417" s="342"/>
      <c r="FJ1417" s="342"/>
      <c r="FK1417" s="342"/>
      <c r="FL1417" s="342"/>
      <c r="FM1417" s="342"/>
      <c r="FN1417" s="342"/>
      <c r="FO1417" s="342"/>
      <c r="FP1417" s="342"/>
      <c r="FQ1417" s="342"/>
      <c r="FR1417" s="342"/>
      <c r="FS1417" s="342"/>
      <c r="FT1417" s="342"/>
      <c r="FU1417" s="13"/>
      <c r="FV1417" s="12"/>
      <c r="FW1417" s="342"/>
      <c r="FX1417" s="342"/>
      <c r="FY1417" s="342"/>
      <c r="FZ1417" s="342"/>
      <c r="GA1417" s="342"/>
      <c r="GB1417" s="342"/>
      <c r="GC1417" s="342"/>
      <c r="GD1417" s="342"/>
      <c r="GE1417" s="13"/>
      <c r="GM1417" s="12"/>
      <c r="GT1417" s="342"/>
      <c r="GU1417" s="342"/>
      <c r="GV1417" s="342"/>
      <c r="GW1417" s="342"/>
      <c r="GX1417" s="342"/>
      <c r="GY1417" s="342"/>
      <c r="GZ1417" s="342"/>
      <c r="HA1417" s="342"/>
      <c r="HB1417" s="342"/>
      <c r="HC1417" s="342"/>
      <c r="HD1417" s="342"/>
      <c r="HE1417" s="342"/>
      <c r="HF1417" s="342"/>
      <c r="HG1417" s="351"/>
      <c r="HH1417" s="351"/>
      <c r="HI1417" s="351"/>
      <c r="HJ1417" s="351"/>
      <c r="HK1417" s="351"/>
      <c r="HL1417" s="351"/>
      <c r="HM1417" s="347"/>
      <c r="HN1417" s="351"/>
      <c r="HO1417" s="351"/>
      <c r="HP1417" s="351"/>
      <c r="HQ1417" s="351"/>
      <c r="HR1417" s="351"/>
      <c r="HS1417" s="351"/>
      <c r="HT1417" s="351"/>
      <c r="HU1417" s="351"/>
      <c r="HV1417" s="351"/>
      <c r="HW1417" s="351"/>
      <c r="HX1417" s="351"/>
      <c r="HY1417" s="351"/>
      <c r="HZ1417" s="351"/>
      <c r="IA1417" s="351"/>
      <c r="IB1417" s="351"/>
      <c r="IC1417" s="351"/>
      <c r="ID1417" s="351"/>
      <c r="IE1417" s="351"/>
      <c r="IF1417" s="351"/>
      <c r="IG1417" s="351"/>
      <c r="IH1417" s="351"/>
      <c r="II1417" s="351"/>
      <c r="IJ1417" s="351"/>
      <c r="IK1417" s="351"/>
      <c r="IL1417" s="351"/>
      <c r="IM1417" s="351"/>
      <c r="IN1417" s="351"/>
      <c r="IO1417" s="351"/>
      <c r="IP1417" s="351"/>
      <c r="IQ1417" s="351"/>
      <c r="IR1417" s="351"/>
      <c r="IS1417" s="351"/>
      <c r="IT1417" s="351"/>
      <c r="IU1417" s="351"/>
      <c r="IV1417" s="351"/>
      <c r="IW1417" s="351"/>
      <c r="IX1417" s="351"/>
      <c r="IY1417" s="351"/>
      <c r="IZ1417" s="351"/>
      <c r="JA1417" s="351"/>
      <c r="JB1417" s="351"/>
      <c r="JC1417" s="351"/>
      <c r="JD1417" s="351"/>
      <c r="JE1417" s="347"/>
      <c r="JF1417" s="343"/>
      <c r="JG1417" s="351"/>
      <c r="JH1417" s="351"/>
      <c r="JI1417" s="351"/>
      <c r="JJ1417" s="351"/>
      <c r="JK1417" s="351"/>
      <c r="JL1417" s="351"/>
      <c r="JM1417" s="351"/>
      <c r="JN1417" s="351"/>
      <c r="JO1417" s="351"/>
      <c r="JP1417" s="351"/>
      <c r="JQ1417" s="351"/>
      <c r="JR1417" s="351"/>
      <c r="JS1417" s="351"/>
      <c r="JT1417" s="351"/>
      <c r="JU1417" s="351"/>
      <c r="JV1417" s="351"/>
      <c r="JW1417" s="351"/>
      <c r="JX1417" s="351"/>
      <c r="JY1417" s="351"/>
      <c r="JZ1417" s="351"/>
      <c r="KA1417" s="351"/>
      <c r="KB1417" s="351"/>
      <c r="KC1417" s="351"/>
      <c r="KD1417" s="351"/>
      <c r="KE1417" s="351"/>
      <c r="KF1417" s="351"/>
      <c r="KG1417" s="351"/>
      <c r="KH1417" s="351"/>
      <c r="KI1417" s="351"/>
      <c r="KJ1417" s="351"/>
      <c r="KK1417" s="351"/>
      <c r="KL1417" s="351"/>
      <c r="KM1417" s="351"/>
      <c r="KN1417" s="351"/>
      <c r="KO1417" s="351"/>
      <c r="KP1417" s="351"/>
      <c r="KQ1417" s="351"/>
      <c r="KR1417" s="351"/>
      <c r="KS1417" s="351"/>
      <c r="KT1417" s="351"/>
      <c r="KU1417" s="351"/>
      <c r="KV1417" s="351"/>
      <c r="KW1417" s="351"/>
      <c r="KX1417" s="351"/>
      <c r="KY1417" s="351"/>
      <c r="KZ1417" s="351"/>
      <c r="LA1417" s="351"/>
      <c r="LB1417" s="343"/>
      <c r="LC1417" s="351"/>
      <c r="LD1417" s="351"/>
      <c r="LE1417" s="343"/>
      <c r="LF1417" s="351"/>
      <c r="LG1417" s="351"/>
      <c r="LH1417" s="351"/>
      <c r="LI1417" s="351"/>
      <c r="LJ1417" s="342"/>
      <c r="LK1417" s="342"/>
      <c r="LL1417" s="342"/>
      <c r="LM1417" s="342"/>
      <c r="LN1417" s="342"/>
      <c r="LO1417" s="342"/>
      <c r="LP1417" s="342"/>
      <c r="LQ1417" s="342"/>
      <c r="LR1417" s="342"/>
      <c r="LS1417" s="342"/>
      <c r="LT1417" s="342"/>
      <c r="LU1417" s="13"/>
    </row>
    <row r="1418" spans="6:333" ht="10.75" customHeight="1">
      <c r="F1418" s="342"/>
      <c r="G1418" s="342"/>
      <c r="H1418" s="342"/>
      <c r="I1418" s="342"/>
      <c r="J1418" s="342"/>
      <c r="K1418" s="342"/>
      <c r="L1418" s="342"/>
      <c r="M1418" s="342"/>
      <c r="N1418" s="342"/>
      <c r="O1418" s="342"/>
      <c r="P1418" s="342"/>
      <c r="Q1418" s="342"/>
      <c r="R1418" s="342"/>
      <c r="S1418" s="342"/>
      <c r="T1418" s="342"/>
      <c r="U1418" s="342"/>
      <c r="V1418" s="342"/>
      <c r="W1418" s="342"/>
      <c r="X1418" s="342"/>
      <c r="Y1418" s="342"/>
      <c r="Z1418" s="342"/>
      <c r="AA1418" s="342"/>
      <c r="AB1418" s="342"/>
      <c r="AC1418" s="342"/>
      <c r="AD1418" s="342"/>
      <c r="AE1418" s="342"/>
      <c r="AF1418" s="342"/>
      <c r="AG1418" s="342"/>
      <c r="AH1418" s="342"/>
      <c r="AI1418" s="342"/>
      <c r="AJ1418" s="342"/>
      <c r="AK1418" s="342"/>
      <c r="AL1418" s="342"/>
      <c r="AM1418" s="342"/>
      <c r="AN1418" s="342"/>
      <c r="AO1418" s="342"/>
      <c r="AP1418" s="342"/>
      <c r="AQ1418" s="342"/>
      <c r="AR1418" s="342"/>
      <c r="AS1418" s="342"/>
      <c r="AT1418" s="342"/>
      <c r="AU1418" s="342"/>
      <c r="AV1418" s="342"/>
      <c r="AW1418" s="342"/>
      <c r="AX1418" s="342"/>
      <c r="AY1418" s="342"/>
      <c r="AZ1418" s="342"/>
      <c r="BA1418" s="342"/>
      <c r="BB1418" s="342"/>
      <c r="BC1418" s="342"/>
      <c r="BD1418" s="342"/>
      <c r="BE1418" s="342"/>
      <c r="BF1418" s="342"/>
      <c r="BG1418" s="342"/>
      <c r="BH1418" s="342"/>
      <c r="BI1418" s="342"/>
      <c r="BJ1418" s="342"/>
      <c r="BK1418" s="342"/>
      <c r="BL1418" s="342"/>
      <c r="BM1418" s="342"/>
      <c r="BN1418" s="342"/>
      <c r="BO1418" s="342"/>
      <c r="BP1418" s="342"/>
      <c r="BQ1418" s="342"/>
      <c r="BR1418" s="342"/>
      <c r="BS1418" s="342"/>
      <c r="BT1418" s="342"/>
      <c r="BU1418" s="342"/>
      <c r="BV1418" s="342"/>
      <c r="BW1418" s="342"/>
      <c r="BX1418" s="342"/>
      <c r="BY1418" s="342"/>
      <c r="BZ1418" s="342"/>
      <c r="CA1418" s="342"/>
      <c r="CB1418" s="342"/>
      <c r="CC1418" s="342"/>
      <c r="CD1418" s="342"/>
      <c r="CE1418" s="342"/>
      <c r="CF1418" s="342"/>
      <c r="CG1418" s="342"/>
      <c r="CH1418" s="342"/>
      <c r="CI1418" s="342"/>
      <c r="CJ1418" s="342"/>
      <c r="CK1418" s="342"/>
      <c r="CL1418" s="342"/>
      <c r="CM1418" s="342"/>
      <c r="CN1418" s="342"/>
      <c r="CO1418" s="342"/>
      <c r="CP1418" s="342"/>
      <c r="CQ1418" s="342"/>
      <c r="CR1418" s="342"/>
      <c r="CS1418" s="342"/>
      <c r="CT1418" s="342"/>
      <c r="CU1418" s="342"/>
      <c r="CV1418" s="342"/>
      <c r="CW1418" s="342"/>
      <c r="CX1418" s="342"/>
      <c r="CY1418" s="342"/>
      <c r="CZ1418" s="342"/>
      <c r="DA1418" s="342"/>
      <c r="DB1418" s="342"/>
      <c r="DC1418" s="342"/>
      <c r="DD1418" s="342"/>
      <c r="DE1418" s="342"/>
      <c r="DF1418" s="342"/>
      <c r="DG1418" s="342"/>
      <c r="DH1418" s="342"/>
      <c r="DI1418" s="342"/>
      <c r="DJ1418" s="342"/>
      <c r="DK1418" s="342"/>
      <c r="DL1418" s="342"/>
      <c r="DM1418" s="342"/>
      <c r="DN1418" s="342"/>
      <c r="DO1418" s="342"/>
      <c r="DP1418" s="342"/>
      <c r="DQ1418" s="342"/>
      <c r="DR1418" s="342"/>
      <c r="DS1418" s="342"/>
      <c r="DT1418" s="342"/>
      <c r="DU1418" s="342"/>
      <c r="EF1418" s="12"/>
      <c r="EG1418" s="13"/>
      <c r="EH1418" s="342"/>
      <c r="EI1418" s="342"/>
      <c r="EJ1418" s="342"/>
      <c r="EK1418" s="342"/>
      <c r="EL1418" s="342"/>
      <c r="EM1418" s="342"/>
      <c r="EN1418" s="342"/>
      <c r="EO1418" s="342"/>
      <c r="EP1418" s="342"/>
      <c r="EQ1418" s="342"/>
      <c r="ER1418" s="342"/>
      <c r="ES1418" s="12"/>
      <c r="ET1418" s="12"/>
      <c r="EU1418" s="342"/>
      <c r="EV1418" s="342"/>
      <c r="EW1418" s="342"/>
      <c r="EX1418" s="342"/>
      <c r="EY1418" s="342"/>
      <c r="EZ1418" s="342"/>
      <c r="FA1418" s="342"/>
      <c r="FB1418" s="342"/>
      <c r="FC1418" s="342"/>
      <c r="FD1418" s="342"/>
      <c r="FE1418" s="342"/>
      <c r="FF1418" s="342"/>
      <c r="FG1418" s="342"/>
      <c r="FH1418" s="342"/>
      <c r="FI1418" s="342"/>
      <c r="FJ1418" s="342"/>
      <c r="FK1418" s="342"/>
      <c r="FL1418" s="342"/>
      <c r="FM1418" s="342"/>
      <c r="FN1418" s="342"/>
      <c r="FO1418" s="342"/>
      <c r="FP1418" s="342"/>
      <c r="FQ1418" s="342"/>
      <c r="FR1418" s="342"/>
      <c r="FS1418" s="342"/>
      <c r="FT1418" s="342"/>
      <c r="FU1418" s="13"/>
      <c r="FV1418" s="12"/>
      <c r="FW1418" s="342"/>
      <c r="FX1418" s="342"/>
      <c r="FY1418" s="342"/>
      <c r="FZ1418" s="342"/>
      <c r="GA1418" s="342"/>
      <c r="GB1418" s="342"/>
      <c r="GC1418" s="342"/>
      <c r="GD1418" s="342"/>
      <c r="GE1418" s="13"/>
      <c r="GM1418" s="12"/>
      <c r="GP1418" s="9"/>
      <c r="GQ1418" s="10"/>
      <c r="GR1418" s="10"/>
      <c r="GS1418" s="10"/>
      <c r="GT1418" s="10"/>
      <c r="GU1418" s="10"/>
      <c r="GV1418" s="10"/>
      <c r="GW1418" s="10"/>
      <c r="GX1418" s="10"/>
      <c r="GY1418" s="10"/>
      <c r="GZ1418" s="10"/>
      <c r="HA1418" s="10"/>
      <c r="HB1418" s="10"/>
      <c r="HC1418" s="10"/>
      <c r="HD1418" s="10"/>
      <c r="HE1418" s="10"/>
      <c r="HF1418" s="10"/>
      <c r="HG1418" s="10"/>
      <c r="HH1418" s="10"/>
      <c r="HI1418" s="345"/>
      <c r="HJ1418" s="346"/>
      <c r="HK1418" s="351"/>
      <c r="HL1418" s="351"/>
      <c r="HM1418" s="347"/>
      <c r="HN1418" s="351"/>
      <c r="HO1418" s="351"/>
      <c r="HP1418" s="351"/>
      <c r="HQ1418" s="351"/>
      <c r="HR1418" s="351"/>
      <c r="HS1418" s="351"/>
      <c r="HT1418" s="351"/>
      <c r="HU1418" s="351"/>
      <c r="HV1418" s="351"/>
      <c r="HW1418" s="351"/>
      <c r="HX1418" s="351"/>
      <c r="HY1418" s="351"/>
      <c r="HZ1418" s="351"/>
      <c r="IA1418" s="351"/>
      <c r="IB1418" s="351"/>
      <c r="IC1418" s="351"/>
      <c r="ID1418" s="351"/>
      <c r="IE1418" s="351"/>
      <c r="IF1418" s="351"/>
      <c r="IG1418" s="351"/>
      <c r="IH1418" s="351"/>
      <c r="II1418" s="351"/>
      <c r="IJ1418" s="351"/>
      <c r="IK1418" s="351"/>
      <c r="IL1418" s="351"/>
      <c r="IM1418" s="351"/>
      <c r="IN1418" s="351"/>
      <c r="IO1418" s="351"/>
      <c r="IP1418" s="351"/>
      <c r="IQ1418" s="351"/>
      <c r="IR1418" s="351"/>
      <c r="IS1418" s="351"/>
      <c r="IT1418" s="351"/>
      <c r="IU1418" s="351"/>
      <c r="IV1418" s="351"/>
      <c r="IW1418" s="351"/>
      <c r="IX1418" s="351"/>
      <c r="IY1418" s="351"/>
      <c r="IZ1418" s="351"/>
      <c r="JA1418" s="351"/>
      <c r="JB1418" s="351"/>
      <c r="JC1418" s="351"/>
      <c r="JD1418" s="351"/>
      <c r="JE1418" s="347"/>
      <c r="JF1418" s="343"/>
      <c r="JG1418" s="351"/>
      <c r="JH1418" s="351"/>
      <c r="JI1418" s="351"/>
      <c r="JJ1418" s="351"/>
      <c r="JK1418" s="351"/>
      <c r="JL1418" s="351"/>
      <c r="JM1418" s="351"/>
      <c r="JN1418" s="351"/>
      <c r="JO1418" s="351"/>
      <c r="JP1418" s="351"/>
      <c r="JQ1418" s="351"/>
      <c r="JR1418" s="351"/>
      <c r="JS1418" s="351"/>
      <c r="JT1418" s="351"/>
      <c r="JU1418" s="351"/>
      <c r="JV1418" s="351"/>
      <c r="JW1418" s="351"/>
      <c r="JX1418" s="351"/>
      <c r="JY1418" s="351"/>
      <c r="JZ1418" s="351"/>
      <c r="KA1418" s="351"/>
      <c r="KB1418" s="351"/>
      <c r="KC1418" s="351"/>
      <c r="KD1418" s="351"/>
      <c r="KE1418" s="351"/>
      <c r="KF1418" s="351"/>
      <c r="KG1418" s="351"/>
      <c r="KH1418" s="351"/>
      <c r="KI1418" s="351"/>
      <c r="KJ1418" s="351"/>
      <c r="KK1418" s="351"/>
      <c r="KL1418" s="351"/>
      <c r="KM1418" s="351"/>
      <c r="KN1418" s="351"/>
      <c r="KO1418" s="351"/>
      <c r="KP1418" s="351"/>
      <c r="KQ1418" s="351"/>
      <c r="KR1418" s="351"/>
      <c r="KS1418" s="351"/>
      <c r="KT1418" s="351"/>
      <c r="KU1418" s="351"/>
      <c r="KV1418" s="351"/>
      <c r="KW1418" s="351"/>
      <c r="KX1418" s="351"/>
      <c r="KY1418" s="351"/>
      <c r="KZ1418" s="351"/>
      <c r="LA1418" s="351"/>
      <c r="LB1418" s="343"/>
      <c r="LC1418" s="351"/>
      <c r="LD1418" s="351"/>
      <c r="LE1418" s="343"/>
      <c r="LF1418" s="351"/>
      <c r="LG1418" s="351"/>
      <c r="LH1418" s="351"/>
      <c r="LI1418" s="351"/>
      <c r="LJ1418" s="342"/>
      <c r="LK1418" s="342"/>
      <c r="LL1418" s="342"/>
      <c r="LM1418" s="342"/>
      <c r="LN1418" s="342"/>
      <c r="LO1418" s="342"/>
      <c r="LP1418" s="342"/>
      <c r="LQ1418" s="342"/>
      <c r="LR1418" s="342"/>
      <c r="LS1418" s="342"/>
      <c r="LT1418" s="342"/>
      <c r="LU1418" s="13"/>
    </row>
    <row r="1419" spans="6:333" ht="10.75" customHeight="1">
      <c r="F1419" s="342"/>
      <c r="G1419" s="342"/>
      <c r="H1419" s="342"/>
      <c r="I1419" s="342"/>
      <c r="J1419" s="342"/>
      <c r="K1419" s="342"/>
      <c r="L1419" s="342"/>
      <c r="M1419" s="342"/>
      <c r="N1419" s="342"/>
      <c r="O1419" s="342"/>
      <c r="P1419" s="342"/>
      <c r="Q1419" s="342"/>
      <c r="R1419" s="342"/>
      <c r="S1419" s="342"/>
      <c r="T1419" s="342"/>
      <c r="U1419" s="342"/>
      <c r="V1419" s="342"/>
      <c r="W1419" s="342"/>
      <c r="X1419" s="342"/>
      <c r="Y1419" s="342"/>
      <c r="Z1419" s="342"/>
      <c r="AA1419" s="342"/>
      <c r="AB1419" s="342"/>
      <c r="AC1419" s="342"/>
      <c r="AD1419" s="342"/>
      <c r="AE1419" s="342"/>
      <c r="AF1419" s="342"/>
      <c r="AG1419" s="342"/>
      <c r="AH1419" s="342"/>
      <c r="AI1419" s="342"/>
      <c r="AJ1419" s="342"/>
      <c r="AK1419" s="342"/>
      <c r="AL1419" s="342"/>
      <c r="AM1419" s="342"/>
      <c r="AN1419" s="342"/>
      <c r="AO1419" s="342"/>
      <c r="AP1419" s="342"/>
      <c r="AQ1419" s="342"/>
      <c r="AR1419" s="342"/>
      <c r="AS1419" s="342"/>
      <c r="AT1419" s="342"/>
      <c r="AU1419" s="342"/>
      <c r="AV1419" s="342"/>
      <c r="AW1419" s="342"/>
      <c r="AX1419" s="342"/>
      <c r="AY1419" s="342"/>
      <c r="AZ1419" s="342"/>
      <c r="BA1419" s="342"/>
      <c r="BB1419" s="342"/>
      <c r="BC1419" s="342"/>
      <c r="BD1419" s="342"/>
      <c r="BE1419" s="342"/>
      <c r="BF1419" s="342"/>
      <c r="BG1419" s="342"/>
      <c r="BH1419" s="342"/>
      <c r="BI1419" s="342"/>
      <c r="BJ1419" s="342"/>
      <c r="BK1419" s="342"/>
      <c r="BL1419" s="342"/>
      <c r="BM1419" s="342"/>
      <c r="BN1419" s="342"/>
      <c r="BO1419" s="342"/>
      <c r="BP1419" s="342"/>
      <c r="BQ1419" s="342"/>
      <c r="BR1419" s="342"/>
      <c r="BS1419" s="342"/>
      <c r="BT1419" s="342"/>
      <c r="BU1419" s="342"/>
      <c r="BV1419" s="342"/>
      <c r="BW1419" s="342"/>
      <c r="BX1419" s="342"/>
      <c r="BY1419" s="342"/>
      <c r="BZ1419" s="342"/>
      <c r="CA1419" s="342"/>
      <c r="CB1419" s="342"/>
      <c r="CC1419" s="342"/>
      <c r="CD1419" s="342"/>
      <c r="CE1419" s="342"/>
      <c r="CF1419" s="342"/>
      <c r="CG1419" s="342"/>
      <c r="CH1419" s="342"/>
      <c r="CI1419" s="342"/>
      <c r="CJ1419" s="342"/>
      <c r="CK1419" s="342"/>
      <c r="CL1419" s="342"/>
      <c r="CM1419" s="342"/>
      <c r="CN1419" s="342"/>
      <c r="CO1419" s="342"/>
      <c r="CP1419" s="342"/>
      <c r="CQ1419" s="342"/>
      <c r="CR1419" s="342"/>
      <c r="CS1419" s="342"/>
      <c r="CT1419" s="342"/>
      <c r="CU1419" s="342"/>
      <c r="CV1419" s="342"/>
      <c r="CW1419" s="342"/>
      <c r="CX1419" s="342"/>
      <c r="CY1419" s="342"/>
      <c r="CZ1419" s="342"/>
      <c r="DA1419" s="342"/>
      <c r="DB1419" s="342"/>
      <c r="DC1419" s="342"/>
      <c r="DD1419" s="342"/>
      <c r="DE1419" s="342"/>
      <c r="DF1419" s="342"/>
      <c r="DG1419" s="342"/>
      <c r="DH1419" s="342"/>
      <c r="DI1419" s="342"/>
      <c r="DJ1419" s="342"/>
      <c r="DK1419" s="342"/>
      <c r="DL1419" s="342"/>
      <c r="DM1419" s="342"/>
      <c r="DN1419" s="342"/>
      <c r="DO1419" s="342"/>
      <c r="DP1419" s="342"/>
      <c r="DQ1419" s="342"/>
      <c r="DR1419" s="342"/>
      <c r="DS1419" s="342"/>
      <c r="DT1419" s="342"/>
      <c r="DU1419" s="342"/>
      <c r="EF1419" s="12"/>
      <c r="EG1419" s="13"/>
      <c r="EH1419" s="342"/>
      <c r="EI1419" s="342"/>
      <c r="EJ1419" s="342"/>
      <c r="EK1419" s="342"/>
      <c r="EL1419" s="342"/>
      <c r="EM1419" s="342"/>
      <c r="EN1419" s="342"/>
      <c r="EO1419" s="342"/>
      <c r="EP1419" s="342"/>
      <c r="EQ1419" s="342"/>
      <c r="ER1419" s="342"/>
      <c r="ES1419" s="12"/>
      <c r="ET1419" s="12"/>
      <c r="EU1419" s="342"/>
      <c r="EV1419" s="342"/>
      <c r="EW1419" s="342"/>
      <c r="EX1419" s="342"/>
      <c r="EY1419" s="342"/>
      <c r="EZ1419" s="342"/>
      <c r="FA1419" s="342"/>
      <c r="FB1419" s="342"/>
      <c r="FC1419" s="342"/>
      <c r="FD1419" s="342"/>
      <c r="FE1419" s="342"/>
      <c r="FF1419" s="342"/>
      <c r="FG1419" s="342"/>
      <c r="FH1419" s="342"/>
      <c r="FI1419" s="342"/>
      <c r="FJ1419" s="342"/>
      <c r="FK1419" s="342"/>
      <c r="FL1419" s="342"/>
      <c r="FM1419" s="342"/>
      <c r="FN1419" s="342"/>
      <c r="FO1419" s="342"/>
      <c r="FP1419" s="342"/>
      <c r="FQ1419" s="342"/>
      <c r="FR1419" s="342"/>
      <c r="FS1419" s="342"/>
      <c r="FT1419" s="342"/>
      <c r="FU1419" s="13"/>
      <c r="FV1419" s="12"/>
      <c r="FW1419" s="342"/>
      <c r="FX1419" s="342"/>
      <c r="FY1419" s="342"/>
      <c r="FZ1419" s="342"/>
      <c r="GA1419" s="342"/>
      <c r="GB1419" s="342"/>
      <c r="GC1419" s="342"/>
      <c r="GD1419" s="342"/>
      <c r="GE1419" s="13"/>
      <c r="GM1419" s="12"/>
      <c r="GP1419" s="12"/>
      <c r="GQ1419" s="342"/>
      <c r="GR1419" s="342"/>
      <c r="GS1419" s="342"/>
      <c r="GT1419" s="342"/>
      <c r="GU1419" s="342"/>
      <c r="GV1419" s="342"/>
      <c r="GW1419" s="342"/>
      <c r="GX1419" s="342"/>
      <c r="GY1419" s="342"/>
      <c r="GZ1419" s="342"/>
      <c r="HA1419" s="342"/>
      <c r="HB1419" s="342"/>
      <c r="HC1419" s="342"/>
      <c r="HD1419" s="342"/>
      <c r="HE1419" s="342"/>
      <c r="HF1419" s="342"/>
      <c r="HG1419" s="342"/>
      <c r="HH1419" s="342"/>
      <c r="HI1419" s="351"/>
      <c r="HJ1419" s="343"/>
      <c r="HK1419" s="351"/>
      <c r="HL1419" s="351"/>
      <c r="HM1419" s="347"/>
      <c r="HN1419" s="351"/>
      <c r="HO1419" s="351"/>
      <c r="HP1419" s="351"/>
      <c r="HQ1419" s="351"/>
      <c r="HR1419" s="351"/>
      <c r="HS1419" s="351"/>
      <c r="HT1419" s="351"/>
      <c r="HU1419" s="351"/>
      <c r="HV1419" s="351"/>
      <c r="HW1419" s="351"/>
      <c r="HX1419" s="351"/>
      <c r="HY1419" s="351"/>
      <c r="HZ1419" s="351"/>
      <c r="IA1419" s="351"/>
      <c r="IB1419" s="351"/>
      <c r="IC1419" s="351"/>
      <c r="ID1419" s="351"/>
      <c r="IE1419" s="351"/>
      <c r="IF1419" s="351"/>
      <c r="IG1419" s="351"/>
      <c r="IH1419" s="351"/>
      <c r="II1419" s="351"/>
      <c r="IJ1419" s="351"/>
      <c r="IK1419" s="351"/>
      <c r="IL1419" s="351"/>
      <c r="IM1419" s="351"/>
      <c r="IN1419" s="351"/>
      <c r="IO1419" s="351"/>
      <c r="IP1419" s="351"/>
      <c r="IQ1419" s="351"/>
      <c r="IR1419" s="351"/>
      <c r="IS1419" s="351"/>
      <c r="IT1419" s="351"/>
      <c r="IU1419" s="351"/>
      <c r="IV1419" s="351"/>
      <c r="IW1419" s="351"/>
      <c r="IX1419" s="351"/>
      <c r="IY1419" s="351"/>
      <c r="IZ1419" s="351"/>
      <c r="JA1419" s="351"/>
      <c r="JB1419" s="351"/>
      <c r="JC1419" s="351"/>
      <c r="JD1419" s="351"/>
      <c r="JE1419" s="347"/>
      <c r="JF1419" s="343"/>
      <c r="JG1419" s="351"/>
      <c r="JH1419" s="351"/>
      <c r="JI1419" s="351"/>
      <c r="JJ1419" s="351"/>
      <c r="JK1419" s="351"/>
      <c r="JL1419" s="351"/>
      <c r="JM1419" s="351"/>
      <c r="JN1419" s="351"/>
      <c r="JO1419" s="351"/>
      <c r="JP1419" s="351"/>
      <c r="JQ1419" s="351"/>
      <c r="JR1419" s="351"/>
      <c r="JS1419" s="351"/>
      <c r="JT1419" s="351"/>
      <c r="JU1419" s="351"/>
      <c r="JV1419" s="351"/>
      <c r="JW1419" s="351"/>
      <c r="JX1419" s="351"/>
      <c r="JY1419" s="351"/>
      <c r="JZ1419" s="351"/>
      <c r="KA1419" s="351"/>
      <c r="KB1419" s="351"/>
      <c r="KC1419" s="351"/>
      <c r="KD1419" s="351"/>
      <c r="KE1419" s="351"/>
      <c r="KF1419" s="351"/>
      <c r="KG1419" s="351"/>
      <c r="KH1419" s="351"/>
      <c r="KI1419" s="351"/>
      <c r="KJ1419" s="351"/>
      <c r="KK1419" s="351"/>
      <c r="KL1419" s="351"/>
      <c r="KM1419" s="351"/>
      <c r="KN1419" s="351"/>
      <c r="KO1419" s="351"/>
      <c r="KP1419" s="351"/>
      <c r="KQ1419" s="351"/>
      <c r="KR1419" s="351"/>
      <c r="KS1419" s="351"/>
      <c r="KT1419" s="351"/>
      <c r="KU1419" s="351"/>
      <c r="KV1419" s="351"/>
      <c r="KW1419" s="351"/>
      <c r="KX1419" s="351"/>
      <c r="KY1419" s="351"/>
      <c r="KZ1419" s="351"/>
      <c r="LA1419" s="351"/>
      <c r="LB1419" s="343"/>
      <c r="LC1419" s="351"/>
      <c r="LD1419" s="351"/>
      <c r="LE1419" s="343"/>
      <c r="LF1419" s="351"/>
      <c r="LG1419" s="351"/>
      <c r="LH1419" s="351"/>
      <c r="LI1419" s="351"/>
      <c r="LJ1419" s="342"/>
      <c r="LK1419" s="342"/>
      <c r="LL1419" s="342"/>
      <c r="LM1419" s="342"/>
      <c r="LN1419" s="342"/>
      <c r="LO1419" s="342"/>
      <c r="LP1419" s="342"/>
      <c r="LQ1419" s="342"/>
      <c r="LR1419" s="342"/>
      <c r="LS1419" s="342"/>
      <c r="LT1419" s="342"/>
      <c r="LU1419" s="13"/>
    </row>
    <row r="1420" spans="6:333" ht="10.75" customHeight="1">
      <c r="F1420" s="342"/>
      <c r="G1420" s="342"/>
      <c r="H1420" s="342"/>
      <c r="I1420" s="342"/>
      <c r="J1420" s="342"/>
      <c r="K1420" s="342"/>
      <c r="L1420" s="342"/>
      <c r="M1420" s="342"/>
      <c r="N1420" s="342"/>
      <c r="O1420" s="342"/>
      <c r="P1420" s="342"/>
      <c r="Q1420" s="342"/>
      <c r="R1420" s="342"/>
      <c r="S1420" s="342"/>
      <c r="T1420" s="342"/>
      <c r="U1420" s="342"/>
      <c r="V1420" s="342"/>
      <c r="W1420" s="342"/>
      <c r="X1420" s="342"/>
      <c r="Y1420" s="342"/>
      <c r="Z1420" s="342"/>
      <c r="AA1420" s="342"/>
      <c r="AB1420" s="342"/>
      <c r="AC1420" s="342"/>
      <c r="AD1420" s="342"/>
      <c r="AE1420" s="342"/>
      <c r="AF1420" s="342"/>
      <c r="AG1420" s="342"/>
      <c r="AH1420" s="342"/>
      <c r="AI1420" s="342"/>
      <c r="AJ1420" s="342"/>
      <c r="AK1420" s="342"/>
      <c r="AL1420" s="342"/>
      <c r="AM1420" s="342"/>
      <c r="AN1420" s="342"/>
      <c r="AO1420" s="342"/>
      <c r="AP1420" s="342"/>
      <c r="AQ1420" s="342"/>
      <c r="AR1420" s="342"/>
      <c r="AS1420" s="342"/>
      <c r="AT1420" s="342"/>
      <c r="AU1420" s="342"/>
      <c r="AV1420" s="342"/>
      <c r="AW1420" s="342"/>
      <c r="AX1420" s="342"/>
      <c r="AY1420" s="342"/>
      <c r="AZ1420" s="342"/>
      <c r="BA1420" s="342"/>
      <c r="BB1420" s="342"/>
      <c r="BC1420" s="342"/>
      <c r="BD1420" s="342"/>
      <c r="BE1420" s="342"/>
      <c r="BF1420" s="342"/>
      <c r="BG1420" s="342"/>
      <c r="BH1420" s="342"/>
      <c r="BI1420" s="342"/>
      <c r="BJ1420" s="342"/>
      <c r="BK1420" s="342"/>
      <c r="BL1420" s="342"/>
      <c r="BM1420" s="342"/>
      <c r="BN1420" s="342"/>
      <c r="BO1420" s="342"/>
      <c r="BP1420" s="342"/>
      <c r="BQ1420" s="342"/>
      <c r="BR1420" s="342"/>
      <c r="BS1420" s="342"/>
      <c r="BT1420" s="342"/>
      <c r="BU1420" s="342"/>
      <c r="BV1420" s="342"/>
      <c r="BW1420" s="342"/>
      <c r="BX1420" s="342"/>
      <c r="BY1420" s="342"/>
      <c r="BZ1420" s="342"/>
      <c r="CA1420" s="342"/>
      <c r="CB1420" s="342"/>
      <c r="CC1420" s="342"/>
      <c r="CD1420" s="342"/>
      <c r="CE1420" s="342"/>
      <c r="CF1420" s="342"/>
      <c r="CG1420" s="342"/>
      <c r="CH1420" s="342"/>
      <c r="CI1420" s="342"/>
      <c r="CJ1420" s="342"/>
      <c r="CK1420" s="342"/>
      <c r="CL1420" s="342"/>
      <c r="CM1420" s="342"/>
      <c r="CN1420" s="342"/>
      <c r="CO1420" s="342"/>
      <c r="CP1420" s="342"/>
      <c r="CQ1420" s="342"/>
      <c r="CR1420" s="342"/>
      <c r="CS1420" s="342"/>
      <c r="CT1420" s="342"/>
      <c r="CU1420" s="342"/>
      <c r="CV1420" s="342"/>
      <c r="CW1420" s="342"/>
      <c r="CX1420" s="342"/>
      <c r="CY1420" s="342"/>
      <c r="CZ1420" s="342"/>
      <c r="DA1420" s="342"/>
      <c r="DB1420" s="342"/>
      <c r="DC1420" s="342"/>
      <c r="DD1420" s="342"/>
      <c r="DE1420" s="342"/>
      <c r="DF1420" s="342"/>
      <c r="DG1420" s="342"/>
      <c r="DH1420" s="342"/>
      <c r="DI1420" s="342"/>
      <c r="DJ1420" s="342"/>
      <c r="DK1420" s="342"/>
      <c r="DL1420" s="342"/>
      <c r="DM1420" s="342"/>
      <c r="DN1420" s="342"/>
      <c r="DO1420" s="342"/>
      <c r="DP1420" s="342"/>
      <c r="DQ1420" s="342"/>
      <c r="DR1420" s="342"/>
      <c r="DS1420" s="342"/>
      <c r="DT1420" s="342"/>
      <c r="DU1420" s="342"/>
      <c r="EF1420" s="14"/>
      <c r="EG1420" s="16"/>
      <c r="EH1420" s="15"/>
      <c r="EI1420" s="15"/>
      <c r="EJ1420" s="15"/>
      <c r="EK1420" s="342"/>
      <c r="EL1420" s="342"/>
      <c r="EM1420" s="342"/>
      <c r="EN1420" s="342"/>
      <c r="EO1420" s="342"/>
      <c r="EP1420" s="342"/>
      <c r="EQ1420" s="342"/>
      <c r="ER1420" s="342"/>
      <c r="ES1420" s="12"/>
      <c r="ET1420" s="12"/>
      <c r="EU1420" s="342"/>
      <c r="EV1420" s="342"/>
      <c r="EW1420" s="342"/>
      <c r="EX1420" s="342"/>
      <c r="EY1420" s="342"/>
      <c r="EZ1420" s="342"/>
      <c r="FA1420" s="342"/>
      <c r="FB1420" s="342"/>
      <c r="FC1420" s="342"/>
      <c r="FD1420" s="342"/>
      <c r="FE1420" s="342"/>
      <c r="FF1420" s="342"/>
      <c r="FG1420" s="342"/>
      <c r="FH1420" s="342"/>
      <c r="FI1420" s="342"/>
      <c r="FJ1420" s="342"/>
      <c r="FK1420" s="342"/>
      <c r="FL1420" s="342"/>
      <c r="FM1420" s="342"/>
      <c r="FN1420" s="342"/>
      <c r="FO1420" s="342"/>
      <c r="FP1420" s="342"/>
      <c r="FQ1420" s="342"/>
      <c r="FR1420" s="342"/>
      <c r="FS1420" s="342"/>
      <c r="FT1420" s="342"/>
      <c r="FU1420" s="13"/>
      <c r="FV1420" s="14"/>
      <c r="FW1420" s="15"/>
      <c r="FX1420" s="15"/>
      <c r="FY1420" s="15"/>
      <c r="FZ1420" s="15"/>
      <c r="GA1420" s="15"/>
      <c r="GB1420" s="15"/>
      <c r="GC1420" s="15"/>
      <c r="GD1420" s="15"/>
      <c r="GE1420" s="16"/>
      <c r="GM1420" s="12"/>
      <c r="GP1420" s="12"/>
      <c r="GQ1420" s="342"/>
      <c r="GR1420" s="342"/>
      <c r="GS1420" s="342"/>
      <c r="GT1420" s="342"/>
      <c r="GU1420" s="342"/>
      <c r="GV1420" s="342"/>
      <c r="GW1420" s="342"/>
      <c r="GX1420" s="342"/>
      <c r="GY1420" s="342"/>
      <c r="GZ1420" s="342"/>
      <c r="HA1420" s="342"/>
      <c r="HB1420" s="342"/>
      <c r="HC1420" s="342"/>
      <c r="HD1420" s="342"/>
      <c r="HE1420" s="342"/>
      <c r="HF1420" s="342"/>
      <c r="HG1420" s="342"/>
      <c r="HH1420" s="342"/>
      <c r="HI1420" s="351"/>
      <c r="HJ1420" s="343"/>
      <c r="HK1420" s="351"/>
      <c r="HL1420" s="351"/>
      <c r="HM1420" s="347"/>
      <c r="HN1420" s="351"/>
      <c r="HO1420" s="351"/>
      <c r="HP1420" s="351"/>
      <c r="HQ1420" s="351"/>
      <c r="HR1420" s="351"/>
      <c r="HS1420" s="351"/>
      <c r="HT1420" s="351"/>
      <c r="HU1420" s="351"/>
      <c r="HV1420" s="351"/>
      <c r="HW1420" s="351"/>
      <c r="HX1420" s="351"/>
      <c r="HY1420" s="351"/>
      <c r="HZ1420" s="351"/>
      <c r="IA1420" s="351"/>
      <c r="IB1420" s="351"/>
      <c r="IC1420" s="351"/>
      <c r="ID1420" s="351"/>
      <c r="IE1420" s="351"/>
      <c r="IF1420" s="351"/>
      <c r="IG1420" s="351"/>
      <c r="IH1420" s="351"/>
      <c r="II1420" s="351"/>
      <c r="IJ1420" s="351"/>
      <c r="IK1420" s="351"/>
      <c r="IL1420" s="351"/>
      <c r="IM1420" s="351"/>
      <c r="IN1420" s="351"/>
      <c r="IO1420" s="351"/>
      <c r="IP1420" s="351"/>
      <c r="IQ1420" s="351"/>
      <c r="IR1420" s="351"/>
      <c r="IS1420" s="351"/>
      <c r="IT1420" s="351"/>
      <c r="IU1420" s="351"/>
      <c r="IV1420" s="351"/>
      <c r="IW1420" s="351"/>
      <c r="IX1420" s="351"/>
      <c r="IY1420" s="351"/>
      <c r="IZ1420" s="351"/>
      <c r="JA1420" s="351"/>
      <c r="JB1420" s="351"/>
      <c r="JC1420" s="351"/>
      <c r="JD1420" s="351"/>
      <c r="JE1420" s="347"/>
      <c r="JF1420" s="343"/>
      <c r="JG1420" s="351"/>
      <c r="JH1420" s="351"/>
      <c r="JI1420" s="351"/>
      <c r="JJ1420" s="351"/>
      <c r="JK1420" s="351"/>
      <c r="JL1420" s="351"/>
      <c r="JM1420" s="351"/>
      <c r="JN1420" s="351"/>
      <c r="JO1420" s="351"/>
      <c r="JP1420" s="351"/>
      <c r="JQ1420" s="351"/>
      <c r="JR1420" s="351"/>
      <c r="JS1420" s="351"/>
      <c r="JT1420" s="351"/>
      <c r="JU1420" s="351"/>
      <c r="JV1420" s="351"/>
      <c r="JW1420" s="351"/>
      <c r="JX1420" s="351"/>
      <c r="JY1420" s="351"/>
      <c r="JZ1420" s="351"/>
      <c r="KA1420" s="351"/>
      <c r="KB1420" s="351"/>
      <c r="KC1420" s="351"/>
      <c r="KD1420" s="351"/>
      <c r="KE1420" s="351"/>
      <c r="KF1420" s="351"/>
      <c r="KG1420" s="351"/>
      <c r="KH1420" s="351"/>
      <c r="KI1420" s="351"/>
      <c r="KJ1420" s="351"/>
      <c r="KK1420" s="351"/>
      <c r="KL1420" s="351"/>
      <c r="KM1420" s="351"/>
      <c r="KN1420" s="351"/>
      <c r="KO1420" s="351"/>
      <c r="KP1420" s="351"/>
      <c r="KQ1420" s="351"/>
      <c r="KR1420" s="351"/>
      <c r="KS1420" s="351"/>
      <c r="KT1420" s="351"/>
      <c r="KU1420" s="351"/>
      <c r="KV1420" s="351"/>
      <c r="KW1420" s="351"/>
      <c r="KX1420" s="351"/>
      <c r="KY1420" s="351"/>
      <c r="KZ1420" s="351"/>
      <c r="LA1420" s="351"/>
      <c r="LB1420" s="343"/>
      <c r="LC1420" s="351"/>
      <c r="LD1420" s="351"/>
      <c r="LE1420" s="343"/>
      <c r="LF1420" s="351"/>
      <c r="LG1420" s="351"/>
      <c r="LH1420" s="351"/>
      <c r="LI1420" s="351"/>
      <c r="LJ1420" s="342"/>
      <c r="LK1420" s="342"/>
      <c r="LL1420" s="342"/>
      <c r="LM1420" s="342"/>
      <c r="LN1420" s="342"/>
      <c r="LO1420" s="342"/>
      <c r="LP1420" s="342"/>
      <c r="LQ1420" s="342"/>
      <c r="LR1420" s="342"/>
      <c r="LS1420" s="342"/>
      <c r="LT1420" s="342"/>
      <c r="LU1420" s="13"/>
    </row>
    <row r="1421" spans="6:333" ht="10.75" customHeight="1">
      <c r="F1421" s="342"/>
      <c r="G1421" s="342"/>
      <c r="H1421" s="342"/>
      <c r="I1421" s="342"/>
      <c r="J1421" s="342"/>
      <c r="K1421" s="342"/>
      <c r="L1421" s="342"/>
      <c r="M1421" s="342"/>
      <c r="N1421" s="342"/>
      <c r="O1421" s="342"/>
      <c r="P1421" s="342"/>
      <c r="Q1421" s="342"/>
      <c r="R1421" s="342"/>
      <c r="S1421" s="342"/>
      <c r="T1421" s="342"/>
      <c r="U1421" s="342"/>
      <c r="V1421" s="342"/>
      <c r="W1421" s="342"/>
      <c r="X1421" s="342"/>
      <c r="Y1421" s="342"/>
      <c r="Z1421" s="342"/>
      <c r="AA1421" s="342"/>
      <c r="AB1421" s="342"/>
      <c r="AC1421" s="342"/>
      <c r="AD1421" s="342"/>
      <c r="AE1421" s="342"/>
      <c r="AF1421" s="342"/>
      <c r="AG1421" s="342"/>
      <c r="AH1421" s="342"/>
      <c r="AI1421" s="342"/>
      <c r="AJ1421" s="342"/>
      <c r="AK1421" s="342"/>
      <c r="AL1421" s="342"/>
      <c r="AM1421" s="342"/>
      <c r="AN1421" s="342"/>
      <c r="AO1421" s="342"/>
      <c r="AP1421" s="342"/>
      <c r="AQ1421" s="342"/>
      <c r="AR1421" s="342"/>
      <c r="AS1421" s="342"/>
      <c r="AT1421" s="342"/>
      <c r="AU1421" s="342"/>
      <c r="AV1421" s="342"/>
      <c r="AW1421" s="342"/>
      <c r="AX1421" s="342"/>
      <c r="AY1421" s="342"/>
      <c r="AZ1421" s="342"/>
      <c r="BA1421" s="342"/>
      <c r="BB1421" s="342"/>
      <c r="BC1421" s="342"/>
      <c r="BD1421" s="342"/>
      <c r="BE1421" s="342"/>
      <c r="BF1421" s="342"/>
      <c r="BG1421" s="342"/>
      <c r="BH1421" s="342"/>
      <c r="BI1421" s="342"/>
      <c r="BJ1421" s="342"/>
      <c r="BK1421" s="342"/>
      <c r="BL1421" s="342"/>
      <c r="BM1421" s="342"/>
      <c r="BN1421" s="342"/>
      <c r="BO1421" s="342"/>
      <c r="BP1421" s="342"/>
      <c r="BQ1421" s="342"/>
      <c r="BR1421" s="342"/>
      <c r="BS1421" s="342"/>
      <c r="BT1421" s="342"/>
      <c r="BU1421" s="342"/>
      <c r="BV1421" s="342"/>
      <c r="BW1421" s="342"/>
      <c r="BX1421" s="342"/>
      <c r="BY1421" s="342"/>
      <c r="BZ1421" s="342"/>
      <c r="CA1421" s="342"/>
      <c r="CB1421" s="342"/>
      <c r="CC1421" s="342"/>
      <c r="CD1421" s="342"/>
      <c r="CE1421" s="342"/>
      <c r="CF1421" s="342"/>
      <c r="CG1421" s="342"/>
      <c r="CH1421" s="342"/>
      <c r="CI1421" s="342"/>
      <c r="CJ1421" s="342"/>
      <c r="CK1421" s="342"/>
      <c r="CL1421" s="342"/>
      <c r="CM1421" s="342"/>
      <c r="CN1421" s="342"/>
      <c r="CO1421" s="342"/>
      <c r="CP1421" s="342"/>
      <c r="CQ1421" s="342"/>
      <c r="CR1421" s="342"/>
      <c r="CS1421" s="342"/>
      <c r="CT1421" s="342"/>
      <c r="CU1421" s="342"/>
      <c r="CV1421" s="342"/>
      <c r="CW1421" s="342"/>
      <c r="CX1421" s="342"/>
      <c r="CY1421" s="342"/>
      <c r="CZ1421" s="342"/>
      <c r="DA1421" s="342"/>
      <c r="DB1421" s="342"/>
      <c r="DC1421" s="342"/>
      <c r="DD1421" s="342"/>
      <c r="DE1421" s="342"/>
      <c r="DF1421" s="342"/>
      <c r="DG1421" s="342"/>
      <c r="DH1421" s="342"/>
      <c r="DI1421" s="342"/>
      <c r="DJ1421" s="342"/>
      <c r="DK1421" s="342"/>
      <c r="DL1421" s="342"/>
      <c r="DM1421" s="342"/>
      <c r="DN1421" s="342"/>
      <c r="DO1421" s="342"/>
      <c r="DP1421" s="342"/>
      <c r="DQ1421" s="342"/>
      <c r="DR1421" s="342"/>
      <c r="DS1421" s="342"/>
      <c r="DT1421" s="342"/>
      <c r="DU1421" s="342"/>
      <c r="EK1421" s="342"/>
      <c r="EL1421" s="342"/>
      <c r="EM1421" s="342"/>
      <c r="EN1421" s="342"/>
      <c r="EO1421" s="342"/>
      <c r="EP1421" s="342"/>
      <c r="EQ1421" s="342"/>
      <c r="ER1421" s="342"/>
      <c r="ES1421" s="12"/>
      <c r="ET1421" s="12"/>
      <c r="EU1421" s="342"/>
      <c r="EV1421" s="342"/>
      <c r="EW1421" s="342"/>
      <c r="EX1421" s="342"/>
      <c r="EY1421" s="342"/>
      <c r="EZ1421" s="342"/>
      <c r="FA1421" s="342"/>
      <c r="FB1421" s="342"/>
      <c r="FC1421" s="342"/>
      <c r="FD1421" s="342"/>
      <c r="FE1421" s="342"/>
      <c r="FF1421" s="342"/>
      <c r="FG1421" s="342"/>
      <c r="FH1421" s="342"/>
      <c r="FI1421" s="342"/>
      <c r="FJ1421" s="342"/>
      <c r="FK1421" s="342"/>
      <c r="FL1421" s="342"/>
      <c r="FM1421" s="342"/>
      <c r="FN1421" s="342"/>
      <c r="FO1421" s="342"/>
      <c r="FP1421" s="342"/>
      <c r="FQ1421" s="342"/>
      <c r="FR1421" s="342"/>
      <c r="FS1421" s="342"/>
      <c r="FT1421" s="342"/>
      <c r="FU1421" s="13"/>
      <c r="FV1421" s="9"/>
      <c r="FW1421" s="10"/>
      <c r="FX1421" s="10"/>
      <c r="FY1421" s="10"/>
      <c r="FZ1421" s="10"/>
      <c r="GA1421" s="10"/>
      <c r="GB1421" s="10"/>
      <c r="GC1421" s="10"/>
      <c r="GD1421" s="10"/>
      <c r="GE1421" s="11"/>
      <c r="GM1421" s="12"/>
      <c r="GP1421" s="12"/>
      <c r="GQ1421" s="342"/>
      <c r="GR1421" s="342"/>
      <c r="GS1421" s="342"/>
      <c r="GT1421" s="342"/>
      <c r="GU1421" s="342"/>
      <c r="GV1421" s="342"/>
      <c r="GW1421" s="342"/>
      <c r="GX1421" s="342"/>
      <c r="GY1421" s="342"/>
      <c r="GZ1421" s="342"/>
      <c r="HA1421" s="342"/>
      <c r="HB1421" s="342"/>
      <c r="HC1421" s="342"/>
      <c r="HD1421" s="342"/>
      <c r="HE1421" s="342"/>
      <c r="HF1421" s="342"/>
      <c r="HG1421" s="342"/>
      <c r="HH1421" s="342"/>
      <c r="HI1421" s="351"/>
      <c r="HJ1421" s="343"/>
      <c r="HK1421" s="351"/>
      <c r="HL1421" s="351"/>
      <c r="HM1421" s="347"/>
      <c r="HN1421" s="351"/>
      <c r="HO1421" s="351"/>
      <c r="HP1421" s="351"/>
      <c r="HQ1421" s="351"/>
      <c r="HR1421" s="351"/>
      <c r="HS1421" s="351"/>
      <c r="HT1421" s="351"/>
      <c r="HU1421" s="351"/>
      <c r="HV1421" s="351"/>
      <c r="HW1421" s="351"/>
      <c r="HX1421" s="351"/>
      <c r="HY1421" s="351"/>
      <c r="HZ1421" s="351"/>
      <c r="IA1421" s="351"/>
      <c r="IB1421" s="351"/>
      <c r="IC1421" s="351"/>
      <c r="ID1421" s="351"/>
      <c r="IE1421" s="351"/>
      <c r="IF1421" s="351"/>
      <c r="IG1421" s="351"/>
      <c r="IH1421" s="351"/>
      <c r="II1421" s="351"/>
      <c r="IJ1421" s="351"/>
      <c r="IK1421" s="351"/>
      <c r="IL1421" s="351"/>
      <c r="IM1421" s="351"/>
      <c r="IN1421" s="351"/>
      <c r="IO1421" s="351"/>
      <c r="IP1421" s="351"/>
      <c r="IQ1421" s="351"/>
      <c r="IR1421" s="351"/>
      <c r="IS1421" s="351"/>
      <c r="IT1421" s="351"/>
      <c r="IU1421" s="351"/>
      <c r="IV1421" s="351"/>
      <c r="IW1421" s="351"/>
      <c r="IX1421" s="351"/>
      <c r="IY1421" s="351"/>
      <c r="IZ1421" s="351"/>
      <c r="JA1421" s="351"/>
      <c r="JB1421" s="351"/>
      <c r="JC1421" s="351"/>
      <c r="JD1421" s="351"/>
      <c r="JE1421" s="347"/>
      <c r="JF1421" s="343"/>
      <c r="JG1421" s="351"/>
      <c r="JH1421" s="351"/>
      <c r="JI1421" s="351"/>
      <c r="JJ1421" s="351"/>
      <c r="JK1421" s="351"/>
      <c r="JL1421" s="351"/>
      <c r="JM1421" s="351"/>
      <c r="JN1421" s="351"/>
      <c r="JO1421" s="351"/>
      <c r="JP1421" s="351"/>
      <c r="JQ1421" s="351"/>
      <c r="JR1421" s="351"/>
      <c r="JS1421" s="351"/>
      <c r="JT1421" s="351"/>
      <c r="JU1421" s="351"/>
      <c r="JV1421" s="351"/>
      <c r="JW1421" s="351"/>
      <c r="JX1421" s="351"/>
      <c r="JY1421" s="351"/>
      <c r="JZ1421" s="351"/>
      <c r="KA1421" s="351"/>
      <c r="KB1421" s="351"/>
      <c r="KC1421" s="351"/>
      <c r="KD1421" s="351"/>
      <c r="KE1421" s="351"/>
      <c r="KF1421" s="351"/>
      <c r="KG1421" s="351"/>
      <c r="KH1421" s="351"/>
      <c r="KI1421" s="351"/>
      <c r="KJ1421" s="351"/>
      <c r="KK1421" s="351"/>
      <c r="KL1421" s="351"/>
      <c r="KM1421" s="351"/>
      <c r="KN1421" s="351"/>
      <c r="KO1421" s="351"/>
      <c r="KP1421" s="351"/>
      <c r="KQ1421" s="351"/>
      <c r="KR1421" s="351"/>
      <c r="KS1421" s="351"/>
      <c r="KT1421" s="351"/>
      <c r="KU1421" s="351"/>
      <c r="KV1421" s="351"/>
      <c r="KW1421" s="351"/>
      <c r="KX1421" s="351"/>
      <c r="KY1421" s="351"/>
      <c r="KZ1421" s="351"/>
      <c r="LA1421" s="351"/>
      <c r="LB1421" s="343"/>
      <c r="LC1421" s="351"/>
      <c r="LD1421" s="351"/>
      <c r="LE1421" s="343"/>
      <c r="LF1421" s="351"/>
      <c r="LG1421" s="351"/>
      <c r="LH1421" s="351"/>
      <c r="LI1421" s="351"/>
      <c r="LJ1421" s="342"/>
      <c r="LK1421" s="342"/>
      <c r="LL1421" s="342"/>
      <c r="LM1421" s="342"/>
      <c r="LN1421" s="342"/>
      <c r="LO1421" s="342"/>
      <c r="LP1421" s="342"/>
      <c r="LQ1421" s="342"/>
      <c r="LR1421" s="342"/>
      <c r="LS1421" s="342"/>
      <c r="LT1421" s="342"/>
      <c r="LU1421" s="13"/>
    </row>
    <row r="1422" spans="6:333" ht="10.75" customHeight="1">
      <c r="F1422" s="342"/>
      <c r="G1422" s="342"/>
      <c r="H1422" s="342"/>
      <c r="I1422" s="342"/>
      <c r="J1422" s="342"/>
      <c r="K1422" s="342"/>
      <c r="L1422" s="342"/>
      <c r="M1422" s="342"/>
      <c r="N1422" s="342"/>
      <c r="O1422" s="342"/>
      <c r="P1422" s="342"/>
      <c r="Q1422" s="342"/>
      <c r="R1422" s="342"/>
      <c r="S1422" s="342"/>
      <c r="T1422" s="342"/>
      <c r="U1422" s="342"/>
      <c r="V1422" s="342"/>
      <c r="W1422" s="342"/>
      <c r="X1422" s="342"/>
      <c r="Y1422" s="342"/>
      <c r="Z1422" s="342"/>
      <c r="AA1422" s="342"/>
      <c r="AB1422" s="342"/>
      <c r="AC1422" s="342"/>
      <c r="AD1422" s="342"/>
      <c r="AE1422" s="342"/>
      <c r="AF1422" s="342"/>
      <c r="AG1422" s="342"/>
      <c r="AH1422" s="342"/>
      <c r="AI1422" s="342"/>
      <c r="AJ1422" s="342"/>
      <c r="AK1422" s="342"/>
      <c r="AL1422" s="342"/>
      <c r="AM1422" s="342"/>
      <c r="AN1422" s="342"/>
      <c r="AO1422" s="342"/>
      <c r="AP1422" s="342"/>
      <c r="AQ1422" s="342"/>
      <c r="AR1422" s="342"/>
      <c r="AS1422" s="342"/>
      <c r="AT1422" s="342"/>
      <c r="AU1422" s="342"/>
      <c r="AV1422" s="342"/>
      <c r="AW1422" s="342"/>
      <c r="AX1422" s="342"/>
      <c r="AY1422" s="342"/>
      <c r="AZ1422" s="342"/>
      <c r="BA1422" s="342"/>
      <c r="BB1422" s="342"/>
      <c r="BC1422" s="342"/>
      <c r="BD1422" s="342"/>
      <c r="BE1422" s="342"/>
      <c r="BF1422" s="342"/>
      <c r="BG1422" s="342"/>
      <c r="BH1422" s="342"/>
      <c r="BI1422" s="342"/>
      <c r="BJ1422" s="342"/>
      <c r="BK1422" s="342"/>
      <c r="BL1422" s="342"/>
      <c r="BM1422" s="342"/>
      <c r="BN1422" s="342"/>
      <c r="BO1422" s="342"/>
      <c r="BP1422" s="342"/>
      <c r="BQ1422" s="342"/>
      <c r="BR1422" s="342"/>
      <c r="BS1422" s="342"/>
      <c r="BT1422" s="342"/>
      <c r="BU1422" s="342"/>
      <c r="BV1422" s="342"/>
      <c r="BW1422" s="342"/>
      <c r="BX1422" s="342"/>
      <c r="BY1422" s="342"/>
      <c r="BZ1422" s="342"/>
      <c r="CA1422" s="342"/>
      <c r="CB1422" s="342"/>
      <c r="CC1422" s="342"/>
      <c r="CD1422" s="342"/>
      <c r="CE1422" s="342"/>
      <c r="CF1422" s="342"/>
      <c r="CG1422" s="342"/>
      <c r="CH1422" s="342"/>
      <c r="CI1422" s="342"/>
      <c r="CJ1422" s="342"/>
      <c r="CK1422" s="342"/>
      <c r="CL1422" s="342"/>
      <c r="CM1422" s="342"/>
      <c r="CN1422" s="342"/>
      <c r="CO1422" s="342"/>
      <c r="CP1422" s="342"/>
      <c r="CQ1422" s="342"/>
      <c r="CR1422" s="342"/>
      <c r="CS1422" s="342"/>
      <c r="CT1422" s="342"/>
      <c r="CU1422" s="342"/>
      <c r="CV1422" s="342"/>
      <c r="CW1422" s="342"/>
      <c r="CX1422" s="342"/>
      <c r="CY1422" s="342"/>
      <c r="CZ1422" s="342"/>
      <c r="DA1422" s="342"/>
      <c r="DB1422" s="342"/>
      <c r="DC1422" s="342"/>
      <c r="DD1422" s="342"/>
      <c r="DE1422" s="342"/>
      <c r="DF1422" s="342"/>
      <c r="DG1422" s="342"/>
      <c r="DH1422" s="342"/>
      <c r="DI1422" s="342"/>
      <c r="DJ1422" s="342"/>
      <c r="DK1422" s="342"/>
      <c r="DL1422" s="342"/>
      <c r="DM1422" s="342"/>
      <c r="DN1422" s="342"/>
      <c r="DO1422" s="342"/>
      <c r="DP1422" s="342"/>
      <c r="DQ1422" s="342"/>
      <c r="DR1422" s="342"/>
      <c r="DS1422" s="342"/>
      <c r="DT1422" s="342"/>
      <c r="DU1422" s="342"/>
      <c r="ES1422" s="12"/>
      <c r="ET1422" s="12"/>
      <c r="EU1422" s="342"/>
      <c r="EV1422" s="342"/>
      <c r="EW1422" s="342"/>
      <c r="EX1422" s="342"/>
      <c r="EY1422" s="342"/>
      <c r="EZ1422" s="342"/>
      <c r="FA1422" s="342"/>
      <c r="FB1422" s="342"/>
      <c r="FC1422" s="342"/>
      <c r="FD1422" s="342"/>
      <c r="FE1422" s="342"/>
      <c r="FF1422" s="342"/>
      <c r="FG1422" s="342"/>
      <c r="FH1422" s="342"/>
      <c r="FI1422" s="342"/>
      <c r="FJ1422" s="342"/>
      <c r="FK1422" s="342"/>
      <c r="FL1422" s="342"/>
      <c r="FM1422" s="342"/>
      <c r="FN1422" s="342"/>
      <c r="FO1422" s="342"/>
      <c r="FP1422" s="342"/>
      <c r="FQ1422" s="342"/>
      <c r="FR1422" s="342"/>
      <c r="FS1422" s="342"/>
      <c r="FT1422" s="342"/>
      <c r="FU1422" s="13"/>
      <c r="FV1422" s="12"/>
      <c r="FW1422" s="342"/>
      <c r="FX1422" s="342"/>
      <c r="FY1422" s="342"/>
      <c r="FZ1422" s="342"/>
      <c r="GA1422" s="342"/>
      <c r="GB1422" s="342"/>
      <c r="GC1422" s="342"/>
      <c r="GD1422" s="342"/>
      <c r="GE1422" s="13"/>
      <c r="GM1422" s="12"/>
      <c r="GP1422" s="17"/>
      <c r="GQ1422" s="17"/>
      <c r="GR1422" s="342"/>
      <c r="GS1422" s="342"/>
      <c r="GT1422" s="342"/>
      <c r="GU1422" s="342"/>
      <c r="GV1422" s="342"/>
      <c r="GW1422" s="342"/>
      <c r="GX1422" s="342"/>
      <c r="GY1422" s="342"/>
      <c r="GZ1422" s="342"/>
      <c r="HA1422" s="342"/>
      <c r="HB1422" s="342"/>
      <c r="HC1422" s="342"/>
      <c r="HD1422" s="342"/>
      <c r="HE1422" s="342"/>
      <c r="HF1422" s="342"/>
      <c r="HG1422" s="342"/>
      <c r="HH1422" s="342"/>
      <c r="HI1422" s="351"/>
      <c r="HJ1422" s="343"/>
      <c r="HK1422" s="351"/>
      <c r="HL1422" s="351"/>
      <c r="HM1422" s="347"/>
      <c r="HN1422" s="351"/>
      <c r="HO1422" s="351"/>
      <c r="HP1422" s="351"/>
      <c r="HQ1422" s="351"/>
      <c r="HR1422" s="351"/>
      <c r="HS1422" s="351"/>
      <c r="HT1422" s="351"/>
      <c r="HU1422" s="351"/>
      <c r="HV1422" s="351"/>
      <c r="HW1422" s="351"/>
      <c r="HX1422" s="351"/>
      <c r="HY1422" s="351"/>
      <c r="HZ1422" s="351"/>
      <c r="IA1422" s="351"/>
      <c r="IB1422" s="351"/>
      <c r="IC1422" s="351"/>
      <c r="ID1422" s="351"/>
      <c r="IE1422" s="351"/>
      <c r="IF1422" s="351"/>
      <c r="IG1422" s="351"/>
      <c r="IH1422" s="351"/>
      <c r="II1422" s="351"/>
      <c r="IJ1422" s="351"/>
      <c r="IK1422" s="351"/>
      <c r="IL1422" s="351"/>
      <c r="IM1422" s="351"/>
      <c r="IN1422" s="351"/>
      <c r="IO1422" s="351"/>
      <c r="IP1422" s="351"/>
      <c r="IQ1422" s="351"/>
      <c r="IR1422" s="351"/>
      <c r="IS1422" s="351"/>
      <c r="IT1422" s="351"/>
      <c r="IU1422" s="351"/>
      <c r="IV1422" s="351"/>
      <c r="IW1422" s="351"/>
      <c r="IX1422" s="351"/>
      <c r="IY1422" s="351"/>
      <c r="IZ1422" s="351"/>
      <c r="JA1422" s="351"/>
      <c r="JB1422" s="351"/>
      <c r="JC1422" s="351"/>
      <c r="JD1422" s="351"/>
      <c r="JE1422" s="347"/>
      <c r="JF1422" s="343"/>
      <c r="JG1422" s="351"/>
      <c r="JH1422" s="351"/>
      <c r="JI1422" s="351"/>
      <c r="JJ1422" s="351"/>
      <c r="JK1422" s="351"/>
      <c r="JL1422" s="351"/>
      <c r="JM1422" s="351"/>
      <c r="JN1422" s="351"/>
      <c r="JO1422" s="351"/>
      <c r="JP1422" s="351"/>
      <c r="JQ1422" s="351"/>
      <c r="JR1422" s="351"/>
      <c r="JS1422" s="351"/>
      <c r="JT1422" s="351"/>
      <c r="JU1422" s="351"/>
      <c r="JV1422" s="351"/>
      <c r="JW1422" s="351"/>
      <c r="JX1422" s="351"/>
      <c r="JY1422" s="351"/>
      <c r="JZ1422" s="351"/>
      <c r="KA1422" s="351"/>
      <c r="KB1422" s="351"/>
      <c r="KC1422" s="351"/>
      <c r="KD1422" s="351"/>
      <c r="KE1422" s="351"/>
      <c r="KF1422" s="351"/>
      <c r="KG1422" s="351"/>
      <c r="KH1422" s="351"/>
      <c r="KI1422" s="351"/>
      <c r="KJ1422" s="351"/>
      <c r="KK1422" s="351"/>
      <c r="KL1422" s="351"/>
      <c r="KM1422" s="351"/>
      <c r="KN1422" s="351"/>
      <c r="KO1422" s="351"/>
      <c r="KP1422" s="351"/>
      <c r="KQ1422" s="351"/>
      <c r="KR1422" s="351"/>
      <c r="KS1422" s="351"/>
      <c r="KT1422" s="351"/>
      <c r="KU1422" s="351"/>
      <c r="KV1422" s="351"/>
      <c r="KW1422" s="351"/>
      <c r="KX1422" s="351"/>
      <c r="KY1422" s="351"/>
      <c r="KZ1422" s="351"/>
      <c r="LA1422" s="351"/>
      <c r="LB1422" s="343"/>
      <c r="LC1422" s="351"/>
      <c r="LD1422" s="351"/>
      <c r="LE1422" s="343"/>
      <c r="LF1422" s="351"/>
      <c r="LG1422" s="351"/>
      <c r="LH1422" s="351"/>
      <c r="LI1422" s="351"/>
      <c r="LJ1422" s="342"/>
      <c r="LK1422" s="342"/>
      <c r="LL1422" s="342"/>
      <c r="LM1422" s="342"/>
      <c r="LN1422" s="342"/>
      <c r="LO1422" s="342"/>
      <c r="LP1422" s="342"/>
      <c r="LQ1422" s="342"/>
      <c r="LR1422" s="342"/>
      <c r="LS1422" s="342"/>
      <c r="LT1422" s="342"/>
      <c r="LU1422" s="13"/>
    </row>
    <row r="1423" spans="6:333" ht="10.75" customHeight="1">
      <c r="F1423" s="342"/>
      <c r="G1423" s="342"/>
      <c r="H1423" s="342"/>
      <c r="I1423" s="342"/>
      <c r="J1423" s="342"/>
      <c r="K1423" s="342"/>
      <c r="L1423" s="342"/>
      <c r="M1423" s="342"/>
      <c r="N1423" s="342"/>
      <c r="O1423" s="342"/>
      <c r="P1423" s="342"/>
      <c r="Q1423" s="342"/>
      <c r="R1423" s="342"/>
      <c r="S1423" s="342"/>
      <c r="T1423" s="342"/>
      <c r="U1423" s="342"/>
      <c r="V1423" s="342"/>
      <c r="W1423" s="342"/>
      <c r="X1423" s="342"/>
      <c r="Y1423" s="342"/>
      <c r="Z1423" s="342"/>
      <c r="AA1423" s="342"/>
      <c r="AB1423" s="342"/>
      <c r="AC1423" s="342"/>
      <c r="AD1423" s="342"/>
      <c r="AE1423" s="342"/>
      <c r="AF1423" s="342"/>
      <c r="AG1423" s="342"/>
      <c r="AH1423" s="342"/>
      <c r="AI1423" s="342"/>
      <c r="AJ1423" s="342"/>
      <c r="AK1423" s="342"/>
      <c r="AL1423" s="342"/>
      <c r="AM1423" s="342"/>
      <c r="AN1423" s="342"/>
      <c r="AO1423" s="342"/>
      <c r="AP1423" s="342"/>
      <c r="AQ1423" s="342"/>
      <c r="AR1423" s="342"/>
      <c r="AS1423" s="342"/>
      <c r="AT1423" s="342"/>
      <c r="AU1423" s="342"/>
      <c r="AV1423" s="342"/>
      <c r="AW1423" s="342"/>
      <c r="AX1423" s="342"/>
      <c r="AY1423" s="342"/>
      <c r="AZ1423" s="342"/>
      <c r="BA1423" s="342"/>
      <c r="BB1423" s="342"/>
      <c r="BC1423" s="342"/>
      <c r="BD1423" s="342"/>
      <c r="BE1423" s="342"/>
      <c r="BF1423" s="342"/>
      <c r="BG1423" s="342"/>
      <c r="BH1423" s="342"/>
      <c r="BI1423" s="342"/>
      <c r="BJ1423" s="342"/>
      <c r="BK1423" s="342"/>
      <c r="BL1423" s="342"/>
      <c r="BM1423" s="342"/>
      <c r="BN1423" s="342"/>
      <c r="BO1423" s="342"/>
      <c r="BP1423" s="342"/>
      <c r="BQ1423" s="342"/>
      <c r="BR1423" s="342"/>
      <c r="BS1423" s="342"/>
      <c r="BT1423" s="342"/>
      <c r="BU1423" s="342"/>
      <c r="BV1423" s="342"/>
      <c r="BW1423" s="342"/>
      <c r="BX1423" s="342"/>
      <c r="BY1423" s="342"/>
      <c r="BZ1423" s="342"/>
      <c r="CA1423" s="342"/>
      <c r="CB1423" s="342"/>
      <c r="CC1423" s="342"/>
      <c r="CD1423" s="342"/>
      <c r="CE1423" s="342"/>
      <c r="CF1423" s="342"/>
      <c r="CG1423" s="342"/>
      <c r="CH1423" s="342"/>
      <c r="CI1423" s="342"/>
      <c r="CJ1423" s="342"/>
      <c r="CK1423" s="342"/>
      <c r="CL1423" s="342"/>
      <c r="CM1423" s="342"/>
      <c r="CN1423" s="342"/>
      <c r="CO1423" s="342"/>
      <c r="CP1423" s="342"/>
      <c r="CQ1423" s="342"/>
      <c r="CR1423" s="342"/>
      <c r="CS1423" s="342"/>
      <c r="CT1423" s="342"/>
      <c r="CU1423" s="342"/>
      <c r="CV1423" s="342"/>
      <c r="CW1423" s="342"/>
      <c r="CX1423" s="342"/>
      <c r="CY1423" s="342"/>
      <c r="CZ1423" s="342"/>
      <c r="DA1423" s="342"/>
      <c r="DB1423" s="342"/>
      <c r="DC1423" s="342"/>
      <c r="DD1423" s="342"/>
      <c r="DE1423" s="342"/>
      <c r="DF1423" s="342"/>
      <c r="DG1423" s="342"/>
      <c r="DH1423" s="342"/>
      <c r="DI1423" s="342"/>
      <c r="DJ1423" s="342"/>
      <c r="DK1423" s="342"/>
      <c r="DL1423" s="342"/>
      <c r="DM1423" s="342"/>
      <c r="DN1423" s="342"/>
      <c r="DO1423" s="342"/>
      <c r="DP1423" s="342"/>
      <c r="DQ1423" s="342"/>
      <c r="DR1423" s="342"/>
      <c r="DS1423" s="342"/>
      <c r="DT1423" s="342"/>
      <c r="DU1423" s="342"/>
      <c r="ES1423" s="12"/>
      <c r="ET1423" s="12"/>
      <c r="EU1423" s="342"/>
      <c r="EV1423" s="342"/>
      <c r="EW1423" s="342"/>
      <c r="EX1423" s="342"/>
      <c r="EY1423" s="342"/>
      <c r="EZ1423" s="342"/>
      <c r="FA1423" s="342"/>
      <c r="FB1423" s="342"/>
      <c r="FC1423" s="342"/>
      <c r="FD1423" s="342"/>
      <c r="FE1423" s="342"/>
      <c r="FF1423" s="342"/>
      <c r="FG1423" s="342"/>
      <c r="FH1423" s="342"/>
      <c r="FI1423" s="342"/>
      <c r="FJ1423" s="342"/>
      <c r="FK1423" s="342"/>
      <c r="FL1423" s="342"/>
      <c r="FM1423" s="342"/>
      <c r="FN1423" s="342"/>
      <c r="FO1423" s="342"/>
      <c r="FP1423" s="342"/>
      <c r="FQ1423" s="342"/>
      <c r="FR1423" s="342"/>
      <c r="FS1423" s="342"/>
      <c r="FT1423" s="342"/>
      <c r="FU1423" s="13"/>
      <c r="FV1423" s="12"/>
      <c r="FW1423" s="342"/>
      <c r="FX1423" s="342"/>
      <c r="FY1423" s="342"/>
      <c r="FZ1423" s="342"/>
      <c r="GA1423" s="342"/>
      <c r="GB1423" s="342"/>
      <c r="GC1423" s="342"/>
      <c r="GD1423" s="342"/>
      <c r="GE1423" s="13"/>
      <c r="GM1423" s="12"/>
      <c r="GP1423" s="18"/>
      <c r="GQ1423" s="18"/>
      <c r="GR1423" s="342"/>
      <c r="GS1423" s="342"/>
      <c r="GT1423" s="342"/>
      <c r="GU1423" s="342"/>
      <c r="GV1423" s="342"/>
      <c r="GW1423" s="342"/>
      <c r="GX1423" s="342"/>
      <c r="GY1423" s="342"/>
      <c r="GZ1423" s="342"/>
      <c r="HA1423" s="342"/>
      <c r="HB1423" s="342"/>
      <c r="HC1423" s="342"/>
      <c r="HD1423" s="342"/>
      <c r="HE1423" s="342"/>
      <c r="HF1423" s="342"/>
      <c r="HG1423" s="342"/>
      <c r="HH1423" s="342"/>
      <c r="HI1423" s="351"/>
      <c r="HJ1423" s="343"/>
      <c r="HK1423" s="351"/>
      <c r="HL1423" s="351"/>
      <c r="HM1423" s="347"/>
      <c r="HN1423" s="351"/>
      <c r="HO1423" s="351"/>
      <c r="HP1423" s="351"/>
      <c r="HQ1423" s="351"/>
      <c r="HR1423" s="351"/>
      <c r="HS1423" s="351"/>
      <c r="HT1423" s="351"/>
      <c r="HU1423" s="351"/>
      <c r="HV1423" s="351"/>
      <c r="HW1423" s="351"/>
      <c r="HX1423" s="351"/>
      <c r="HY1423" s="351"/>
      <c r="HZ1423" s="351"/>
      <c r="IA1423" s="351"/>
      <c r="IB1423" s="351"/>
      <c r="IC1423" s="351"/>
      <c r="ID1423" s="351"/>
      <c r="IE1423" s="351"/>
      <c r="IF1423" s="351"/>
      <c r="IG1423" s="351"/>
      <c r="IH1423" s="351"/>
      <c r="II1423" s="351"/>
      <c r="IJ1423" s="351"/>
      <c r="IK1423" s="351"/>
      <c r="IL1423" s="351"/>
      <c r="IM1423" s="351"/>
      <c r="IN1423" s="351"/>
      <c r="IO1423" s="351"/>
      <c r="IP1423" s="351"/>
      <c r="IQ1423" s="351"/>
      <c r="IR1423" s="351"/>
      <c r="IS1423" s="351"/>
      <c r="IT1423" s="351"/>
      <c r="IU1423" s="351"/>
      <c r="IV1423" s="351"/>
      <c r="IW1423" s="351"/>
      <c r="IX1423" s="351"/>
      <c r="IY1423" s="351"/>
      <c r="IZ1423" s="351"/>
      <c r="JA1423" s="351"/>
      <c r="JB1423" s="351"/>
      <c r="JC1423" s="351"/>
      <c r="JD1423" s="351"/>
      <c r="JE1423" s="347"/>
      <c r="JF1423" s="343"/>
      <c r="JG1423" s="351"/>
      <c r="JH1423" s="351"/>
      <c r="JI1423" s="351"/>
      <c r="JJ1423" s="351"/>
      <c r="JK1423" s="351"/>
      <c r="JL1423" s="351"/>
      <c r="JM1423" s="351"/>
      <c r="JN1423" s="351"/>
      <c r="JO1423" s="351"/>
      <c r="JP1423" s="351"/>
      <c r="JQ1423" s="351"/>
      <c r="JR1423" s="351"/>
      <c r="JS1423" s="351"/>
      <c r="JT1423" s="351"/>
      <c r="JU1423" s="351"/>
      <c r="JV1423" s="351"/>
      <c r="JW1423" s="351"/>
      <c r="JX1423" s="351"/>
      <c r="JY1423" s="351"/>
      <c r="JZ1423" s="351"/>
      <c r="KA1423" s="351"/>
      <c r="KB1423" s="351"/>
      <c r="KC1423" s="351"/>
      <c r="KD1423" s="351"/>
      <c r="KE1423" s="351"/>
      <c r="KF1423" s="351"/>
      <c r="KG1423" s="351"/>
      <c r="KH1423" s="351"/>
      <c r="KI1423" s="351"/>
      <c r="KJ1423" s="351"/>
      <c r="KK1423" s="351"/>
      <c r="KL1423" s="351"/>
      <c r="KM1423" s="351"/>
      <c r="KN1423" s="351"/>
      <c r="KO1423" s="351"/>
      <c r="KP1423" s="351"/>
      <c r="KQ1423" s="351"/>
      <c r="KR1423" s="351"/>
      <c r="KS1423" s="351"/>
      <c r="KT1423" s="351"/>
      <c r="KU1423" s="351"/>
      <c r="KV1423" s="351"/>
      <c r="KW1423" s="351"/>
      <c r="KX1423" s="351"/>
      <c r="KY1423" s="351"/>
      <c r="KZ1423" s="351"/>
      <c r="LA1423" s="351"/>
      <c r="LB1423" s="343"/>
      <c r="LC1423" s="351"/>
      <c r="LD1423" s="351"/>
      <c r="LE1423" s="343"/>
      <c r="LF1423" s="351"/>
      <c r="LG1423" s="351"/>
      <c r="LH1423" s="351"/>
      <c r="LI1423" s="351"/>
      <c r="LJ1423" s="342"/>
      <c r="LK1423" s="342"/>
      <c r="LL1423" s="342"/>
      <c r="LM1423" s="342"/>
      <c r="LN1423" s="342"/>
      <c r="LO1423" s="342"/>
      <c r="LP1423" s="342"/>
      <c r="LQ1423" s="342"/>
      <c r="LR1423" s="342"/>
      <c r="LS1423" s="342"/>
      <c r="LT1423" s="342"/>
      <c r="LU1423" s="13"/>
    </row>
    <row r="1424" spans="6:333" ht="10.75" customHeight="1">
      <c r="F1424" s="342"/>
      <c r="G1424" s="342"/>
      <c r="H1424" s="342"/>
      <c r="I1424" s="342"/>
      <c r="J1424" s="342"/>
      <c r="K1424" s="342"/>
      <c r="L1424" s="342"/>
      <c r="M1424" s="342"/>
      <c r="N1424" s="342"/>
      <c r="O1424" s="342"/>
      <c r="P1424" s="342"/>
      <c r="Q1424" s="342"/>
      <c r="R1424" s="342"/>
      <c r="S1424" s="342"/>
      <c r="T1424" s="342"/>
      <c r="U1424" s="342"/>
      <c r="V1424" s="342"/>
      <c r="W1424" s="342"/>
      <c r="X1424" s="342"/>
      <c r="Y1424" s="342"/>
      <c r="Z1424" s="342"/>
      <c r="AA1424" s="342"/>
      <c r="AB1424" s="342"/>
      <c r="AC1424" s="342"/>
      <c r="AD1424" s="342"/>
      <c r="AE1424" s="342"/>
      <c r="AF1424" s="342"/>
      <c r="AG1424" s="342"/>
      <c r="AH1424" s="342"/>
      <c r="AI1424" s="342"/>
      <c r="AJ1424" s="342"/>
      <c r="AK1424" s="342"/>
      <c r="AL1424" s="342"/>
      <c r="AM1424" s="342"/>
      <c r="AN1424" s="342"/>
      <c r="AO1424" s="342"/>
      <c r="AP1424" s="342"/>
      <c r="AQ1424" s="342"/>
      <c r="AR1424" s="342"/>
      <c r="AS1424" s="342"/>
      <c r="AT1424" s="342"/>
      <c r="AU1424" s="342"/>
      <c r="AV1424" s="342"/>
      <c r="AW1424" s="342"/>
      <c r="AX1424" s="342"/>
      <c r="AY1424" s="342"/>
      <c r="AZ1424" s="342"/>
      <c r="BA1424" s="342"/>
      <c r="BB1424" s="342"/>
      <c r="BC1424" s="342"/>
      <c r="BD1424" s="342"/>
      <c r="BE1424" s="342"/>
      <c r="BF1424" s="342"/>
      <c r="BG1424" s="342"/>
      <c r="BH1424" s="342"/>
      <c r="BI1424" s="342"/>
      <c r="BJ1424" s="342"/>
      <c r="BK1424" s="342"/>
      <c r="BL1424" s="342"/>
      <c r="BM1424" s="342"/>
      <c r="BN1424" s="342"/>
      <c r="BO1424" s="342"/>
      <c r="BP1424" s="342"/>
      <c r="BQ1424" s="342"/>
      <c r="BR1424" s="342"/>
      <c r="BS1424" s="342"/>
      <c r="BT1424" s="342"/>
      <c r="BU1424" s="342"/>
      <c r="BV1424" s="342"/>
      <c r="BW1424" s="342"/>
      <c r="BX1424" s="342"/>
      <c r="BY1424" s="342"/>
      <c r="BZ1424" s="342"/>
      <c r="CA1424" s="342"/>
      <c r="CB1424" s="342"/>
      <c r="CC1424" s="342"/>
      <c r="CD1424" s="342"/>
      <c r="CE1424" s="342"/>
      <c r="CF1424" s="342"/>
      <c r="CG1424" s="342"/>
      <c r="CH1424" s="342"/>
      <c r="CI1424" s="342"/>
      <c r="CJ1424" s="342"/>
      <c r="CK1424" s="342"/>
      <c r="CL1424" s="342"/>
      <c r="CM1424" s="342"/>
      <c r="CN1424" s="342"/>
      <c r="CO1424" s="342"/>
      <c r="CP1424" s="342"/>
      <c r="CQ1424" s="342"/>
      <c r="CR1424" s="342"/>
      <c r="CS1424" s="342"/>
      <c r="CT1424" s="342"/>
      <c r="CU1424" s="342"/>
      <c r="CV1424" s="342"/>
      <c r="CW1424" s="342"/>
      <c r="CX1424" s="342"/>
      <c r="CY1424" s="342"/>
      <c r="CZ1424" s="342"/>
      <c r="DA1424" s="342"/>
      <c r="DB1424" s="342"/>
      <c r="DC1424" s="342"/>
      <c r="DD1424" s="342"/>
      <c r="DE1424" s="342"/>
      <c r="DF1424" s="342"/>
      <c r="DG1424" s="342"/>
      <c r="DH1424" s="342"/>
      <c r="DI1424" s="342"/>
      <c r="DJ1424" s="342"/>
      <c r="DK1424" s="342"/>
      <c r="DL1424" s="342"/>
      <c r="DM1424" s="342"/>
      <c r="DN1424" s="342"/>
      <c r="DO1424" s="342"/>
      <c r="DP1424" s="342"/>
      <c r="DQ1424" s="342"/>
      <c r="DR1424" s="342"/>
      <c r="DS1424" s="342"/>
      <c r="DT1424" s="342"/>
      <c r="DU1424" s="342"/>
      <c r="ES1424" s="12"/>
      <c r="ET1424" s="12"/>
      <c r="EU1424" s="342"/>
      <c r="EV1424" s="342"/>
      <c r="EW1424" s="342"/>
      <c r="EX1424" s="342"/>
      <c r="EY1424" s="342"/>
      <c r="EZ1424" s="342"/>
      <c r="FA1424" s="342"/>
      <c r="FB1424" s="342"/>
      <c r="FC1424" s="342"/>
      <c r="FD1424" s="342"/>
      <c r="FE1424" s="342"/>
      <c r="FF1424" s="342"/>
      <c r="FG1424" s="342"/>
      <c r="FH1424" s="342"/>
      <c r="FI1424" s="342"/>
      <c r="FJ1424" s="342"/>
      <c r="FK1424" s="342"/>
      <c r="FL1424" s="342"/>
      <c r="FM1424" s="342"/>
      <c r="FN1424" s="342"/>
      <c r="FO1424" s="342"/>
      <c r="FP1424" s="342"/>
      <c r="FQ1424" s="342"/>
      <c r="FR1424" s="342"/>
      <c r="FS1424" s="342"/>
      <c r="FT1424" s="342"/>
      <c r="FU1424" s="13"/>
      <c r="FV1424" s="12"/>
      <c r="FW1424" s="342"/>
      <c r="FX1424" s="342"/>
      <c r="FY1424" s="342"/>
      <c r="FZ1424" s="342"/>
      <c r="GA1424" s="342"/>
      <c r="GB1424" s="342"/>
      <c r="GC1424" s="342"/>
      <c r="GD1424" s="342"/>
      <c r="GE1424" s="13"/>
      <c r="GM1424" s="12"/>
      <c r="GP1424" s="19"/>
      <c r="GQ1424" s="19"/>
      <c r="GR1424" s="342"/>
      <c r="GS1424" s="342"/>
      <c r="GT1424" s="342"/>
      <c r="GU1424" s="342"/>
      <c r="GV1424" s="342"/>
      <c r="GW1424" s="342"/>
      <c r="GX1424" s="342"/>
      <c r="GY1424" s="342"/>
      <c r="GZ1424" s="342"/>
      <c r="HA1424" s="342"/>
      <c r="HB1424" s="342"/>
      <c r="HC1424" s="342"/>
      <c r="HD1424" s="342"/>
      <c r="HE1424" s="342"/>
      <c r="HF1424" s="342"/>
      <c r="HG1424" s="342"/>
      <c r="HH1424" s="342"/>
      <c r="HI1424" s="351"/>
      <c r="HJ1424" s="343"/>
      <c r="HK1424" s="351"/>
      <c r="HL1424" s="351"/>
      <c r="HM1424" s="347"/>
      <c r="HN1424" s="351"/>
      <c r="HO1424" s="351"/>
      <c r="HP1424" s="351"/>
      <c r="HQ1424" s="351"/>
      <c r="HR1424" s="351"/>
      <c r="HS1424" s="351"/>
      <c r="HT1424" s="351"/>
      <c r="HU1424" s="351"/>
      <c r="HV1424" s="351"/>
      <c r="HW1424" s="351"/>
      <c r="HX1424" s="351"/>
      <c r="HY1424" s="351"/>
      <c r="HZ1424" s="351"/>
      <c r="IA1424" s="351"/>
      <c r="IB1424" s="351"/>
      <c r="IC1424" s="351"/>
      <c r="ID1424" s="351"/>
      <c r="IE1424" s="351"/>
      <c r="IF1424" s="351"/>
      <c r="IG1424" s="351"/>
      <c r="IH1424" s="351"/>
      <c r="II1424" s="351"/>
      <c r="IJ1424" s="351"/>
      <c r="IK1424" s="351"/>
      <c r="IL1424" s="351"/>
      <c r="IM1424" s="351"/>
      <c r="IN1424" s="351"/>
      <c r="IO1424" s="351"/>
      <c r="IP1424" s="351"/>
      <c r="IQ1424" s="351"/>
      <c r="IR1424" s="351"/>
      <c r="IS1424" s="351"/>
      <c r="IT1424" s="351"/>
      <c r="IU1424" s="351"/>
      <c r="IV1424" s="351"/>
      <c r="IW1424" s="351"/>
      <c r="IX1424" s="351"/>
      <c r="IY1424" s="351"/>
      <c r="IZ1424" s="351"/>
      <c r="JA1424" s="351"/>
      <c r="JB1424" s="351"/>
      <c r="JC1424" s="351"/>
      <c r="JD1424" s="351"/>
      <c r="JE1424" s="347"/>
      <c r="JF1424" s="343"/>
      <c r="JG1424" s="351"/>
      <c r="JH1424" s="351"/>
      <c r="JI1424" s="351"/>
      <c r="JJ1424" s="351"/>
      <c r="JK1424" s="351"/>
      <c r="JL1424" s="351"/>
      <c r="JM1424" s="351"/>
      <c r="JN1424" s="351"/>
      <c r="JO1424" s="351"/>
      <c r="JP1424" s="351"/>
      <c r="JQ1424" s="351"/>
      <c r="JR1424" s="351"/>
      <c r="JS1424" s="351"/>
      <c r="JT1424" s="351"/>
      <c r="JU1424" s="351"/>
      <c r="JV1424" s="351"/>
      <c r="JW1424" s="351"/>
      <c r="JX1424" s="351"/>
      <c r="JY1424" s="351"/>
      <c r="JZ1424" s="351"/>
      <c r="KA1424" s="351"/>
      <c r="KB1424" s="351"/>
      <c r="KC1424" s="351"/>
      <c r="KD1424" s="351"/>
      <c r="KE1424" s="351"/>
      <c r="KF1424" s="351"/>
      <c r="KG1424" s="351"/>
      <c r="KH1424" s="351"/>
      <c r="KI1424" s="351"/>
      <c r="KJ1424" s="351"/>
      <c r="KK1424" s="351"/>
      <c r="KL1424" s="351"/>
      <c r="KM1424" s="351"/>
      <c r="KN1424" s="351"/>
      <c r="KO1424" s="351"/>
      <c r="KP1424" s="351"/>
      <c r="KQ1424" s="351"/>
      <c r="KR1424" s="351"/>
      <c r="KS1424" s="351"/>
      <c r="KT1424" s="351"/>
      <c r="KU1424" s="351"/>
      <c r="KV1424" s="351"/>
      <c r="KW1424" s="351"/>
      <c r="KX1424" s="351"/>
      <c r="KY1424" s="351"/>
      <c r="KZ1424" s="351"/>
      <c r="LA1424" s="351"/>
      <c r="LB1424" s="343"/>
      <c r="LC1424" s="351"/>
      <c r="LD1424" s="351"/>
      <c r="LE1424" s="343"/>
      <c r="LF1424" s="351"/>
      <c r="LG1424" s="351"/>
      <c r="LH1424" s="351"/>
      <c r="LI1424" s="351"/>
      <c r="LJ1424" s="342"/>
      <c r="LK1424" s="342"/>
      <c r="LL1424" s="342"/>
      <c r="LM1424" s="342"/>
      <c r="LN1424" s="342"/>
      <c r="LO1424" s="342"/>
      <c r="LP1424" s="342"/>
      <c r="LQ1424" s="342"/>
      <c r="LR1424" s="342"/>
      <c r="LS1424" s="342"/>
      <c r="LT1424" s="342"/>
      <c r="LU1424" s="13"/>
    </row>
    <row r="1425" spans="6:333" ht="10.75" customHeight="1">
      <c r="F1425" s="342"/>
      <c r="G1425" s="342"/>
      <c r="H1425" s="342"/>
      <c r="I1425" s="342"/>
      <c r="J1425" s="342"/>
      <c r="K1425" s="342"/>
      <c r="L1425" s="342"/>
      <c r="M1425" s="342"/>
      <c r="N1425" s="342"/>
      <c r="O1425" s="342"/>
      <c r="P1425" s="342"/>
      <c r="Q1425" s="342"/>
      <c r="R1425" s="342"/>
      <c r="S1425" s="342"/>
      <c r="T1425" s="342"/>
      <c r="U1425" s="342"/>
      <c r="V1425" s="342"/>
      <c r="W1425" s="342"/>
      <c r="X1425" s="342"/>
      <c r="Y1425" s="342"/>
      <c r="Z1425" s="342"/>
      <c r="AA1425" s="342"/>
      <c r="AB1425" s="342"/>
      <c r="AC1425" s="342"/>
      <c r="AD1425" s="342"/>
      <c r="AE1425" s="342"/>
      <c r="AF1425" s="342"/>
      <c r="AG1425" s="342"/>
      <c r="AH1425" s="342"/>
      <c r="AI1425" s="342"/>
      <c r="AJ1425" s="342"/>
      <c r="AK1425" s="342"/>
      <c r="AL1425" s="342"/>
      <c r="AM1425" s="342"/>
      <c r="AN1425" s="342"/>
      <c r="AO1425" s="342"/>
      <c r="AP1425" s="342"/>
      <c r="AQ1425" s="342"/>
      <c r="AR1425" s="342"/>
      <c r="AS1425" s="342"/>
      <c r="AT1425" s="342"/>
      <c r="AU1425" s="342"/>
      <c r="AV1425" s="342"/>
      <c r="AW1425" s="342"/>
      <c r="AX1425" s="342"/>
      <c r="AY1425" s="342"/>
      <c r="AZ1425" s="342"/>
      <c r="BA1425" s="342"/>
      <c r="BB1425" s="342"/>
      <c r="BC1425" s="342"/>
      <c r="BD1425" s="342"/>
      <c r="BE1425" s="342"/>
      <c r="BF1425" s="342"/>
      <c r="BG1425" s="342"/>
      <c r="BH1425" s="342"/>
      <c r="BI1425" s="342"/>
      <c r="BJ1425" s="342"/>
      <c r="BK1425" s="342"/>
      <c r="BL1425" s="342"/>
      <c r="BM1425" s="342"/>
      <c r="BN1425" s="342"/>
      <c r="BO1425" s="342"/>
      <c r="BP1425" s="342"/>
      <c r="BQ1425" s="342"/>
      <c r="BR1425" s="342"/>
      <c r="BS1425" s="342"/>
      <c r="BT1425" s="342"/>
      <c r="BU1425" s="342"/>
      <c r="BV1425" s="342"/>
      <c r="BW1425" s="342"/>
      <c r="BX1425" s="342"/>
      <c r="BY1425" s="342"/>
      <c r="BZ1425" s="342"/>
      <c r="CA1425" s="342"/>
      <c r="CB1425" s="342"/>
      <c r="CC1425" s="342"/>
      <c r="CD1425" s="342"/>
      <c r="CE1425" s="342"/>
      <c r="CF1425" s="342"/>
      <c r="CG1425" s="342"/>
      <c r="CH1425" s="342"/>
      <c r="CI1425" s="342"/>
      <c r="CJ1425" s="342"/>
      <c r="CK1425" s="342"/>
      <c r="CL1425" s="342"/>
      <c r="CM1425" s="342"/>
      <c r="CN1425" s="342"/>
      <c r="CO1425" s="342"/>
      <c r="CP1425" s="342"/>
      <c r="CQ1425" s="342"/>
      <c r="CR1425" s="342"/>
      <c r="CS1425" s="342"/>
      <c r="CT1425" s="342"/>
      <c r="CU1425" s="342"/>
      <c r="CV1425" s="342"/>
      <c r="CW1425" s="342"/>
      <c r="CX1425" s="342"/>
      <c r="CY1425" s="342"/>
      <c r="CZ1425" s="342"/>
      <c r="DA1425" s="342"/>
      <c r="DB1425" s="342"/>
      <c r="DC1425" s="342"/>
      <c r="DD1425" s="342"/>
      <c r="DE1425" s="342"/>
      <c r="DF1425" s="342"/>
      <c r="DG1425" s="342"/>
      <c r="DH1425" s="342"/>
      <c r="DI1425" s="342"/>
      <c r="DJ1425" s="342"/>
      <c r="DK1425" s="342"/>
      <c r="DL1425" s="342"/>
      <c r="DM1425" s="342"/>
      <c r="DN1425" s="342"/>
      <c r="DO1425" s="342"/>
      <c r="DP1425" s="342"/>
      <c r="DQ1425" s="342"/>
      <c r="DR1425" s="342"/>
      <c r="DS1425" s="342"/>
      <c r="DT1425" s="342"/>
      <c r="DU1425" s="342"/>
      <c r="ES1425" s="12"/>
      <c r="ET1425" s="12"/>
      <c r="EU1425" s="342"/>
      <c r="EV1425" s="342"/>
      <c r="EW1425" s="342"/>
      <c r="EX1425" s="342"/>
      <c r="EY1425" s="342"/>
      <c r="EZ1425" s="342"/>
      <c r="FA1425" s="342"/>
      <c r="FB1425" s="342"/>
      <c r="FC1425" s="342"/>
      <c r="FD1425" s="342"/>
      <c r="FE1425" s="342"/>
      <c r="FF1425" s="342"/>
      <c r="FG1425" s="342"/>
      <c r="FH1425" s="342"/>
      <c r="FI1425" s="342"/>
      <c r="FJ1425" s="342"/>
      <c r="FK1425" s="342"/>
      <c r="FL1425" s="342"/>
      <c r="FM1425" s="342"/>
      <c r="FN1425" s="342"/>
      <c r="FO1425" s="342"/>
      <c r="FP1425" s="342"/>
      <c r="FQ1425" s="342"/>
      <c r="FR1425" s="342"/>
      <c r="FS1425" s="342"/>
      <c r="FT1425" s="342"/>
      <c r="FU1425" s="13"/>
      <c r="FV1425" s="9"/>
      <c r="FW1425" s="10"/>
      <c r="FX1425" s="10"/>
      <c r="FY1425" s="10"/>
      <c r="FZ1425" s="10"/>
      <c r="GA1425" s="10"/>
      <c r="GB1425" s="10"/>
      <c r="GC1425" s="10"/>
      <c r="GD1425" s="10"/>
      <c r="GE1425" s="11"/>
      <c r="GM1425" s="12"/>
      <c r="GP1425" s="12"/>
      <c r="GQ1425" s="342"/>
      <c r="GR1425" s="342"/>
      <c r="GS1425" s="342"/>
      <c r="GT1425" s="342"/>
      <c r="GU1425" s="342"/>
      <c r="GV1425" s="342"/>
      <c r="GW1425" s="342"/>
      <c r="GX1425" s="342"/>
      <c r="GY1425" s="342"/>
      <c r="GZ1425" s="342"/>
      <c r="HA1425" s="342"/>
      <c r="HB1425" s="342"/>
      <c r="HC1425" s="342"/>
      <c r="HD1425" s="342"/>
      <c r="HE1425" s="342"/>
      <c r="HF1425" s="342"/>
      <c r="HG1425" s="342"/>
      <c r="HH1425" s="342"/>
      <c r="HI1425" s="351"/>
      <c r="HJ1425" s="343"/>
      <c r="HK1425" s="351"/>
      <c r="HL1425" s="351"/>
      <c r="HM1425" s="347"/>
      <c r="HN1425" s="351"/>
      <c r="HO1425" s="351"/>
      <c r="HP1425" s="351"/>
      <c r="HQ1425" s="351"/>
      <c r="HR1425" s="351"/>
      <c r="HS1425" s="351"/>
      <c r="HT1425" s="351"/>
      <c r="HU1425" s="351"/>
      <c r="HV1425" s="351"/>
      <c r="HW1425" s="351"/>
      <c r="HX1425" s="351"/>
      <c r="HY1425" s="351"/>
      <c r="HZ1425" s="351"/>
      <c r="IA1425" s="351"/>
      <c r="IB1425" s="351"/>
      <c r="IC1425" s="351"/>
      <c r="ID1425" s="351"/>
      <c r="IE1425" s="351"/>
      <c r="IF1425" s="351"/>
      <c r="IG1425" s="351"/>
      <c r="IH1425" s="351"/>
      <c r="II1425" s="351"/>
      <c r="IJ1425" s="351"/>
      <c r="IK1425" s="351"/>
      <c r="IL1425" s="351"/>
      <c r="IM1425" s="351"/>
      <c r="IN1425" s="351"/>
      <c r="IO1425" s="351"/>
      <c r="IP1425" s="351"/>
      <c r="IQ1425" s="351"/>
      <c r="IR1425" s="351"/>
      <c r="IS1425" s="351"/>
      <c r="IT1425" s="351"/>
      <c r="IU1425" s="351"/>
      <c r="IV1425" s="351"/>
      <c r="IW1425" s="351"/>
      <c r="IX1425" s="351"/>
      <c r="IY1425" s="351"/>
      <c r="IZ1425" s="351"/>
      <c r="JA1425" s="351"/>
      <c r="JB1425" s="351"/>
      <c r="JC1425" s="351"/>
      <c r="JD1425" s="351"/>
      <c r="JE1425" s="347"/>
      <c r="JF1425" s="343"/>
      <c r="JG1425" s="351"/>
      <c r="JH1425" s="351"/>
      <c r="JI1425" s="351"/>
      <c r="JJ1425" s="351"/>
      <c r="JK1425" s="351"/>
      <c r="JL1425" s="351"/>
      <c r="JM1425" s="351"/>
      <c r="JN1425" s="351"/>
      <c r="JO1425" s="351"/>
      <c r="JP1425" s="351"/>
      <c r="JQ1425" s="351"/>
      <c r="JR1425" s="351"/>
      <c r="JS1425" s="351"/>
      <c r="JT1425" s="351"/>
      <c r="JU1425" s="351"/>
      <c r="JV1425" s="351"/>
      <c r="JW1425" s="351"/>
      <c r="JX1425" s="351"/>
      <c r="JY1425" s="351"/>
      <c r="JZ1425" s="351"/>
      <c r="KA1425" s="351"/>
      <c r="KB1425" s="351"/>
      <c r="KC1425" s="351"/>
      <c r="KD1425" s="351"/>
      <c r="KE1425" s="351"/>
      <c r="KF1425" s="351"/>
      <c r="KG1425" s="351"/>
      <c r="KH1425" s="351"/>
      <c r="KI1425" s="351"/>
      <c r="KJ1425" s="351"/>
      <c r="KK1425" s="351"/>
      <c r="KL1425" s="351"/>
      <c r="KM1425" s="351"/>
      <c r="KN1425" s="351"/>
      <c r="KO1425" s="351"/>
      <c r="KP1425" s="351"/>
      <c r="KQ1425" s="351"/>
      <c r="KR1425" s="351"/>
      <c r="KS1425" s="351"/>
      <c r="KT1425" s="351"/>
      <c r="KU1425" s="351"/>
      <c r="KV1425" s="351"/>
      <c r="KW1425" s="351"/>
      <c r="KX1425" s="351"/>
      <c r="KY1425" s="351"/>
      <c r="KZ1425" s="351"/>
      <c r="LA1425" s="351"/>
      <c r="LB1425" s="343"/>
      <c r="LC1425" s="351"/>
      <c r="LD1425" s="351"/>
      <c r="LE1425" s="343"/>
      <c r="LF1425" s="351"/>
      <c r="LG1425" s="351"/>
      <c r="LH1425" s="351"/>
      <c r="LI1425" s="351"/>
      <c r="LJ1425" s="342"/>
      <c r="LK1425" s="342"/>
      <c r="LL1425" s="342"/>
      <c r="LM1425" s="342"/>
      <c r="LN1425" s="342"/>
      <c r="LO1425" s="342"/>
      <c r="LP1425" s="342"/>
      <c r="LQ1425" s="342"/>
      <c r="LR1425" s="342"/>
      <c r="LS1425" s="342"/>
      <c r="LT1425" s="342"/>
      <c r="LU1425" s="13"/>
    </row>
    <row r="1426" spans="6:333" ht="10.75" customHeight="1">
      <c r="F1426" s="342"/>
      <c r="G1426" s="342"/>
      <c r="H1426" s="342"/>
      <c r="I1426" s="342"/>
      <c r="J1426" s="342"/>
      <c r="K1426" s="342"/>
      <c r="L1426" s="342"/>
      <c r="M1426" s="342"/>
      <c r="N1426" s="342"/>
      <c r="O1426" s="342"/>
      <c r="P1426" s="342"/>
      <c r="Q1426" s="342"/>
      <c r="R1426" s="342"/>
      <c r="S1426" s="342"/>
      <c r="T1426" s="342"/>
      <c r="U1426" s="342"/>
      <c r="V1426" s="342"/>
      <c r="W1426" s="342"/>
      <c r="X1426" s="342"/>
      <c r="Y1426" s="342"/>
      <c r="Z1426" s="342"/>
      <c r="AA1426" s="342"/>
      <c r="AB1426" s="342"/>
      <c r="AC1426" s="342"/>
      <c r="AD1426" s="342"/>
      <c r="AE1426" s="342"/>
      <c r="AF1426" s="342"/>
      <c r="AG1426" s="342"/>
      <c r="AH1426" s="342"/>
      <c r="AI1426" s="342"/>
      <c r="AJ1426" s="342"/>
      <c r="AK1426" s="342"/>
      <c r="AL1426" s="342"/>
      <c r="AM1426" s="342"/>
      <c r="AN1426" s="342"/>
      <c r="AO1426" s="342"/>
      <c r="AP1426" s="342"/>
      <c r="AQ1426" s="342"/>
      <c r="AR1426" s="342"/>
      <c r="AS1426" s="342"/>
      <c r="AT1426" s="342"/>
      <c r="AU1426" s="342"/>
      <c r="AV1426" s="342"/>
      <c r="AW1426" s="342"/>
      <c r="AX1426" s="342"/>
      <c r="AY1426" s="342"/>
      <c r="AZ1426" s="342"/>
      <c r="BA1426" s="342"/>
      <c r="BB1426" s="342"/>
      <c r="BC1426" s="342"/>
      <c r="BD1426" s="342"/>
      <c r="BE1426" s="342"/>
      <c r="BF1426" s="342"/>
      <c r="BG1426" s="342"/>
      <c r="BH1426" s="342"/>
      <c r="BI1426" s="342"/>
      <c r="BJ1426" s="342"/>
      <c r="BK1426" s="342"/>
      <c r="BL1426" s="342"/>
      <c r="BM1426" s="342"/>
      <c r="BN1426" s="342"/>
      <c r="BO1426" s="342"/>
      <c r="BP1426" s="342"/>
      <c r="BQ1426" s="342"/>
      <c r="BR1426" s="342"/>
      <c r="BS1426" s="342"/>
      <c r="BT1426" s="342"/>
      <c r="BU1426" s="342"/>
      <c r="BV1426" s="342"/>
      <c r="BW1426" s="342"/>
      <c r="BX1426" s="342"/>
      <c r="BY1426" s="342"/>
      <c r="BZ1426" s="342"/>
      <c r="CA1426" s="342"/>
      <c r="CB1426" s="342"/>
      <c r="CC1426" s="342"/>
      <c r="CD1426" s="342"/>
      <c r="CE1426" s="342"/>
      <c r="CF1426" s="342"/>
      <c r="CG1426" s="342"/>
      <c r="CH1426" s="342"/>
      <c r="CI1426" s="342"/>
      <c r="CJ1426" s="342"/>
      <c r="CK1426" s="342"/>
      <c r="CL1426" s="342"/>
      <c r="CM1426" s="342"/>
      <c r="CN1426" s="342"/>
      <c r="CO1426" s="342"/>
      <c r="CP1426" s="342"/>
      <c r="CQ1426" s="342"/>
      <c r="CR1426" s="342"/>
      <c r="CS1426" s="342"/>
      <c r="CT1426" s="342"/>
      <c r="CU1426" s="342"/>
      <c r="CV1426" s="342"/>
      <c r="CW1426" s="342"/>
      <c r="CX1426" s="342"/>
      <c r="CY1426" s="342"/>
      <c r="CZ1426" s="342"/>
      <c r="DA1426" s="342"/>
      <c r="DB1426" s="342"/>
      <c r="DC1426" s="342"/>
      <c r="DD1426" s="342"/>
      <c r="DE1426" s="342"/>
      <c r="DF1426" s="342"/>
      <c r="DG1426" s="342"/>
      <c r="DH1426" s="342"/>
      <c r="DI1426" s="342"/>
      <c r="DJ1426" s="342"/>
      <c r="DK1426" s="342"/>
      <c r="DL1426" s="342"/>
      <c r="DM1426" s="342"/>
      <c r="DN1426" s="342"/>
      <c r="DO1426" s="342"/>
      <c r="DP1426" s="342"/>
      <c r="DQ1426" s="342"/>
      <c r="DR1426" s="342"/>
      <c r="DS1426" s="342"/>
      <c r="DT1426" s="342"/>
      <c r="DU1426" s="342"/>
      <c r="ES1426" s="12"/>
      <c r="ET1426" s="12"/>
      <c r="EU1426" s="342"/>
      <c r="EV1426" s="342"/>
      <c r="EW1426" s="342"/>
      <c r="EX1426" s="342"/>
      <c r="EY1426" s="342"/>
      <c r="EZ1426" s="342"/>
      <c r="FA1426" s="342"/>
      <c r="FB1426" s="342"/>
      <c r="FC1426" s="342"/>
      <c r="FD1426" s="342"/>
      <c r="FE1426" s="342"/>
      <c r="FF1426" s="342"/>
      <c r="FG1426" s="342"/>
      <c r="FH1426" s="342"/>
      <c r="FI1426" s="342"/>
      <c r="FJ1426" s="342"/>
      <c r="FK1426" s="342"/>
      <c r="FL1426" s="342"/>
      <c r="FM1426" s="342"/>
      <c r="FN1426" s="342"/>
      <c r="FO1426" s="342"/>
      <c r="FP1426" s="342"/>
      <c r="FQ1426" s="342"/>
      <c r="FR1426" s="342"/>
      <c r="FS1426" s="342"/>
      <c r="FT1426" s="342"/>
      <c r="FU1426" s="13"/>
      <c r="FV1426" s="12"/>
      <c r="FW1426" s="342"/>
      <c r="FX1426" s="342"/>
      <c r="FY1426" s="342"/>
      <c r="FZ1426" s="342"/>
      <c r="GA1426" s="342"/>
      <c r="GB1426" s="342"/>
      <c r="GC1426" s="342"/>
      <c r="GD1426" s="342"/>
      <c r="GE1426" s="13"/>
      <c r="GM1426" s="12"/>
      <c r="GP1426" s="12"/>
      <c r="GQ1426" s="342"/>
      <c r="GR1426" s="342"/>
      <c r="GS1426" s="342"/>
      <c r="GT1426" s="342"/>
      <c r="GU1426" s="342"/>
      <c r="GV1426" s="342"/>
      <c r="GW1426" s="342"/>
      <c r="GX1426" s="342"/>
      <c r="GY1426" s="342"/>
      <c r="GZ1426" s="342"/>
      <c r="HA1426" s="342"/>
      <c r="HB1426" s="342"/>
      <c r="HC1426" s="342"/>
      <c r="HD1426" s="342"/>
      <c r="HE1426" s="342"/>
      <c r="HF1426" s="342"/>
      <c r="HG1426" s="342"/>
      <c r="HH1426" s="351"/>
      <c r="HI1426" s="351"/>
      <c r="HJ1426" s="343"/>
      <c r="HK1426" s="351"/>
      <c r="HL1426" s="351"/>
      <c r="HM1426" s="347"/>
      <c r="HN1426" s="351"/>
      <c r="HO1426" s="351"/>
      <c r="HP1426" s="351"/>
      <c r="HQ1426" s="351"/>
      <c r="HR1426" s="351"/>
      <c r="HS1426" s="351"/>
      <c r="HT1426" s="351"/>
      <c r="HU1426" s="351"/>
      <c r="HV1426" s="351"/>
      <c r="HW1426" s="351"/>
      <c r="HX1426" s="351"/>
      <c r="HY1426" s="351"/>
      <c r="HZ1426" s="351"/>
      <c r="IA1426" s="351"/>
      <c r="IB1426" s="351"/>
      <c r="IC1426" s="351"/>
      <c r="ID1426" s="351"/>
      <c r="IE1426" s="351"/>
      <c r="IF1426" s="351"/>
      <c r="IG1426" s="351"/>
      <c r="IH1426" s="351"/>
      <c r="II1426" s="351"/>
      <c r="IJ1426" s="351"/>
      <c r="IK1426" s="351"/>
      <c r="IL1426" s="351"/>
      <c r="IM1426" s="351"/>
      <c r="IN1426" s="351"/>
      <c r="IO1426" s="351"/>
      <c r="IP1426" s="351"/>
      <c r="IQ1426" s="351"/>
      <c r="IR1426" s="351"/>
      <c r="IS1426" s="351"/>
      <c r="IT1426" s="351"/>
      <c r="IU1426" s="351"/>
      <c r="IV1426" s="351"/>
      <c r="IW1426" s="351"/>
      <c r="IX1426" s="351"/>
      <c r="IY1426" s="351"/>
      <c r="IZ1426" s="351"/>
      <c r="JA1426" s="351"/>
      <c r="JB1426" s="351"/>
      <c r="JC1426" s="351"/>
      <c r="JD1426" s="351"/>
      <c r="JE1426" s="347"/>
      <c r="JF1426" s="343"/>
      <c r="JG1426" s="351"/>
      <c r="JH1426" s="351"/>
      <c r="JI1426" s="351"/>
      <c r="JJ1426" s="351"/>
      <c r="JK1426" s="351"/>
      <c r="JL1426" s="351"/>
      <c r="JM1426" s="351"/>
      <c r="JN1426" s="351"/>
      <c r="JO1426" s="351"/>
      <c r="JP1426" s="351"/>
      <c r="JQ1426" s="351"/>
      <c r="JR1426" s="351"/>
      <c r="JS1426" s="351"/>
      <c r="JT1426" s="351"/>
      <c r="JU1426" s="351"/>
      <c r="JV1426" s="351"/>
      <c r="JW1426" s="351"/>
      <c r="JX1426" s="351"/>
      <c r="JY1426" s="351"/>
      <c r="JZ1426" s="351"/>
      <c r="KA1426" s="351"/>
      <c r="KB1426" s="351"/>
      <c r="KC1426" s="351"/>
      <c r="KD1426" s="351"/>
      <c r="KE1426" s="351"/>
      <c r="KF1426" s="351"/>
      <c r="KG1426" s="351"/>
      <c r="KH1426" s="351"/>
      <c r="KI1426" s="351"/>
      <c r="KJ1426" s="351"/>
      <c r="KK1426" s="351"/>
      <c r="KL1426" s="351"/>
      <c r="KM1426" s="351"/>
      <c r="KN1426" s="351"/>
      <c r="KO1426" s="351"/>
      <c r="KP1426" s="351"/>
      <c r="KQ1426" s="351"/>
      <c r="KR1426" s="351"/>
      <c r="KS1426" s="351"/>
      <c r="KT1426" s="351"/>
      <c r="KU1426" s="351"/>
      <c r="KV1426" s="351"/>
      <c r="KW1426" s="351"/>
      <c r="KX1426" s="351"/>
      <c r="KY1426" s="351"/>
      <c r="KZ1426" s="351"/>
      <c r="LA1426" s="351"/>
      <c r="LB1426" s="343"/>
      <c r="LC1426" s="351"/>
      <c r="LD1426" s="351"/>
      <c r="LE1426" s="343"/>
      <c r="LF1426" s="351"/>
      <c r="LG1426" s="351"/>
      <c r="LH1426" s="351"/>
      <c r="LI1426" s="351"/>
      <c r="LJ1426" s="342"/>
      <c r="LK1426" s="342"/>
      <c r="LL1426" s="342"/>
      <c r="LM1426" s="342"/>
      <c r="LN1426" s="342"/>
      <c r="LO1426" s="342"/>
      <c r="LP1426" s="342"/>
      <c r="LQ1426" s="342"/>
      <c r="LR1426" s="342"/>
      <c r="LS1426" s="342"/>
      <c r="LT1426" s="342"/>
      <c r="LU1426" s="13"/>
    </row>
    <row r="1427" spans="6:333" ht="10.75" customHeight="1">
      <c r="F1427" s="342"/>
      <c r="G1427" s="342"/>
      <c r="H1427" s="342"/>
      <c r="I1427" s="342"/>
      <c r="J1427" s="342"/>
      <c r="K1427" s="342"/>
      <c r="L1427" s="342"/>
      <c r="M1427" s="342"/>
      <c r="N1427" s="342"/>
      <c r="O1427" s="342"/>
      <c r="P1427" s="342"/>
      <c r="Q1427" s="342"/>
      <c r="R1427" s="342"/>
      <c r="S1427" s="342"/>
      <c r="T1427" s="342"/>
      <c r="U1427" s="342"/>
      <c r="V1427" s="342"/>
      <c r="W1427" s="342"/>
      <c r="X1427" s="342"/>
      <c r="Y1427" s="342"/>
      <c r="Z1427" s="342"/>
      <c r="AA1427" s="342"/>
      <c r="AB1427" s="342"/>
      <c r="AC1427" s="342"/>
      <c r="AD1427" s="342"/>
      <c r="AE1427" s="342"/>
      <c r="AF1427" s="342"/>
      <c r="AG1427" s="342"/>
      <c r="AH1427" s="342"/>
      <c r="AI1427" s="342"/>
      <c r="AJ1427" s="342"/>
      <c r="AK1427" s="342"/>
      <c r="AL1427" s="342"/>
      <c r="AM1427" s="342"/>
      <c r="AN1427" s="342"/>
      <c r="AO1427" s="342"/>
      <c r="AP1427" s="342"/>
      <c r="AQ1427" s="342"/>
      <c r="AR1427" s="342"/>
      <c r="AS1427" s="342"/>
      <c r="AT1427" s="342"/>
      <c r="AU1427" s="342"/>
      <c r="AV1427" s="342"/>
      <c r="AW1427" s="342"/>
      <c r="AX1427" s="342"/>
      <c r="AY1427" s="342"/>
      <c r="AZ1427" s="342"/>
      <c r="BA1427" s="342"/>
      <c r="BB1427" s="342"/>
      <c r="BC1427" s="342"/>
      <c r="BD1427" s="342"/>
      <c r="BE1427" s="342"/>
      <c r="BF1427" s="342"/>
      <c r="BG1427" s="342"/>
      <c r="BH1427" s="342"/>
      <c r="BI1427" s="342"/>
      <c r="BJ1427" s="342"/>
      <c r="BK1427" s="342"/>
      <c r="BL1427" s="342"/>
      <c r="BM1427" s="342"/>
      <c r="BN1427" s="342"/>
      <c r="BO1427" s="342"/>
      <c r="BP1427" s="342"/>
      <c r="BQ1427" s="342"/>
      <c r="BR1427" s="342"/>
      <c r="BS1427" s="342"/>
      <c r="BT1427" s="342"/>
      <c r="BU1427" s="342"/>
      <c r="BV1427" s="342"/>
      <c r="BW1427" s="342"/>
      <c r="BX1427" s="342"/>
      <c r="BY1427" s="342"/>
      <c r="BZ1427" s="342"/>
      <c r="CA1427" s="342"/>
      <c r="CB1427" s="342"/>
      <c r="CC1427" s="342"/>
      <c r="CD1427" s="342"/>
      <c r="CE1427" s="342"/>
      <c r="CF1427" s="342"/>
      <c r="CG1427" s="342"/>
      <c r="CH1427" s="342"/>
      <c r="CI1427" s="342"/>
      <c r="CJ1427" s="342"/>
      <c r="CK1427" s="342"/>
      <c r="CL1427" s="342"/>
      <c r="CM1427" s="342"/>
      <c r="CN1427" s="342"/>
      <c r="CO1427" s="342"/>
      <c r="CP1427" s="342"/>
      <c r="CQ1427" s="342"/>
      <c r="CR1427" s="342"/>
      <c r="CS1427" s="342"/>
      <c r="CT1427" s="342"/>
      <c r="CU1427" s="342"/>
      <c r="CV1427" s="342"/>
      <c r="CW1427" s="342"/>
      <c r="CX1427" s="342"/>
      <c r="CY1427" s="342"/>
      <c r="CZ1427" s="342"/>
      <c r="DA1427" s="342"/>
      <c r="DB1427" s="342"/>
      <c r="DC1427" s="342"/>
      <c r="DD1427" s="342"/>
      <c r="DE1427" s="342"/>
      <c r="DF1427" s="342"/>
      <c r="DG1427" s="342"/>
      <c r="DH1427" s="342"/>
      <c r="DI1427" s="342"/>
      <c r="DJ1427" s="342"/>
      <c r="DK1427" s="342"/>
      <c r="DL1427" s="342"/>
      <c r="DM1427" s="342"/>
      <c r="DN1427" s="342"/>
      <c r="DO1427" s="342"/>
      <c r="DP1427" s="342"/>
      <c r="DQ1427" s="342"/>
      <c r="DR1427" s="342"/>
      <c r="DS1427" s="342"/>
      <c r="DT1427" s="342"/>
      <c r="DU1427" s="342"/>
      <c r="ES1427" s="12"/>
      <c r="ET1427" s="12"/>
      <c r="EU1427" s="342"/>
      <c r="EV1427" s="342"/>
      <c r="EW1427" s="342"/>
      <c r="EX1427" s="342"/>
      <c r="EY1427" s="342"/>
      <c r="EZ1427" s="342"/>
      <c r="FA1427" s="342"/>
      <c r="FB1427" s="342"/>
      <c r="FC1427" s="342"/>
      <c r="FD1427" s="342"/>
      <c r="FE1427" s="342"/>
      <c r="FF1427" s="342"/>
      <c r="FG1427" s="342"/>
      <c r="FH1427" s="342"/>
      <c r="FI1427" s="342"/>
      <c r="FJ1427" s="342"/>
      <c r="FK1427" s="342"/>
      <c r="FL1427" s="342"/>
      <c r="FM1427" s="342"/>
      <c r="FN1427" s="342"/>
      <c r="FO1427" s="342"/>
      <c r="FP1427" s="342"/>
      <c r="FQ1427" s="342"/>
      <c r="FR1427" s="342"/>
      <c r="FS1427" s="342"/>
      <c r="FT1427" s="342"/>
      <c r="FU1427" s="13"/>
      <c r="FV1427" s="12"/>
      <c r="FW1427" s="342"/>
      <c r="FX1427" s="342"/>
      <c r="FY1427" s="342"/>
      <c r="FZ1427" s="342"/>
      <c r="GA1427" s="342"/>
      <c r="GB1427" s="342"/>
      <c r="GC1427" s="342"/>
      <c r="GD1427" s="342"/>
      <c r="GE1427" s="13"/>
      <c r="GM1427" s="12"/>
      <c r="GP1427" s="12"/>
      <c r="GQ1427" s="342"/>
      <c r="GR1427" s="342"/>
      <c r="GS1427" s="342"/>
      <c r="GT1427" s="342"/>
      <c r="GU1427" s="342"/>
      <c r="GV1427" s="342"/>
      <c r="GW1427" s="342"/>
      <c r="GX1427" s="342"/>
      <c r="GY1427" s="342"/>
      <c r="GZ1427" s="342"/>
      <c r="HA1427" s="342"/>
      <c r="HB1427" s="342"/>
      <c r="HC1427" s="342"/>
      <c r="HD1427" s="342"/>
      <c r="HE1427" s="342"/>
      <c r="HF1427" s="342"/>
      <c r="HG1427" s="342"/>
      <c r="HH1427" s="351"/>
      <c r="HI1427" s="351"/>
      <c r="HJ1427" s="343"/>
      <c r="HK1427" s="351"/>
      <c r="HL1427" s="351"/>
      <c r="HM1427" s="347"/>
      <c r="HN1427" s="351"/>
      <c r="HO1427" s="351"/>
      <c r="HP1427" s="351"/>
      <c r="HQ1427" s="351"/>
      <c r="HR1427" s="351"/>
      <c r="HS1427" s="351"/>
      <c r="HT1427" s="351"/>
      <c r="HU1427" s="351"/>
      <c r="HV1427" s="351"/>
      <c r="HW1427" s="351"/>
      <c r="HX1427" s="351"/>
      <c r="HY1427" s="351"/>
      <c r="HZ1427" s="351"/>
      <c r="IA1427" s="351"/>
      <c r="IB1427" s="351"/>
      <c r="IC1427" s="351"/>
      <c r="ID1427" s="351"/>
      <c r="IE1427" s="351"/>
      <c r="IF1427" s="351"/>
      <c r="IG1427" s="351"/>
      <c r="IH1427" s="351"/>
      <c r="II1427" s="351"/>
      <c r="IJ1427" s="351"/>
      <c r="IK1427" s="351"/>
      <c r="IL1427" s="351"/>
      <c r="IM1427" s="351"/>
      <c r="IN1427" s="351"/>
      <c r="IO1427" s="351"/>
      <c r="IP1427" s="351"/>
      <c r="IQ1427" s="351"/>
      <c r="IR1427" s="351"/>
      <c r="IS1427" s="351"/>
      <c r="IT1427" s="351"/>
      <c r="IU1427" s="351"/>
      <c r="IV1427" s="351"/>
      <c r="IW1427" s="351"/>
      <c r="IX1427" s="351"/>
      <c r="IY1427" s="351"/>
      <c r="IZ1427" s="351"/>
      <c r="JA1427" s="351"/>
      <c r="JB1427" s="351"/>
      <c r="JC1427" s="351"/>
      <c r="JD1427" s="351"/>
      <c r="JE1427" s="347"/>
      <c r="JF1427" s="343"/>
      <c r="JG1427" s="351"/>
      <c r="JH1427" s="351"/>
      <c r="JI1427" s="351"/>
      <c r="JJ1427" s="351"/>
      <c r="JK1427" s="351"/>
      <c r="JL1427" s="351"/>
      <c r="JM1427" s="351"/>
      <c r="JN1427" s="351"/>
      <c r="JO1427" s="351"/>
      <c r="JP1427" s="351"/>
      <c r="JQ1427" s="351"/>
      <c r="JR1427" s="351"/>
      <c r="JS1427" s="351"/>
      <c r="JT1427" s="351"/>
      <c r="JU1427" s="351"/>
      <c r="JV1427" s="351"/>
      <c r="JW1427" s="351"/>
      <c r="JX1427" s="351"/>
      <c r="JY1427" s="351"/>
      <c r="JZ1427" s="351"/>
      <c r="KA1427" s="351"/>
      <c r="KB1427" s="351"/>
      <c r="KC1427" s="351"/>
      <c r="KD1427" s="351"/>
      <c r="KE1427" s="351"/>
      <c r="KF1427" s="351"/>
      <c r="KG1427" s="351"/>
      <c r="KH1427" s="351"/>
      <c r="KI1427" s="351"/>
      <c r="KJ1427" s="351"/>
      <c r="KK1427" s="351"/>
      <c r="KL1427" s="351"/>
      <c r="KM1427" s="351"/>
      <c r="KN1427" s="351"/>
      <c r="KO1427" s="351"/>
      <c r="KP1427" s="351"/>
      <c r="KQ1427" s="351"/>
      <c r="KR1427" s="351"/>
      <c r="KS1427" s="351"/>
      <c r="KT1427" s="351"/>
      <c r="KU1427" s="351"/>
      <c r="KV1427" s="351"/>
      <c r="KW1427" s="351"/>
      <c r="KX1427" s="351"/>
      <c r="KY1427" s="351"/>
      <c r="KZ1427" s="351"/>
      <c r="LA1427" s="351"/>
      <c r="LB1427" s="343"/>
      <c r="LC1427" s="351"/>
      <c r="LD1427" s="351"/>
      <c r="LE1427" s="343"/>
      <c r="LF1427" s="351"/>
      <c r="LG1427" s="351"/>
      <c r="LH1427" s="351"/>
      <c r="LI1427" s="351"/>
      <c r="LJ1427" s="342"/>
      <c r="LK1427" s="342"/>
      <c r="LL1427" s="342"/>
      <c r="LM1427" s="342"/>
      <c r="LN1427" s="342"/>
      <c r="LO1427" s="342"/>
      <c r="LP1427" s="342"/>
      <c r="LQ1427" s="342"/>
      <c r="LR1427" s="342"/>
      <c r="LS1427" s="342"/>
      <c r="LT1427" s="342"/>
      <c r="LU1427" s="13"/>
    </row>
    <row r="1428" spans="6:333" ht="10.75" customHeight="1">
      <c r="F1428" s="342"/>
      <c r="G1428" s="342"/>
      <c r="H1428" s="342"/>
      <c r="I1428" s="342"/>
      <c r="J1428" s="342"/>
      <c r="K1428" s="342"/>
      <c r="L1428" s="342"/>
      <c r="M1428" s="342"/>
      <c r="N1428" s="342"/>
      <c r="O1428" s="342"/>
      <c r="P1428" s="342"/>
      <c r="Q1428" s="342"/>
      <c r="R1428" s="342"/>
      <c r="S1428" s="342"/>
      <c r="T1428" s="342"/>
      <c r="U1428" s="342"/>
      <c r="V1428" s="342"/>
      <c r="W1428" s="342"/>
      <c r="X1428" s="342"/>
      <c r="Y1428" s="342"/>
      <c r="Z1428" s="342"/>
      <c r="AA1428" s="342"/>
      <c r="AB1428" s="342"/>
      <c r="AC1428" s="342"/>
      <c r="AD1428" s="342"/>
      <c r="AE1428" s="342"/>
      <c r="AF1428" s="342"/>
      <c r="AG1428" s="342"/>
      <c r="AH1428" s="342"/>
      <c r="AI1428" s="342"/>
      <c r="AJ1428" s="342"/>
      <c r="AK1428" s="342"/>
      <c r="AL1428" s="342"/>
      <c r="AM1428" s="342"/>
      <c r="AN1428" s="342"/>
      <c r="AO1428" s="342"/>
      <c r="AP1428" s="342"/>
      <c r="AQ1428" s="342"/>
      <c r="AR1428" s="342"/>
      <c r="AS1428" s="342"/>
      <c r="AT1428" s="342"/>
      <c r="AU1428" s="342"/>
      <c r="AV1428" s="342"/>
      <c r="AW1428" s="342"/>
      <c r="AX1428" s="342"/>
      <c r="AY1428" s="342"/>
      <c r="AZ1428" s="342"/>
      <c r="BA1428" s="342"/>
      <c r="BB1428" s="342"/>
      <c r="BC1428" s="342"/>
      <c r="BD1428" s="342"/>
      <c r="BE1428" s="342"/>
      <c r="BF1428" s="342"/>
      <c r="BG1428" s="342"/>
      <c r="BH1428" s="342"/>
      <c r="BI1428" s="342"/>
      <c r="BJ1428" s="342"/>
      <c r="BK1428" s="342"/>
      <c r="BL1428" s="342"/>
      <c r="BM1428" s="342"/>
      <c r="BN1428" s="342"/>
      <c r="BO1428" s="342"/>
      <c r="BP1428" s="342"/>
      <c r="BQ1428" s="342"/>
      <c r="BR1428" s="342"/>
      <c r="BS1428" s="342"/>
      <c r="BT1428" s="342"/>
      <c r="BU1428" s="342"/>
      <c r="BV1428" s="342"/>
      <c r="BW1428" s="342"/>
      <c r="BX1428" s="342"/>
      <c r="BY1428" s="342"/>
      <c r="BZ1428" s="342"/>
      <c r="CA1428" s="342"/>
      <c r="CB1428" s="342"/>
      <c r="CC1428" s="342"/>
      <c r="CD1428" s="342"/>
      <c r="CE1428" s="342"/>
      <c r="CF1428" s="342"/>
      <c r="CG1428" s="342"/>
      <c r="CH1428" s="342"/>
      <c r="CI1428" s="342"/>
      <c r="CJ1428" s="342"/>
      <c r="CK1428" s="342"/>
      <c r="CL1428" s="342"/>
      <c r="CM1428" s="342"/>
      <c r="CN1428" s="342"/>
      <c r="CO1428" s="342"/>
      <c r="CP1428" s="342"/>
      <c r="CQ1428" s="342"/>
      <c r="CR1428" s="342"/>
      <c r="CS1428" s="342"/>
      <c r="CT1428" s="342"/>
      <c r="CU1428" s="342"/>
      <c r="CV1428" s="342"/>
      <c r="CW1428" s="342"/>
      <c r="CX1428" s="342"/>
      <c r="CY1428" s="342"/>
      <c r="CZ1428" s="342"/>
      <c r="DA1428" s="342"/>
      <c r="DB1428" s="342"/>
      <c r="DC1428" s="342"/>
      <c r="DD1428" s="342"/>
      <c r="DE1428" s="342"/>
      <c r="DF1428" s="342"/>
      <c r="DG1428" s="342"/>
      <c r="DH1428" s="342"/>
      <c r="DI1428" s="342"/>
      <c r="DJ1428" s="342"/>
      <c r="DK1428" s="342"/>
      <c r="DL1428" s="342"/>
      <c r="DM1428" s="342"/>
      <c r="DN1428" s="342"/>
      <c r="DO1428" s="342"/>
      <c r="DP1428" s="342"/>
      <c r="DQ1428" s="342"/>
      <c r="DR1428" s="342"/>
      <c r="DS1428" s="342"/>
      <c r="DT1428" s="342"/>
      <c r="DU1428" s="342"/>
      <c r="ES1428" s="12"/>
      <c r="ET1428" s="12"/>
      <c r="EU1428" s="342"/>
      <c r="EV1428" s="342"/>
      <c r="EW1428" s="342"/>
      <c r="EX1428" s="342"/>
      <c r="EY1428" s="342"/>
      <c r="EZ1428" s="342"/>
      <c r="FA1428" s="342"/>
      <c r="FB1428" s="342"/>
      <c r="FC1428" s="342"/>
      <c r="FD1428" s="342"/>
      <c r="FE1428" s="342"/>
      <c r="FF1428" s="342"/>
      <c r="FG1428" s="342"/>
      <c r="FH1428" s="342"/>
      <c r="FI1428" s="342"/>
      <c r="FJ1428" s="342"/>
      <c r="FK1428" s="342"/>
      <c r="FL1428" s="342"/>
      <c r="FM1428" s="342"/>
      <c r="FN1428" s="342"/>
      <c r="FO1428" s="342"/>
      <c r="FP1428" s="342"/>
      <c r="FQ1428" s="342"/>
      <c r="FR1428" s="342"/>
      <c r="FS1428" s="342"/>
      <c r="FT1428" s="342"/>
      <c r="FU1428" s="13"/>
      <c r="FV1428" s="14"/>
      <c r="FW1428" s="15"/>
      <c r="FX1428" s="15"/>
      <c r="FY1428" s="15"/>
      <c r="FZ1428" s="15"/>
      <c r="GA1428" s="15"/>
      <c r="GB1428" s="15"/>
      <c r="GC1428" s="15"/>
      <c r="GD1428" s="15"/>
      <c r="GE1428" s="16"/>
      <c r="GM1428" s="12"/>
      <c r="GP1428" s="14"/>
      <c r="GQ1428" s="15"/>
      <c r="GR1428" s="15"/>
      <c r="GS1428" s="15"/>
      <c r="GT1428" s="15"/>
      <c r="GU1428" s="15"/>
      <c r="GV1428" s="15"/>
      <c r="GW1428" s="15"/>
      <c r="GX1428" s="15"/>
      <c r="GY1428" s="15"/>
      <c r="GZ1428" s="15"/>
      <c r="HA1428" s="15"/>
      <c r="HB1428" s="15"/>
      <c r="HC1428" s="15"/>
      <c r="HD1428" s="15"/>
      <c r="HE1428" s="15"/>
      <c r="HF1428" s="15"/>
      <c r="HG1428" s="15"/>
      <c r="HH1428" s="349"/>
      <c r="HI1428" s="349"/>
      <c r="HJ1428" s="350"/>
      <c r="HK1428" s="351"/>
      <c r="HL1428" s="351"/>
      <c r="HM1428" s="347"/>
      <c r="HN1428" s="351"/>
      <c r="HO1428" s="351"/>
      <c r="HP1428" s="351"/>
      <c r="HQ1428" s="351"/>
      <c r="HR1428" s="351"/>
      <c r="HS1428" s="351"/>
      <c r="HT1428" s="351"/>
      <c r="HU1428" s="351"/>
      <c r="HV1428" s="351"/>
      <c r="HW1428" s="351"/>
      <c r="HX1428" s="351"/>
      <c r="HY1428" s="351"/>
      <c r="HZ1428" s="351"/>
      <c r="IA1428" s="351"/>
      <c r="IB1428" s="351"/>
      <c r="IC1428" s="351"/>
      <c r="ID1428" s="351"/>
      <c r="IE1428" s="351"/>
      <c r="IF1428" s="351"/>
      <c r="IG1428" s="351"/>
      <c r="IH1428" s="351"/>
      <c r="II1428" s="351"/>
      <c r="IJ1428" s="351"/>
      <c r="IK1428" s="351"/>
      <c r="IL1428" s="351"/>
      <c r="IM1428" s="351"/>
      <c r="IN1428" s="351"/>
      <c r="IO1428" s="351"/>
      <c r="IP1428" s="351"/>
      <c r="IQ1428" s="351"/>
      <c r="IR1428" s="351"/>
      <c r="IS1428" s="351"/>
      <c r="IT1428" s="351"/>
      <c r="IU1428" s="351"/>
      <c r="IV1428" s="351"/>
      <c r="IW1428" s="351"/>
      <c r="IX1428" s="351"/>
      <c r="IY1428" s="351"/>
      <c r="IZ1428" s="351"/>
      <c r="JA1428" s="351"/>
      <c r="JB1428" s="351"/>
      <c r="JC1428" s="351"/>
      <c r="JD1428" s="351"/>
      <c r="JE1428" s="347"/>
      <c r="JF1428" s="343"/>
      <c r="JG1428" s="351"/>
      <c r="JH1428" s="351"/>
      <c r="JI1428" s="351"/>
      <c r="JJ1428" s="351"/>
      <c r="JK1428" s="351"/>
      <c r="JL1428" s="351"/>
      <c r="JM1428" s="351"/>
      <c r="JN1428" s="351"/>
      <c r="JO1428" s="351"/>
      <c r="JP1428" s="351"/>
      <c r="JQ1428" s="351"/>
      <c r="JR1428" s="351"/>
      <c r="JS1428" s="351"/>
      <c r="JT1428" s="351"/>
      <c r="JU1428" s="351"/>
      <c r="JV1428" s="351"/>
      <c r="JW1428" s="351"/>
      <c r="JX1428" s="351"/>
      <c r="JY1428" s="351"/>
      <c r="JZ1428" s="351"/>
      <c r="KA1428" s="351"/>
      <c r="KB1428" s="351"/>
      <c r="KC1428" s="351"/>
      <c r="KD1428" s="351"/>
      <c r="KE1428" s="351"/>
      <c r="KF1428" s="351"/>
      <c r="KG1428" s="351"/>
      <c r="KH1428" s="351"/>
      <c r="KI1428" s="351"/>
      <c r="KJ1428" s="351"/>
      <c r="KK1428" s="351"/>
      <c r="KL1428" s="351"/>
      <c r="KM1428" s="351"/>
      <c r="KN1428" s="351"/>
      <c r="KO1428" s="351"/>
      <c r="KP1428" s="351"/>
      <c r="KQ1428" s="351"/>
      <c r="KR1428" s="351"/>
      <c r="KS1428" s="351"/>
      <c r="KT1428" s="351"/>
      <c r="KU1428" s="351"/>
      <c r="KV1428" s="351"/>
      <c r="KW1428" s="351"/>
      <c r="KX1428" s="351"/>
      <c r="KY1428" s="351"/>
      <c r="KZ1428" s="351"/>
      <c r="LA1428" s="351"/>
      <c r="LB1428" s="343"/>
      <c r="LC1428" s="351"/>
      <c r="LD1428" s="351"/>
      <c r="LE1428" s="343"/>
      <c r="LF1428" s="351"/>
      <c r="LG1428" s="351"/>
      <c r="LH1428" s="351"/>
      <c r="LI1428" s="351"/>
      <c r="LJ1428" s="342"/>
      <c r="LK1428" s="342"/>
      <c r="LL1428" s="342"/>
      <c r="LM1428" s="342"/>
      <c r="LN1428" s="342"/>
      <c r="LO1428" s="342"/>
      <c r="LP1428" s="342"/>
      <c r="LQ1428" s="342"/>
      <c r="LR1428" s="342"/>
      <c r="LS1428" s="342"/>
      <c r="LT1428" s="342"/>
      <c r="LU1428" s="13"/>
    </row>
    <row r="1429" spans="6:333" ht="10.75" customHeight="1">
      <c r="F1429" s="342"/>
      <c r="G1429" s="342"/>
      <c r="H1429" s="342"/>
      <c r="I1429" s="342"/>
      <c r="J1429" s="342"/>
      <c r="K1429" s="342"/>
      <c r="L1429" s="342"/>
      <c r="M1429" s="342"/>
      <c r="N1429" s="342"/>
      <c r="O1429" s="342"/>
      <c r="P1429" s="342"/>
      <c r="Q1429" s="342"/>
      <c r="R1429" s="342"/>
      <c r="S1429" s="342"/>
      <c r="T1429" s="342"/>
      <c r="U1429" s="342"/>
      <c r="V1429" s="342"/>
      <c r="W1429" s="342"/>
      <c r="X1429" s="342"/>
      <c r="Y1429" s="342"/>
      <c r="Z1429" s="342"/>
      <c r="AA1429" s="342"/>
      <c r="AB1429" s="342"/>
      <c r="AC1429" s="342"/>
      <c r="AD1429" s="342"/>
      <c r="AE1429" s="342"/>
      <c r="AF1429" s="342"/>
      <c r="AG1429" s="342"/>
      <c r="AH1429" s="342"/>
      <c r="AI1429" s="342"/>
      <c r="AJ1429" s="342"/>
      <c r="AK1429" s="342"/>
      <c r="AL1429" s="342"/>
      <c r="AM1429" s="342"/>
      <c r="AN1429" s="342"/>
      <c r="AO1429" s="342"/>
      <c r="AP1429" s="342"/>
      <c r="AQ1429" s="342"/>
      <c r="AR1429" s="342"/>
      <c r="AS1429" s="342"/>
      <c r="AT1429" s="342"/>
      <c r="AU1429" s="342"/>
      <c r="AV1429" s="342"/>
      <c r="AW1429" s="342"/>
      <c r="AX1429" s="342"/>
      <c r="AY1429" s="342"/>
      <c r="AZ1429" s="342"/>
      <c r="BA1429" s="342"/>
      <c r="BB1429" s="342"/>
      <c r="BC1429" s="342"/>
      <c r="BD1429" s="342"/>
      <c r="BE1429" s="342"/>
      <c r="BF1429" s="342"/>
      <c r="BG1429" s="342"/>
      <c r="BH1429" s="342"/>
      <c r="BI1429" s="342"/>
      <c r="BJ1429" s="342"/>
      <c r="BK1429" s="342"/>
      <c r="BL1429" s="342"/>
      <c r="BM1429" s="342"/>
      <c r="BN1429" s="342"/>
      <c r="BO1429" s="342"/>
      <c r="BP1429" s="342"/>
      <c r="BQ1429" s="342"/>
      <c r="BR1429" s="342"/>
      <c r="BS1429" s="342"/>
      <c r="BT1429" s="342"/>
      <c r="BU1429" s="342"/>
      <c r="BV1429" s="342"/>
      <c r="BW1429" s="342"/>
      <c r="BX1429" s="342"/>
      <c r="BY1429" s="342"/>
      <c r="BZ1429" s="342"/>
      <c r="CA1429" s="342"/>
      <c r="CB1429" s="342"/>
      <c r="CC1429" s="342"/>
      <c r="CD1429" s="342"/>
      <c r="CE1429" s="342"/>
      <c r="CF1429" s="342"/>
      <c r="CG1429" s="342"/>
      <c r="CH1429" s="342"/>
      <c r="CI1429" s="342"/>
      <c r="CJ1429" s="342"/>
      <c r="CK1429" s="342"/>
      <c r="CL1429" s="342"/>
      <c r="CM1429" s="342"/>
      <c r="CN1429" s="342"/>
      <c r="CO1429" s="342"/>
      <c r="CP1429" s="342"/>
      <c r="CQ1429" s="342"/>
      <c r="CR1429" s="342"/>
      <c r="CS1429" s="342"/>
      <c r="CT1429" s="342"/>
      <c r="CU1429" s="342"/>
      <c r="CV1429" s="342"/>
      <c r="CW1429" s="342"/>
      <c r="CX1429" s="342"/>
      <c r="CY1429" s="342"/>
      <c r="CZ1429" s="342"/>
      <c r="DA1429" s="342"/>
      <c r="DB1429" s="342"/>
      <c r="DC1429" s="342"/>
      <c r="DD1429" s="342"/>
      <c r="DE1429" s="342"/>
      <c r="DF1429" s="342"/>
      <c r="DG1429" s="342"/>
      <c r="DH1429" s="342"/>
      <c r="DI1429" s="342"/>
      <c r="DJ1429" s="342"/>
      <c r="DK1429" s="342"/>
      <c r="DL1429" s="342"/>
      <c r="DM1429" s="342"/>
      <c r="DN1429" s="342"/>
      <c r="DO1429" s="342"/>
      <c r="DP1429" s="342"/>
      <c r="DQ1429" s="342"/>
      <c r="DR1429" s="342"/>
      <c r="DS1429" s="342"/>
      <c r="DT1429" s="342"/>
      <c r="DU1429" s="342"/>
      <c r="ES1429" s="12"/>
      <c r="ET1429" s="12"/>
      <c r="EU1429" s="342"/>
      <c r="EV1429" s="342"/>
      <c r="EW1429" s="342"/>
      <c r="EX1429" s="342"/>
      <c r="EY1429" s="342"/>
      <c r="EZ1429" s="342"/>
      <c r="FA1429" s="342"/>
      <c r="FB1429" s="342"/>
      <c r="FC1429" s="342"/>
      <c r="FD1429" s="342"/>
      <c r="FE1429" s="342"/>
      <c r="FF1429" s="342"/>
      <c r="FG1429" s="342"/>
      <c r="FH1429" s="342"/>
      <c r="FI1429" s="342"/>
      <c r="FJ1429" s="342"/>
      <c r="FK1429" s="342"/>
      <c r="FL1429" s="342"/>
      <c r="FM1429" s="342"/>
      <c r="FN1429" s="342"/>
      <c r="FO1429" s="342"/>
      <c r="FP1429" s="342"/>
      <c r="FQ1429" s="342"/>
      <c r="FR1429" s="342"/>
      <c r="FS1429" s="342"/>
      <c r="FT1429" s="342"/>
      <c r="FU1429" s="13"/>
      <c r="FV1429" s="12"/>
      <c r="FW1429" s="342"/>
      <c r="FX1429" s="342"/>
      <c r="FY1429" s="342"/>
      <c r="FZ1429" s="342"/>
      <c r="GA1429" s="342"/>
      <c r="GB1429" s="342"/>
      <c r="GC1429" s="342"/>
      <c r="GD1429" s="342"/>
      <c r="GE1429" s="13"/>
      <c r="GM1429" s="12"/>
      <c r="GP1429" s="12"/>
      <c r="GQ1429" s="342"/>
      <c r="GR1429" s="342"/>
      <c r="GS1429" s="342"/>
      <c r="GT1429" s="342"/>
      <c r="GU1429" s="342"/>
      <c r="GV1429" s="342"/>
      <c r="GW1429" s="342"/>
      <c r="GX1429" s="342"/>
      <c r="GY1429" s="342"/>
      <c r="GZ1429" s="342"/>
      <c r="HA1429" s="342"/>
      <c r="HB1429" s="342"/>
      <c r="HC1429" s="342"/>
      <c r="HD1429" s="342"/>
      <c r="HE1429" s="342"/>
      <c r="HF1429" s="342"/>
      <c r="HG1429" s="342"/>
      <c r="HH1429" s="351"/>
      <c r="HI1429" s="351"/>
      <c r="HJ1429" s="343"/>
      <c r="HK1429" s="265"/>
      <c r="HL1429" s="266"/>
      <c r="HM1429" s="347"/>
      <c r="HN1429" s="351"/>
      <c r="HO1429" s="351"/>
      <c r="HP1429" s="351"/>
      <c r="HQ1429" s="351"/>
      <c r="HR1429" s="351"/>
      <c r="HS1429" s="351"/>
      <c r="HT1429" s="351"/>
      <c r="HU1429" s="351"/>
      <c r="HV1429" s="351"/>
      <c r="HW1429" s="351"/>
      <c r="HX1429" s="351"/>
      <c r="HY1429" s="351"/>
      <c r="HZ1429" s="351"/>
      <c r="IA1429" s="351"/>
      <c r="IB1429" s="351"/>
      <c r="IC1429" s="351"/>
      <c r="ID1429" s="351"/>
      <c r="IE1429" s="351"/>
      <c r="IF1429" s="351"/>
      <c r="IG1429" s="351"/>
      <c r="IH1429" s="351"/>
      <c r="II1429" s="351"/>
      <c r="IJ1429" s="351"/>
      <c r="IK1429" s="351"/>
      <c r="IL1429" s="351"/>
      <c r="IM1429" s="351"/>
      <c r="IN1429" s="351"/>
      <c r="IO1429" s="351"/>
      <c r="IP1429" s="351"/>
      <c r="IQ1429" s="351"/>
      <c r="IR1429" s="351"/>
      <c r="IS1429" s="351"/>
      <c r="IT1429" s="351"/>
      <c r="IU1429" s="351"/>
      <c r="IV1429" s="351"/>
      <c r="IW1429" s="351"/>
      <c r="IX1429" s="351"/>
      <c r="IY1429" s="351"/>
      <c r="IZ1429" s="351"/>
      <c r="JA1429" s="351"/>
      <c r="JB1429" s="351"/>
      <c r="JC1429" s="351"/>
      <c r="JD1429" s="351"/>
      <c r="JE1429" s="347"/>
      <c r="JF1429" s="343"/>
      <c r="JG1429" s="351"/>
      <c r="JH1429" s="351"/>
      <c r="JI1429" s="351"/>
      <c r="JJ1429" s="351"/>
      <c r="JK1429" s="351"/>
      <c r="JL1429" s="351"/>
      <c r="JM1429" s="351"/>
      <c r="JN1429" s="351"/>
      <c r="JO1429" s="351"/>
      <c r="JP1429" s="351"/>
      <c r="JQ1429" s="351"/>
      <c r="JR1429" s="351"/>
      <c r="JS1429" s="351"/>
      <c r="JT1429" s="351"/>
      <c r="JU1429" s="351"/>
      <c r="JV1429" s="351"/>
      <c r="JW1429" s="351"/>
      <c r="JX1429" s="351"/>
      <c r="JY1429" s="351"/>
      <c r="JZ1429" s="351"/>
      <c r="KA1429" s="351"/>
      <c r="KB1429" s="351"/>
      <c r="KC1429" s="351"/>
      <c r="KD1429" s="351"/>
      <c r="KE1429" s="351"/>
      <c r="KF1429" s="351"/>
      <c r="KG1429" s="351"/>
      <c r="KH1429" s="351"/>
      <c r="KI1429" s="351"/>
      <c r="KJ1429" s="351"/>
      <c r="KK1429" s="351"/>
      <c r="KL1429" s="351"/>
      <c r="KM1429" s="351"/>
      <c r="KN1429" s="351"/>
      <c r="KO1429" s="351"/>
      <c r="KP1429" s="351"/>
      <c r="KQ1429" s="351"/>
      <c r="KR1429" s="351"/>
      <c r="KS1429" s="351"/>
      <c r="KT1429" s="351"/>
      <c r="KU1429" s="351"/>
      <c r="KV1429" s="351"/>
      <c r="KW1429" s="351"/>
      <c r="KX1429" s="351"/>
      <c r="KY1429" s="351"/>
      <c r="KZ1429" s="351"/>
      <c r="LA1429" s="351"/>
      <c r="LB1429" s="343"/>
      <c r="LC1429" s="351"/>
      <c r="LD1429" s="351"/>
      <c r="LE1429" s="343"/>
      <c r="LF1429" s="351"/>
      <c r="LG1429" s="351"/>
      <c r="LH1429" s="351"/>
      <c r="LI1429" s="351"/>
      <c r="LJ1429" s="342"/>
      <c r="LK1429" s="342"/>
      <c r="LL1429" s="342"/>
      <c r="LM1429" s="342"/>
      <c r="LN1429" s="342"/>
      <c r="LO1429" s="342"/>
      <c r="LP1429" s="342"/>
      <c r="LQ1429" s="342"/>
      <c r="LR1429" s="342"/>
      <c r="LS1429" s="342"/>
      <c r="LT1429" s="342"/>
      <c r="LU1429" s="13"/>
    </row>
    <row r="1430" spans="6:333" ht="10.75" customHeight="1">
      <c r="F1430" s="342"/>
      <c r="G1430" s="342"/>
      <c r="H1430" s="342"/>
      <c r="I1430" s="342"/>
      <c r="J1430" s="342"/>
      <c r="K1430" s="342"/>
      <c r="L1430" s="342"/>
      <c r="M1430" s="342"/>
      <c r="N1430" s="342"/>
      <c r="O1430" s="342"/>
      <c r="P1430" s="342"/>
      <c r="Q1430" s="342"/>
      <c r="R1430" s="342"/>
      <c r="S1430" s="342"/>
      <c r="T1430" s="342"/>
      <c r="U1430" s="342"/>
      <c r="V1430" s="342"/>
      <c r="W1430" s="342"/>
      <c r="X1430" s="342"/>
      <c r="Y1430" s="342"/>
      <c r="Z1430" s="342"/>
      <c r="AA1430" s="342"/>
      <c r="AB1430" s="342"/>
      <c r="AC1430" s="342"/>
      <c r="AD1430" s="342"/>
      <c r="AE1430" s="342"/>
      <c r="AF1430" s="342"/>
      <c r="AG1430" s="342"/>
      <c r="AH1430" s="342"/>
      <c r="AI1430" s="342"/>
      <c r="AJ1430" s="342"/>
      <c r="AK1430" s="342"/>
      <c r="AL1430" s="342"/>
      <c r="AM1430" s="342"/>
      <c r="AN1430" s="342"/>
      <c r="AO1430" s="342"/>
      <c r="AP1430" s="342"/>
      <c r="AQ1430" s="342"/>
      <c r="AR1430" s="342"/>
      <c r="AS1430" s="342"/>
      <c r="AT1430" s="342"/>
      <c r="AU1430" s="342"/>
      <c r="AV1430" s="342"/>
      <c r="AW1430" s="342"/>
      <c r="AX1430" s="342"/>
      <c r="AY1430" s="342"/>
      <c r="AZ1430" s="342"/>
      <c r="BA1430" s="342"/>
      <c r="BB1430" s="342"/>
      <c r="BC1430" s="342"/>
      <c r="BD1430" s="342"/>
      <c r="BE1430" s="342"/>
      <c r="BF1430" s="342"/>
      <c r="BG1430" s="342"/>
      <c r="BH1430" s="342"/>
      <c r="BI1430" s="342"/>
      <c r="BJ1430" s="342"/>
      <c r="BK1430" s="342"/>
      <c r="BL1430" s="342"/>
      <c r="BM1430" s="342"/>
      <c r="BN1430" s="342"/>
      <c r="BO1430" s="342"/>
      <c r="BP1430" s="342"/>
      <c r="BQ1430" s="342"/>
      <c r="BR1430" s="342"/>
      <c r="BS1430" s="342"/>
      <c r="BT1430" s="342"/>
      <c r="BU1430" s="342"/>
      <c r="BV1430" s="342"/>
      <c r="BW1430" s="342"/>
      <c r="BX1430" s="342"/>
      <c r="BY1430" s="342"/>
      <c r="BZ1430" s="342"/>
      <c r="CA1430" s="342"/>
      <c r="CB1430" s="342"/>
      <c r="CC1430" s="342"/>
      <c r="CD1430" s="342"/>
      <c r="CE1430" s="342"/>
      <c r="CF1430" s="342"/>
      <c r="CG1430" s="342"/>
      <c r="CH1430" s="342"/>
      <c r="CI1430" s="342"/>
      <c r="CJ1430" s="342"/>
      <c r="CK1430" s="342"/>
      <c r="CL1430" s="342"/>
      <c r="CM1430" s="342"/>
      <c r="CN1430" s="342"/>
      <c r="CO1430" s="342"/>
      <c r="CP1430" s="342"/>
      <c r="CQ1430" s="342"/>
      <c r="CR1430" s="342"/>
      <c r="CS1430" s="342"/>
      <c r="CT1430" s="342"/>
      <c r="CU1430" s="342"/>
      <c r="CV1430" s="342"/>
      <c r="CW1430" s="342"/>
      <c r="CX1430" s="342"/>
      <c r="CY1430" s="342"/>
      <c r="CZ1430" s="342"/>
      <c r="DA1430" s="342"/>
      <c r="DB1430" s="342"/>
      <c r="DC1430" s="342"/>
      <c r="DD1430" s="342"/>
      <c r="DE1430" s="342"/>
      <c r="DF1430" s="342"/>
      <c r="DG1430" s="342"/>
      <c r="DH1430" s="342"/>
      <c r="DI1430" s="342"/>
      <c r="DJ1430" s="342"/>
      <c r="DK1430" s="342"/>
      <c r="DL1430" s="342"/>
      <c r="DM1430" s="342"/>
      <c r="DN1430" s="342"/>
      <c r="DO1430" s="342"/>
      <c r="DP1430" s="342"/>
      <c r="DQ1430" s="342"/>
      <c r="DR1430" s="342"/>
      <c r="DS1430" s="342"/>
      <c r="DT1430" s="342"/>
      <c r="DU1430" s="342"/>
      <c r="ES1430" s="12"/>
      <c r="ET1430" s="12"/>
      <c r="EU1430" s="342"/>
      <c r="EV1430" s="342"/>
      <c r="EW1430" s="342"/>
      <c r="EX1430" s="342"/>
      <c r="EY1430" s="342"/>
      <c r="EZ1430" s="342"/>
      <c r="FA1430" s="342"/>
      <c r="FB1430" s="342"/>
      <c r="FC1430" s="342"/>
      <c r="FD1430" s="342"/>
      <c r="FE1430" s="342"/>
      <c r="FF1430" s="342"/>
      <c r="FG1430" s="342"/>
      <c r="FH1430" s="342"/>
      <c r="FI1430" s="342"/>
      <c r="FJ1430" s="342"/>
      <c r="FK1430" s="342"/>
      <c r="FL1430" s="342"/>
      <c r="FM1430" s="342"/>
      <c r="FN1430" s="342"/>
      <c r="FO1430" s="342"/>
      <c r="FP1430" s="342"/>
      <c r="FQ1430" s="342"/>
      <c r="FR1430" s="342"/>
      <c r="FS1430" s="342"/>
      <c r="FT1430" s="342"/>
      <c r="FU1430" s="13"/>
      <c r="FV1430" s="12"/>
      <c r="FW1430" s="342"/>
      <c r="FX1430" s="342"/>
      <c r="FY1430" s="342"/>
      <c r="FZ1430" s="342"/>
      <c r="GA1430" s="342"/>
      <c r="GB1430" s="342"/>
      <c r="GC1430" s="342"/>
      <c r="GD1430" s="342"/>
      <c r="GE1430" s="13"/>
      <c r="GM1430" s="12"/>
      <c r="GP1430" s="12"/>
      <c r="GQ1430" s="342"/>
      <c r="GR1430" s="342"/>
      <c r="GS1430" s="342"/>
      <c r="GT1430" s="342"/>
      <c r="GU1430" s="342"/>
      <c r="GV1430" s="342"/>
      <c r="GW1430" s="342"/>
      <c r="GX1430" s="342"/>
      <c r="GY1430" s="342"/>
      <c r="GZ1430" s="342"/>
      <c r="HA1430" s="342"/>
      <c r="HB1430" s="342"/>
      <c r="HC1430" s="342"/>
      <c r="HD1430" s="342"/>
      <c r="HE1430" s="342"/>
      <c r="HF1430" s="342"/>
      <c r="HG1430" s="342"/>
      <c r="HH1430" s="351"/>
      <c r="HI1430" s="351"/>
      <c r="HJ1430" s="343"/>
      <c r="HK1430" s="351"/>
      <c r="HL1430" s="343"/>
      <c r="HM1430" s="347"/>
      <c r="HN1430" s="351"/>
      <c r="HO1430" s="351"/>
      <c r="HP1430" s="351"/>
      <c r="HQ1430" s="351"/>
      <c r="HR1430" s="351"/>
      <c r="HS1430" s="351"/>
      <c r="HT1430" s="351"/>
      <c r="HU1430" s="351"/>
      <c r="HV1430" s="351"/>
      <c r="HW1430" s="351"/>
      <c r="HX1430" s="351"/>
      <c r="HY1430" s="351"/>
      <c r="HZ1430" s="351"/>
      <c r="IA1430" s="351"/>
      <c r="IB1430" s="351"/>
      <c r="IC1430" s="351"/>
      <c r="ID1430" s="351"/>
      <c r="IE1430" s="351"/>
      <c r="IF1430" s="351"/>
      <c r="IG1430" s="351"/>
      <c r="IH1430" s="351"/>
      <c r="II1430" s="351"/>
      <c r="IJ1430" s="351"/>
      <c r="IK1430" s="351"/>
      <c r="IL1430" s="351"/>
      <c r="IM1430" s="351"/>
      <c r="IN1430" s="351"/>
      <c r="IO1430" s="351"/>
      <c r="IP1430" s="351"/>
      <c r="IQ1430" s="351"/>
      <c r="IR1430" s="351"/>
      <c r="IS1430" s="351"/>
      <c r="IT1430" s="351"/>
      <c r="IU1430" s="351"/>
      <c r="IV1430" s="351"/>
      <c r="IW1430" s="351"/>
      <c r="IX1430" s="351"/>
      <c r="IY1430" s="351"/>
      <c r="IZ1430" s="351"/>
      <c r="JA1430" s="351"/>
      <c r="JB1430" s="351"/>
      <c r="JC1430" s="351"/>
      <c r="JD1430" s="351"/>
      <c r="JE1430" s="347"/>
      <c r="JF1430" s="343"/>
      <c r="JG1430" s="351"/>
      <c r="JH1430" s="351"/>
      <c r="JI1430" s="351"/>
      <c r="JJ1430" s="351"/>
      <c r="JK1430" s="351"/>
      <c r="JL1430" s="351"/>
      <c r="JM1430" s="351"/>
      <c r="JN1430" s="351"/>
      <c r="JO1430" s="351"/>
      <c r="JP1430" s="351"/>
      <c r="JQ1430" s="351"/>
      <c r="JR1430" s="351"/>
      <c r="JS1430" s="351"/>
      <c r="JT1430" s="351"/>
      <c r="JU1430" s="351"/>
      <c r="JV1430" s="351"/>
      <c r="JW1430" s="351"/>
      <c r="JX1430" s="351"/>
      <c r="JY1430" s="351"/>
      <c r="JZ1430" s="351"/>
      <c r="KA1430" s="351"/>
      <c r="KB1430" s="351"/>
      <c r="KC1430" s="351"/>
      <c r="KD1430" s="351"/>
      <c r="KE1430" s="351"/>
      <c r="KF1430" s="351"/>
      <c r="KG1430" s="351"/>
      <c r="KH1430" s="351"/>
      <c r="KI1430" s="351"/>
      <c r="KJ1430" s="351"/>
      <c r="KK1430" s="351"/>
      <c r="KL1430" s="351"/>
      <c r="KM1430" s="351"/>
      <c r="KN1430" s="351"/>
      <c r="KO1430" s="351"/>
      <c r="KP1430" s="351"/>
      <c r="KQ1430" s="351"/>
      <c r="KR1430" s="351"/>
      <c r="KS1430" s="351"/>
      <c r="KT1430" s="351"/>
      <c r="KU1430" s="351"/>
      <c r="KV1430" s="351"/>
      <c r="KW1430" s="351"/>
      <c r="KX1430" s="351"/>
      <c r="KY1430" s="351"/>
      <c r="KZ1430" s="351"/>
      <c r="LA1430" s="351"/>
      <c r="LB1430" s="343"/>
      <c r="LC1430" s="351"/>
      <c r="LD1430" s="351"/>
      <c r="LE1430" s="343"/>
      <c r="LF1430" s="351"/>
      <c r="LG1430" s="351"/>
      <c r="LH1430" s="351"/>
      <c r="LI1430" s="351"/>
      <c r="LJ1430" s="342"/>
      <c r="LK1430" s="342"/>
      <c r="LL1430" s="342"/>
      <c r="LM1430" s="342"/>
      <c r="LN1430" s="342"/>
      <c r="LO1430" s="342"/>
      <c r="LP1430" s="342"/>
      <c r="LQ1430" s="342"/>
      <c r="LR1430" s="342"/>
      <c r="LS1430" s="342"/>
      <c r="LT1430" s="342"/>
      <c r="LU1430" s="13"/>
    </row>
    <row r="1431" spans="6:333" ht="10.75" customHeight="1">
      <c r="F1431" s="342"/>
      <c r="G1431" s="342"/>
      <c r="H1431" s="342"/>
      <c r="I1431" s="342"/>
      <c r="J1431" s="342"/>
      <c r="K1431" s="342"/>
      <c r="L1431" s="342"/>
      <c r="M1431" s="342"/>
      <c r="N1431" s="342"/>
      <c r="O1431" s="342"/>
      <c r="P1431" s="342"/>
      <c r="Q1431" s="342"/>
      <c r="R1431" s="342"/>
      <c r="S1431" s="342"/>
      <c r="T1431" s="342"/>
      <c r="U1431" s="342"/>
      <c r="V1431" s="342"/>
      <c r="W1431" s="342"/>
      <c r="X1431" s="342"/>
      <c r="Y1431" s="342"/>
      <c r="Z1431" s="342"/>
      <c r="AA1431" s="342"/>
      <c r="AB1431" s="342"/>
      <c r="AC1431" s="342"/>
      <c r="AD1431" s="342"/>
      <c r="AE1431" s="342"/>
      <c r="AF1431" s="342"/>
      <c r="AG1431" s="342"/>
      <c r="AH1431" s="342"/>
      <c r="AI1431" s="342"/>
      <c r="AJ1431" s="342"/>
      <c r="AK1431" s="342"/>
      <c r="AL1431" s="342"/>
      <c r="AM1431" s="342"/>
      <c r="AN1431" s="342"/>
      <c r="AO1431" s="342"/>
      <c r="AP1431" s="342"/>
      <c r="AQ1431" s="342"/>
      <c r="AR1431" s="342"/>
      <c r="AS1431" s="342"/>
      <c r="AT1431" s="342"/>
      <c r="AU1431" s="342"/>
      <c r="AV1431" s="342"/>
      <c r="AW1431" s="342"/>
      <c r="AX1431" s="342"/>
      <c r="AY1431" s="342"/>
      <c r="AZ1431" s="342"/>
      <c r="BA1431" s="342"/>
      <c r="BB1431" s="342"/>
      <c r="BC1431" s="342"/>
      <c r="BD1431" s="342"/>
      <c r="BE1431" s="342"/>
      <c r="BF1431" s="342"/>
      <c r="BG1431" s="342"/>
      <c r="BH1431" s="342"/>
      <c r="BI1431" s="342"/>
      <c r="BJ1431" s="342"/>
      <c r="BK1431" s="342"/>
      <c r="BL1431" s="342"/>
      <c r="BM1431" s="342"/>
      <c r="BN1431" s="342"/>
      <c r="BO1431" s="342"/>
      <c r="BP1431" s="342"/>
      <c r="BQ1431" s="342"/>
      <c r="BR1431" s="342"/>
      <c r="BS1431" s="342"/>
      <c r="BT1431" s="342"/>
      <c r="BU1431" s="342"/>
      <c r="BV1431" s="342"/>
      <c r="BW1431" s="342"/>
      <c r="BX1431" s="342"/>
      <c r="BY1431" s="342"/>
      <c r="BZ1431" s="342"/>
      <c r="CA1431" s="342"/>
      <c r="CB1431" s="342"/>
      <c r="CC1431" s="342"/>
      <c r="CD1431" s="342"/>
      <c r="CE1431" s="342"/>
      <c r="CF1431" s="342"/>
      <c r="CG1431" s="342"/>
      <c r="CH1431" s="342"/>
      <c r="CI1431" s="342"/>
      <c r="CJ1431" s="342"/>
      <c r="CK1431" s="342"/>
      <c r="CL1431" s="342"/>
      <c r="CM1431" s="342"/>
      <c r="CN1431" s="342"/>
      <c r="CO1431" s="342"/>
      <c r="CP1431" s="342"/>
      <c r="CQ1431" s="342"/>
      <c r="CR1431" s="342"/>
      <c r="CS1431" s="342"/>
      <c r="CT1431" s="342"/>
      <c r="CU1431" s="342"/>
      <c r="CV1431" s="342"/>
      <c r="CW1431" s="342"/>
      <c r="CX1431" s="342"/>
      <c r="CY1431" s="342"/>
      <c r="CZ1431" s="342"/>
      <c r="DA1431" s="342"/>
      <c r="DB1431" s="342"/>
      <c r="DC1431" s="342"/>
      <c r="DD1431" s="342"/>
      <c r="DE1431" s="342"/>
      <c r="DF1431" s="342"/>
      <c r="DG1431" s="342"/>
      <c r="DH1431" s="342"/>
      <c r="DI1431" s="342"/>
      <c r="DJ1431" s="342"/>
      <c r="DK1431" s="342"/>
      <c r="DL1431" s="342"/>
      <c r="DM1431" s="342"/>
      <c r="DN1431" s="342"/>
      <c r="DO1431" s="342"/>
      <c r="DP1431" s="342"/>
      <c r="DQ1431" s="342"/>
      <c r="DR1431" s="342"/>
      <c r="DS1431" s="342"/>
      <c r="DT1431" s="342"/>
      <c r="DU1431" s="342"/>
      <c r="ES1431" s="12"/>
      <c r="ET1431" s="12"/>
      <c r="EU1431" s="342"/>
      <c r="EV1431" s="342"/>
      <c r="EW1431" s="342"/>
      <c r="EX1431" s="342"/>
      <c r="EY1431" s="342"/>
      <c r="EZ1431" s="342"/>
      <c r="FA1431" s="342"/>
      <c r="FB1431" s="342"/>
      <c r="FC1431" s="342"/>
      <c r="FD1431" s="342"/>
      <c r="FE1431" s="342"/>
      <c r="FF1431" s="342"/>
      <c r="FG1431" s="342"/>
      <c r="FH1431" s="342"/>
      <c r="FI1431" s="342"/>
      <c r="FJ1431" s="342"/>
      <c r="FK1431" s="342"/>
      <c r="FL1431" s="342"/>
      <c r="FM1431" s="342"/>
      <c r="FN1431" s="342"/>
      <c r="FO1431" s="342"/>
      <c r="FP1431" s="342"/>
      <c r="FQ1431" s="342"/>
      <c r="FR1431" s="342"/>
      <c r="FS1431" s="342"/>
      <c r="FT1431" s="342"/>
      <c r="FU1431" s="13"/>
      <c r="FV1431" s="12"/>
      <c r="FW1431" s="342"/>
      <c r="FX1431" s="342"/>
      <c r="FY1431" s="342"/>
      <c r="FZ1431" s="342"/>
      <c r="GA1431" s="342"/>
      <c r="GB1431" s="342"/>
      <c r="GC1431" s="342"/>
      <c r="GD1431" s="342"/>
      <c r="GE1431" s="13"/>
      <c r="GM1431" s="12"/>
      <c r="GP1431" s="12"/>
      <c r="GT1431" s="342"/>
      <c r="GU1431" s="342"/>
      <c r="GV1431" s="342"/>
      <c r="GW1431" s="342"/>
      <c r="GX1431" s="342"/>
      <c r="GY1431" s="342"/>
      <c r="GZ1431" s="342"/>
      <c r="HA1431" s="342"/>
      <c r="HB1431" s="342"/>
      <c r="HC1431" s="342"/>
      <c r="HD1431" s="342"/>
      <c r="HE1431" s="342"/>
      <c r="HF1431" s="342"/>
      <c r="HG1431" s="351"/>
      <c r="HH1431" s="351"/>
      <c r="HI1431" s="351"/>
      <c r="HJ1431" s="343"/>
      <c r="HK1431" s="351"/>
      <c r="HL1431" s="343"/>
      <c r="HM1431" s="347"/>
      <c r="HN1431" s="351"/>
      <c r="HO1431" s="351"/>
      <c r="HP1431" s="351"/>
      <c r="HQ1431" s="351"/>
      <c r="HR1431" s="351"/>
      <c r="HS1431" s="351"/>
      <c r="HT1431" s="351"/>
      <c r="HU1431" s="351"/>
      <c r="HV1431" s="351"/>
      <c r="HW1431" s="351"/>
      <c r="HX1431" s="351"/>
      <c r="HY1431" s="351"/>
      <c r="HZ1431" s="351"/>
      <c r="IA1431" s="351"/>
      <c r="IB1431" s="351"/>
      <c r="IC1431" s="351"/>
      <c r="ID1431" s="351"/>
      <c r="IE1431" s="351"/>
      <c r="IF1431" s="351"/>
      <c r="IG1431" s="351"/>
      <c r="IH1431" s="351"/>
      <c r="II1431" s="351"/>
      <c r="IJ1431" s="351"/>
      <c r="IK1431" s="351"/>
      <c r="IL1431" s="351"/>
      <c r="IM1431" s="351"/>
      <c r="IN1431" s="351"/>
      <c r="IO1431" s="351"/>
      <c r="IP1431" s="351"/>
      <c r="IQ1431" s="351"/>
      <c r="IR1431" s="351"/>
      <c r="IS1431" s="351"/>
      <c r="IT1431" s="351"/>
      <c r="IU1431" s="351"/>
      <c r="IV1431" s="351"/>
      <c r="IW1431" s="351"/>
      <c r="IX1431" s="351"/>
      <c r="IY1431" s="351"/>
      <c r="IZ1431" s="351"/>
      <c r="JA1431" s="351"/>
      <c r="JB1431" s="351"/>
      <c r="JC1431" s="351"/>
      <c r="JD1431" s="351"/>
      <c r="JE1431" s="347"/>
      <c r="JF1431" s="343"/>
      <c r="JG1431" s="351"/>
      <c r="JH1431" s="351"/>
      <c r="JI1431" s="351"/>
      <c r="JJ1431" s="351"/>
      <c r="JK1431" s="351"/>
      <c r="JL1431" s="351"/>
      <c r="JM1431" s="351"/>
      <c r="JN1431" s="351"/>
      <c r="JO1431" s="351"/>
      <c r="JP1431" s="351"/>
      <c r="JQ1431" s="351"/>
      <c r="JR1431" s="351"/>
      <c r="JS1431" s="351"/>
      <c r="JT1431" s="351"/>
      <c r="JU1431" s="351"/>
      <c r="JV1431" s="351"/>
      <c r="JW1431" s="351"/>
      <c r="JX1431" s="351"/>
      <c r="JY1431" s="351"/>
      <c r="JZ1431" s="351"/>
      <c r="KA1431" s="351"/>
      <c r="KB1431" s="351"/>
      <c r="KC1431" s="351"/>
      <c r="KD1431" s="351"/>
      <c r="KE1431" s="351"/>
      <c r="KF1431" s="351"/>
      <c r="KG1431" s="351"/>
      <c r="KH1431" s="351"/>
      <c r="KI1431" s="351"/>
      <c r="KJ1431" s="351"/>
      <c r="KK1431" s="351"/>
      <c r="KL1431" s="351"/>
      <c r="KM1431" s="351"/>
      <c r="KN1431" s="351"/>
      <c r="KO1431" s="351"/>
      <c r="KP1431" s="351"/>
      <c r="KQ1431" s="351"/>
      <c r="KR1431" s="351"/>
      <c r="KS1431" s="351"/>
      <c r="KT1431" s="351"/>
      <c r="KU1431" s="351"/>
      <c r="KV1431" s="351"/>
      <c r="KW1431" s="351"/>
      <c r="KX1431" s="351"/>
      <c r="KY1431" s="351"/>
      <c r="KZ1431" s="351"/>
      <c r="LA1431" s="351"/>
      <c r="LB1431" s="343"/>
      <c r="LC1431" s="351"/>
      <c r="LD1431" s="351"/>
      <c r="LE1431" s="343"/>
      <c r="LF1431" s="351"/>
      <c r="LG1431" s="351"/>
      <c r="LH1431" s="351"/>
      <c r="LI1431" s="351"/>
      <c r="LJ1431" s="342"/>
      <c r="LK1431" s="342"/>
      <c r="LL1431" s="342"/>
      <c r="LM1431" s="342"/>
      <c r="LN1431" s="342"/>
      <c r="LO1431" s="342"/>
      <c r="LP1431" s="342"/>
      <c r="LQ1431" s="342"/>
      <c r="LR1431" s="342"/>
      <c r="LS1431" s="342"/>
      <c r="LT1431" s="342"/>
      <c r="LU1431" s="13"/>
    </row>
    <row r="1432" spans="6:333" ht="10.75" customHeight="1">
      <c r="F1432" s="342"/>
      <c r="G1432" s="342"/>
      <c r="H1432" s="342"/>
      <c r="I1432" s="342"/>
      <c r="J1432" s="342"/>
      <c r="K1432" s="342"/>
      <c r="L1432" s="342"/>
      <c r="M1432" s="342"/>
      <c r="N1432" s="342"/>
      <c r="O1432" s="342"/>
      <c r="P1432" s="342"/>
      <c r="Q1432" s="342"/>
      <c r="R1432" s="342"/>
      <c r="S1432" s="342"/>
      <c r="T1432" s="342"/>
      <c r="U1432" s="342"/>
      <c r="V1432" s="342"/>
      <c r="W1432" s="342"/>
      <c r="X1432" s="342"/>
      <c r="Y1432" s="342"/>
      <c r="Z1432" s="342"/>
      <c r="AA1432" s="342"/>
      <c r="AB1432" s="342"/>
      <c r="AC1432" s="342"/>
      <c r="AD1432" s="342"/>
      <c r="AE1432" s="342"/>
      <c r="AF1432" s="342"/>
      <c r="AG1432" s="342"/>
      <c r="AH1432" s="342"/>
      <c r="AI1432" s="342"/>
      <c r="AJ1432" s="342"/>
      <c r="AK1432" s="342"/>
      <c r="AL1432" s="342"/>
      <c r="AM1432" s="342"/>
      <c r="AN1432" s="342"/>
      <c r="AO1432" s="342"/>
      <c r="AP1432" s="342"/>
      <c r="AQ1432" s="342"/>
      <c r="AR1432" s="342"/>
      <c r="AS1432" s="342"/>
      <c r="AT1432" s="342"/>
      <c r="AU1432" s="342"/>
      <c r="AV1432" s="342"/>
      <c r="AW1432" s="342"/>
      <c r="AX1432" s="342"/>
      <c r="AY1432" s="342"/>
      <c r="AZ1432" s="342"/>
      <c r="BA1432" s="342"/>
      <c r="BB1432" s="342"/>
      <c r="BC1432" s="342"/>
      <c r="BD1432" s="342"/>
      <c r="BE1432" s="342"/>
      <c r="BF1432" s="342"/>
      <c r="BG1432" s="342"/>
      <c r="BH1432" s="342"/>
      <c r="BI1432" s="342"/>
      <c r="BJ1432" s="342"/>
      <c r="BK1432" s="342"/>
      <c r="BL1432" s="342"/>
      <c r="BM1432" s="342"/>
      <c r="BN1432" s="342"/>
      <c r="BO1432" s="342"/>
      <c r="BP1432" s="342"/>
      <c r="BQ1432" s="342"/>
      <c r="BR1432" s="342"/>
      <c r="BS1432" s="342"/>
      <c r="BT1432" s="342"/>
      <c r="BU1432" s="342"/>
      <c r="BV1432" s="342"/>
      <c r="BW1432" s="342"/>
      <c r="BX1432" s="342"/>
      <c r="BY1432" s="342"/>
      <c r="BZ1432" s="342"/>
      <c r="CA1432" s="342"/>
      <c r="CB1432" s="342"/>
      <c r="CC1432" s="342"/>
      <c r="CD1432" s="342"/>
      <c r="CE1432" s="342"/>
      <c r="CF1432" s="342"/>
      <c r="CG1432" s="342"/>
      <c r="CH1432" s="342"/>
      <c r="CI1432" s="342"/>
      <c r="CJ1432" s="342"/>
      <c r="CK1432" s="342"/>
      <c r="CL1432" s="342"/>
      <c r="CM1432" s="342"/>
      <c r="CN1432" s="342"/>
      <c r="CO1432" s="342"/>
      <c r="CP1432" s="342"/>
      <c r="CQ1432" s="342"/>
      <c r="CR1432" s="342"/>
      <c r="CS1432" s="342"/>
      <c r="CT1432" s="342"/>
      <c r="CU1432" s="342"/>
      <c r="CV1432" s="342"/>
      <c r="CW1432" s="342"/>
      <c r="CX1432" s="342"/>
      <c r="CY1432" s="342"/>
      <c r="CZ1432" s="342"/>
      <c r="DA1432" s="342"/>
      <c r="DB1432" s="342"/>
      <c r="DC1432" s="342"/>
      <c r="DD1432" s="342"/>
      <c r="DE1432" s="342"/>
      <c r="DF1432" s="342"/>
      <c r="DG1432" s="342"/>
      <c r="DH1432" s="342"/>
      <c r="DI1432" s="342"/>
      <c r="DJ1432" s="342"/>
      <c r="DK1432" s="342"/>
      <c r="DL1432" s="342"/>
      <c r="DM1432" s="342"/>
      <c r="DN1432" s="342"/>
      <c r="DO1432" s="342"/>
      <c r="DP1432" s="342"/>
      <c r="DQ1432" s="342"/>
      <c r="DR1432" s="342"/>
      <c r="DS1432" s="342"/>
      <c r="DT1432" s="342"/>
      <c r="DU1432" s="342"/>
      <c r="ES1432" s="12"/>
      <c r="ET1432" s="12"/>
      <c r="EU1432" s="342"/>
      <c r="EV1432" s="342"/>
      <c r="EW1432" s="342"/>
      <c r="EX1432" s="342"/>
      <c r="EY1432" s="342"/>
      <c r="EZ1432" s="342"/>
      <c r="FA1432" s="342"/>
      <c r="FB1432" s="342"/>
      <c r="FC1432" s="342"/>
      <c r="FD1432" s="342"/>
      <c r="FE1432" s="342"/>
      <c r="FF1432" s="342"/>
      <c r="FG1432" s="342"/>
      <c r="FH1432" s="342"/>
      <c r="FI1432" s="342"/>
      <c r="FJ1432" s="342"/>
      <c r="FK1432" s="342"/>
      <c r="FL1432" s="342"/>
      <c r="FM1432" s="342"/>
      <c r="FN1432" s="342"/>
      <c r="FO1432" s="342"/>
      <c r="FP1432" s="342"/>
      <c r="FQ1432" s="342"/>
      <c r="FR1432" s="342"/>
      <c r="FS1432" s="342"/>
      <c r="FT1432" s="342"/>
      <c r="FU1432" s="13"/>
      <c r="FV1432" s="12"/>
      <c r="FW1432" s="342"/>
      <c r="FX1432" s="342"/>
      <c r="FY1432" s="342"/>
      <c r="FZ1432" s="342"/>
      <c r="GA1432" s="342"/>
      <c r="GB1432" s="342"/>
      <c r="GC1432" s="342"/>
      <c r="GD1432" s="342"/>
      <c r="GE1432" s="13"/>
      <c r="GM1432" s="12"/>
      <c r="GP1432" s="12"/>
      <c r="GT1432" s="342"/>
      <c r="GU1432" s="342"/>
      <c r="GV1432" s="342"/>
      <c r="GW1432" s="342"/>
      <c r="GX1432" s="342"/>
      <c r="GY1432" s="342"/>
      <c r="GZ1432" s="342"/>
      <c r="HA1432" s="342"/>
      <c r="HB1432" s="342"/>
      <c r="HC1432" s="342"/>
      <c r="HD1432" s="342"/>
      <c r="HE1432" s="342"/>
      <c r="HF1432" s="342"/>
      <c r="HG1432" s="351"/>
      <c r="HH1432" s="351"/>
      <c r="HI1432" s="351"/>
      <c r="HJ1432" s="343"/>
      <c r="HK1432" s="351"/>
      <c r="HL1432" s="343"/>
      <c r="HM1432" s="347"/>
      <c r="HN1432" s="351"/>
      <c r="HO1432" s="351"/>
      <c r="HP1432" s="351"/>
      <c r="HQ1432" s="351"/>
      <c r="HR1432" s="351"/>
      <c r="HS1432" s="351"/>
      <c r="HT1432" s="351"/>
      <c r="HU1432" s="351"/>
      <c r="HV1432" s="351"/>
      <c r="HW1432" s="351"/>
      <c r="HX1432" s="351"/>
      <c r="HY1432" s="351"/>
      <c r="HZ1432" s="351"/>
      <c r="IA1432" s="351"/>
      <c r="IB1432" s="351"/>
      <c r="IC1432" s="351"/>
      <c r="ID1432" s="351"/>
      <c r="IE1432" s="351"/>
      <c r="IF1432" s="351"/>
      <c r="IG1432" s="351"/>
      <c r="IH1432" s="351"/>
      <c r="II1432" s="351"/>
      <c r="IJ1432" s="351"/>
      <c r="IK1432" s="351"/>
      <c r="IL1432" s="351"/>
      <c r="IM1432" s="351"/>
      <c r="IN1432" s="351"/>
      <c r="IO1432" s="351"/>
      <c r="IP1432" s="351"/>
      <c r="IQ1432" s="351"/>
      <c r="IR1432" s="351"/>
      <c r="IS1432" s="351"/>
      <c r="IT1432" s="351"/>
      <c r="IU1432" s="351"/>
      <c r="IV1432" s="351"/>
      <c r="IW1432" s="351"/>
      <c r="IX1432" s="351"/>
      <c r="IY1432" s="351"/>
      <c r="IZ1432" s="351"/>
      <c r="JA1432" s="351"/>
      <c r="JB1432" s="351"/>
      <c r="JC1432" s="351"/>
      <c r="JD1432" s="351"/>
      <c r="JE1432" s="347"/>
      <c r="JF1432" s="343"/>
      <c r="JG1432" s="351"/>
      <c r="JH1432" s="351"/>
      <c r="JI1432" s="351"/>
      <c r="JJ1432" s="351"/>
      <c r="JK1432" s="351"/>
      <c r="JL1432" s="351"/>
      <c r="JM1432" s="351"/>
      <c r="JN1432" s="351"/>
      <c r="JO1432" s="351"/>
      <c r="JP1432" s="351"/>
      <c r="JQ1432" s="351"/>
      <c r="JR1432" s="351"/>
      <c r="JS1432" s="351"/>
      <c r="JT1432" s="351"/>
      <c r="JU1432" s="351"/>
      <c r="JV1432" s="351"/>
      <c r="JW1432" s="351"/>
      <c r="JX1432" s="351"/>
      <c r="JY1432" s="351"/>
      <c r="JZ1432" s="351"/>
      <c r="KA1432" s="351"/>
      <c r="KB1432" s="351"/>
      <c r="KC1432" s="351"/>
      <c r="KD1432" s="351"/>
      <c r="KE1432" s="351"/>
      <c r="KF1432" s="351"/>
      <c r="KG1432" s="351"/>
      <c r="KH1432" s="351"/>
      <c r="KI1432" s="351"/>
      <c r="KJ1432" s="351"/>
      <c r="KK1432" s="351"/>
      <c r="KL1432" s="351"/>
      <c r="KM1432" s="351"/>
      <c r="KN1432" s="351"/>
      <c r="KO1432" s="351"/>
      <c r="KP1432" s="351"/>
      <c r="KQ1432" s="351"/>
      <c r="KR1432" s="351"/>
      <c r="KS1432" s="351"/>
      <c r="KT1432" s="351"/>
      <c r="KU1432" s="351"/>
      <c r="KV1432" s="351"/>
      <c r="KW1432" s="351"/>
      <c r="KX1432" s="351"/>
      <c r="KY1432" s="351"/>
      <c r="KZ1432" s="351"/>
      <c r="LA1432" s="351"/>
      <c r="LB1432" s="343"/>
      <c r="LC1432" s="351"/>
      <c r="LD1432" s="351"/>
      <c r="LE1432" s="343"/>
      <c r="LF1432" s="351"/>
      <c r="LG1432" s="351"/>
      <c r="LH1432" s="351"/>
      <c r="LI1432" s="351"/>
      <c r="LJ1432" s="342"/>
      <c r="LK1432" s="342"/>
      <c r="LL1432" s="342"/>
      <c r="LM1432" s="342"/>
      <c r="LN1432" s="342"/>
      <c r="LO1432" s="342"/>
      <c r="LP1432" s="342"/>
      <c r="LQ1432" s="342"/>
      <c r="LR1432" s="342"/>
      <c r="LS1432" s="342"/>
      <c r="LT1432" s="342"/>
      <c r="LU1432" s="13"/>
    </row>
    <row r="1433" spans="6:333" ht="10.75" customHeight="1">
      <c r="F1433" s="342"/>
      <c r="G1433" s="342"/>
      <c r="H1433" s="342"/>
      <c r="I1433" s="342"/>
      <c r="J1433" s="342"/>
      <c r="K1433" s="342"/>
      <c r="L1433" s="342"/>
      <c r="M1433" s="342"/>
      <c r="N1433" s="342"/>
      <c r="O1433" s="342"/>
      <c r="P1433" s="342"/>
      <c r="Q1433" s="342"/>
      <c r="R1433" s="342"/>
      <c r="S1433" s="342"/>
      <c r="T1433" s="342"/>
      <c r="U1433" s="342"/>
      <c r="V1433" s="342"/>
      <c r="W1433" s="342"/>
      <c r="X1433" s="342"/>
      <c r="Y1433" s="342"/>
      <c r="Z1433" s="342"/>
      <c r="AA1433" s="342"/>
      <c r="AB1433" s="342"/>
      <c r="AC1433" s="342"/>
      <c r="AD1433" s="342"/>
      <c r="AE1433" s="342"/>
      <c r="AF1433" s="342"/>
      <c r="AG1433" s="342"/>
      <c r="AH1433" s="342"/>
      <c r="AI1433" s="342"/>
      <c r="AJ1433" s="342"/>
      <c r="AK1433" s="342"/>
      <c r="AL1433" s="342"/>
      <c r="AM1433" s="342"/>
      <c r="AN1433" s="342"/>
      <c r="AO1433" s="342"/>
      <c r="AP1433" s="342"/>
      <c r="AQ1433" s="342"/>
      <c r="AR1433" s="342"/>
      <c r="AS1433" s="342"/>
      <c r="AT1433" s="342"/>
      <c r="AU1433" s="342"/>
      <c r="AV1433" s="342"/>
      <c r="AW1433" s="342"/>
      <c r="AX1433" s="342"/>
      <c r="AY1433" s="342"/>
      <c r="AZ1433" s="342"/>
      <c r="BA1433" s="342"/>
      <c r="BB1433" s="342"/>
      <c r="BC1433" s="342"/>
      <c r="BD1433" s="342"/>
      <c r="BE1433" s="342"/>
      <c r="BF1433" s="342"/>
      <c r="BG1433" s="342"/>
      <c r="BH1433" s="342"/>
      <c r="BI1433" s="342"/>
      <c r="BJ1433" s="342"/>
      <c r="BK1433" s="342"/>
      <c r="BL1433" s="342"/>
      <c r="BM1433" s="342"/>
      <c r="BN1433" s="342"/>
      <c r="BO1433" s="342"/>
      <c r="BP1433" s="342"/>
      <c r="BQ1433" s="342"/>
      <c r="BR1433" s="342"/>
      <c r="BS1433" s="342"/>
      <c r="BT1433" s="342"/>
      <c r="BU1433" s="342"/>
      <c r="BV1433" s="342"/>
      <c r="BW1433" s="342"/>
      <c r="BX1433" s="342"/>
      <c r="BY1433" s="342"/>
      <c r="BZ1433" s="342"/>
      <c r="CA1433" s="342"/>
      <c r="CB1433" s="342"/>
      <c r="CC1433" s="342"/>
      <c r="CD1433" s="342"/>
      <c r="CE1433" s="342"/>
      <c r="CF1433" s="342"/>
      <c r="CG1433" s="342"/>
      <c r="CH1433" s="342"/>
      <c r="CI1433" s="342"/>
      <c r="CJ1433" s="342"/>
      <c r="CK1433" s="342"/>
      <c r="CL1433" s="342"/>
      <c r="CM1433" s="342"/>
      <c r="CN1433" s="342"/>
      <c r="CO1433" s="342"/>
      <c r="CP1433" s="342"/>
      <c r="CQ1433" s="342"/>
      <c r="CR1433" s="342"/>
      <c r="CS1433" s="342"/>
      <c r="CT1433" s="342"/>
      <c r="CU1433" s="342"/>
      <c r="CV1433" s="342"/>
      <c r="CW1433" s="342"/>
      <c r="CX1433" s="342"/>
      <c r="CY1433" s="342"/>
      <c r="CZ1433" s="342"/>
      <c r="DA1433" s="342"/>
      <c r="DB1433" s="342"/>
      <c r="DC1433" s="342"/>
      <c r="DD1433" s="342"/>
      <c r="DE1433" s="342"/>
      <c r="DF1433" s="342"/>
      <c r="DG1433" s="342"/>
      <c r="DH1433" s="342"/>
      <c r="DI1433" s="342"/>
      <c r="DJ1433" s="342"/>
      <c r="DK1433" s="342"/>
      <c r="DL1433" s="342"/>
      <c r="DM1433" s="342"/>
      <c r="DN1433" s="342"/>
      <c r="DO1433" s="342"/>
      <c r="DP1433" s="342"/>
      <c r="DQ1433" s="342"/>
      <c r="DR1433" s="342"/>
      <c r="DS1433" s="342"/>
      <c r="DT1433" s="342"/>
      <c r="DU1433" s="342"/>
      <c r="ES1433" s="12"/>
      <c r="ET1433" s="12"/>
      <c r="EU1433" s="342"/>
      <c r="EV1433" s="342"/>
      <c r="EW1433" s="342"/>
      <c r="EX1433" s="342"/>
      <c r="EY1433" s="342"/>
      <c r="EZ1433" s="342"/>
      <c r="FA1433" s="342"/>
      <c r="FB1433" s="342"/>
      <c r="FC1433" s="342"/>
      <c r="FD1433" s="342"/>
      <c r="FE1433" s="342"/>
      <c r="FF1433" s="342"/>
      <c r="FG1433" s="342"/>
      <c r="FH1433" s="342"/>
      <c r="FI1433" s="342"/>
      <c r="FJ1433" s="342"/>
      <c r="FK1433" s="342"/>
      <c r="FL1433" s="342"/>
      <c r="FM1433" s="342"/>
      <c r="FN1433" s="342"/>
      <c r="FO1433" s="342"/>
      <c r="FP1433" s="342"/>
      <c r="FQ1433" s="342"/>
      <c r="FR1433" s="342"/>
      <c r="FS1433" s="342"/>
      <c r="FT1433" s="342"/>
      <c r="FU1433" s="13"/>
      <c r="FV1433" s="9"/>
      <c r="FW1433" s="10"/>
      <c r="FX1433" s="10"/>
      <c r="FY1433" s="10"/>
      <c r="FZ1433" s="10"/>
      <c r="GA1433" s="10"/>
      <c r="GB1433" s="10"/>
      <c r="GC1433" s="10"/>
      <c r="GD1433" s="10"/>
      <c r="GE1433" s="11"/>
      <c r="GM1433" s="12"/>
      <c r="GP1433" s="12"/>
      <c r="GT1433" s="342"/>
      <c r="GU1433" s="342"/>
      <c r="GV1433" s="342"/>
      <c r="GW1433" s="342"/>
      <c r="GX1433" s="342"/>
      <c r="GY1433" s="342"/>
      <c r="GZ1433" s="342"/>
      <c r="HA1433" s="342"/>
      <c r="HB1433" s="342"/>
      <c r="HC1433" s="342"/>
      <c r="HD1433" s="342"/>
      <c r="HE1433" s="342"/>
      <c r="HF1433" s="342"/>
      <c r="HG1433" s="351"/>
      <c r="HH1433" s="351"/>
      <c r="HI1433" s="351"/>
      <c r="HJ1433" s="343"/>
      <c r="HK1433" s="351"/>
      <c r="HL1433" s="343"/>
      <c r="HM1433" s="347"/>
      <c r="HN1433" s="351"/>
      <c r="HO1433" s="351"/>
      <c r="HP1433" s="351"/>
      <c r="HQ1433" s="351"/>
      <c r="HR1433" s="351"/>
      <c r="HS1433" s="351"/>
      <c r="HT1433" s="351"/>
      <c r="HU1433" s="351"/>
      <c r="HV1433" s="351"/>
      <c r="HW1433" s="351"/>
      <c r="HX1433" s="351"/>
      <c r="HY1433" s="351"/>
      <c r="HZ1433" s="351"/>
      <c r="IA1433" s="351"/>
      <c r="IB1433" s="351"/>
      <c r="IC1433" s="351"/>
      <c r="ID1433" s="351"/>
      <c r="IE1433" s="351"/>
      <c r="IF1433" s="351"/>
      <c r="IG1433" s="351"/>
      <c r="IH1433" s="351"/>
      <c r="II1433" s="351"/>
      <c r="IJ1433" s="351"/>
      <c r="IK1433" s="351"/>
      <c r="IL1433" s="351"/>
      <c r="IM1433" s="351"/>
      <c r="IN1433" s="351"/>
      <c r="IO1433" s="351"/>
      <c r="IP1433" s="351"/>
      <c r="IQ1433" s="351"/>
      <c r="IR1433" s="351"/>
      <c r="IS1433" s="351"/>
      <c r="IT1433" s="351"/>
      <c r="IU1433" s="351"/>
      <c r="IV1433" s="351"/>
      <c r="IW1433" s="351"/>
      <c r="IX1433" s="351"/>
      <c r="IY1433" s="351"/>
      <c r="IZ1433" s="351"/>
      <c r="JA1433" s="351"/>
      <c r="JB1433" s="351"/>
      <c r="JC1433" s="351"/>
      <c r="JD1433" s="351"/>
      <c r="JE1433" s="347"/>
      <c r="JF1433" s="343"/>
      <c r="JG1433" s="351"/>
      <c r="JH1433" s="351"/>
      <c r="JI1433" s="351"/>
      <c r="JJ1433" s="351"/>
      <c r="JK1433" s="351"/>
      <c r="JL1433" s="351"/>
      <c r="JM1433" s="351"/>
      <c r="JN1433" s="351"/>
      <c r="JO1433" s="351"/>
      <c r="JP1433" s="351"/>
      <c r="JQ1433" s="351"/>
      <c r="JR1433" s="351"/>
      <c r="JS1433" s="351"/>
      <c r="JT1433" s="351"/>
      <c r="JU1433" s="351"/>
      <c r="JV1433" s="351"/>
      <c r="JW1433" s="351"/>
      <c r="JX1433" s="351"/>
      <c r="JY1433" s="351"/>
      <c r="JZ1433" s="351"/>
      <c r="KA1433" s="351"/>
      <c r="KB1433" s="351"/>
      <c r="KC1433" s="351"/>
      <c r="KD1433" s="351"/>
      <c r="KE1433" s="351"/>
      <c r="KF1433" s="351"/>
      <c r="KG1433" s="351"/>
      <c r="KH1433" s="351"/>
      <c r="KI1433" s="351"/>
      <c r="KJ1433" s="351"/>
      <c r="KK1433" s="351"/>
      <c r="KL1433" s="351"/>
      <c r="KM1433" s="351"/>
      <c r="KN1433" s="351"/>
      <c r="KO1433" s="351"/>
      <c r="KP1433" s="351"/>
      <c r="KQ1433" s="351"/>
      <c r="KR1433" s="351"/>
      <c r="KS1433" s="351"/>
      <c r="KT1433" s="351"/>
      <c r="KU1433" s="351"/>
      <c r="KV1433" s="351"/>
      <c r="KW1433" s="351"/>
      <c r="KX1433" s="351"/>
      <c r="KY1433" s="351"/>
      <c r="KZ1433" s="351"/>
      <c r="LA1433" s="351"/>
      <c r="LB1433" s="343"/>
      <c r="LC1433" s="351"/>
      <c r="LD1433" s="351"/>
      <c r="LE1433" s="343"/>
      <c r="LF1433" s="351"/>
      <c r="LG1433" s="351"/>
      <c r="LH1433" s="351"/>
      <c r="LI1433" s="351"/>
      <c r="LJ1433" s="342"/>
      <c r="LK1433" s="342"/>
      <c r="LL1433" s="342"/>
      <c r="LM1433" s="342"/>
      <c r="LN1433" s="342"/>
      <c r="LO1433" s="342"/>
      <c r="LP1433" s="342"/>
      <c r="LQ1433" s="342"/>
      <c r="LR1433" s="342"/>
      <c r="LS1433" s="342"/>
      <c r="LT1433" s="342"/>
      <c r="LU1433" s="13"/>
    </row>
    <row r="1434" spans="6:333" ht="10.75" customHeight="1">
      <c r="F1434" s="342"/>
      <c r="G1434" s="342"/>
      <c r="H1434" s="342"/>
      <c r="I1434" s="342"/>
      <c r="J1434" s="342"/>
      <c r="K1434" s="342"/>
      <c r="L1434" s="342"/>
      <c r="M1434" s="342"/>
      <c r="N1434" s="342"/>
      <c r="O1434" s="342"/>
      <c r="P1434" s="342"/>
      <c r="Q1434" s="342"/>
      <c r="R1434" s="342"/>
      <c r="S1434" s="342"/>
      <c r="T1434" s="342"/>
      <c r="U1434" s="342"/>
      <c r="V1434" s="342"/>
      <c r="W1434" s="342"/>
      <c r="X1434" s="342"/>
      <c r="Y1434" s="342"/>
      <c r="Z1434" s="342"/>
      <c r="AA1434" s="342"/>
      <c r="AB1434" s="342"/>
      <c r="AC1434" s="342"/>
      <c r="AD1434" s="342"/>
      <c r="AE1434" s="342"/>
      <c r="AF1434" s="342"/>
      <c r="AG1434" s="342"/>
      <c r="AH1434" s="342"/>
      <c r="AI1434" s="342"/>
      <c r="AJ1434" s="342"/>
      <c r="AK1434" s="342"/>
      <c r="AL1434" s="342"/>
      <c r="AM1434" s="342"/>
      <c r="AN1434" s="342"/>
      <c r="AO1434" s="342"/>
      <c r="AP1434" s="342"/>
      <c r="AQ1434" s="342"/>
      <c r="AR1434" s="342"/>
      <c r="AS1434" s="342"/>
      <c r="AT1434" s="342"/>
      <c r="AU1434" s="342"/>
      <c r="AV1434" s="342"/>
      <c r="AW1434" s="342"/>
      <c r="AX1434" s="342"/>
      <c r="AY1434" s="342"/>
      <c r="AZ1434" s="342"/>
      <c r="BA1434" s="342"/>
      <c r="BB1434" s="342"/>
      <c r="BC1434" s="342"/>
      <c r="BD1434" s="342"/>
      <c r="BE1434" s="342"/>
      <c r="BF1434" s="342"/>
      <c r="BG1434" s="342"/>
      <c r="BH1434" s="342"/>
      <c r="BI1434" s="342"/>
      <c r="BJ1434" s="342"/>
      <c r="BK1434" s="342"/>
      <c r="BL1434" s="342"/>
      <c r="BM1434" s="342"/>
      <c r="BN1434" s="342"/>
      <c r="BO1434" s="342"/>
      <c r="BP1434" s="342"/>
      <c r="BQ1434" s="342"/>
      <c r="BR1434" s="342"/>
      <c r="BS1434" s="342"/>
      <c r="BT1434" s="342"/>
      <c r="BU1434" s="342"/>
      <c r="BV1434" s="342"/>
      <c r="BW1434" s="342"/>
      <c r="BX1434" s="342"/>
      <c r="BY1434" s="342"/>
      <c r="BZ1434" s="342"/>
      <c r="CA1434" s="342"/>
      <c r="CB1434" s="342"/>
      <c r="CC1434" s="342"/>
      <c r="CD1434" s="342"/>
      <c r="CE1434" s="342"/>
      <c r="CF1434" s="342"/>
      <c r="CG1434" s="342"/>
      <c r="CH1434" s="342"/>
      <c r="CI1434" s="342"/>
      <c r="CJ1434" s="342"/>
      <c r="CK1434" s="342"/>
      <c r="CL1434" s="342"/>
      <c r="CM1434" s="342"/>
      <c r="CN1434" s="342"/>
      <c r="CO1434" s="342"/>
      <c r="CP1434" s="342"/>
      <c r="CQ1434" s="342"/>
      <c r="CR1434" s="342"/>
      <c r="CS1434" s="342"/>
      <c r="CT1434" s="342"/>
      <c r="CU1434" s="342"/>
      <c r="CV1434" s="342"/>
      <c r="CW1434" s="342"/>
      <c r="CX1434" s="342"/>
      <c r="CY1434" s="342"/>
      <c r="CZ1434" s="342"/>
      <c r="DA1434" s="342"/>
      <c r="DB1434" s="342"/>
      <c r="DC1434" s="342"/>
      <c r="DD1434" s="342"/>
      <c r="DE1434" s="342"/>
      <c r="DF1434" s="342"/>
      <c r="DG1434" s="342"/>
      <c r="DH1434" s="342"/>
      <c r="DI1434" s="342"/>
      <c r="DJ1434" s="342"/>
      <c r="DK1434" s="342"/>
      <c r="DL1434" s="342"/>
      <c r="DM1434" s="342"/>
      <c r="DN1434" s="342"/>
      <c r="DO1434" s="342"/>
      <c r="DP1434" s="342"/>
      <c r="DQ1434" s="342"/>
      <c r="DR1434" s="342"/>
      <c r="DS1434" s="342"/>
      <c r="DT1434" s="342"/>
      <c r="DU1434" s="342"/>
      <c r="ES1434" s="12"/>
      <c r="ET1434" s="12"/>
      <c r="EU1434" s="342"/>
      <c r="EV1434" s="342"/>
      <c r="EW1434" s="342"/>
      <c r="EX1434" s="342"/>
      <c r="EY1434" s="342"/>
      <c r="EZ1434" s="342"/>
      <c r="FA1434" s="342"/>
      <c r="FB1434" s="342"/>
      <c r="FC1434" s="342"/>
      <c r="FD1434" s="342"/>
      <c r="FE1434" s="342"/>
      <c r="FF1434" s="342"/>
      <c r="FG1434" s="342"/>
      <c r="FH1434" s="342"/>
      <c r="FI1434" s="342"/>
      <c r="FJ1434" s="342"/>
      <c r="FK1434" s="342"/>
      <c r="FL1434" s="342"/>
      <c r="FM1434" s="342"/>
      <c r="FN1434" s="342"/>
      <c r="FO1434" s="342"/>
      <c r="FP1434" s="342"/>
      <c r="FQ1434" s="342"/>
      <c r="FR1434" s="342"/>
      <c r="FS1434" s="342"/>
      <c r="FT1434" s="342"/>
      <c r="FU1434" s="13"/>
      <c r="FV1434" s="12"/>
      <c r="FW1434" s="342"/>
      <c r="FX1434" s="342"/>
      <c r="FY1434" s="342"/>
      <c r="FZ1434" s="342"/>
      <c r="GA1434" s="342"/>
      <c r="GB1434" s="342"/>
      <c r="GC1434" s="342"/>
      <c r="GD1434" s="342"/>
      <c r="GE1434" s="13"/>
      <c r="GM1434" s="12"/>
      <c r="GP1434" s="12"/>
      <c r="GT1434" s="342"/>
      <c r="GU1434" s="342"/>
      <c r="GV1434" s="342"/>
      <c r="GW1434" s="342"/>
      <c r="GX1434" s="342"/>
      <c r="GY1434" s="351"/>
      <c r="GZ1434" s="351"/>
      <c r="HA1434" s="351"/>
      <c r="HB1434" s="351"/>
      <c r="HC1434" s="351"/>
      <c r="HD1434" s="351"/>
      <c r="HE1434" s="351"/>
      <c r="HF1434" s="351"/>
      <c r="HG1434" s="351"/>
      <c r="HH1434" s="351"/>
      <c r="HI1434" s="351"/>
      <c r="HJ1434" s="343"/>
      <c r="HK1434" s="351"/>
      <c r="HL1434" s="343"/>
      <c r="HM1434" s="347"/>
      <c r="HN1434" s="351"/>
      <c r="HO1434" s="351"/>
      <c r="HP1434" s="351"/>
      <c r="HQ1434" s="351"/>
      <c r="HR1434" s="351"/>
      <c r="HS1434" s="351"/>
      <c r="HT1434" s="351"/>
      <c r="HU1434" s="351"/>
      <c r="HV1434" s="351"/>
      <c r="HW1434" s="351"/>
      <c r="HX1434" s="351"/>
      <c r="HY1434" s="351"/>
      <c r="HZ1434" s="351"/>
      <c r="IA1434" s="351"/>
      <c r="IB1434" s="351"/>
      <c r="IC1434" s="351"/>
      <c r="ID1434" s="351"/>
      <c r="IE1434" s="351"/>
      <c r="IF1434" s="351"/>
      <c r="IG1434" s="351"/>
      <c r="IH1434" s="351"/>
      <c r="II1434" s="351"/>
      <c r="IJ1434" s="351"/>
      <c r="IK1434" s="351"/>
      <c r="IL1434" s="351"/>
      <c r="IM1434" s="351"/>
      <c r="IN1434" s="351"/>
      <c r="IO1434" s="351"/>
      <c r="IP1434" s="351"/>
      <c r="IQ1434" s="351"/>
      <c r="IR1434" s="351"/>
      <c r="IS1434" s="351"/>
      <c r="IT1434" s="351"/>
      <c r="IU1434" s="351"/>
      <c r="IV1434" s="351"/>
      <c r="IW1434" s="351"/>
      <c r="IX1434" s="351"/>
      <c r="IY1434" s="351"/>
      <c r="IZ1434" s="351"/>
      <c r="JA1434" s="351"/>
      <c r="JB1434" s="351"/>
      <c r="JC1434" s="351"/>
      <c r="JD1434" s="351"/>
      <c r="JE1434" s="347"/>
      <c r="JF1434" s="343"/>
      <c r="JG1434" s="351"/>
      <c r="JH1434" s="351"/>
      <c r="JI1434" s="351"/>
      <c r="JJ1434" s="351"/>
      <c r="JK1434" s="351"/>
      <c r="JL1434" s="351"/>
      <c r="JM1434" s="351"/>
      <c r="JN1434" s="351"/>
      <c r="JO1434" s="351"/>
      <c r="JP1434" s="351"/>
      <c r="JQ1434" s="351"/>
      <c r="JR1434" s="351"/>
      <c r="JS1434" s="351"/>
      <c r="JT1434" s="351"/>
      <c r="JU1434" s="351"/>
      <c r="JV1434" s="351"/>
      <c r="JW1434" s="351"/>
      <c r="JX1434" s="351"/>
      <c r="JY1434" s="351"/>
      <c r="JZ1434" s="351"/>
      <c r="KA1434" s="351"/>
      <c r="KB1434" s="351"/>
      <c r="KC1434" s="351"/>
      <c r="KD1434" s="351"/>
      <c r="KE1434" s="351"/>
      <c r="KF1434" s="351"/>
      <c r="KG1434" s="351"/>
      <c r="KH1434" s="351"/>
      <c r="KI1434" s="351"/>
      <c r="KJ1434" s="351"/>
      <c r="KK1434" s="351"/>
      <c r="KL1434" s="351"/>
      <c r="KM1434" s="351"/>
      <c r="KN1434" s="351"/>
      <c r="KO1434" s="351"/>
      <c r="KP1434" s="351"/>
      <c r="KQ1434" s="351"/>
      <c r="KR1434" s="351"/>
      <c r="KS1434" s="351"/>
      <c r="KT1434" s="351"/>
      <c r="KU1434" s="351"/>
      <c r="KV1434" s="351"/>
      <c r="KW1434" s="351"/>
      <c r="KX1434" s="351"/>
      <c r="KY1434" s="351"/>
      <c r="KZ1434" s="351"/>
      <c r="LA1434" s="351"/>
      <c r="LB1434" s="343"/>
      <c r="LC1434" s="351"/>
      <c r="LD1434" s="351"/>
      <c r="LE1434" s="343"/>
      <c r="LF1434" s="351"/>
      <c r="LG1434" s="351"/>
      <c r="LH1434" s="351"/>
      <c r="LI1434" s="351"/>
      <c r="LJ1434" s="342"/>
      <c r="LK1434" s="342"/>
      <c r="LL1434" s="342"/>
      <c r="LM1434" s="342"/>
      <c r="LN1434" s="342"/>
      <c r="LO1434" s="342"/>
      <c r="LP1434" s="342"/>
      <c r="LQ1434" s="342"/>
      <c r="LR1434" s="342"/>
      <c r="LS1434" s="342"/>
      <c r="LT1434" s="342"/>
      <c r="LU1434" s="13"/>
    </row>
    <row r="1435" spans="6:333" ht="10.75" customHeight="1">
      <c r="F1435" s="342"/>
      <c r="G1435" s="342"/>
      <c r="H1435" s="342"/>
      <c r="I1435" s="342"/>
      <c r="J1435" s="342"/>
      <c r="K1435" s="342"/>
      <c r="L1435" s="342"/>
      <c r="M1435" s="342"/>
      <c r="N1435" s="342"/>
      <c r="O1435" s="342"/>
      <c r="P1435" s="342"/>
      <c r="Q1435" s="342"/>
      <c r="R1435" s="342"/>
      <c r="S1435" s="342"/>
      <c r="T1435" s="342"/>
      <c r="U1435" s="342"/>
      <c r="V1435" s="342"/>
      <c r="W1435" s="342"/>
      <c r="X1435" s="342"/>
      <c r="Y1435" s="342"/>
      <c r="Z1435" s="342"/>
      <c r="AA1435" s="342"/>
      <c r="AB1435" s="342"/>
      <c r="AC1435" s="342"/>
      <c r="AD1435" s="342"/>
      <c r="AE1435" s="342"/>
      <c r="AF1435" s="342"/>
      <c r="AG1435" s="342"/>
      <c r="AH1435" s="342"/>
      <c r="AI1435" s="342"/>
      <c r="AJ1435" s="342"/>
      <c r="AK1435" s="342"/>
      <c r="AL1435" s="342"/>
      <c r="AM1435" s="342"/>
      <c r="AN1435" s="342"/>
      <c r="AO1435" s="342"/>
      <c r="AP1435" s="342"/>
      <c r="AQ1435" s="342"/>
      <c r="AR1435" s="342"/>
      <c r="AS1435" s="342"/>
      <c r="AT1435" s="342"/>
      <c r="AU1435" s="342"/>
      <c r="AV1435" s="342"/>
      <c r="AW1435" s="342"/>
      <c r="AX1435" s="342"/>
      <c r="AY1435" s="342"/>
      <c r="AZ1435" s="342"/>
      <c r="BA1435" s="342"/>
      <c r="BB1435" s="342"/>
      <c r="BC1435" s="342"/>
      <c r="BD1435" s="342"/>
      <c r="BE1435" s="342"/>
      <c r="BF1435" s="342"/>
      <c r="BG1435" s="342"/>
      <c r="BH1435" s="342"/>
      <c r="BI1435" s="342"/>
      <c r="BJ1435" s="342"/>
      <c r="BK1435" s="342"/>
      <c r="BL1435" s="342"/>
      <c r="BM1435" s="342"/>
      <c r="BN1435" s="342"/>
      <c r="BO1435" s="342"/>
      <c r="BP1435" s="342"/>
      <c r="BQ1435" s="342"/>
      <c r="BR1435" s="342"/>
      <c r="BS1435" s="342"/>
      <c r="BT1435" s="342"/>
      <c r="BU1435" s="342"/>
      <c r="BV1435" s="342"/>
      <c r="BW1435" s="342"/>
      <c r="BX1435" s="342"/>
      <c r="BY1435" s="342"/>
      <c r="BZ1435" s="342"/>
      <c r="CA1435" s="342"/>
      <c r="CB1435" s="342"/>
      <c r="CC1435" s="342"/>
      <c r="CD1435" s="342"/>
      <c r="CE1435" s="342"/>
      <c r="CF1435" s="342"/>
      <c r="CG1435" s="342"/>
      <c r="CH1435" s="342"/>
      <c r="CI1435" s="342"/>
      <c r="CJ1435" s="342"/>
      <c r="CK1435" s="342"/>
      <c r="CL1435" s="342"/>
      <c r="CM1435" s="342"/>
      <c r="CN1435" s="342"/>
      <c r="CO1435" s="342"/>
      <c r="CP1435" s="342"/>
      <c r="CQ1435" s="342"/>
      <c r="CR1435" s="342"/>
      <c r="CS1435" s="342"/>
      <c r="CT1435" s="342"/>
      <c r="CU1435" s="342"/>
      <c r="CV1435" s="342"/>
      <c r="CW1435" s="342"/>
      <c r="CX1435" s="342"/>
      <c r="CY1435" s="342"/>
      <c r="CZ1435" s="342"/>
      <c r="DA1435" s="342"/>
      <c r="DB1435" s="342"/>
      <c r="DC1435" s="342"/>
      <c r="DD1435" s="342"/>
      <c r="DE1435" s="342"/>
      <c r="DF1435" s="342"/>
      <c r="DG1435" s="342"/>
      <c r="DH1435" s="342"/>
      <c r="DI1435" s="342"/>
      <c r="DJ1435" s="342"/>
      <c r="DK1435" s="342"/>
      <c r="DL1435" s="342"/>
      <c r="DM1435" s="342"/>
      <c r="DN1435" s="342"/>
      <c r="DO1435" s="342"/>
      <c r="DP1435" s="342"/>
      <c r="DQ1435" s="342"/>
      <c r="DR1435" s="342"/>
      <c r="DS1435" s="342"/>
      <c r="DT1435" s="342"/>
      <c r="DU1435" s="342"/>
      <c r="ET1435" s="12"/>
      <c r="EU1435" s="342"/>
      <c r="EV1435" s="342"/>
      <c r="EW1435" s="342"/>
      <c r="EX1435" s="342"/>
      <c r="EY1435" s="342"/>
      <c r="EZ1435" s="342"/>
      <c r="FA1435" s="342"/>
      <c r="FB1435" s="342"/>
      <c r="FC1435" s="342"/>
      <c r="FD1435" s="342"/>
      <c r="FE1435" s="342"/>
      <c r="FF1435" s="342"/>
      <c r="FG1435" s="342"/>
      <c r="FH1435" s="342"/>
      <c r="FI1435" s="342"/>
      <c r="FJ1435" s="342"/>
      <c r="FK1435" s="342"/>
      <c r="FL1435" s="342"/>
      <c r="FM1435" s="342"/>
      <c r="FN1435" s="342"/>
      <c r="FO1435" s="342"/>
      <c r="FP1435" s="342"/>
      <c r="FQ1435" s="342"/>
      <c r="FR1435" s="342"/>
      <c r="FS1435" s="342"/>
      <c r="FT1435" s="342"/>
      <c r="FU1435" s="13"/>
      <c r="FV1435" s="12"/>
      <c r="FW1435" s="342"/>
      <c r="FX1435" s="342"/>
      <c r="FY1435" s="342"/>
      <c r="FZ1435" s="342"/>
      <c r="GA1435" s="342"/>
      <c r="GB1435" s="342"/>
      <c r="GC1435" s="342"/>
      <c r="GD1435" s="342"/>
      <c r="GE1435" s="13"/>
      <c r="GM1435" s="12"/>
      <c r="GP1435" s="12"/>
      <c r="GT1435" s="342"/>
      <c r="GU1435" s="342"/>
      <c r="GV1435" s="342"/>
      <c r="GW1435" s="342"/>
      <c r="GX1435" s="342"/>
      <c r="GY1435" s="351"/>
      <c r="GZ1435" s="351"/>
      <c r="HA1435" s="351"/>
      <c r="HB1435" s="351"/>
      <c r="HC1435" s="351"/>
      <c r="HD1435" s="351"/>
      <c r="HE1435" s="351"/>
      <c r="HF1435" s="351"/>
      <c r="HG1435" s="351"/>
      <c r="HH1435" s="351"/>
      <c r="HI1435" s="351"/>
      <c r="HJ1435" s="343"/>
      <c r="HK1435" s="351"/>
      <c r="HL1435" s="343"/>
      <c r="HM1435" s="347"/>
      <c r="HN1435" s="351"/>
      <c r="HO1435" s="351"/>
      <c r="HP1435" s="351"/>
      <c r="HQ1435" s="351"/>
      <c r="HR1435" s="351"/>
      <c r="HS1435" s="351"/>
      <c r="HT1435" s="351"/>
      <c r="HU1435" s="351"/>
      <c r="HV1435" s="351"/>
      <c r="HW1435" s="351"/>
      <c r="HX1435" s="351"/>
      <c r="HY1435" s="351"/>
      <c r="HZ1435" s="351"/>
      <c r="IA1435" s="351"/>
      <c r="IB1435" s="351"/>
      <c r="IC1435" s="351"/>
      <c r="ID1435" s="351"/>
      <c r="IE1435" s="351"/>
      <c r="IF1435" s="351"/>
      <c r="IG1435" s="351"/>
      <c r="IH1435" s="351"/>
      <c r="II1435" s="351"/>
      <c r="IJ1435" s="351"/>
      <c r="IK1435" s="351"/>
      <c r="IL1435" s="351"/>
      <c r="IM1435" s="351"/>
      <c r="IN1435" s="351"/>
      <c r="IO1435" s="351"/>
      <c r="IP1435" s="351"/>
      <c r="IQ1435" s="351"/>
      <c r="IR1435" s="351"/>
      <c r="IS1435" s="351"/>
      <c r="IT1435" s="351"/>
      <c r="IU1435" s="351"/>
      <c r="IV1435" s="351"/>
      <c r="IW1435" s="351"/>
      <c r="IX1435" s="351"/>
      <c r="IY1435" s="351"/>
      <c r="IZ1435" s="351"/>
      <c r="JA1435" s="351"/>
      <c r="JB1435" s="351"/>
      <c r="JC1435" s="351"/>
      <c r="JD1435" s="351"/>
      <c r="JE1435" s="347"/>
      <c r="JF1435" s="343"/>
      <c r="JG1435" s="351"/>
      <c r="JH1435" s="351"/>
      <c r="JI1435" s="351"/>
      <c r="JJ1435" s="351"/>
      <c r="JK1435" s="351"/>
      <c r="JL1435" s="351"/>
      <c r="JM1435" s="351"/>
      <c r="JN1435" s="351"/>
      <c r="JO1435" s="351"/>
      <c r="JP1435" s="351"/>
      <c r="JQ1435" s="351"/>
      <c r="JR1435" s="351"/>
      <c r="JS1435" s="351"/>
      <c r="JT1435" s="351"/>
      <c r="JU1435" s="351"/>
      <c r="JV1435" s="351"/>
      <c r="JW1435" s="351"/>
      <c r="JX1435" s="351"/>
      <c r="JY1435" s="351"/>
      <c r="JZ1435" s="351"/>
      <c r="KA1435" s="351"/>
      <c r="KB1435" s="351"/>
      <c r="KC1435" s="351"/>
      <c r="KD1435" s="351"/>
      <c r="KE1435" s="351"/>
      <c r="KF1435" s="351"/>
      <c r="KG1435" s="351"/>
      <c r="KH1435" s="351"/>
      <c r="KI1435" s="351"/>
      <c r="KJ1435" s="351"/>
      <c r="KK1435" s="351"/>
      <c r="KL1435" s="351"/>
      <c r="KM1435" s="351"/>
      <c r="KN1435" s="351"/>
      <c r="KO1435" s="351"/>
      <c r="KP1435" s="351"/>
      <c r="KQ1435" s="351"/>
      <c r="KR1435" s="351"/>
      <c r="KS1435" s="351"/>
      <c r="KT1435" s="351"/>
      <c r="KU1435" s="351"/>
      <c r="KV1435" s="351"/>
      <c r="KW1435" s="351"/>
      <c r="KX1435" s="351"/>
      <c r="KY1435" s="351"/>
      <c r="KZ1435" s="351"/>
      <c r="LA1435" s="351"/>
      <c r="LB1435" s="343"/>
      <c r="LC1435" s="351"/>
      <c r="LD1435" s="351"/>
      <c r="LE1435" s="343"/>
      <c r="LF1435" s="351"/>
      <c r="LG1435" s="351"/>
      <c r="LH1435" s="351"/>
      <c r="LI1435" s="351"/>
      <c r="LJ1435" s="342"/>
      <c r="LK1435" s="342"/>
      <c r="LL1435" s="342"/>
      <c r="LM1435" s="342"/>
      <c r="LN1435" s="342"/>
      <c r="LO1435" s="342"/>
      <c r="LP1435" s="342"/>
      <c r="LQ1435" s="342"/>
      <c r="LR1435" s="342"/>
      <c r="LS1435" s="342"/>
      <c r="LT1435" s="342"/>
      <c r="LU1435" s="13"/>
    </row>
    <row r="1436" spans="6:333" ht="10.75" customHeight="1">
      <c r="F1436" s="342"/>
      <c r="G1436" s="342"/>
      <c r="H1436" s="342"/>
      <c r="I1436" s="342"/>
      <c r="J1436" s="342"/>
      <c r="K1436" s="342"/>
      <c r="L1436" s="342"/>
      <c r="M1436" s="342"/>
      <c r="N1436" s="342"/>
      <c r="O1436" s="342"/>
      <c r="P1436" s="342"/>
      <c r="Q1436" s="342"/>
      <c r="R1436" s="342"/>
      <c r="S1436" s="342"/>
      <c r="T1436" s="342"/>
      <c r="U1436" s="342"/>
      <c r="V1436" s="342"/>
      <c r="W1436" s="342"/>
      <c r="X1436" s="342"/>
      <c r="Y1436" s="342"/>
      <c r="Z1436" s="342"/>
      <c r="AA1436" s="342"/>
      <c r="AB1436" s="342"/>
      <c r="AC1436" s="342"/>
      <c r="AD1436" s="342"/>
      <c r="AE1436" s="342"/>
      <c r="AF1436" s="342"/>
      <c r="AG1436" s="342"/>
      <c r="AH1436" s="342"/>
      <c r="AI1436" s="342"/>
      <c r="AJ1436" s="342"/>
      <c r="AK1436" s="342"/>
      <c r="AL1436" s="342"/>
      <c r="AM1436" s="342"/>
      <c r="AN1436" s="342"/>
      <c r="AO1436" s="342"/>
      <c r="AP1436" s="342"/>
      <c r="AQ1436" s="342"/>
      <c r="AR1436" s="342"/>
      <c r="AS1436" s="342"/>
      <c r="AT1436" s="342"/>
      <c r="AU1436" s="342"/>
      <c r="AV1436" s="342"/>
      <c r="AW1436" s="342"/>
      <c r="AX1436" s="342"/>
      <c r="AY1436" s="342"/>
      <c r="AZ1436" s="342"/>
      <c r="BA1436" s="342"/>
      <c r="BB1436" s="342"/>
      <c r="BC1436" s="342"/>
      <c r="BD1436" s="342"/>
      <c r="BE1436" s="342"/>
      <c r="BF1436" s="342"/>
      <c r="BG1436" s="342"/>
      <c r="BH1436" s="342"/>
      <c r="BI1436" s="342"/>
      <c r="BJ1436" s="342"/>
      <c r="BK1436" s="342"/>
      <c r="BL1436" s="342"/>
      <c r="BM1436" s="342"/>
      <c r="BN1436" s="342"/>
      <c r="BO1436" s="342"/>
      <c r="BP1436" s="342"/>
      <c r="BQ1436" s="342"/>
      <c r="BR1436" s="342"/>
      <c r="BS1436" s="342"/>
      <c r="BT1436" s="342"/>
      <c r="BU1436" s="342"/>
      <c r="BV1436" s="342"/>
      <c r="BW1436" s="342"/>
      <c r="BX1436" s="342"/>
      <c r="BY1436" s="342"/>
      <c r="BZ1436" s="342"/>
      <c r="CA1436" s="342"/>
      <c r="CB1436" s="342"/>
      <c r="CC1436" s="342"/>
      <c r="CD1436" s="342"/>
      <c r="CE1436" s="342"/>
      <c r="CF1436" s="342"/>
      <c r="CG1436" s="342"/>
      <c r="CH1436" s="342"/>
      <c r="CI1436" s="342"/>
      <c r="CJ1436" s="342"/>
      <c r="CK1436" s="342"/>
      <c r="CL1436" s="342"/>
      <c r="CM1436" s="342"/>
      <c r="CN1436" s="342"/>
      <c r="CO1436" s="342"/>
      <c r="CP1436" s="342"/>
      <c r="CQ1436" s="342"/>
      <c r="CR1436" s="342"/>
      <c r="CS1436" s="342"/>
      <c r="CT1436" s="342"/>
      <c r="CU1436" s="342"/>
      <c r="CV1436" s="342"/>
      <c r="CW1436" s="342"/>
      <c r="CX1436" s="342"/>
      <c r="CY1436" s="342"/>
      <c r="CZ1436" s="342"/>
      <c r="DA1436" s="342"/>
      <c r="DB1436" s="342"/>
      <c r="DC1436" s="342"/>
      <c r="DD1436" s="342"/>
      <c r="DE1436" s="342"/>
      <c r="DF1436" s="342"/>
      <c r="DG1436" s="342"/>
      <c r="DH1436" s="342"/>
      <c r="DI1436" s="342"/>
      <c r="DJ1436" s="342"/>
      <c r="DK1436" s="342"/>
      <c r="DL1436" s="342"/>
      <c r="DM1436" s="342"/>
      <c r="DN1436" s="342"/>
      <c r="DO1436" s="342"/>
      <c r="DP1436" s="342"/>
      <c r="DQ1436" s="342"/>
      <c r="DR1436" s="342"/>
      <c r="DS1436" s="342"/>
      <c r="DT1436" s="342"/>
      <c r="DU1436" s="342"/>
      <c r="ET1436" s="12"/>
      <c r="EU1436" s="342"/>
      <c r="EV1436" s="342"/>
      <c r="EW1436" s="342"/>
      <c r="EX1436" s="342"/>
      <c r="EY1436" s="342"/>
      <c r="EZ1436" s="342"/>
      <c r="FA1436" s="342"/>
      <c r="FB1436" s="342"/>
      <c r="FC1436" s="342"/>
      <c r="FD1436" s="342"/>
      <c r="FE1436" s="342"/>
      <c r="FF1436" s="342"/>
      <c r="FG1436" s="342"/>
      <c r="FH1436" s="342"/>
      <c r="FI1436" s="342"/>
      <c r="FJ1436" s="342"/>
      <c r="FK1436" s="342"/>
      <c r="FL1436" s="342"/>
      <c r="FM1436" s="342"/>
      <c r="FN1436" s="342"/>
      <c r="FO1436" s="342"/>
      <c r="FP1436" s="342"/>
      <c r="FQ1436" s="342"/>
      <c r="FR1436" s="342"/>
      <c r="FS1436" s="342"/>
      <c r="FT1436" s="342"/>
      <c r="FU1436" s="13"/>
      <c r="FV1436" s="12"/>
      <c r="FW1436" s="342"/>
      <c r="FX1436" s="342"/>
      <c r="FY1436" s="342"/>
      <c r="FZ1436" s="342"/>
      <c r="GA1436" s="342"/>
      <c r="GB1436" s="342"/>
      <c r="GC1436" s="342"/>
      <c r="GD1436" s="342"/>
      <c r="GE1436" s="13"/>
      <c r="GM1436" s="12"/>
      <c r="GP1436" s="12"/>
      <c r="GS1436" s="9"/>
      <c r="GT1436" s="10"/>
      <c r="GU1436" s="10"/>
      <c r="GV1436" s="10"/>
      <c r="GW1436" s="11"/>
      <c r="GX1436" s="342"/>
      <c r="GY1436" s="351"/>
      <c r="GZ1436" s="351"/>
      <c r="HA1436" s="351"/>
      <c r="HB1436" s="351"/>
      <c r="HC1436" s="351"/>
      <c r="HD1436" s="351"/>
      <c r="HE1436" s="351"/>
      <c r="HF1436" s="351"/>
      <c r="HG1436" s="351"/>
      <c r="HH1436" s="351"/>
      <c r="HI1436" s="351"/>
      <c r="HJ1436" s="343"/>
      <c r="HK1436" s="351"/>
      <c r="HL1436" s="343"/>
      <c r="HM1436" s="347"/>
      <c r="HN1436" s="351"/>
      <c r="HO1436" s="351"/>
      <c r="HP1436" s="351"/>
      <c r="HQ1436" s="351"/>
      <c r="HR1436" s="351"/>
      <c r="HS1436" s="351"/>
      <c r="HT1436" s="351"/>
      <c r="HU1436" s="351"/>
      <c r="HV1436" s="351"/>
      <c r="HW1436" s="351"/>
      <c r="HX1436" s="351"/>
      <c r="HY1436" s="351"/>
      <c r="HZ1436" s="351"/>
      <c r="IA1436" s="351"/>
      <c r="IB1436" s="351"/>
      <c r="IC1436" s="351"/>
      <c r="ID1436" s="351"/>
      <c r="IE1436" s="351"/>
      <c r="IF1436" s="351"/>
      <c r="IG1436" s="351"/>
      <c r="IH1436" s="351"/>
      <c r="II1436" s="351"/>
      <c r="IJ1436" s="351"/>
      <c r="IK1436" s="351"/>
      <c r="IL1436" s="351"/>
      <c r="IM1436" s="351"/>
      <c r="IN1436" s="351"/>
      <c r="IO1436" s="351"/>
      <c r="IP1436" s="351"/>
      <c r="IQ1436" s="351"/>
      <c r="IR1436" s="351"/>
      <c r="IS1436" s="351"/>
      <c r="IT1436" s="351"/>
      <c r="IU1436" s="351"/>
      <c r="IV1436" s="351"/>
      <c r="IW1436" s="351"/>
      <c r="IX1436" s="351"/>
      <c r="IY1436" s="351"/>
      <c r="IZ1436" s="351"/>
      <c r="JA1436" s="351"/>
      <c r="JB1436" s="351"/>
      <c r="JC1436" s="351"/>
      <c r="JD1436" s="351"/>
      <c r="JE1436" s="347"/>
      <c r="JF1436" s="343"/>
      <c r="JG1436" s="351"/>
      <c r="JH1436" s="351"/>
      <c r="JI1436" s="351"/>
      <c r="JJ1436" s="351"/>
      <c r="JK1436" s="351"/>
      <c r="JL1436" s="351"/>
      <c r="JM1436" s="351"/>
      <c r="JN1436" s="351"/>
      <c r="JO1436" s="351"/>
      <c r="JP1436" s="351"/>
      <c r="JQ1436" s="351"/>
      <c r="JR1436" s="351"/>
      <c r="JS1436" s="351"/>
      <c r="JT1436" s="351"/>
      <c r="JU1436" s="351"/>
      <c r="JV1436" s="351"/>
      <c r="JW1436" s="351"/>
      <c r="JX1436" s="351"/>
      <c r="JY1436" s="351"/>
      <c r="JZ1436" s="351"/>
      <c r="KA1436" s="351"/>
      <c r="KB1436" s="351"/>
      <c r="KC1436" s="351"/>
      <c r="KD1436" s="351"/>
      <c r="KE1436" s="351"/>
      <c r="KF1436" s="351"/>
      <c r="KG1436" s="351"/>
      <c r="KH1436" s="351"/>
      <c r="KI1436" s="351"/>
      <c r="KJ1436" s="351"/>
      <c r="KK1436" s="351"/>
      <c r="KL1436" s="351"/>
      <c r="KM1436" s="351"/>
      <c r="KN1436" s="351"/>
      <c r="KO1436" s="351"/>
      <c r="KP1436" s="351"/>
      <c r="KQ1436" s="351"/>
      <c r="KR1436" s="351"/>
      <c r="KS1436" s="351"/>
      <c r="KT1436" s="351"/>
      <c r="KU1436" s="351"/>
      <c r="KV1436" s="351"/>
      <c r="KW1436" s="351"/>
      <c r="KX1436" s="351"/>
      <c r="KY1436" s="351"/>
      <c r="KZ1436" s="351"/>
      <c r="LA1436" s="351"/>
      <c r="LB1436" s="343"/>
      <c r="LC1436" s="351"/>
      <c r="LD1436" s="351"/>
      <c r="LE1436" s="343"/>
      <c r="LF1436" s="351"/>
      <c r="LG1436" s="351"/>
      <c r="LH1436" s="351"/>
      <c r="LI1436" s="351"/>
      <c r="LJ1436" s="342"/>
      <c r="LK1436" s="342"/>
      <c r="LL1436" s="342"/>
      <c r="LM1436" s="342"/>
      <c r="LN1436" s="342"/>
      <c r="LO1436" s="342"/>
      <c r="LP1436" s="342"/>
      <c r="LQ1436" s="342"/>
      <c r="LR1436" s="342"/>
      <c r="LS1436" s="342"/>
      <c r="LT1436" s="342"/>
      <c r="LU1436" s="13"/>
    </row>
    <row r="1437" spans="6:333" ht="10.75" customHeight="1">
      <c r="F1437" s="342"/>
      <c r="G1437" s="342"/>
      <c r="H1437" s="342"/>
      <c r="I1437" s="342"/>
      <c r="J1437" s="342"/>
      <c r="K1437" s="342"/>
      <c r="L1437" s="342"/>
      <c r="M1437" s="342"/>
      <c r="N1437" s="342"/>
      <c r="O1437" s="342"/>
      <c r="P1437" s="342"/>
      <c r="Q1437" s="342"/>
      <c r="R1437" s="342"/>
      <c r="S1437" s="342"/>
      <c r="T1437" s="342"/>
      <c r="U1437" s="342"/>
      <c r="V1437" s="342"/>
      <c r="W1437" s="342"/>
      <c r="X1437" s="342"/>
      <c r="Y1437" s="342"/>
      <c r="Z1437" s="342"/>
      <c r="AA1437" s="342"/>
      <c r="AB1437" s="342"/>
      <c r="AC1437" s="342"/>
      <c r="AD1437" s="342"/>
      <c r="AE1437" s="342"/>
      <c r="AF1437" s="342"/>
      <c r="AG1437" s="342"/>
      <c r="AH1437" s="342"/>
      <c r="AI1437" s="342"/>
      <c r="AJ1437" s="342"/>
      <c r="AK1437" s="342"/>
      <c r="AL1437" s="342"/>
      <c r="AM1437" s="342"/>
      <c r="AN1437" s="342"/>
      <c r="AO1437" s="342"/>
      <c r="AP1437" s="342"/>
      <c r="AQ1437" s="342"/>
      <c r="AR1437" s="342"/>
      <c r="AS1437" s="342"/>
      <c r="AT1437" s="342"/>
      <c r="AU1437" s="342"/>
      <c r="AV1437" s="342"/>
      <c r="AW1437" s="342"/>
      <c r="AX1437" s="342"/>
      <c r="AY1437" s="342"/>
      <c r="AZ1437" s="342"/>
      <c r="BA1437" s="342"/>
      <c r="BB1437" s="342"/>
      <c r="BC1437" s="342"/>
      <c r="BD1437" s="342"/>
      <c r="BE1437" s="342"/>
      <c r="BF1437" s="342"/>
      <c r="BG1437" s="342"/>
      <c r="BH1437" s="342"/>
      <c r="BI1437" s="342"/>
      <c r="BJ1437" s="342"/>
      <c r="BK1437" s="342"/>
      <c r="BL1437" s="342"/>
      <c r="BM1437" s="342"/>
      <c r="BN1437" s="342"/>
      <c r="BO1437" s="342"/>
      <c r="BP1437" s="342"/>
      <c r="BQ1437" s="342"/>
      <c r="BR1437" s="342"/>
      <c r="BS1437" s="342"/>
      <c r="BT1437" s="342"/>
      <c r="BU1437" s="342"/>
      <c r="BV1437" s="342"/>
      <c r="BW1437" s="342"/>
      <c r="BX1437" s="342"/>
      <c r="BY1437" s="342"/>
      <c r="BZ1437" s="342"/>
      <c r="CA1437" s="342"/>
      <c r="CB1437" s="342"/>
      <c r="CC1437" s="342"/>
      <c r="CD1437" s="342"/>
      <c r="CE1437" s="342"/>
      <c r="CF1437" s="342"/>
      <c r="CG1437" s="342"/>
      <c r="CH1437" s="342"/>
      <c r="CI1437" s="342"/>
      <c r="CJ1437" s="342"/>
      <c r="CK1437" s="342"/>
      <c r="CL1437" s="342"/>
      <c r="CM1437" s="342"/>
      <c r="CN1437" s="342"/>
      <c r="CO1437" s="342"/>
      <c r="CP1437" s="342"/>
      <c r="CQ1437" s="342"/>
      <c r="CR1437" s="342"/>
      <c r="CS1437" s="342"/>
      <c r="CT1437" s="342"/>
      <c r="CU1437" s="342"/>
      <c r="CV1437" s="342"/>
      <c r="CW1437" s="342"/>
      <c r="CX1437" s="342"/>
      <c r="CY1437" s="342"/>
      <c r="CZ1437" s="342"/>
      <c r="DA1437" s="342"/>
      <c r="DB1437" s="342"/>
      <c r="DC1437" s="342"/>
      <c r="DD1437" s="342"/>
      <c r="DE1437" s="342"/>
      <c r="DF1437" s="342"/>
      <c r="DG1437" s="342"/>
      <c r="DH1437" s="342"/>
      <c r="DI1437" s="342"/>
      <c r="DJ1437" s="342"/>
      <c r="DK1437" s="342"/>
      <c r="DL1437" s="342"/>
      <c r="DM1437" s="342"/>
      <c r="DN1437" s="342"/>
      <c r="DO1437" s="342"/>
      <c r="DP1437" s="342"/>
      <c r="DQ1437" s="342"/>
      <c r="DR1437" s="342"/>
      <c r="DS1437" s="342"/>
      <c r="DT1437" s="342"/>
      <c r="DU1437" s="342"/>
      <c r="FV1437" s="9"/>
      <c r="FW1437" s="10"/>
      <c r="FX1437" s="10"/>
      <c r="FY1437" s="10"/>
      <c r="FZ1437" s="10"/>
      <c r="GA1437" s="10"/>
      <c r="GB1437" s="10"/>
      <c r="GC1437" s="10"/>
      <c r="GD1437" s="10"/>
      <c r="GE1437" s="11"/>
      <c r="GM1437" s="12"/>
      <c r="GP1437" s="12"/>
      <c r="GS1437" s="12"/>
      <c r="GT1437" s="342"/>
      <c r="GU1437" s="342"/>
      <c r="GV1437" s="342"/>
      <c r="GW1437" s="13"/>
      <c r="GX1437" s="342"/>
      <c r="GY1437" s="351"/>
      <c r="GZ1437" s="351"/>
      <c r="HA1437" s="351"/>
      <c r="HB1437" s="351"/>
      <c r="HC1437" s="351"/>
      <c r="HD1437" s="351"/>
      <c r="HE1437" s="351"/>
      <c r="HF1437" s="351"/>
      <c r="HG1437" s="351"/>
      <c r="HH1437" s="351"/>
      <c r="HI1437" s="351"/>
      <c r="HJ1437" s="343"/>
      <c r="HK1437" s="351"/>
      <c r="HL1437" s="343"/>
      <c r="HM1437" s="347"/>
      <c r="HN1437" s="351"/>
      <c r="HO1437" s="351"/>
      <c r="HP1437" s="351"/>
      <c r="HQ1437" s="351"/>
      <c r="HR1437" s="351"/>
      <c r="HS1437" s="351"/>
      <c r="HT1437" s="351"/>
      <c r="HU1437" s="351"/>
      <c r="HV1437" s="351"/>
      <c r="HW1437" s="351"/>
      <c r="HX1437" s="351"/>
      <c r="HY1437" s="351"/>
      <c r="HZ1437" s="351"/>
      <c r="IA1437" s="351"/>
      <c r="IB1437" s="351"/>
      <c r="IC1437" s="351"/>
      <c r="ID1437" s="351"/>
      <c r="IE1437" s="351"/>
      <c r="IF1437" s="351"/>
      <c r="IG1437" s="351"/>
      <c r="IH1437" s="351"/>
      <c r="II1437" s="351"/>
      <c r="IJ1437" s="351"/>
      <c r="IK1437" s="351"/>
      <c r="IL1437" s="351"/>
      <c r="IM1437" s="351"/>
      <c r="IN1437" s="351"/>
      <c r="IO1437" s="351"/>
      <c r="IP1437" s="351"/>
      <c r="IQ1437" s="351"/>
      <c r="IR1437" s="351"/>
      <c r="IS1437" s="351"/>
      <c r="IT1437" s="351"/>
      <c r="IU1437" s="351"/>
      <c r="IV1437" s="351"/>
      <c r="IW1437" s="351"/>
      <c r="IX1437" s="351"/>
      <c r="IY1437" s="351"/>
      <c r="IZ1437" s="351"/>
      <c r="JA1437" s="351"/>
      <c r="JB1437" s="351"/>
      <c r="JC1437" s="351"/>
      <c r="JD1437" s="351"/>
      <c r="JE1437" s="347"/>
      <c r="JF1437" s="343"/>
      <c r="JG1437" s="351"/>
      <c r="JH1437" s="351"/>
      <c r="JI1437" s="351"/>
      <c r="JJ1437" s="351"/>
      <c r="JK1437" s="351"/>
      <c r="JL1437" s="351"/>
      <c r="JM1437" s="351"/>
      <c r="JN1437" s="351"/>
      <c r="JO1437" s="351"/>
      <c r="JP1437" s="351"/>
      <c r="JQ1437" s="351"/>
      <c r="JR1437" s="351"/>
      <c r="JS1437" s="351"/>
      <c r="JT1437" s="351"/>
      <c r="JU1437" s="351"/>
      <c r="JV1437" s="351"/>
      <c r="JW1437" s="351"/>
      <c r="JX1437" s="351"/>
      <c r="JY1437" s="351"/>
      <c r="JZ1437" s="351"/>
      <c r="KA1437" s="351"/>
      <c r="KB1437" s="351"/>
      <c r="KC1437" s="351"/>
      <c r="KD1437" s="351"/>
      <c r="KE1437" s="351"/>
      <c r="KF1437" s="351"/>
      <c r="KG1437" s="351"/>
      <c r="KH1437" s="351"/>
      <c r="KI1437" s="351"/>
      <c r="KJ1437" s="351"/>
      <c r="KK1437" s="351"/>
      <c r="KL1437" s="351"/>
      <c r="KM1437" s="351"/>
      <c r="KN1437" s="351"/>
      <c r="KO1437" s="351"/>
      <c r="KP1437" s="351"/>
      <c r="KQ1437" s="351"/>
      <c r="KR1437" s="351"/>
      <c r="KS1437" s="351"/>
      <c r="KT1437" s="351"/>
      <c r="KU1437" s="351"/>
      <c r="KV1437" s="351"/>
      <c r="KW1437" s="351"/>
      <c r="KX1437" s="351"/>
      <c r="KY1437" s="351"/>
      <c r="KZ1437" s="351"/>
      <c r="LA1437" s="351"/>
      <c r="LB1437" s="343"/>
      <c r="LC1437" s="351"/>
      <c r="LD1437" s="351"/>
      <c r="LE1437" s="343"/>
      <c r="LF1437" s="351"/>
      <c r="LG1437" s="351"/>
      <c r="LH1437" s="351"/>
      <c r="LI1437" s="351"/>
      <c r="LJ1437" s="342"/>
      <c r="LK1437" s="342"/>
      <c r="LL1437" s="342"/>
      <c r="LM1437" s="342"/>
      <c r="LN1437" s="342"/>
      <c r="LO1437" s="342"/>
      <c r="LP1437" s="342"/>
      <c r="LQ1437" s="342"/>
      <c r="LR1437" s="342"/>
      <c r="LS1437" s="342"/>
      <c r="LT1437" s="342"/>
      <c r="LU1437" s="13"/>
    </row>
    <row r="1438" spans="6:333" ht="10.75" customHeight="1">
      <c r="F1438" s="342"/>
      <c r="G1438" s="342"/>
      <c r="H1438" s="342"/>
      <c r="I1438" s="342"/>
      <c r="J1438" s="342"/>
      <c r="K1438" s="342"/>
      <c r="L1438" s="342"/>
      <c r="M1438" s="342"/>
      <c r="N1438" s="342"/>
      <c r="O1438" s="342"/>
      <c r="P1438" s="342"/>
      <c r="Q1438" s="342"/>
      <c r="R1438" s="342"/>
      <c r="S1438" s="342"/>
      <c r="T1438" s="342"/>
      <c r="U1438" s="342"/>
      <c r="V1438" s="342"/>
      <c r="W1438" s="342"/>
      <c r="X1438" s="342"/>
      <c r="Y1438" s="342"/>
      <c r="Z1438" s="342"/>
      <c r="AA1438" s="342"/>
      <c r="AB1438" s="342"/>
      <c r="AC1438" s="342"/>
      <c r="AD1438" s="342"/>
      <c r="AE1438" s="342"/>
      <c r="AF1438" s="342"/>
      <c r="AG1438" s="342"/>
      <c r="AH1438" s="342"/>
      <c r="AI1438" s="342"/>
      <c r="AJ1438" s="342"/>
      <c r="AK1438" s="342"/>
      <c r="AL1438" s="342"/>
      <c r="AM1438" s="342"/>
      <c r="AN1438" s="342"/>
      <c r="AO1438" s="342"/>
      <c r="AP1438" s="342"/>
      <c r="AQ1438" s="342"/>
      <c r="AR1438" s="342"/>
      <c r="AS1438" s="342"/>
      <c r="AT1438" s="342"/>
      <c r="AU1438" s="342"/>
      <c r="AV1438" s="342"/>
      <c r="AW1438" s="342"/>
      <c r="AX1438" s="342"/>
      <c r="AY1438" s="342"/>
      <c r="AZ1438" s="342"/>
      <c r="BA1438" s="342"/>
      <c r="BB1438" s="342"/>
      <c r="BC1438" s="342"/>
      <c r="BD1438" s="342"/>
      <c r="BE1438" s="342"/>
      <c r="BF1438" s="342"/>
      <c r="BG1438" s="342"/>
      <c r="BH1438" s="342"/>
      <c r="BI1438" s="342"/>
      <c r="BJ1438" s="342"/>
      <c r="BK1438" s="342"/>
      <c r="BL1438" s="342"/>
      <c r="BM1438" s="342"/>
      <c r="BN1438" s="342"/>
      <c r="BO1438" s="342"/>
      <c r="BP1438" s="342"/>
      <c r="BQ1438" s="342"/>
      <c r="BR1438" s="342"/>
      <c r="BS1438" s="342"/>
      <c r="BT1438" s="342"/>
      <c r="BU1438" s="342"/>
      <c r="BV1438" s="342"/>
      <c r="BW1438" s="342"/>
      <c r="BX1438" s="342"/>
      <c r="BY1438" s="342"/>
      <c r="BZ1438" s="342"/>
      <c r="CA1438" s="342"/>
      <c r="CB1438" s="342"/>
      <c r="CC1438" s="342"/>
      <c r="CD1438" s="342"/>
      <c r="CE1438" s="342"/>
      <c r="CF1438" s="342"/>
      <c r="CG1438" s="342"/>
      <c r="CH1438" s="342"/>
      <c r="CI1438" s="342"/>
      <c r="CJ1438" s="342"/>
      <c r="CK1438" s="342"/>
      <c r="CL1438" s="342"/>
      <c r="CM1438" s="342"/>
      <c r="CN1438" s="342"/>
      <c r="CO1438" s="342"/>
      <c r="CP1438" s="342"/>
      <c r="CQ1438" s="342"/>
      <c r="CR1438" s="342"/>
      <c r="CS1438" s="342"/>
      <c r="CT1438" s="342"/>
      <c r="CU1438" s="342"/>
      <c r="CV1438" s="342"/>
      <c r="CW1438" s="342"/>
      <c r="CX1438" s="342"/>
      <c r="CY1438" s="342"/>
      <c r="CZ1438" s="342"/>
      <c r="DA1438" s="342"/>
      <c r="DB1438" s="342"/>
      <c r="DC1438" s="342"/>
      <c r="DD1438" s="342"/>
      <c r="DE1438" s="342"/>
      <c r="DF1438" s="342"/>
      <c r="DG1438" s="342"/>
      <c r="DH1438" s="342"/>
      <c r="DI1438" s="342"/>
      <c r="DJ1438" s="342"/>
      <c r="DK1438" s="342"/>
      <c r="DL1438" s="342"/>
      <c r="DM1438" s="342"/>
      <c r="DN1438" s="342"/>
      <c r="DO1438" s="342"/>
      <c r="DP1438" s="342"/>
      <c r="DQ1438" s="342"/>
      <c r="DR1438" s="342"/>
      <c r="DS1438" s="342"/>
      <c r="DT1438" s="342"/>
      <c r="DU1438" s="342"/>
      <c r="FV1438" s="12"/>
      <c r="FW1438" s="342"/>
      <c r="FX1438" s="342"/>
      <c r="FY1438" s="342"/>
      <c r="FZ1438" s="342"/>
      <c r="GA1438" s="342"/>
      <c r="GB1438" s="342"/>
      <c r="GC1438" s="342"/>
      <c r="GD1438" s="342"/>
      <c r="GE1438" s="13"/>
      <c r="GM1438" s="12"/>
      <c r="GP1438" s="12"/>
      <c r="GS1438" s="12"/>
      <c r="GT1438" s="342"/>
      <c r="GU1438" s="342"/>
      <c r="GV1438" s="342"/>
      <c r="GW1438" s="13"/>
      <c r="GX1438" s="342"/>
      <c r="GY1438" s="351"/>
      <c r="GZ1438" s="351"/>
      <c r="HA1438" s="351"/>
      <c r="HB1438" s="351"/>
      <c r="HC1438" s="351"/>
      <c r="HD1438" s="351"/>
      <c r="HE1438" s="351"/>
      <c r="HF1438" s="351"/>
      <c r="HG1438" s="351"/>
      <c r="HH1438" s="351"/>
      <c r="HI1438" s="351"/>
      <c r="HJ1438" s="343"/>
      <c r="HK1438" s="351"/>
      <c r="HL1438" s="343"/>
      <c r="HM1438" s="347"/>
      <c r="HN1438" s="351"/>
      <c r="HO1438" s="351"/>
      <c r="HP1438" s="351"/>
      <c r="HQ1438" s="351"/>
      <c r="HR1438" s="351"/>
      <c r="HS1438" s="351"/>
      <c r="HT1438" s="351"/>
      <c r="HU1438" s="351"/>
      <c r="HV1438" s="351"/>
      <c r="HW1438" s="351"/>
      <c r="HX1438" s="351"/>
      <c r="HY1438" s="351"/>
      <c r="HZ1438" s="351"/>
      <c r="IA1438" s="351"/>
      <c r="IB1438" s="351"/>
      <c r="IC1438" s="351"/>
      <c r="ID1438" s="351"/>
      <c r="IE1438" s="351"/>
      <c r="IF1438" s="351"/>
      <c r="IG1438" s="351"/>
      <c r="IH1438" s="351"/>
      <c r="II1438" s="351"/>
      <c r="IJ1438" s="351"/>
      <c r="IK1438" s="351"/>
      <c r="IL1438" s="351"/>
      <c r="IM1438" s="351"/>
      <c r="IN1438" s="351"/>
      <c r="IO1438" s="351"/>
      <c r="IP1438" s="351"/>
      <c r="IQ1438" s="351"/>
      <c r="IR1438" s="351"/>
      <c r="IS1438" s="351"/>
      <c r="IT1438" s="351"/>
      <c r="IU1438" s="351"/>
      <c r="IV1438" s="351"/>
      <c r="IW1438" s="351"/>
      <c r="IX1438" s="351"/>
      <c r="IY1438" s="351"/>
      <c r="IZ1438" s="351"/>
      <c r="JA1438" s="351"/>
      <c r="JB1438" s="351"/>
      <c r="JC1438" s="351"/>
      <c r="JD1438" s="351"/>
      <c r="JE1438" s="347"/>
      <c r="JF1438" s="343"/>
      <c r="JG1438" s="351"/>
      <c r="JH1438" s="351"/>
      <c r="JI1438" s="351"/>
      <c r="JJ1438" s="351"/>
      <c r="JK1438" s="351"/>
      <c r="JL1438" s="351"/>
      <c r="JM1438" s="351"/>
      <c r="JN1438" s="351"/>
      <c r="JO1438" s="351"/>
      <c r="JP1438" s="351"/>
      <c r="JQ1438" s="351"/>
      <c r="JR1438" s="351"/>
      <c r="JS1438" s="351"/>
      <c r="JT1438" s="351"/>
      <c r="JU1438" s="351"/>
      <c r="JV1438" s="351"/>
      <c r="JW1438" s="351"/>
      <c r="JX1438" s="351"/>
      <c r="JY1438" s="351"/>
      <c r="JZ1438" s="351"/>
      <c r="KA1438" s="351"/>
      <c r="KB1438" s="351"/>
      <c r="KC1438" s="351"/>
      <c r="KD1438" s="351"/>
      <c r="KE1438" s="351"/>
      <c r="KF1438" s="351"/>
      <c r="KG1438" s="351"/>
      <c r="KH1438" s="351"/>
      <c r="KI1438" s="351"/>
      <c r="KJ1438" s="351"/>
      <c r="KK1438" s="351"/>
      <c r="KL1438" s="351"/>
      <c r="KM1438" s="351"/>
      <c r="KN1438" s="351"/>
      <c r="KO1438" s="351"/>
      <c r="KP1438" s="351"/>
      <c r="KQ1438" s="351"/>
      <c r="KR1438" s="351"/>
      <c r="KS1438" s="351"/>
      <c r="KT1438" s="351"/>
      <c r="KU1438" s="351"/>
      <c r="KV1438" s="351"/>
      <c r="KW1438" s="351"/>
      <c r="KX1438" s="351"/>
      <c r="KY1438" s="351"/>
      <c r="KZ1438" s="351"/>
      <c r="LA1438" s="351"/>
      <c r="LB1438" s="343"/>
      <c r="LC1438" s="351"/>
      <c r="LD1438" s="351"/>
      <c r="LE1438" s="343"/>
      <c r="LF1438" s="351"/>
      <c r="LG1438" s="351"/>
      <c r="LH1438" s="351"/>
      <c r="LI1438" s="351"/>
      <c r="LJ1438" s="342"/>
      <c r="LK1438" s="342"/>
      <c r="LL1438" s="342"/>
      <c r="LM1438" s="342"/>
      <c r="LN1438" s="342"/>
      <c r="LO1438" s="342"/>
      <c r="LP1438" s="342"/>
      <c r="LQ1438" s="342"/>
      <c r="LR1438" s="342"/>
      <c r="LS1438" s="342"/>
      <c r="LT1438" s="342"/>
      <c r="LU1438" s="13"/>
    </row>
    <row r="1439" spans="6:333" ht="10.75" customHeight="1">
      <c r="F1439" s="342"/>
      <c r="G1439" s="342"/>
      <c r="H1439" s="342"/>
      <c r="I1439" s="342"/>
      <c r="J1439" s="342"/>
      <c r="K1439" s="342"/>
      <c r="L1439" s="342"/>
      <c r="M1439" s="342"/>
      <c r="N1439" s="342"/>
      <c r="O1439" s="342"/>
      <c r="P1439" s="342"/>
      <c r="Q1439" s="342"/>
      <c r="R1439" s="342"/>
      <c r="S1439" s="342"/>
      <c r="T1439" s="342"/>
      <c r="U1439" s="342"/>
      <c r="V1439" s="342"/>
      <c r="W1439" s="342"/>
      <c r="X1439" s="342"/>
      <c r="Y1439" s="342"/>
      <c r="Z1439" s="342"/>
      <c r="AA1439" s="342"/>
      <c r="AB1439" s="342"/>
      <c r="AC1439" s="342"/>
      <c r="AD1439" s="342"/>
      <c r="AE1439" s="342"/>
      <c r="AF1439" s="342"/>
      <c r="AG1439" s="342"/>
      <c r="AH1439" s="342"/>
      <c r="AI1439" s="342"/>
      <c r="AJ1439" s="342"/>
      <c r="AK1439" s="342"/>
      <c r="AL1439" s="342"/>
      <c r="AM1439" s="342"/>
      <c r="AN1439" s="342"/>
      <c r="AO1439" s="342"/>
      <c r="AP1439" s="342"/>
      <c r="AQ1439" s="342"/>
      <c r="AR1439" s="342"/>
      <c r="AS1439" s="342"/>
      <c r="AT1439" s="342"/>
      <c r="AU1439" s="342"/>
      <c r="AV1439" s="342"/>
      <c r="AW1439" s="342"/>
      <c r="AX1439" s="342"/>
      <c r="AY1439" s="342"/>
      <c r="AZ1439" s="342"/>
      <c r="BA1439" s="342"/>
      <c r="BB1439" s="342"/>
      <c r="BC1439" s="342"/>
      <c r="BD1439" s="342"/>
      <c r="BE1439" s="342"/>
      <c r="BF1439" s="342"/>
      <c r="BG1439" s="342"/>
      <c r="BH1439" s="342"/>
      <c r="BI1439" s="342"/>
      <c r="BJ1439" s="342"/>
      <c r="BK1439" s="342"/>
      <c r="BL1439" s="342"/>
      <c r="BM1439" s="342"/>
      <c r="BN1439" s="342"/>
      <c r="BO1439" s="342"/>
      <c r="BP1439" s="342"/>
      <c r="BQ1439" s="342"/>
      <c r="BR1439" s="342"/>
      <c r="BS1439" s="342"/>
      <c r="BT1439" s="342"/>
      <c r="BU1439" s="342"/>
      <c r="BV1439" s="342"/>
      <c r="BW1439" s="342"/>
      <c r="BX1439" s="342"/>
      <c r="BY1439" s="342"/>
      <c r="BZ1439" s="342"/>
      <c r="CA1439" s="342"/>
      <c r="CB1439" s="342"/>
      <c r="CC1439" s="342"/>
      <c r="CD1439" s="342"/>
      <c r="CE1439" s="342"/>
      <c r="CF1439" s="342"/>
      <c r="CG1439" s="342"/>
      <c r="CH1439" s="342"/>
      <c r="CI1439" s="342"/>
      <c r="CJ1439" s="342"/>
      <c r="CK1439" s="342"/>
      <c r="CL1439" s="342"/>
      <c r="CM1439" s="342"/>
      <c r="CN1439" s="342"/>
      <c r="CO1439" s="342"/>
      <c r="CP1439" s="342"/>
      <c r="CQ1439" s="342"/>
      <c r="CR1439" s="342"/>
      <c r="CS1439" s="342"/>
      <c r="CT1439" s="342"/>
      <c r="CU1439" s="342"/>
      <c r="CV1439" s="342"/>
      <c r="CW1439" s="342"/>
      <c r="CX1439" s="342"/>
      <c r="CY1439" s="342"/>
      <c r="CZ1439" s="342"/>
      <c r="DA1439" s="342"/>
      <c r="DB1439" s="342"/>
      <c r="DC1439" s="342"/>
      <c r="DD1439" s="342"/>
      <c r="DE1439" s="342"/>
      <c r="DF1439" s="342"/>
      <c r="DG1439" s="342"/>
      <c r="DH1439" s="342"/>
      <c r="DI1439" s="342"/>
      <c r="DJ1439" s="342"/>
      <c r="DK1439" s="342"/>
      <c r="DL1439" s="342"/>
      <c r="DM1439" s="342"/>
      <c r="DN1439" s="342"/>
      <c r="DO1439" s="342"/>
      <c r="DP1439" s="342"/>
      <c r="DQ1439" s="342"/>
      <c r="DR1439" s="342"/>
      <c r="DS1439" s="342"/>
      <c r="DT1439" s="342"/>
      <c r="DU1439" s="342"/>
      <c r="FV1439" s="12"/>
      <c r="FW1439" s="342"/>
      <c r="FX1439" s="342"/>
      <c r="FY1439" s="342"/>
      <c r="FZ1439" s="342"/>
      <c r="GA1439" s="342"/>
      <c r="GB1439" s="342"/>
      <c r="GC1439" s="342"/>
      <c r="GD1439" s="342"/>
      <c r="GE1439" s="13"/>
      <c r="GM1439" s="12"/>
      <c r="GP1439" s="12"/>
      <c r="GS1439" s="12"/>
      <c r="GT1439" s="342"/>
      <c r="GU1439" s="342"/>
      <c r="GV1439" s="342"/>
      <c r="GW1439" s="13"/>
      <c r="GX1439" s="342"/>
      <c r="GY1439" s="351"/>
      <c r="GZ1439" s="351"/>
      <c r="HA1439" s="344"/>
      <c r="HB1439" s="345"/>
      <c r="HC1439" s="345"/>
      <c r="HD1439" s="345"/>
      <c r="HE1439" s="345"/>
      <c r="HF1439" s="345"/>
      <c r="HG1439" s="346"/>
      <c r="HH1439" s="351"/>
      <c r="HI1439" s="351"/>
      <c r="HJ1439" s="343"/>
      <c r="HK1439" s="351"/>
      <c r="HL1439" s="343"/>
      <c r="HM1439" s="347"/>
      <c r="HN1439" s="351"/>
      <c r="HO1439" s="351"/>
      <c r="HP1439" s="351"/>
      <c r="HQ1439" s="351"/>
      <c r="HR1439" s="351"/>
      <c r="HS1439" s="351"/>
      <c r="HT1439" s="351"/>
      <c r="HU1439" s="351"/>
      <c r="HV1439" s="351"/>
      <c r="HW1439" s="351"/>
      <c r="HX1439" s="351"/>
      <c r="HY1439" s="351"/>
      <c r="HZ1439" s="351"/>
      <c r="IA1439" s="351"/>
      <c r="IB1439" s="351"/>
      <c r="IC1439" s="351"/>
      <c r="ID1439" s="351"/>
      <c r="IE1439" s="351"/>
      <c r="IF1439" s="351"/>
      <c r="IG1439" s="351"/>
      <c r="IH1439" s="351"/>
      <c r="II1439" s="351"/>
      <c r="IJ1439" s="351"/>
      <c r="IK1439" s="351"/>
      <c r="IL1439" s="351"/>
      <c r="IM1439" s="351"/>
      <c r="IN1439" s="351"/>
      <c r="IO1439" s="351"/>
      <c r="IP1439" s="351"/>
      <c r="IQ1439" s="351"/>
      <c r="IR1439" s="351"/>
      <c r="IS1439" s="351"/>
      <c r="IT1439" s="351"/>
      <c r="IU1439" s="351"/>
      <c r="IV1439" s="351"/>
      <c r="IW1439" s="351"/>
      <c r="IX1439" s="351"/>
      <c r="IY1439" s="351"/>
      <c r="IZ1439" s="351"/>
      <c r="JA1439" s="351"/>
      <c r="JB1439" s="351"/>
      <c r="JC1439" s="351"/>
      <c r="JD1439" s="351"/>
      <c r="JE1439" s="347"/>
      <c r="JF1439" s="343"/>
      <c r="JG1439" s="351"/>
      <c r="JH1439" s="351"/>
      <c r="JI1439" s="351"/>
      <c r="JJ1439" s="351"/>
      <c r="JK1439" s="351"/>
      <c r="JL1439" s="351"/>
      <c r="JM1439" s="351"/>
      <c r="JN1439" s="351"/>
      <c r="JO1439" s="351"/>
      <c r="JP1439" s="351"/>
      <c r="JQ1439" s="351"/>
      <c r="JR1439" s="351"/>
      <c r="JS1439" s="351"/>
      <c r="JT1439" s="351"/>
      <c r="JU1439" s="351"/>
      <c r="JV1439" s="351"/>
      <c r="JW1439" s="351"/>
      <c r="JX1439" s="351"/>
      <c r="JY1439" s="351"/>
      <c r="JZ1439" s="351"/>
      <c r="KA1439" s="351"/>
      <c r="KB1439" s="351"/>
      <c r="KC1439" s="351"/>
      <c r="KD1439" s="351"/>
      <c r="KE1439" s="351"/>
      <c r="KF1439" s="351"/>
      <c r="KG1439" s="351"/>
      <c r="KH1439" s="351"/>
      <c r="KI1439" s="351"/>
      <c r="KJ1439" s="351"/>
      <c r="KK1439" s="351"/>
      <c r="KL1439" s="351"/>
      <c r="KM1439" s="351"/>
      <c r="KN1439" s="351"/>
      <c r="KO1439" s="351"/>
      <c r="KP1439" s="351"/>
      <c r="KQ1439" s="351"/>
      <c r="KR1439" s="351"/>
      <c r="KS1439" s="351"/>
      <c r="KT1439" s="351"/>
      <c r="KU1439" s="351"/>
      <c r="KV1439" s="351"/>
      <c r="KW1439" s="351"/>
      <c r="KX1439" s="351"/>
      <c r="KY1439" s="351"/>
      <c r="KZ1439" s="351"/>
      <c r="LA1439" s="351"/>
      <c r="LB1439" s="343"/>
      <c r="LC1439" s="351"/>
      <c r="LD1439" s="351"/>
      <c r="LE1439" s="343"/>
      <c r="LF1439" s="351"/>
      <c r="LG1439" s="351"/>
      <c r="LH1439" s="351"/>
      <c r="LI1439" s="351"/>
      <c r="LJ1439" s="342"/>
      <c r="LK1439" s="342"/>
      <c r="LL1439" s="342"/>
      <c r="LM1439" s="342"/>
      <c r="LN1439" s="342"/>
      <c r="LO1439" s="342"/>
      <c r="LP1439" s="342"/>
      <c r="LQ1439" s="342"/>
      <c r="LR1439" s="342"/>
      <c r="LS1439" s="342"/>
      <c r="LT1439" s="342"/>
      <c r="LU1439" s="13"/>
    </row>
    <row r="1440" spans="6:333" ht="10.75" customHeight="1">
      <c r="F1440" s="342"/>
      <c r="G1440" s="342"/>
      <c r="H1440" s="342"/>
      <c r="I1440" s="342"/>
      <c r="J1440" s="342"/>
      <c r="K1440" s="342"/>
      <c r="L1440" s="342"/>
      <c r="M1440" s="342"/>
      <c r="N1440" s="342"/>
      <c r="O1440" s="342"/>
      <c r="P1440" s="342"/>
      <c r="Q1440" s="342"/>
      <c r="R1440" s="342"/>
      <c r="S1440" s="342"/>
      <c r="T1440" s="342"/>
      <c r="U1440" s="342"/>
      <c r="V1440" s="342"/>
      <c r="W1440" s="342"/>
      <c r="X1440" s="342"/>
      <c r="Y1440" s="342"/>
      <c r="Z1440" s="342"/>
      <c r="AA1440" s="342"/>
      <c r="AB1440" s="342"/>
      <c r="AC1440" s="342"/>
      <c r="AD1440" s="342"/>
      <c r="AE1440" s="342"/>
      <c r="AF1440" s="342"/>
      <c r="AG1440" s="342"/>
      <c r="AH1440" s="342"/>
      <c r="AI1440" s="342"/>
      <c r="AJ1440" s="342"/>
      <c r="AK1440" s="342"/>
      <c r="AL1440" s="342"/>
      <c r="AM1440" s="342"/>
      <c r="AN1440" s="342"/>
      <c r="AO1440" s="342"/>
      <c r="AP1440" s="342"/>
      <c r="AQ1440" s="342"/>
      <c r="AR1440" s="342"/>
      <c r="AS1440" s="342"/>
      <c r="AT1440" s="342"/>
      <c r="AU1440" s="342"/>
      <c r="AV1440" s="342"/>
      <c r="AW1440" s="342"/>
      <c r="AX1440" s="342"/>
      <c r="AY1440" s="342"/>
      <c r="AZ1440" s="342"/>
      <c r="BA1440" s="342"/>
      <c r="BB1440" s="342"/>
      <c r="BC1440" s="342"/>
      <c r="BD1440" s="342"/>
      <c r="BE1440" s="342"/>
      <c r="BF1440" s="342"/>
      <c r="BG1440" s="342"/>
      <c r="BH1440" s="342"/>
      <c r="BI1440" s="342"/>
      <c r="BJ1440" s="342"/>
      <c r="BK1440" s="342"/>
      <c r="BL1440" s="342"/>
      <c r="BM1440" s="342"/>
      <c r="BN1440" s="342"/>
      <c r="BO1440" s="342"/>
      <c r="BP1440" s="342"/>
      <c r="BQ1440" s="342"/>
      <c r="BR1440" s="342"/>
      <c r="BS1440" s="342"/>
      <c r="BT1440" s="342"/>
      <c r="BU1440" s="342"/>
      <c r="BV1440" s="342"/>
      <c r="BW1440" s="342"/>
      <c r="BX1440" s="342"/>
      <c r="BY1440" s="342"/>
      <c r="BZ1440" s="342"/>
      <c r="CA1440" s="342"/>
      <c r="CB1440" s="342"/>
      <c r="CC1440" s="342"/>
      <c r="CD1440" s="342"/>
      <c r="CE1440" s="342"/>
      <c r="CF1440" s="342"/>
      <c r="CG1440" s="342"/>
      <c r="CH1440" s="342"/>
      <c r="CI1440" s="342"/>
      <c r="CJ1440" s="342"/>
      <c r="CK1440" s="342"/>
      <c r="CL1440" s="342"/>
      <c r="CM1440" s="342"/>
      <c r="CN1440" s="342"/>
      <c r="CO1440" s="342"/>
      <c r="CP1440" s="342"/>
      <c r="CQ1440" s="342"/>
      <c r="CR1440" s="342"/>
      <c r="CS1440" s="342"/>
      <c r="CT1440" s="342"/>
      <c r="CU1440" s="342"/>
      <c r="CV1440" s="342"/>
      <c r="CW1440" s="342"/>
      <c r="CX1440" s="342"/>
      <c r="CY1440" s="342"/>
      <c r="CZ1440" s="342"/>
      <c r="DA1440" s="342"/>
      <c r="DB1440" s="342"/>
      <c r="DC1440" s="342"/>
      <c r="DD1440" s="342"/>
      <c r="DE1440" s="342"/>
      <c r="DF1440" s="342"/>
      <c r="DG1440" s="342"/>
      <c r="DH1440" s="342"/>
      <c r="DI1440" s="342"/>
      <c r="DJ1440" s="342"/>
      <c r="DK1440" s="342"/>
      <c r="DL1440" s="342"/>
      <c r="DM1440" s="342"/>
      <c r="DN1440" s="342"/>
      <c r="DO1440" s="342"/>
      <c r="DP1440" s="342"/>
      <c r="DQ1440" s="342"/>
      <c r="DR1440" s="342"/>
      <c r="DS1440" s="342"/>
      <c r="DT1440" s="342"/>
      <c r="DU1440" s="342"/>
      <c r="FV1440" s="14"/>
      <c r="FW1440" s="15"/>
      <c r="FX1440" s="15"/>
      <c r="FY1440" s="15"/>
      <c r="FZ1440" s="15"/>
      <c r="GA1440" s="15"/>
      <c r="GB1440" s="15"/>
      <c r="GC1440" s="15"/>
      <c r="GD1440" s="15"/>
      <c r="GE1440" s="16"/>
      <c r="GM1440" s="12"/>
      <c r="GP1440" s="12"/>
      <c r="GS1440" s="12"/>
      <c r="GT1440" s="342"/>
      <c r="GU1440" s="342"/>
      <c r="GV1440" s="342"/>
      <c r="GW1440" s="13"/>
      <c r="GX1440" s="342"/>
      <c r="GY1440" s="351"/>
      <c r="GZ1440" s="351"/>
      <c r="HA1440" s="347"/>
      <c r="HB1440" s="351"/>
      <c r="HC1440" s="351"/>
      <c r="HD1440" s="351"/>
      <c r="HE1440" s="351"/>
      <c r="HF1440" s="351"/>
      <c r="HG1440" s="343"/>
      <c r="HH1440" s="351"/>
      <c r="HI1440" s="351"/>
      <c r="HJ1440" s="343"/>
      <c r="HK1440" s="268"/>
      <c r="HL1440" s="269"/>
      <c r="HM1440" s="347"/>
      <c r="HN1440" s="351"/>
      <c r="HO1440" s="351"/>
      <c r="HP1440" s="351"/>
      <c r="HQ1440" s="351"/>
      <c r="HR1440" s="351"/>
      <c r="HS1440" s="351"/>
      <c r="HT1440" s="351"/>
      <c r="HU1440" s="351"/>
      <c r="HV1440" s="351"/>
      <c r="HW1440" s="351"/>
      <c r="HX1440" s="351"/>
      <c r="HY1440" s="351"/>
      <c r="HZ1440" s="351"/>
      <c r="IA1440" s="351"/>
      <c r="IB1440" s="351"/>
      <c r="IC1440" s="351"/>
      <c r="ID1440" s="351"/>
      <c r="IE1440" s="351"/>
      <c r="IF1440" s="351"/>
      <c r="IG1440" s="351"/>
      <c r="IH1440" s="351"/>
      <c r="II1440" s="351"/>
      <c r="IJ1440" s="351"/>
      <c r="IK1440" s="351"/>
      <c r="IL1440" s="351"/>
      <c r="IM1440" s="351"/>
      <c r="IN1440" s="351"/>
      <c r="IO1440" s="351"/>
      <c r="IP1440" s="351"/>
      <c r="IQ1440" s="351"/>
      <c r="IR1440" s="351"/>
      <c r="IS1440" s="351"/>
      <c r="IT1440" s="351"/>
      <c r="IU1440" s="351"/>
      <c r="IV1440" s="351"/>
      <c r="IW1440" s="351"/>
      <c r="IX1440" s="351"/>
      <c r="IY1440" s="351"/>
      <c r="IZ1440" s="351"/>
      <c r="JA1440" s="351"/>
      <c r="JB1440" s="351"/>
      <c r="JC1440" s="351"/>
      <c r="JD1440" s="351"/>
      <c r="JE1440" s="347"/>
      <c r="JF1440" s="343"/>
      <c r="JG1440" s="351"/>
      <c r="JH1440" s="351"/>
      <c r="JI1440" s="351"/>
      <c r="JJ1440" s="351"/>
      <c r="JK1440" s="351"/>
      <c r="JL1440" s="351"/>
      <c r="JM1440" s="351"/>
      <c r="JN1440" s="351"/>
      <c r="JO1440" s="351"/>
      <c r="JP1440" s="351"/>
      <c r="JQ1440" s="351"/>
      <c r="JR1440" s="351"/>
      <c r="JS1440" s="351"/>
      <c r="JT1440" s="351"/>
      <c r="JU1440" s="351"/>
      <c r="JV1440" s="351"/>
      <c r="JW1440" s="351"/>
      <c r="JX1440" s="351"/>
      <c r="JY1440" s="351"/>
      <c r="JZ1440" s="351"/>
      <c r="KA1440" s="351"/>
      <c r="KB1440" s="351"/>
      <c r="KC1440" s="351"/>
      <c r="KD1440" s="351"/>
      <c r="KE1440" s="351"/>
      <c r="KF1440" s="351"/>
      <c r="KG1440" s="351"/>
      <c r="KH1440" s="351"/>
      <c r="KI1440" s="351"/>
      <c r="KJ1440" s="351"/>
      <c r="KK1440" s="351"/>
      <c r="KL1440" s="351"/>
      <c r="KM1440" s="351"/>
      <c r="KN1440" s="351"/>
      <c r="KO1440" s="351"/>
      <c r="KP1440" s="351"/>
      <c r="KQ1440" s="351"/>
      <c r="KR1440" s="351"/>
      <c r="KS1440" s="351"/>
      <c r="KT1440" s="351"/>
      <c r="KU1440" s="351"/>
      <c r="KV1440" s="351"/>
      <c r="KW1440" s="351"/>
      <c r="KX1440" s="351"/>
      <c r="KY1440" s="351"/>
      <c r="KZ1440" s="351"/>
      <c r="LA1440" s="351"/>
      <c r="LB1440" s="343"/>
      <c r="LC1440" s="351"/>
      <c r="LD1440" s="351"/>
      <c r="LE1440" s="343"/>
      <c r="LF1440" s="351"/>
      <c r="LG1440" s="351"/>
      <c r="LH1440" s="351"/>
      <c r="LI1440" s="351"/>
      <c r="LJ1440" s="342"/>
      <c r="LK1440" s="342"/>
      <c r="LL1440" s="342"/>
      <c r="LM1440" s="342"/>
      <c r="LN1440" s="342"/>
      <c r="LO1440" s="342"/>
      <c r="LP1440" s="342"/>
      <c r="LQ1440" s="342"/>
      <c r="LR1440" s="342"/>
      <c r="LS1440" s="342"/>
      <c r="LT1440" s="342"/>
      <c r="LU1440" s="13"/>
    </row>
    <row r="1441" spans="6:333" ht="10.75" customHeight="1">
      <c r="F1441" s="342"/>
      <c r="G1441" s="342"/>
      <c r="H1441" s="342"/>
      <c r="I1441" s="342"/>
      <c r="J1441" s="342"/>
      <c r="K1441" s="342"/>
      <c r="L1441" s="342"/>
      <c r="M1441" s="342"/>
      <c r="N1441" s="342"/>
      <c r="O1441" s="342"/>
      <c r="P1441" s="342"/>
      <c r="Q1441" s="342"/>
      <c r="R1441" s="342"/>
      <c r="S1441" s="342"/>
      <c r="T1441" s="342"/>
      <c r="U1441" s="342"/>
      <c r="V1441" s="342"/>
      <c r="W1441" s="342"/>
      <c r="X1441" s="342"/>
      <c r="Y1441" s="342"/>
      <c r="Z1441" s="342"/>
      <c r="AA1441" s="342"/>
      <c r="AB1441" s="342"/>
      <c r="AC1441" s="342"/>
      <c r="AD1441" s="342"/>
      <c r="AE1441" s="342"/>
      <c r="AF1441" s="342"/>
      <c r="AG1441" s="342"/>
      <c r="AH1441" s="342"/>
      <c r="AI1441" s="342"/>
      <c r="AJ1441" s="342"/>
      <c r="AK1441" s="342"/>
      <c r="AL1441" s="342"/>
      <c r="AM1441" s="342"/>
      <c r="AN1441" s="342"/>
      <c r="AO1441" s="342"/>
      <c r="AP1441" s="342"/>
      <c r="AQ1441" s="342"/>
      <c r="AR1441" s="342"/>
      <c r="AS1441" s="342"/>
      <c r="AT1441" s="342"/>
      <c r="AU1441" s="342"/>
      <c r="AV1441" s="342"/>
      <c r="AW1441" s="342"/>
      <c r="AX1441" s="342"/>
      <c r="AY1441" s="342"/>
      <c r="AZ1441" s="342"/>
      <c r="BA1441" s="342"/>
      <c r="BB1441" s="342"/>
      <c r="BC1441" s="342"/>
      <c r="BD1441" s="342"/>
      <c r="BE1441" s="342"/>
      <c r="BF1441" s="342"/>
      <c r="BG1441" s="342"/>
      <c r="BH1441" s="342"/>
      <c r="BI1441" s="342"/>
      <c r="BJ1441" s="342"/>
      <c r="BK1441" s="342"/>
      <c r="BL1441" s="342"/>
      <c r="BM1441" s="342"/>
      <c r="BN1441" s="342"/>
      <c r="BO1441" s="342"/>
      <c r="BP1441" s="342"/>
      <c r="BQ1441" s="342"/>
      <c r="BR1441" s="342"/>
      <c r="BS1441" s="342"/>
      <c r="BT1441" s="342"/>
      <c r="BU1441" s="342"/>
      <c r="BV1441" s="342"/>
      <c r="BW1441" s="342"/>
      <c r="BX1441" s="342"/>
      <c r="BY1441" s="342"/>
      <c r="BZ1441" s="342"/>
      <c r="CA1441" s="342"/>
      <c r="CB1441" s="342"/>
      <c r="CC1441" s="342"/>
      <c r="CD1441" s="342"/>
      <c r="CE1441" s="342"/>
      <c r="CF1441" s="342"/>
      <c r="CG1441" s="342"/>
      <c r="CH1441" s="342"/>
      <c r="CI1441" s="342"/>
      <c r="CJ1441" s="342"/>
      <c r="CK1441" s="342"/>
      <c r="CL1441" s="342"/>
      <c r="CM1441" s="342"/>
      <c r="CN1441" s="342"/>
      <c r="CO1441" s="342"/>
      <c r="CP1441" s="342"/>
      <c r="CQ1441" s="342"/>
      <c r="CR1441" s="342"/>
      <c r="CS1441" s="342"/>
      <c r="CT1441" s="342"/>
      <c r="CU1441" s="342"/>
      <c r="CV1441" s="342"/>
      <c r="CW1441" s="342"/>
      <c r="CX1441" s="342"/>
      <c r="CY1441" s="342"/>
      <c r="CZ1441" s="342"/>
      <c r="DA1441" s="342"/>
      <c r="DB1441" s="342"/>
      <c r="DC1441" s="342"/>
      <c r="DD1441" s="342"/>
      <c r="DE1441" s="342"/>
      <c r="DF1441" s="342"/>
      <c r="DG1441" s="342"/>
      <c r="DH1441" s="342"/>
      <c r="DI1441" s="342"/>
      <c r="DJ1441" s="342"/>
      <c r="DK1441" s="342"/>
      <c r="DL1441" s="342"/>
      <c r="DM1441" s="342"/>
      <c r="DN1441" s="342"/>
      <c r="DO1441" s="342"/>
      <c r="DP1441" s="342"/>
      <c r="DQ1441" s="342"/>
      <c r="DR1441" s="342"/>
      <c r="DS1441" s="342"/>
      <c r="DT1441" s="342"/>
      <c r="DU1441" s="342"/>
      <c r="FV1441" s="12"/>
      <c r="FW1441" s="342"/>
      <c r="FX1441" s="342"/>
      <c r="FY1441" s="342"/>
      <c r="FZ1441" s="342"/>
      <c r="GA1441" s="342"/>
      <c r="GB1441" s="342"/>
      <c r="GC1441" s="342"/>
      <c r="GD1441" s="342"/>
      <c r="GE1441" s="13"/>
      <c r="GM1441" s="12"/>
      <c r="GP1441" s="12"/>
      <c r="GS1441" s="12"/>
      <c r="GT1441" s="342"/>
      <c r="GU1441" s="342"/>
      <c r="GV1441" s="342"/>
      <c r="GW1441" s="13"/>
      <c r="GX1441" s="342"/>
      <c r="GY1441" s="351"/>
      <c r="GZ1441" s="351"/>
      <c r="HA1441" s="347"/>
      <c r="HB1441" s="351"/>
      <c r="HC1441" s="351"/>
      <c r="HD1441" s="351"/>
      <c r="HE1441" s="351"/>
      <c r="HF1441" s="351"/>
      <c r="HG1441" s="343"/>
      <c r="HH1441" s="351"/>
      <c r="HI1441" s="351"/>
      <c r="HJ1441" s="343"/>
      <c r="HK1441" s="345"/>
      <c r="HL1441" s="345"/>
      <c r="HM1441" s="347"/>
      <c r="HN1441" s="351"/>
      <c r="HO1441" s="351"/>
      <c r="HP1441" s="351"/>
      <c r="HQ1441" s="351"/>
      <c r="HR1441" s="351"/>
      <c r="HS1441" s="351"/>
      <c r="HT1441" s="351"/>
      <c r="HU1441" s="351"/>
      <c r="HV1441" s="351"/>
      <c r="HW1441" s="351"/>
      <c r="HX1441" s="351"/>
      <c r="HY1441" s="351"/>
      <c r="HZ1441" s="351"/>
      <c r="IA1441" s="351"/>
      <c r="IB1441" s="351"/>
      <c r="IC1441" s="351"/>
      <c r="ID1441" s="351"/>
      <c r="IE1441" s="351"/>
      <c r="IF1441" s="351"/>
      <c r="IG1441" s="351"/>
      <c r="IH1441" s="351"/>
      <c r="II1441" s="351"/>
      <c r="IJ1441" s="351"/>
      <c r="IK1441" s="351"/>
      <c r="IL1441" s="351"/>
      <c r="IM1441" s="351"/>
      <c r="IN1441" s="351"/>
      <c r="IO1441" s="351"/>
      <c r="IP1441" s="351"/>
      <c r="IQ1441" s="351"/>
      <c r="IR1441" s="351"/>
      <c r="IS1441" s="351"/>
      <c r="IT1441" s="351"/>
      <c r="IU1441" s="351"/>
      <c r="IV1441" s="351"/>
      <c r="IW1441" s="351"/>
      <c r="IX1441" s="351"/>
      <c r="IY1441" s="351"/>
      <c r="IZ1441" s="351"/>
      <c r="JA1441" s="351"/>
      <c r="JB1441" s="351"/>
      <c r="JC1441" s="351"/>
      <c r="JD1441" s="351"/>
      <c r="JE1441" s="347"/>
      <c r="JF1441" s="343"/>
      <c r="JG1441" s="351"/>
      <c r="JH1441" s="351"/>
      <c r="JI1441" s="351"/>
      <c r="JJ1441" s="351"/>
      <c r="JK1441" s="351"/>
      <c r="JL1441" s="351"/>
      <c r="JM1441" s="351"/>
      <c r="JN1441" s="351"/>
      <c r="JO1441" s="351"/>
      <c r="JP1441" s="351"/>
      <c r="JQ1441" s="351"/>
      <c r="JR1441" s="351"/>
      <c r="JS1441" s="351"/>
      <c r="JT1441" s="351"/>
      <c r="JU1441" s="351"/>
      <c r="JV1441" s="351"/>
      <c r="JW1441" s="351"/>
      <c r="JX1441" s="351"/>
      <c r="JY1441" s="351"/>
      <c r="JZ1441" s="351"/>
      <c r="KA1441" s="351"/>
      <c r="KB1441" s="351"/>
      <c r="KC1441" s="351"/>
      <c r="KD1441" s="351"/>
      <c r="KE1441" s="351"/>
      <c r="KF1441" s="351"/>
      <c r="KG1441" s="351"/>
      <c r="KH1441" s="351"/>
      <c r="KI1441" s="351"/>
      <c r="KJ1441" s="351"/>
      <c r="KK1441" s="351"/>
      <c r="KL1441" s="351"/>
      <c r="KM1441" s="351"/>
      <c r="KN1441" s="351"/>
      <c r="KO1441" s="351"/>
      <c r="KP1441" s="351"/>
      <c r="KQ1441" s="351"/>
      <c r="KR1441" s="351"/>
      <c r="KS1441" s="351"/>
      <c r="KT1441" s="351"/>
      <c r="KU1441" s="351"/>
      <c r="KV1441" s="351"/>
      <c r="KW1441" s="351"/>
      <c r="KX1441" s="351"/>
      <c r="KY1441" s="351"/>
      <c r="KZ1441" s="351"/>
      <c r="LA1441" s="351"/>
      <c r="LB1441" s="343"/>
      <c r="LC1441" s="351"/>
      <c r="LD1441" s="351"/>
      <c r="LE1441" s="343"/>
      <c r="LF1441" s="351"/>
      <c r="LG1441" s="351"/>
      <c r="LH1441" s="351"/>
      <c r="LI1441" s="351"/>
      <c r="LJ1441" s="342"/>
      <c r="LK1441" s="342"/>
      <c r="LL1441" s="342"/>
      <c r="LM1441" s="342"/>
      <c r="LN1441" s="342"/>
      <c r="LO1441" s="342"/>
      <c r="LP1441" s="342"/>
      <c r="LQ1441" s="342"/>
      <c r="LR1441" s="342"/>
      <c r="LS1441" s="342"/>
      <c r="LT1441" s="342"/>
      <c r="LU1441" s="13"/>
    </row>
    <row r="1442" spans="6:333" ht="10.75" customHeight="1">
      <c r="F1442" s="342"/>
      <c r="G1442" s="342"/>
      <c r="H1442" s="342"/>
      <c r="I1442" s="342"/>
      <c r="J1442" s="342"/>
      <c r="K1442" s="342"/>
      <c r="L1442" s="342"/>
      <c r="M1442" s="342"/>
      <c r="N1442" s="342"/>
      <c r="O1442" s="342"/>
      <c r="P1442" s="342"/>
      <c r="Q1442" s="342"/>
      <c r="R1442" s="342"/>
      <c r="S1442" s="342"/>
      <c r="T1442" s="342"/>
      <c r="U1442" s="342"/>
      <c r="V1442" s="342"/>
      <c r="W1442" s="342"/>
      <c r="X1442" s="342"/>
      <c r="Y1442" s="342"/>
      <c r="Z1442" s="342"/>
      <c r="AA1442" s="342"/>
      <c r="AB1442" s="342"/>
      <c r="AC1442" s="342"/>
      <c r="AD1442" s="342"/>
      <c r="AE1442" s="342"/>
      <c r="AF1442" s="342"/>
      <c r="AG1442" s="342"/>
      <c r="AH1442" s="342"/>
      <c r="AI1442" s="342"/>
      <c r="AJ1442" s="342"/>
      <c r="AK1442" s="342"/>
      <c r="AL1442" s="342"/>
      <c r="AM1442" s="342"/>
      <c r="AN1442" s="342"/>
      <c r="AO1442" s="342"/>
      <c r="AP1442" s="342"/>
      <c r="AQ1442" s="342"/>
      <c r="AR1442" s="342"/>
      <c r="AS1442" s="342"/>
      <c r="AT1442" s="342"/>
      <c r="AU1442" s="342"/>
      <c r="AV1442" s="342"/>
      <c r="AW1442" s="342"/>
      <c r="AX1442" s="342"/>
      <c r="AY1442" s="342"/>
      <c r="AZ1442" s="342"/>
      <c r="BA1442" s="342"/>
      <c r="BB1442" s="342"/>
      <c r="BC1442" s="342"/>
      <c r="BD1442" s="342"/>
      <c r="BE1442" s="342"/>
      <c r="BF1442" s="342"/>
      <c r="BG1442" s="342"/>
      <c r="BH1442" s="342"/>
      <c r="BI1442" s="342"/>
      <c r="BJ1442" s="342"/>
      <c r="BK1442" s="342"/>
      <c r="BL1442" s="342"/>
      <c r="BM1442" s="342"/>
      <c r="BN1442" s="342"/>
      <c r="BO1442" s="342"/>
      <c r="BP1442" s="342"/>
      <c r="BQ1442" s="342"/>
      <c r="BR1442" s="342"/>
      <c r="BS1442" s="342"/>
      <c r="BT1442" s="342"/>
      <c r="BU1442" s="342"/>
      <c r="BV1442" s="342"/>
      <c r="BW1442" s="342"/>
      <c r="BX1442" s="342"/>
      <c r="BY1442" s="342"/>
      <c r="BZ1442" s="342"/>
      <c r="CA1442" s="342"/>
      <c r="CB1442" s="342"/>
      <c r="CC1442" s="342"/>
      <c r="CD1442" s="342"/>
      <c r="CE1442" s="342"/>
      <c r="CF1442" s="342"/>
      <c r="CG1442" s="342"/>
      <c r="CH1442" s="342"/>
      <c r="CI1442" s="342"/>
      <c r="CJ1442" s="342"/>
      <c r="CK1442" s="342"/>
      <c r="CL1442" s="342"/>
      <c r="CM1442" s="342"/>
      <c r="CN1442" s="342"/>
      <c r="CO1442" s="342"/>
      <c r="CP1442" s="342"/>
      <c r="CQ1442" s="342"/>
      <c r="CR1442" s="342"/>
      <c r="CS1442" s="342"/>
      <c r="CT1442" s="342"/>
      <c r="CU1442" s="342"/>
      <c r="CV1442" s="342"/>
      <c r="CW1442" s="342"/>
      <c r="CX1442" s="342"/>
      <c r="CY1442" s="342"/>
      <c r="CZ1442" s="342"/>
      <c r="DA1442" s="342"/>
      <c r="DB1442" s="342"/>
      <c r="DC1442" s="342"/>
      <c r="DD1442" s="342"/>
      <c r="DE1442" s="342"/>
      <c r="DF1442" s="342"/>
      <c r="DG1442" s="342"/>
      <c r="DH1442" s="342"/>
      <c r="DI1442" s="342"/>
      <c r="DJ1442" s="342"/>
      <c r="DK1442" s="342"/>
      <c r="DL1442" s="342"/>
      <c r="DM1442" s="342"/>
      <c r="DN1442" s="342"/>
      <c r="DO1442" s="342"/>
      <c r="DP1442" s="342"/>
      <c r="DQ1442" s="342"/>
      <c r="DR1442" s="342"/>
      <c r="DS1442" s="342"/>
      <c r="DT1442" s="342"/>
      <c r="DU1442" s="342"/>
      <c r="FV1442" s="12"/>
      <c r="FW1442" s="342"/>
      <c r="FX1442" s="342"/>
      <c r="FY1442" s="342"/>
      <c r="FZ1442" s="342"/>
      <c r="GA1442" s="342"/>
      <c r="GB1442" s="342"/>
      <c r="GC1442" s="342"/>
      <c r="GD1442" s="342"/>
      <c r="GE1442" s="13"/>
      <c r="GM1442" s="12"/>
      <c r="GP1442" s="12"/>
      <c r="GS1442" s="14"/>
      <c r="GT1442" s="15"/>
      <c r="GU1442" s="15"/>
      <c r="GV1442" s="15"/>
      <c r="GW1442" s="16"/>
      <c r="GX1442" s="342"/>
      <c r="GY1442" s="351"/>
      <c r="GZ1442" s="351"/>
      <c r="HA1442" s="348"/>
      <c r="HB1442" s="349"/>
      <c r="HC1442" s="349"/>
      <c r="HD1442" s="349"/>
      <c r="HE1442" s="349"/>
      <c r="HF1442" s="349"/>
      <c r="HG1442" s="350"/>
      <c r="HH1442" s="351"/>
      <c r="HI1442" s="351"/>
      <c r="HJ1442" s="343"/>
      <c r="HK1442" s="351"/>
      <c r="HL1442" s="351"/>
      <c r="HM1442" s="347"/>
      <c r="HN1442" s="351"/>
      <c r="HO1442" s="351"/>
      <c r="HP1442" s="351"/>
      <c r="HQ1442" s="351"/>
      <c r="HR1442" s="351"/>
      <c r="HS1442" s="351"/>
      <c r="HT1442" s="351"/>
      <c r="HU1442" s="351"/>
      <c r="HV1442" s="351"/>
      <c r="HW1442" s="351"/>
      <c r="HX1442" s="351"/>
      <c r="HY1442" s="351"/>
      <c r="HZ1442" s="351"/>
      <c r="IA1442" s="351"/>
      <c r="IB1442" s="351"/>
      <c r="IC1442" s="351"/>
      <c r="ID1442" s="351"/>
      <c r="IE1442" s="351"/>
      <c r="IF1442" s="351"/>
      <c r="IG1442" s="351"/>
      <c r="IH1442" s="351"/>
      <c r="II1442" s="351"/>
      <c r="IJ1442" s="351"/>
      <c r="IK1442" s="351"/>
      <c r="IL1442" s="351"/>
      <c r="IM1442" s="351"/>
      <c r="IN1442" s="351"/>
      <c r="IO1442" s="351"/>
      <c r="IP1442" s="351"/>
      <c r="IQ1442" s="351"/>
      <c r="IR1442" s="351"/>
      <c r="IS1442" s="351"/>
      <c r="IT1442" s="351"/>
      <c r="IU1442" s="351"/>
      <c r="IV1442" s="351"/>
      <c r="IW1442" s="351"/>
      <c r="IX1442" s="351"/>
      <c r="IY1442" s="351"/>
      <c r="IZ1442" s="351"/>
      <c r="JA1442" s="351"/>
      <c r="JB1442" s="351"/>
      <c r="JC1442" s="351"/>
      <c r="JD1442" s="351"/>
      <c r="JE1442" s="347"/>
      <c r="JF1442" s="343"/>
      <c r="JG1442" s="351"/>
      <c r="JH1442" s="351"/>
      <c r="JI1442" s="351"/>
      <c r="JJ1442" s="351"/>
      <c r="JK1442" s="351"/>
      <c r="JL1442" s="351"/>
      <c r="JM1442" s="351"/>
      <c r="JN1442" s="351"/>
      <c r="JO1442" s="351"/>
      <c r="JP1442" s="351"/>
      <c r="JQ1442" s="351"/>
      <c r="JR1442" s="351"/>
      <c r="JS1442" s="351"/>
      <c r="JT1442" s="351"/>
      <c r="JU1442" s="351"/>
      <c r="JV1442" s="351"/>
      <c r="JW1442" s="351"/>
      <c r="JX1442" s="351"/>
      <c r="JY1442" s="351"/>
      <c r="JZ1442" s="351"/>
      <c r="KA1442" s="351"/>
      <c r="KB1442" s="351"/>
      <c r="KC1442" s="351"/>
      <c r="KD1442" s="351"/>
      <c r="KE1442" s="351"/>
      <c r="KF1442" s="351"/>
      <c r="KG1442" s="351"/>
      <c r="KH1442" s="351"/>
      <c r="KI1442" s="351"/>
      <c r="KJ1442" s="351"/>
      <c r="KK1442" s="351"/>
      <c r="KL1442" s="351"/>
      <c r="KM1442" s="351"/>
      <c r="KN1442" s="351"/>
      <c r="KO1442" s="351"/>
      <c r="KP1442" s="351"/>
      <c r="KQ1442" s="351"/>
      <c r="KR1442" s="351"/>
      <c r="KS1442" s="351"/>
      <c r="KT1442" s="351"/>
      <c r="KU1442" s="351"/>
      <c r="KV1442" s="351"/>
      <c r="KW1442" s="351"/>
      <c r="KX1442" s="351"/>
      <c r="KY1442" s="351"/>
      <c r="KZ1442" s="351"/>
      <c r="LA1442" s="351"/>
      <c r="LB1442" s="343"/>
      <c r="LC1442" s="351"/>
      <c r="LD1442" s="351"/>
      <c r="LE1442" s="343"/>
      <c r="LF1442" s="351"/>
      <c r="LG1442" s="351"/>
      <c r="LH1442" s="351"/>
      <c r="LI1442" s="351"/>
      <c r="LJ1442" s="342"/>
      <c r="LK1442" s="342"/>
      <c r="LL1442" s="342"/>
      <c r="LM1442" s="342"/>
      <c r="LN1442" s="342"/>
      <c r="LO1442" s="342"/>
      <c r="LP1442" s="342"/>
      <c r="LQ1442" s="342"/>
      <c r="LR1442" s="342"/>
      <c r="LS1442" s="342"/>
      <c r="LT1442" s="342"/>
      <c r="LU1442" s="13"/>
    </row>
    <row r="1443" spans="6:333" ht="10.75" customHeight="1">
      <c r="F1443" s="342"/>
      <c r="G1443" s="342"/>
      <c r="H1443" s="342"/>
      <c r="I1443" s="342"/>
      <c r="J1443" s="342"/>
      <c r="K1443" s="342"/>
      <c r="L1443" s="342"/>
      <c r="M1443" s="342"/>
      <c r="N1443" s="342"/>
      <c r="O1443" s="342"/>
      <c r="P1443" s="342"/>
      <c r="Q1443" s="342"/>
      <c r="R1443" s="342"/>
      <c r="S1443" s="342"/>
      <c r="T1443" s="342"/>
      <c r="U1443" s="342"/>
      <c r="V1443" s="342"/>
      <c r="W1443" s="342"/>
      <c r="X1443" s="342"/>
      <c r="Y1443" s="342"/>
      <c r="Z1443" s="342"/>
      <c r="AA1443" s="342"/>
      <c r="AB1443" s="342"/>
      <c r="AC1443" s="342"/>
      <c r="AD1443" s="342"/>
      <c r="AE1443" s="342"/>
      <c r="AF1443" s="342"/>
      <c r="AG1443" s="342"/>
      <c r="AH1443" s="342"/>
      <c r="AI1443" s="342"/>
      <c r="AJ1443" s="342"/>
      <c r="AK1443" s="342"/>
      <c r="AL1443" s="342"/>
      <c r="AM1443" s="342"/>
      <c r="AN1443" s="342"/>
      <c r="AO1443" s="342"/>
      <c r="AP1443" s="342"/>
      <c r="AQ1443" s="342"/>
      <c r="AR1443" s="342"/>
      <c r="AS1443" s="342"/>
      <c r="AT1443" s="342"/>
      <c r="AU1443" s="342"/>
      <c r="AV1443" s="342"/>
      <c r="AW1443" s="342"/>
      <c r="AX1443" s="342"/>
      <c r="AY1443" s="342"/>
      <c r="AZ1443" s="342"/>
      <c r="BA1443" s="342"/>
      <c r="BB1443" s="342"/>
      <c r="BC1443" s="342"/>
      <c r="BD1443" s="342"/>
      <c r="BE1443" s="342"/>
      <c r="BF1443" s="342"/>
      <c r="BG1443" s="342"/>
      <c r="BH1443" s="342"/>
      <c r="BI1443" s="342"/>
      <c r="BJ1443" s="342"/>
      <c r="BK1443" s="342"/>
      <c r="BL1443" s="342"/>
      <c r="BM1443" s="342"/>
      <c r="BN1443" s="342"/>
      <c r="BO1443" s="342"/>
      <c r="BP1443" s="342"/>
      <c r="BQ1443" s="342"/>
      <c r="BR1443" s="342"/>
      <c r="BS1443" s="342"/>
      <c r="BT1443" s="342"/>
      <c r="BU1443" s="342"/>
      <c r="BV1443" s="342"/>
      <c r="BW1443" s="342"/>
      <c r="BX1443" s="342"/>
      <c r="BY1443" s="342"/>
      <c r="BZ1443" s="342"/>
      <c r="CA1443" s="342"/>
      <c r="CB1443" s="342"/>
      <c r="CC1443" s="342"/>
      <c r="CD1443" s="342"/>
      <c r="CE1443" s="342"/>
      <c r="CF1443" s="342"/>
      <c r="CG1443" s="342"/>
      <c r="CH1443" s="342"/>
      <c r="CI1443" s="342"/>
      <c r="CJ1443" s="342"/>
      <c r="CK1443" s="342"/>
      <c r="CL1443" s="342"/>
      <c r="CM1443" s="342"/>
      <c r="CN1443" s="342"/>
      <c r="CO1443" s="342"/>
      <c r="CP1443" s="342"/>
      <c r="CQ1443" s="342"/>
      <c r="CR1443" s="342"/>
      <c r="CS1443" s="342"/>
      <c r="CT1443" s="342"/>
      <c r="CU1443" s="342"/>
      <c r="CV1443" s="342"/>
      <c r="CW1443" s="342"/>
      <c r="CX1443" s="342"/>
      <c r="CY1443" s="342"/>
      <c r="CZ1443" s="342"/>
      <c r="DA1443" s="342"/>
      <c r="DB1443" s="342"/>
      <c r="DC1443" s="342"/>
      <c r="DD1443" s="342"/>
      <c r="DE1443" s="342"/>
      <c r="DF1443" s="342"/>
      <c r="DG1443" s="342"/>
      <c r="DH1443" s="342"/>
      <c r="DI1443" s="342"/>
      <c r="DJ1443" s="342"/>
      <c r="DK1443" s="342"/>
      <c r="DL1443" s="342"/>
      <c r="DM1443" s="342"/>
      <c r="DN1443" s="342"/>
      <c r="DO1443" s="342"/>
      <c r="DP1443" s="342"/>
      <c r="DQ1443" s="342"/>
      <c r="DR1443" s="342"/>
      <c r="DS1443" s="342"/>
      <c r="DT1443" s="342"/>
      <c r="DU1443" s="342"/>
      <c r="FV1443" s="12"/>
      <c r="FW1443" s="342"/>
      <c r="FX1443" s="342"/>
      <c r="FY1443" s="342"/>
      <c r="FZ1443" s="342"/>
      <c r="GA1443" s="342"/>
      <c r="GB1443" s="342"/>
      <c r="GC1443" s="342"/>
      <c r="GD1443" s="342"/>
      <c r="GE1443" s="13"/>
      <c r="GM1443" s="12"/>
      <c r="GP1443" s="12"/>
      <c r="GR1443" s="9"/>
      <c r="GS1443" s="10"/>
      <c r="GT1443" s="10"/>
      <c r="GU1443" s="10"/>
      <c r="GV1443" s="10"/>
      <c r="GW1443" s="10"/>
      <c r="GX1443" s="11"/>
      <c r="GY1443" s="351"/>
      <c r="GZ1443" s="351"/>
      <c r="HA1443" s="344"/>
      <c r="HB1443" s="345"/>
      <c r="HC1443" s="345"/>
      <c r="HD1443" s="345"/>
      <c r="HE1443" s="345"/>
      <c r="HF1443" s="345"/>
      <c r="HG1443" s="346"/>
      <c r="HH1443" s="351"/>
      <c r="HI1443" s="351"/>
      <c r="HJ1443" s="343"/>
      <c r="HK1443" s="351"/>
      <c r="HL1443" s="351"/>
      <c r="HM1443" s="347"/>
      <c r="HN1443" s="351"/>
      <c r="HO1443" s="351"/>
      <c r="HP1443" s="351"/>
      <c r="HQ1443" s="351"/>
      <c r="HR1443" s="351"/>
      <c r="HS1443" s="351"/>
      <c r="HT1443" s="351"/>
      <c r="HU1443" s="351"/>
      <c r="HV1443" s="351"/>
      <c r="HW1443" s="351"/>
      <c r="HX1443" s="351"/>
      <c r="HY1443" s="351"/>
      <c r="HZ1443" s="351"/>
      <c r="IA1443" s="351"/>
      <c r="IB1443" s="351"/>
      <c r="IC1443" s="351"/>
      <c r="ID1443" s="351"/>
      <c r="IE1443" s="351"/>
      <c r="IF1443" s="351"/>
      <c r="IG1443" s="351"/>
      <c r="IH1443" s="351"/>
      <c r="II1443" s="351"/>
      <c r="IJ1443" s="351"/>
      <c r="IK1443" s="351"/>
      <c r="IL1443" s="351"/>
      <c r="IM1443" s="351"/>
      <c r="IN1443" s="351"/>
      <c r="IO1443" s="351"/>
      <c r="IP1443" s="351"/>
      <c r="IQ1443" s="351"/>
      <c r="IR1443" s="351"/>
      <c r="IS1443" s="351"/>
      <c r="IT1443" s="351"/>
      <c r="IU1443" s="351"/>
      <c r="IV1443" s="351"/>
      <c r="IW1443" s="351"/>
      <c r="IX1443" s="351"/>
      <c r="IY1443" s="351"/>
      <c r="IZ1443" s="351"/>
      <c r="JA1443" s="351"/>
      <c r="JB1443" s="351"/>
      <c r="JC1443" s="351"/>
      <c r="JD1443" s="351"/>
      <c r="JE1443" s="347"/>
      <c r="JF1443" s="343"/>
      <c r="JG1443" s="351"/>
      <c r="JH1443" s="351"/>
      <c r="JI1443" s="351"/>
      <c r="JJ1443" s="351"/>
      <c r="JK1443" s="351"/>
      <c r="JL1443" s="351"/>
      <c r="JM1443" s="351"/>
      <c r="JN1443" s="351"/>
      <c r="JO1443" s="351"/>
      <c r="JP1443" s="351"/>
      <c r="JQ1443" s="351"/>
      <c r="JR1443" s="351"/>
      <c r="JS1443" s="351"/>
      <c r="JT1443" s="351"/>
      <c r="JU1443" s="351"/>
      <c r="JV1443" s="351"/>
      <c r="JW1443" s="351"/>
      <c r="JX1443" s="351"/>
      <c r="JY1443" s="351"/>
      <c r="JZ1443" s="351"/>
      <c r="KA1443" s="351"/>
      <c r="KB1443" s="351"/>
      <c r="KC1443" s="351"/>
      <c r="KD1443" s="351"/>
      <c r="KE1443" s="351"/>
      <c r="KF1443" s="351"/>
      <c r="KG1443" s="351"/>
      <c r="KH1443" s="351"/>
      <c r="KI1443" s="351"/>
      <c r="KJ1443" s="351"/>
      <c r="KK1443" s="351"/>
      <c r="KL1443" s="351"/>
      <c r="KM1443" s="351"/>
      <c r="KN1443" s="351"/>
      <c r="KO1443" s="351"/>
      <c r="KP1443" s="351"/>
      <c r="KQ1443" s="351"/>
      <c r="KR1443" s="351"/>
      <c r="KS1443" s="351"/>
      <c r="KT1443" s="351"/>
      <c r="KU1443" s="351"/>
      <c r="KV1443" s="351"/>
      <c r="KW1443" s="351"/>
      <c r="KX1443" s="351"/>
      <c r="KY1443" s="351"/>
      <c r="KZ1443" s="351"/>
      <c r="LA1443" s="351"/>
      <c r="LB1443" s="343"/>
      <c r="LC1443" s="351"/>
      <c r="LD1443" s="351"/>
      <c r="LE1443" s="343"/>
      <c r="LF1443" s="351"/>
      <c r="LG1443" s="351"/>
      <c r="LH1443" s="351"/>
      <c r="LI1443" s="351"/>
      <c r="LJ1443" s="342"/>
      <c r="LK1443" s="342"/>
      <c r="LL1443" s="342"/>
      <c r="LM1443" s="342"/>
      <c r="LN1443" s="342"/>
      <c r="LO1443" s="342"/>
      <c r="LP1443" s="342"/>
      <c r="LQ1443" s="342"/>
      <c r="LR1443" s="342"/>
      <c r="LS1443" s="342"/>
      <c r="LT1443" s="342"/>
      <c r="LU1443" s="13"/>
    </row>
    <row r="1444" spans="6:333" ht="10.75" customHeight="1">
      <c r="F1444" s="342"/>
      <c r="G1444" s="342"/>
      <c r="H1444" s="342"/>
      <c r="I1444" s="342"/>
      <c r="J1444" s="342"/>
      <c r="K1444" s="342"/>
      <c r="L1444" s="342"/>
      <c r="M1444" s="342"/>
      <c r="N1444" s="342"/>
      <c r="O1444" s="342"/>
      <c r="P1444" s="342"/>
      <c r="Q1444" s="342"/>
      <c r="R1444" s="342"/>
      <c r="S1444" s="342"/>
      <c r="T1444" s="342"/>
      <c r="U1444" s="342"/>
      <c r="V1444" s="342"/>
      <c r="W1444" s="342"/>
      <c r="X1444" s="342"/>
      <c r="Y1444" s="342"/>
      <c r="Z1444" s="342"/>
      <c r="AA1444" s="342"/>
      <c r="AB1444" s="342"/>
      <c r="AC1444" s="342"/>
      <c r="AD1444" s="342"/>
      <c r="AE1444" s="342"/>
      <c r="AF1444" s="342"/>
      <c r="AG1444" s="342"/>
      <c r="AH1444" s="342"/>
      <c r="AI1444" s="342"/>
      <c r="AJ1444" s="342"/>
      <c r="AK1444" s="342"/>
      <c r="AL1444" s="342"/>
      <c r="AM1444" s="342"/>
      <c r="AN1444" s="342"/>
      <c r="AO1444" s="342"/>
      <c r="AP1444" s="342"/>
      <c r="AQ1444" s="342"/>
      <c r="AR1444" s="342"/>
      <c r="AS1444" s="342"/>
      <c r="AT1444" s="342"/>
      <c r="AU1444" s="342"/>
      <c r="AV1444" s="342"/>
      <c r="AW1444" s="342"/>
      <c r="AX1444" s="342"/>
      <c r="AY1444" s="342"/>
      <c r="AZ1444" s="342"/>
      <c r="BA1444" s="342"/>
      <c r="BB1444" s="342"/>
      <c r="BC1444" s="342"/>
      <c r="BD1444" s="342"/>
      <c r="BE1444" s="342"/>
      <c r="BF1444" s="342"/>
      <c r="BG1444" s="342"/>
      <c r="BH1444" s="342"/>
      <c r="BI1444" s="342"/>
      <c r="BJ1444" s="342"/>
      <c r="BK1444" s="342"/>
      <c r="BL1444" s="342"/>
      <c r="BM1444" s="342"/>
      <c r="BN1444" s="342"/>
      <c r="BO1444" s="342"/>
      <c r="BP1444" s="342"/>
      <c r="BQ1444" s="342"/>
      <c r="BR1444" s="342"/>
      <c r="BS1444" s="342"/>
      <c r="BT1444" s="342"/>
      <c r="BU1444" s="342"/>
      <c r="BV1444" s="342"/>
      <c r="BW1444" s="342"/>
      <c r="BX1444" s="342"/>
      <c r="BY1444" s="342"/>
      <c r="BZ1444" s="342"/>
      <c r="CA1444" s="342"/>
      <c r="CB1444" s="342"/>
      <c r="CC1444" s="342"/>
      <c r="CD1444" s="342"/>
      <c r="CE1444" s="342"/>
      <c r="CF1444" s="342"/>
      <c r="CG1444" s="342"/>
      <c r="CH1444" s="342"/>
      <c r="CI1444" s="342"/>
      <c r="CJ1444" s="342"/>
      <c r="CK1444" s="342"/>
      <c r="CL1444" s="342"/>
      <c r="CM1444" s="342"/>
      <c r="CN1444" s="342"/>
      <c r="CO1444" s="342"/>
      <c r="CP1444" s="342"/>
      <c r="CQ1444" s="342"/>
      <c r="CR1444" s="342"/>
      <c r="CS1444" s="342"/>
      <c r="CT1444" s="342"/>
      <c r="CU1444" s="342"/>
      <c r="CV1444" s="342"/>
      <c r="CW1444" s="342"/>
      <c r="CX1444" s="342"/>
      <c r="CY1444" s="342"/>
      <c r="CZ1444" s="342"/>
      <c r="DA1444" s="342"/>
      <c r="DB1444" s="342"/>
      <c r="DC1444" s="342"/>
      <c r="DD1444" s="342"/>
      <c r="DE1444" s="342"/>
      <c r="DF1444" s="342"/>
      <c r="DG1444" s="342"/>
      <c r="DH1444" s="342"/>
      <c r="DI1444" s="342"/>
      <c r="DJ1444" s="342"/>
      <c r="DK1444" s="342"/>
      <c r="DL1444" s="342"/>
      <c r="DM1444" s="342"/>
      <c r="DN1444" s="342"/>
      <c r="DO1444" s="342"/>
      <c r="DP1444" s="342"/>
      <c r="DQ1444" s="342"/>
      <c r="DR1444" s="342"/>
      <c r="DS1444" s="342"/>
      <c r="DT1444" s="342"/>
      <c r="DU1444" s="342"/>
      <c r="FV1444" s="12"/>
      <c r="FW1444" s="342"/>
      <c r="FX1444" s="342"/>
      <c r="FY1444" s="342"/>
      <c r="FZ1444" s="342"/>
      <c r="GA1444" s="342"/>
      <c r="GB1444" s="342"/>
      <c r="GC1444" s="342"/>
      <c r="GD1444" s="342"/>
      <c r="GE1444" s="13"/>
      <c r="GM1444" s="12"/>
      <c r="GP1444" s="14"/>
      <c r="GQ1444" s="15"/>
      <c r="GR1444" s="14"/>
      <c r="GS1444" s="15"/>
      <c r="GT1444" s="15"/>
      <c r="GU1444" s="15"/>
      <c r="GV1444" s="15"/>
      <c r="GW1444" s="15"/>
      <c r="GX1444" s="16"/>
      <c r="GY1444" s="349"/>
      <c r="GZ1444" s="349"/>
      <c r="HA1444" s="348"/>
      <c r="HB1444" s="349"/>
      <c r="HC1444" s="349"/>
      <c r="HD1444" s="349"/>
      <c r="HE1444" s="349"/>
      <c r="HF1444" s="349"/>
      <c r="HG1444" s="350"/>
      <c r="HH1444" s="349"/>
      <c r="HI1444" s="349"/>
      <c r="HJ1444" s="350"/>
      <c r="HK1444" s="351"/>
      <c r="HL1444" s="351"/>
      <c r="HM1444" s="347"/>
      <c r="HN1444" s="351"/>
      <c r="HO1444" s="351"/>
      <c r="HP1444" s="351"/>
      <c r="HQ1444" s="351"/>
      <c r="HR1444" s="351"/>
      <c r="HS1444" s="351"/>
      <c r="HT1444" s="351"/>
      <c r="HU1444" s="351"/>
      <c r="HV1444" s="351"/>
      <c r="HW1444" s="351"/>
      <c r="HX1444" s="351"/>
      <c r="HY1444" s="351"/>
      <c r="HZ1444" s="351"/>
      <c r="IA1444" s="351"/>
      <c r="IB1444" s="351"/>
      <c r="IC1444" s="351"/>
      <c r="ID1444" s="351"/>
      <c r="IE1444" s="351"/>
      <c r="IF1444" s="351"/>
      <c r="IG1444" s="351"/>
      <c r="IH1444" s="351"/>
      <c r="II1444" s="351"/>
      <c r="IJ1444" s="351"/>
      <c r="IK1444" s="351"/>
      <c r="IL1444" s="351"/>
      <c r="IM1444" s="351"/>
      <c r="IN1444" s="351"/>
      <c r="IO1444" s="351"/>
      <c r="IP1444" s="351"/>
      <c r="IQ1444" s="351"/>
      <c r="IR1444" s="351"/>
      <c r="IS1444" s="351"/>
      <c r="IT1444" s="351"/>
      <c r="IU1444" s="351"/>
      <c r="IV1444" s="351"/>
      <c r="IW1444" s="351"/>
      <c r="IX1444" s="351"/>
      <c r="IY1444" s="351"/>
      <c r="IZ1444" s="351"/>
      <c r="JA1444" s="351"/>
      <c r="JB1444" s="351"/>
      <c r="JC1444" s="351"/>
      <c r="JD1444" s="351"/>
      <c r="JE1444" s="347"/>
      <c r="JF1444" s="343"/>
      <c r="JG1444" s="351"/>
      <c r="JH1444" s="351"/>
      <c r="JI1444" s="351"/>
      <c r="JJ1444" s="351"/>
      <c r="JK1444" s="351"/>
      <c r="JL1444" s="351"/>
      <c r="JM1444" s="351"/>
      <c r="JN1444" s="351"/>
      <c r="JO1444" s="351"/>
      <c r="JP1444" s="351"/>
      <c r="JQ1444" s="351"/>
      <c r="JR1444" s="351"/>
      <c r="JS1444" s="351"/>
      <c r="JT1444" s="351"/>
      <c r="JU1444" s="351"/>
      <c r="JV1444" s="351"/>
      <c r="JW1444" s="351"/>
      <c r="JX1444" s="351"/>
      <c r="JY1444" s="351"/>
      <c r="JZ1444" s="351"/>
      <c r="KA1444" s="351"/>
      <c r="KB1444" s="351"/>
      <c r="KC1444" s="351"/>
      <c r="KD1444" s="351"/>
      <c r="KE1444" s="351"/>
      <c r="KF1444" s="351"/>
      <c r="KG1444" s="351"/>
      <c r="KH1444" s="351"/>
      <c r="KI1444" s="351"/>
      <c r="KJ1444" s="351"/>
      <c r="KK1444" s="351"/>
      <c r="KL1444" s="351"/>
      <c r="KM1444" s="351"/>
      <c r="KN1444" s="351"/>
      <c r="KO1444" s="351"/>
      <c r="KP1444" s="351"/>
      <c r="KQ1444" s="351"/>
      <c r="KR1444" s="351"/>
      <c r="KS1444" s="351"/>
      <c r="KT1444" s="351"/>
      <c r="KU1444" s="351"/>
      <c r="KV1444" s="351"/>
      <c r="KW1444" s="351"/>
      <c r="KX1444" s="351"/>
      <c r="KY1444" s="351"/>
      <c r="KZ1444" s="351"/>
      <c r="LA1444" s="351"/>
      <c r="LB1444" s="343"/>
      <c r="LC1444" s="351"/>
      <c r="LD1444" s="351"/>
      <c r="LE1444" s="343"/>
      <c r="LF1444" s="351"/>
      <c r="LG1444" s="351"/>
      <c r="LH1444" s="351"/>
      <c r="LI1444" s="351"/>
      <c r="LJ1444" s="342"/>
      <c r="LK1444" s="342"/>
      <c r="LL1444" s="342"/>
      <c r="LM1444" s="342"/>
      <c r="LN1444" s="342"/>
      <c r="LO1444" s="342"/>
      <c r="LP1444" s="342"/>
      <c r="LQ1444" s="342"/>
      <c r="LR1444" s="342"/>
      <c r="LS1444" s="342"/>
      <c r="LT1444" s="342"/>
      <c r="LU1444" s="13"/>
    </row>
    <row r="1445" spans="6:333" ht="10.75" customHeight="1">
      <c r="F1445" s="342"/>
      <c r="G1445" s="342"/>
      <c r="H1445" s="342"/>
      <c r="I1445" s="342"/>
      <c r="J1445" s="342"/>
      <c r="K1445" s="342"/>
      <c r="L1445" s="342"/>
      <c r="M1445" s="342"/>
      <c r="N1445" s="342"/>
      <c r="O1445" s="342"/>
      <c r="P1445" s="342"/>
      <c r="Q1445" s="342"/>
      <c r="R1445" s="342"/>
      <c r="S1445" s="342"/>
      <c r="T1445" s="342"/>
      <c r="U1445" s="342"/>
      <c r="V1445" s="342"/>
      <c r="W1445" s="342"/>
      <c r="X1445" s="342"/>
      <c r="Y1445" s="342"/>
      <c r="Z1445" s="342"/>
      <c r="AA1445" s="342"/>
      <c r="AB1445" s="342"/>
      <c r="AC1445" s="342"/>
      <c r="AD1445" s="342"/>
      <c r="AE1445" s="342"/>
      <c r="AF1445" s="342"/>
      <c r="AG1445" s="342"/>
      <c r="AH1445" s="342"/>
      <c r="AI1445" s="342"/>
      <c r="AJ1445" s="342"/>
      <c r="AK1445" s="342"/>
      <c r="AL1445" s="342"/>
      <c r="AM1445" s="342"/>
      <c r="AN1445" s="342"/>
      <c r="AO1445" s="342"/>
      <c r="AP1445" s="342"/>
      <c r="AQ1445" s="342"/>
      <c r="AR1445" s="342"/>
      <c r="AS1445" s="342"/>
      <c r="AT1445" s="342"/>
      <c r="AU1445" s="342"/>
      <c r="AV1445" s="342"/>
      <c r="AW1445" s="342"/>
      <c r="AX1445" s="342"/>
      <c r="AY1445" s="342"/>
      <c r="AZ1445" s="342"/>
      <c r="BA1445" s="342"/>
      <c r="BB1445" s="342"/>
      <c r="BC1445" s="342"/>
      <c r="BD1445" s="342"/>
      <c r="BE1445" s="342"/>
      <c r="BF1445" s="342"/>
      <c r="BG1445" s="342"/>
      <c r="BH1445" s="342"/>
      <c r="BI1445" s="342"/>
      <c r="BJ1445" s="342"/>
      <c r="BK1445" s="342"/>
      <c r="BL1445" s="342"/>
      <c r="BM1445" s="342"/>
      <c r="BN1445" s="342"/>
      <c r="BO1445" s="342"/>
      <c r="BP1445" s="342"/>
      <c r="BQ1445" s="342"/>
      <c r="BR1445" s="342"/>
      <c r="BS1445" s="342"/>
      <c r="BT1445" s="342"/>
      <c r="BU1445" s="342"/>
      <c r="BV1445" s="342"/>
      <c r="BW1445" s="342"/>
      <c r="BX1445" s="342"/>
      <c r="BY1445" s="342"/>
      <c r="BZ1445" s="342"/>
      <c r="CA1445" s="342"/>
      <c r="CB1445" s="342"/>
      <c r="CC1445" s="342"/>
      <c r="CD1445" s="342"/>
      <c r="CE1445" s="342"/>
      <c r="CF1445" s="342"/>
      <c r="CG1445" s="342"/>
      <c r="CH1445" s="342"/>
      <c r="CI1445" s="342"/>
      <c r="CJ1445" s="342"/>
      <c r="CK1445" s="342"/>
      <c r="CL1445" s="342"/>
      <c r="CM1445" s="342"/>
      <c r="CN1445" s="342"/>
      <c r="CO1445" s="342"/>
      <c r="CP1445" s="342"/>
      <c r="CQ1445" s="342"/>
      <c r="CR1445" s="342"/>
      <c r="CS1445" s="342"/>
      <c r="CT1445" s="342"/>
      <c r="CU1445" s="342"/>
      <c r="CV1445" s="342"/>
      <c r="CW1445" s="342"/>
      <c r="CX1445" s="342"/>
      <c r="CY1445" s="342"/>
      <c r="CZ1445" s="342"/>
      <c r="DA1445" s="342"/>
      <c r="DB1445" s="342"/>
      <c r="DC1445" s="342"/>
      <c r="DD1445" s="342"/>
      <c r="DE1445" s="342"/>
      <c r="DF1445" s="342"/>
      <c r="DG1445" s="342"/>
      <c r="DH1445" s="342"/>
      <c r="DI1445" s="342"/>
      <c r="DJ1445" s="342"/>
      <c r="DK1445" s="342"/>
      <c r="DL1445" s="342"/>
      <c r="DM1445" s="342"/>
      <c r="DN1445" s="342"/>
      <c r="DO1445" s="342"/>
      <c r="DP1445" s="342"/>
      <c r="DQ1445" s="342"/>
      <c r="DR1445" s="342"/>
      <c r="DS1445" s="342"/>
      <c r="DT1445" s="342"/>
      <c r="DU1445" s="342"/>
      <c r="FV1445" s="9"/>
      <c r="FW1445" s="10"/>
      <c r="FX1445" s="10"/>
      <c r="FY1445" s="10"/>
      <c r="FZ1445" s="10"/>
      <c r="GA1445" s="10"/>
      <c r="GB1445" s="10"/>
      <c r="GC1445" s="10"/>
      <c r="GD1445" s="10"/>
      <c r="GE1445" s="11"/>
      <c r="GM1445" s="12"/>
      <c r="GT1445" s="342"/>
      <c r="GU1445" s="342"/>
      <c r="GV1445" s="342"/>
      <c r="GW1445" s="342"/>
      <c r="GX1445" s="342"/>
      <c r="GY1445" s="342"/>
      <c r="GZ1445" s="342"/>
      <c r="HA1445" s="342"/>
      <c r="HB1445" s="342"/>
      <c r="HC1445" s="342"/>
      <c r="HD1445" s="342"/>
      <c r="HE1445" s="342"/>
      <c r="HF1445" s="342"/>
      <c r="HG1445" s="351"/>
      <c r="HH1445" s="351"/>
      <c r="HI1445" s="351"/>
      <c r="HJ1445" s="351"/>
      <c r="HK1445" s="351"/>
      <c r="HL1445" s="351"/>
      <c r="HM1445" s="347"/>
      <c r="HN1445" s="351"/>
      <c r="HO1445" s="351"/>
      <c r="HP1445" s="351"/>
      <c r="HQ1445" s="351"/>
      <c r="HR1445" s="351"/>
      <c r="HS1445" s="351"/>
      <c r="HT1445" s="351"/>
      <c r="HU1445" s="351"/>
      <c r="HV1445" s="351"/>
      <c r="HW1445" s="351"/>
      <c r="HX1445" s="351"/>
      <c r="HY1445" s="351"/>
      <c r="HZ1445" s="351"/>
      <c r="IA1445" s="351"/>
      <c r="IB1445" s="351"/>
      <c r="IC1445" s="351"/>
      <c r="ID1445" s="351"/>
      <c r="IE1445" s="351"/>
      <c r="IF1445" s="351"/>
      <c r="IG1445" s="351"/>
      <c r="IH1445" s="351"/>
      <c r="II1445" s="351"/>
      <c r="IJ1445" s="351"/>
      <c r="IK1445" s="351"/>
      <c r="IL1445" s="351"/>
      <c r="IM1445" s="351"/>
      <c r="IN1445" s="351"/>
      <c r="IO1445" s="351"/>
      <c r="IP1445" s="351"/>
      <c r="IQ1445" s="351"/>
      <c r="IR1445" s="351"/>
      <c r="IS1445" s="351"/>
      <c r="IT1445" s="351"/>
      <c r="IU1445" s="351"/>
      <c r="IV1445" s="351"/>
      <c r="IW1445" s="351"/>
      <c r="IX1445" s="351"/>
      <c r="IY1445" s="351"/>
      <c r="IZ1445" s="351"/>
      <c r="JA1445" s="351"/>
      <c r="JB1445" s="351"/>
      <c r="JC1445" s="351"/>
      <c r="JD1445" s="351"/>
      <c r="JE1445" s="347"/>
      <c r="JF1445" s="343"/>
      <c r="JG1445" s="351"/>
      <c r="JH1445" s="351"/>
      <c r="JI1445" s="351"/>
      <c r="JJ1445" s="351"/>
      <c r="JK1445" s="351"/>
      <c r="JL1445" s="351"/>
      <c r="JM1445" s="351"/>
      <c r="JN1445" s="351"/>
      <c r="JO1445" s="351"/>
      <c r="JP1445" s="351"/>
      <c r="JQ1445" s="351"/>
      <c r="JR1445" s="351"/>
      <c r="JS1445" s="351"/>
      <c r="JT1445" s="351"/>
      <c r="JU1445" s="351"/>
      <c r="JV1445" s="351"/>
      <c r="JW1445" s="351"/>
      <c r="JX1445" s="351"/>
      <c r="JY1445" s="351"/>
      <c r="JZ1445" s="351"/>
      <c r="KA1445" s="351"/>
      <c r="KB1445" s="351"/>
      <c r="KC1445" s="351"/>
      <c r="KD1445" s="351"/>
      <c r="KE1445" s="351"/>
      <c r="KF1445" s="351"/>
      <c r="KG1445" s="351"/>
      <c r="KH1445" s="351"/>
      <c r="KI1445" s="351"/>
      <c r="KJ1445" s="351"/>
      <c r="KK1445" s="351"/>
      <c r="KL1445" s="351"/>
      <c r="KM1445" s="351"/>
      <c r="KN1445" s="351"/>
      <c r="KO1445" s="351"/>
      <c r="KP1445" s="351"/>
      <c r="KQ1445" s="351"/>
      <c r="KR1445" s="351"/>
      <c r="KS1445" s="351"/>
      <c r="KT1445" s="351"/>
      <c r="KU1445" s="351"/>
      <c r="KV1445" s="351"/>
      <c r="KW1445" s="351"/>
      <c r="KX1445" s="351"/>
      <c r="KY1445" s="351"/>
      <c r="KZ1445" s="351"/>
      <c r="LA1445" s="351"/>
      <c r="LB1445" s="343"/>
      <c r="LC1445" s="351"/>
      <c r="LD1445" s="351"/>
      <c r="LE1445" s="343"/>
      <c r="LF1445" s="351"/>
      <c r="LG1445" s="351"/>
      <c r="LH1445" s="351"/>
      <c r="LI1445" s="351"/>
      <c r="LJ1445" s="342"/>
      <c r="LK1445" s="342"/>
      <c r="LL1445" s="342"/>
      <c r="LM1445" s="342"/>
      <c r="LN1445" s="342"/>
      <c r="LO1445" s="342"/>
      <c r="LP1445" s="342"/>
      <c r="LQ1445" s="342"/>
      <c r="LR1445" s="342"/>
      <c r="LS1445" s="342"/>
      <c r="LT1445" s="342"/>
      <c r="LU1445" s="13"/>
    </row>
    <row r="1446" spans="6:333" ht="10.75" customHeight="1">
      <c r="F1446" s="342"/>
      <c r="G1446" s="342"/>
      <c r="H1446" s="342"/>
      <c r="I1446" s="342"/>
      <c r="J1446" s="342"/>
      <c r="K1446" s="342"/>
      <c r="L1446" s="342"/>
      <c r="M1446" s="342"/>
      <c r="N1446" s="342"/>
      <c r="O1446" s="342"/>
      <c r="P1446" s="342"/>
      <c r="Q1446" s="342"/>
      <c r="R1446" s="342"/>
      <c r="S1446" s="342"/>
      <c r="T1446" s="342"/>
      <c r="U1446" s="342"/>
      <c r="V1446" s="342"/>
      <c r="W1446" s="342"/>
      <c r="X1446" s="342"/>
      <c r="Y1446" s="342"/>
      <c r="Z1446" s="342"/>
      <c r="AA1446" s="342"/>
      <c r="AB1446" s="342"/>
      <c r="AC1446" s="342"/>
      <c r="AD1446" s="342"/>
      <c r="AE1446" s="342"/>
      <c r="AF1446" s="342"/>
      <c r="AG1446" s="342"/>
      <c r="AH1446" s="342"/>
      <c r="AI1446" s="342"/>
      <c r="AJ1446" s="342"/>
      <c r="AK1446" s="342"/>
      <c r="AL1446" s="342"/>
      <c r="AM1446" s="342"/>
      <c r="AN1446" s="342"/>
      <c r="AO1446" s="342"/>
      <c r="AP1446" s="342"/>
      <c r="AQ1446" s="342"/>
      <c r="AR1446" s="342"/>
      <c r="AS1446" s="342"/>
      <c r="AT1446" s="342"/>
      <c r="AU1446" s="342"/>
      <c r="AV1446" s="342"/>
      <c r="AW1446" s="342"/>
      <c r="AX1446" s="342"/>
      <c r="AY1446" s="342"/>
      <c r="AZ1446" s="342"/>
      <c r="BA1446" s="342"/>
      <c r="BB1446" s="342"/>
      <c r="BC1446" s="342"/>
      <c r="BD1446" s="342"/>
      <c r="BE1446" s="342"/>
      <c r="BF1446" s="342"/>
      <c r="BG1446" s="342"/>
      <c r="BH1446" s="342"/>
      <c r="BI1446" s="342"/>
      <c r="BJ1446" s="342"/>
      <c r="BK1446" s="342"/>
      <c r="BL1446" s="342"/>
      <c r="BM1446" s="342"/>
      <c r="BN1446" s="342"/>
      <c r="BO1446" s="342"/>
      <c r="BP1446" s="342"/>
      <c r="BQ1446" s="342"/>
      <c r="BR1446" s="342"/>
      <c r="BS1446" s="342"/>
      <c r="BT1446" s="342"/>
      <c r="BU1446" s="342"/>
      <c r="BV1446" s="342"/>
      <c r="BW1446" s="342"/>
      <c r="BX1446" s="342"/>
      <c r="BY1446" s="342"/>
      <c r="BZ1446" s="342"/>
      <c r="CA1446" s="342"/>
      <c r="CB1446" s="342"/>
      <c r="CC1446" s="342"/>
      <c r="CD1446" s="342"/>
      <c r="CE1446" s="342"/>
      <c r="CF1446" s="342"/>
      <c r="CG1446" s="342"/>
      <c r="CH1446" s="342"/>
      <c r="CI1446" s="342"/>
      <c r="CJ1446" s="342"/>
      <c r="CK1446" s="342"/>
      <c r="CL1446" s="342"/>
      <c r="CM1446" s="342"/>
      <c r="CN1446" s="342"/>
      <c r="CO1446" s="342"/>
      <c r="CP1446" s="342"/>
      <c r="CQ1446" s="342"/>
      <c r="CR1446" s="342"/>
      <c r="CS1446" s="342"/>
      <c r="CT1446" s="342"/>
      <c r="CU1446" s="342"/>
      <c r="CV1446" s="342"/>
      <c r="CW1446" s="342"/>
      <c r="CX1446" s="342"/>
      <c r="CY1446" s="342"/>
      <c r="CZ1446" s="342"/>
      <c r="DA1446" s="342"/>
      <c r="DB1446" s="342"/>
      <c r="DC1446" s="342"/>
      <c r="DD1446" s="342"/>
      <c r="DE1446" s="342"/>
      <c r="DF1446" s="342"/>
      <c r="DG1446" s="342"/>
      <c r="DH1446" s="342"/>
      <c r="DI1446" s="342"/>
      <c r="DJ1446" s="342"/>
      <c r="DK1446" s="342"/>
      <c r="DL1446" s="342"/>
      <c r="DM1446" s="342"/>
      <c r="DN1446" s="342"/>
      <c r="DO1446" s="342"/>
      <c r="DP1446" s="342"/>
      <c r="DQ1446" s="342"/>
      <c r="DR1446" s="342"/>
      <c r="DS1446" s="342"/>
      <c r="DT1446" s="342"/>
      <c r="DU1446" s="342"/>
      <c r="FV1446" s="12"/>
      <c r="FW1446" s="342"/>
      <c r="FX1446" s="342"/>
      <c r="FY1446" s="342"/>
      <c r="FZ1446" s="342"/>
      <c r="GA1446" s="342"/>
      <c r="GB1446" s="342"/>
      <c r="GC1446" s="342"/>
      <c r="GD1446" s="342"/>
      <c r="GE1446" s="13"/>
      <c r="GM1446" s="12"/>
      <c r="GT1446" s="342"/>
      <c r="GU1446" s="342"/>
      <c r="GV1446" s="342"/>
      <c r="GW1446" s="342"/>
      <c r="GX1446" s="342"/>
      <c r="GY1446" s="342"/>
      <c r="GZ1446" s="342"/>
      <c r="HA1446" s="342"/>
      <c r="HB1446" s="342"/>
      <c r="HC1446" s="342"/>
      <c r="HD1446" s="342"/>
      <c r="HE1446" s="342"/>
      <c r="HF1446" s="342"/>
      <c r="HG1446" s="351"/>
      <c r="HH1446" s="351"/>
      <c r="HI1446" s="351"/>
      <c r="HJ1446" s="351"/>
      <c r="HK1446" s="351"/>
      <c r="HL1446" s="351"/>
      <c r="HM1446" s="347"/>
      <c r="HN1446" s="351"/>
      <c r="HO1446" s="351"/>
      <c r="HP1446" s="351"/>
      <c r="HQ1446" s="351"/>
      <c r="HR1446" s="351"/>
      <c r="HS1446" s="351"/>
      <c r="HT1446" s="351"/>
      <c r="HU1446" s="351"/>
      <c r="HV1446" s="351"/>
      <c r="HW1446" s="351"/>
      <c r="HX1446" s="351"/>
      <c r="HY1446" s="351"/>
      <c r="HZ1446" s="351"/>
      <c r="IA1446" s="351"/>
      <c r="IB1446" s="351"/>
      <c r="IC1446" s="351"/>
      <c r="ID1446" s="351"/>
      <c r="IE1446" s="351"/>
      <c r="IF1446" s="351"/>
      <c r="IG1446" s="351"/>
      <c r="IH1446" s="351"/>
      <c r="II1446" s="351"/>
      <c r="IJ1446" s="351"/>
      <c r="IK1446" s="351"/>
      <c r="IL1446" s="351"/>
      <c r="IM1446" s="351"/>
      <c r="IN1446" s="351"/>
      <c r="IO1446" s="351"/>
      <c r="IP1446" s="351"/>
      <c r="IQ1446" s="351"/>
      <c r="IR1446" s="351"/>
      <c r="IS1446" s="351"/>
      <c r="IT1446" s="351"/>
      <c r="IU1446" s="351"/>
      <c r="IV1446" s="351"/>
      <c r="IW1446" s="351"/>
      <c r="IX1446" s="351"/>
      <c r="IY1446" s="351"/>
      <c r="IZ1446" s="351"/>
      <c r="JA1446" s="351"/>
      <c r="JB1446" s="351"/>
      <c r="JC1446" s="351"/>
      <c r="JD1446" s="351"/>
      <c r="JE1446" s="347"/>
      <c r="JF1446" s="343"/>
      <c r="JG1446" s="351"/>
      <c r="JH1446" s="351"/>
      <c r="JI1446" s="351"/>
      <c r="JJ1446" s="351"/>
      <c r="JK1446" s="351"/>
      <c r="JL1446" s="351"/>
      <c r="JM1446" s="351"/>
      <c r="JN1446" s="351"/>
      <c r="JO1446" s="351"/>
      <c r="JP1446" s="351"/>
      <c r="JQ1446" s="351"/>
      <c r="JR1446" s="351"/>
      <c r="JS1446" s="351"/>
      <c r="JT1446" s="351"/>
      <c r="JU1446" s="351"/>
      <c r="JV1446" s="351"/>
      <c r="JW1446" s="351"/>
      <c r="JX1446" s="351"/>
      <c r="JY1446" s="351"/>
      <c r="JZ1446" s="351"/>
      <c r="KA1446" s="351"/>
      <c r="KB1446" s="351"/>
      <c r="KC1446" s="351"/>
      <c r="KD1446" s="351"/>
      <c r="KE1446" s="351"/>
      <c r="KF1446" s="351"/>
      <c r="KG1446" s="351"/>
      <c r="KH1446" s="351"/>
      <c r="KI1446" s="351"/>
      <c r="KJ1446" s="351"/>
      <c r="KK1446" s="351"/>
      <c r="KL1446" s="351"/>
      <c r="KM1446" s="351"/>
      <c r="KN1446" s="351"/>
      <c r="KO1446" s="351"/>
      <c r="KP1446" s="351"/>
      <c r="KQ1446" s="351"/>
      <c r="KR1446" s="351"/>
      <c r="KS1446" s="351"/>
      <c r="KT1446" s="351"/>
      <c r="KU1446" s="351"/>
      <c r="KV1446" s="351"/>
      <c r="KW1446" s="351"/>
      <c r="KX1446" s="351"/>
      <c r="KY1446" s="351"/>
      <c r="KZ1446" s="351"/>
      <c r="LA1446" s="351"/>
      <c r="LB1446" s="343"/>
      <c r="LC1446" s="351"/>
      <c r="LD1446" s="351"/>
      <c r="LE1446" s="343"/>
      <c r="LF1446" s="351"/>
      <c r="LG1446" s="351"/>
      <c r="LH1446" s="351"/>
      <c r="LI1446" s="351"/>
      <c r="LJ1446" s="342"/>
      <c r="LK1446" s="342"/>
      <c r="LL1446" s="342"/>
      <c r="LM1446" s="342"/>
      <c r="LN1446" s="342"/>
      <c r="LO1446" s="342"/>
      <c r="LP1446" s="342"/>
      <c r="LQ1446" s="342"/>
      <c r="LR1446" s="342"/>
      <c r="LS1446" s="342"/>
      <c r="LT1446" s="342"/>
      <c r="LU1446" s="13"/>
    </row>
    <row r="1447" spans="6:333" ht="10.75" customHeight="1">
      <c r="F1447" s="342"/>
      <c r="G1447" s="342"/>
      <c r="H1447" s="342"/>
      <c r="I1447" s="342"/>
      <c r="J1447" s="342"/>
      <c r="K1447" s="342"/>
      <c r="L1447" s="342"/>
      <c r="M1447" s="342"/>
      <c r="N1447" s="342"/>
      <c r="O1447" s="342"/>
      <c r="P1447" s="342"/>
      <c r="Q1447" s="342"/>
      <c r="R1447" s="342"/>
      <c r="S1447" s="342"/>
      <c r="T1447" s="342"/>
      <c r="U1447" s="342"/>
      <c r="V1447" s="342"/>
      <c r="W1447" s="342"/>
      <c r="X1447" s="342"/>
      <c r="Y1447" s="342"/>
      <c r="Z1447" s="342"/>
      <c r="AA1447" s="342"/>
      <c r="AB1447" s="342"/>
      <c r="AC1447" s="342"/>
      <c r="AD1447" s="342"/>
      <c r="AE1447" s="342"/>
      <c r="AF1447" s="342"/>
      <c r="AG1447" s="342"/>
      <c r="AH1447" s="342"/>
      <c r="AI1447" s="342"/>
      <c r="AJ1447" s="342"/>
      <c r="AK1447" s="342"/>
      <c r="AL1447" s="342"/>
      <c r="AM1447" s="342"/>
      <c r="AN1447" s="342"/>
      <c r="AO1447" s="342"/>
      <c r="AP1447" s="342"/>
      <c r="AQ1447" s="342"/>
      <c r="AR1447" s="342"/>
      <c r="AS1447" s="342"/>
      <c r="AT1447" s="342"/>
      <c r="AU1447" s="342"/>
      <c r="AV1447" s="342"/>
      <c r="AW1447" s="342"/>
      <c r="AX1447" s="342"/>
      <c r="AY1447" s="342"/>
      <c r="AZ1447" s="342"/>
      <c r="BA1447" s="342"/>
      <c r="BB1447" s="342"/>
      <c r="BC1447" s="342"/>
      <c r="BD1447" s="342"/>
      <c r="BE1447" s="342"/>
      <c r="BF1447" s="342"/>
      <c r="BG1447" s="342"/>
      <c r="BH1447" s="342"/>
      <c r="BI1447" s="342"/>
      <c r="BJ1447" s="342"/>
      <c r="BK1447" s="342"/>
      <c r="BL1447" s="342"/>
      <c r="BM1447" s="342"/>
      <c r="BN1447" s="342"/>
      <c r="BO1447" s="342"/>
      <c r="BP1447" s="342"/>
      <c r="BQ1447" s="342"/>
      <c r="BR1447" s="342"/>
      <c r="BS1447" s="342"/>
      <c r="BT1447" s="342"/>
      <c r="BU1447" s="342"/>
      <c r="BV1447" s="342"/>
      <c r="BW1447" s="342"/>
      <c r="BX1447" s="342"/>
      <c r="BY1447" s="342"/>
      <c r="BZ1447" s="342"/>
      <c r="CA1447" s="342"/>
      <c r="CB1447" s="342"/>
      <c r="CC1447" s="342"/>
      <c r="CD1447" s="342"/>
      <c r="CE1447" s="342"/>
      <c r="CF1447" s="342"/>
      <c r="CG1447" s="342"/>
      <c r="CH1447" s="342"/>
      <c r="CI1447" s="342"/>
      <c r="CJ1447" s="342"/>
      <c r="CK1447" s="342"/>
      <c r="CL1447" s="342"/>
      <c r="CM1447" s="342"/>
      <c r="CN1447" s="342"/>
      <c r="CO1447" s="342"/>
      <c r="CP1447" s="342"/>
      <c r="CQ1447" s="342"/>
      <c r="CR1447" s="342"/>
      <c r="CS1447" s="342"/>
      <c r="CT1447" s="342"/>
      <c r="CU1447" s="342"/>
      <c r="CV1447" s="342"/>
      <c r="CW1447" s="342"/>
      <c r="CX1447" s="342"/>
      <c r="CY1447" s="342"/>
      <c r="CZ1447" s="342"/>
      <c r="DA1447" s="342"/>
      <c r="DB1447" s="342"/>
      <c r="DC1447" s="342"/>
      <c r="DD1447" s="342"/>
      <c r="DE1447" s="342"/>
      <c r="DF1447" s="342"/>
      <c r="DG1447" s="342"/>
      <c r="DH1447" s="342"/>
      <c r="DI1447" s="342"/>
      <c r="DJ1447" s="342"/>
      <c r="DK1447" s="342"/>
      <c r="DL1447" s="342"/>
      <c r="DM1447" s="342"/>
      <c r="DN1447" s="342"/>
      <c r="DO1447" s="342"/>
      <c r="DP1447" s="342"/>
      <c r="DQ1447" s="342"/>
      <c r="DR1447" s="342"/>
      <c r="DS1447" s="342"/>
      <c r="DT1447" s="342"/>
      <c r="DU1447" s="342"/>
      <c r="FV1447" s="12"/>
      <c r="FW1447" s="342"/>
      <c r="FX1447" s="342"/>
      <c r="FY1447" s="342"/>
      <c r="FZ1447" s="342"/>
      <c r="GA1447" s="342"/>
      <c r="GB1447" s="342"/>
      <c r="GC1447" s="342"/>
      <c r="GD1447" s="342"/>
      <c r="GE1447" s="13"/>
      <c r="GM1447" s="14"/>
      <c r="GN1447" s="15"/>
      <c r="GO1447" s="15"/>
      <c r="GP1447" s="15"/>
      <c r="GQ1447" s="15"/>
      <c r="GR1447" s="15"/>
      <c r="GS1447" s="15"/>
      <c r="GT1447" s="15"/>
      <c r="GU1447" s="15"/>
      <c r="GV1447" s="15"/>
      <c r="GW1447" s="15"/>
      <c r="GX1447" s="15"/>
      <c r="GY1447" s="15"/>
      <c r="GZ1447" s="15"/>
      <c r="HA1447" s="15"/>
      <c r="HB1447" s="15"/>
      <c r="HC1447" s="15"/>
      <c r="HD1447" s="15"/>
      <c r="HE1447" s="15"/>
      <c r="HF1447" s="15"/>
      <c r="HG1447" s="349"/>
      <c r="HH1447" s="349"/>
      <c r="HI1447" s="349"/>
      <c r="HJ1447" s="351"/>
      <c r="HK1447" s="351"/>
      <c r="HL1447" s="351"/>
      <c r="HM1447" s="347"/>
      <c r="HN1447" s="351"/>
      <c r="HO1447" s="351"/>
      <c r="HP1447" s="351"/>
      <c r="HQ1447" s="351"/>
      <c r="HR1447" s="351"/>
      <c r="HS1447" s="351"/>
      <c r="HT1447" s="351"/>
      <c r="HU1447" s="351"/>
      <c r="HV1447" s="351"/>
      <c r="HW1447" s="351"/>
      <c r="HX1447" s="351"/>
      <c r="HY1447" s="351"/>
      <c r="HZ1447" s="351"/>
      <c r="IA1447" s="351"/>
      <c r="IB1447" s="351"/>
      <c r="IC1447" s="351"/>
      <c r="ID1447" s="351"/>
      <c r="IE1447" s="351"/>
      <c r="IF1447" s="351"/>
      <c r="IG1447" s="351"/>
      <c r="IH1447" s="351"/>
      <c r="II1447" s="351"/>
      <c r="IJ1447" s="351"/>
      <c r="IK1447" s="351"/>
      <c r="IL1447" s="351"/>
      <c r="IM1447" s="351"/>
      <c r="IN1447" s="351"/>
      <c r="IO1447" s="351"/>
      <c r="IP1447" s="351"/>
      <c r="IQ1447" s="351"/>
      <c r="IR1447" s="351"/>
      <c r="IS1447" s="351"/>
      <c r="IT1447" s="351"/>
      <c r="IU1447" s="351"/>
      <c r="IV1447" s="351"/>
      <c r="IW1447" s="351"/>
      <c r="IX1447" s="351"/>
      <c r="IY1447" s="351"/>
      <c r="IZ1447" s="351"/>
      <c r="JA1447" s="351"/>
      <c r="JB1447" s="351"/>
      <c r="JC1447" s="351"/>
      <c r="JD1447" s="351"/>
      <c r="JE1447" s="347"/>
      <c r="JF1447" s="343"/>
      <c r="JG1447" s="351"/>
      <c r="JH1447" s="351"/>
      <c r="JI1447" s="351"/>
      <c r="JJ1447" s="351"/>
      <c r="JK1447" s="351"/>
      <c r="JL1447" s="351"/>
      <c r="JM1447" s="351"/>
      <c r="JN1447" s="351"/>
      <c r="JO1447" s="351"/>
      <c r="JP1447" s="351"/>
      <c r="JQ1447" s="351"/>
      <c r="JR1447" s="351"/>
      <c r="JS1447" s="351"/>
      <c r="JT1447" s="351"/>
      <c r="JU1447" s="351"/>
      <c r="JV1447" s="351"/>
      <c r="JW1447" s="351"/>
      <c r="JX1447" s="351"/>
      <c r="JY1447" s="351"/>
      <c r="JZ1447" s="351"/>
      <c r="KA1447" s="351"/>
      <c r="KB1447" s="351"/>
      <c r="KC1447" s="351"/>
      <c r="KD1447" s="351"/>
      <c r="KE1447" s="351"/>
      <c r="KF1447" s="351"/>
      <c r="KG1447" s="351"/>
      <c r="KH1447" s="351"/>
      <c r="KI1447" s="351"/>
      <c r="KJ1447" s="351"/>
      <c r="KK1447" s="351"/>
      <c r="KL1447" s="351"/>
      <c r="KM1447" s="351"/>
      <c r="KN1447" s="351"/>
      <c r="KO1447" s="351"/>
      <c r="KP1447" s="351"/>
      <c r="KQ1447" s="351"/>
      <c r="KR1447" s="351"/>
      <c r="KS1447" s="351"/>
      <c r="KT1447" s="351"/>
      <c r="KU1447" s="351"/>
      <c r="KV1447" s="351"/>
      <c r="KW1447" s="351"/>
      <c r="KX1447" s="351"/>
      <c r="KY1447" s="351"/>
      <c r="KZ1447" s="351"/>
      <c r="LA1447" s="351"/>
      <c r="LB1447" s="343"/>
      <c r="LC1447" s="351"/>
      <c r="LD1447" s="351"/>
      <c r="LE1447" s="343"/>
      <c r="LF1447" s="351"/>
      <c r="LG1447" s="351"/>
      <c r="LH1447" s="351"/>
      <c r="LI1447" s="351"/>
      <c r="LJ1447" s="342"/>
      <c r="LK1447" s="342"/>
      <c r="LL1447" s="342"/>
      <c r="LM1447" s="342"/>
      <c r="LN1447" s="342"/>
      <c r="LO1447" s="342"/>
      <c r="LP1447" s="342"/>
      <c r="LQ1447" s="342"/>
      <c r="LR1447" s="342"/>
      <c r="LS1447" s="342"/>
      <c r="LT1447" s="342"/>
      <c r="LU1447" s="13"/>
    </row>
    <row r="1448" spans="6:333" ht="10.75" customHeight="1">
      <c r="F1448" s="342"/>
      <c r="G1448" s="342"/>
      <c r="H1448" s="342"/>
      <c r="I1448" s="342"/>
      <c r="J1448" s="342"/>
      <c r="K1448" s="342"/>
      <c r="L1448" s="342"/>
      <c r="M1448" s="342"/>
      <c r="N1448" s="342"/>
      <c r="O1448" s="342"/>
      <c r="P1448" s="342"/>
      <c r="Q1448" s="342"/>
      <c r="R1448" s="342"/>
      <c r="S1448" s="342"/>
      <c r="T1448" s="342"/>
      <c r="U1448" s="342"/>
      <c r="V1448" s="342"/>
      <c r="W1448" s="342"/>
      <c r="X1448" s="342"/>
      <c r="Y1448" s="342"/>
      <c r="Z1448" s="342"/>
      <c r="AA1448" s="342"/>
      <c r="AB1448" s="342"/>
      <c r="AC1448" s="342"/>
      <c r="AD1448" s="342"/>
      <c r="AE1448" s="342"/>
      <c r="AF1448" s="342"/>
      <c r="AG1448" s="342"/>
      <c r="AH1448" s="342"/>
      <c r="AI1448" s="342"/>
      <c r="AJ1448" s="342"/>
      <c r="AK1448" s="342"/>
      <c r="AL1448" s="342"/>
      <c r="AM1448" s="342"/>
      <c r="AN1448" s="342"/>
      <c r="AO1448" s="342"/>
      <c r="AP1448" s="342"/>
      <c r="AQ1448" s="342"/>
      <c r="AR1448" s="342"/>
      <c r="AS1448" s="342"/>
      <c r="AT1448" s="342"/>
      <c r="AU1448" s="342"/>
      <c r="AV1448" s="342"/>
      <c r="AW1448" s="342"/>
      <c r="AX1448" s="342"/>
      <c r="AY1448" s="342"/>
      <c r="AZ1448" s="342"/>
      <c r="BA1448" s="342"/>
      <c r="BB1448" s="342"/>
      <c r="BC1448" s="342"/>
      <c r="BD1448" s="342"/>
      <c r="BE1448" s="342"/>
      <c r="BF1448" s="342"/>
      <c r="BG1448" s="342"/>
      <c r="BH1448" s="342"/>
      <c r="BI1448" s="342"/>
      <c r="BJ1448" s="342"/>
      <c r="BK1448" s="342"/>
      <c r="BL1448" s="342"/>
      <c r="BM1448" s="342"/>
      <c r="BN1448" s="342"/>
      <c r="BO1448" s="342"/>
      <c r="BP1448" s="342"/>
      <c r="BQ1448" s="342"/>
      <c r="BR1448" s="342"/>
      <c r="BS1448" s="342"/>
      <c r="BT1448" s="342"/>
      <c r="BU1448" s="342"/>
      <c r="BV1448" s="342"/>
      <c r="BW1448" s="342"/>
      <c r="BX1448" s="342"/>
      <c r="BY1448" s="342"/>
      <c r="BZ1448" s="342"/>
      <c r="CA1448" s="342"/>
      <c r="CB1448" s="342"/>
      <c r="CC1448" s="342"/>
      <c r="CD1448" s="342"/>
      <c r="CE1448" s="342"/>
      <c r="CF1448" s="342"/>
      <c r="CG1448" s="342"/>
      <c r="CH1448" s="342"/>
      <c r="CI1448" s="342"/>
      <c r="CJ1448" s="342"/>
      <c r="CK1448" s="342"/>
      <c r="CL1448" s="342"/>
      <c r="CM1448" s="342"/>
      <c r="CN1448" s="342"/>
      <c r="CO1448" s="342"/>
      <c r="CP1448" s="342"/>
      <c r="CQ1448" s="342"/>
      <c r="CR1448" s="342"/>
      <c r="CS1448" s="342"/>
      <c r="CT1448" s="342"/>
      <c r="CU1448" s="342"/>
      <c r="CV1448" s="342"/>
      <c r="CW1448" s="342"/>
      <c r="CX1448" s="342"/>
      <c r="CY1448" s="342"/>
      <c r="CZ1448" s="342"/>
      <c r="DA1448" s="342"/>
      <c r="DB1448" s="342"/>
      <c r="DC1448" s="342"/>
      <c r="DD1448" s="342"/>
      <c r="DE1448" s="342"/>
      <c r="DF1448" s="342"/>
      <c r="DG1448" s="342"/>
      <c r="DH1448" s="342"/>
      <c r="DI1448" s="342"/>
      <c r="DJ1448" s="342"/>
      <c r="DK1448" s="342"/>
      <c r="DL1448" s="342"/>
      <c r="DM1448" s="342"/>
      <c r="DN1448" s="342"/>
      <c r="DO1448" s="342"/>
      <c r="DP1448" s="342"/>
      <c r="DQ1448" s="342"/>
      <c r="DR1448" s="342"/>
      <c r="DS1448" s="342"/>
      <c r="DT1448" s="342"/>
      <c r="DU1448" s="342"/>
      <c r="FV1448" s="12"/>
      <c r="FW1448" s="342"/>
      <c r="FX1448" s="342"/>
      <c r="FY1448" s="342"/>
      <c r="FZ1448" s="342"/>
      <c r="GA1448" s="342"/>
      <c r="GB1448" s="342"/>
      <c r="GC1448" s="342"/>
      <c r="GD1448" s="342"/>
      <c r="GE1448" s="13"/>
      <c r="GT1448" s="342"/>
      <c r="GU1448" s="342"/>
      <c r="GV1448" s="342"/>
      <c r="GW1448" s="342"/>
      <c r="GX1448" s="9"/>
      <c r="GY1448" s="9"/>
      <c r="GZ1448" s="10"/>
      <c r="HA1448" s="10"/>
      <c r="HB1448" s="10"/>
      <c r="HC1448" s="10"/>
      <c r="HD1448" s="10"/>
      <c r="HE1448" s="10"/>
      <c r="HF1448" s="10"/>
      <c r="HG1448" s="345"/>
      <c r="HH1448" s="345"/>
      <c r="HI1448" s="346"/>
      <c r="HJ1448" s="12"/>
      <c r="HK1448" s="351"/>
      <c r="HL1448" s="351"/>
      <c r="HM1448" s="347"/>
      <c r="HN1448" s="351"/>
      <c r="HO1448" s="351"/>
      <c r="HP1448" s="351"/>
      <c r="HQ1448" s="351"/>
      <c r="HR1448" s="351"/>
      <c r="HS1448" s="351"/>
      <c r="HT1448" s="351"/>
      <c r="HU1448" s="351"/>
      <c r="HV1448" s="351"/>
      <c r="HW1448" s="351"/>
      <c r="HX1448" s="351"/>
      <c r="HY1448" s="351"/>
      <c r="HZ1448" s="351"/>
      <c r="IA1448" s="351"/>
      <c r="IB1448" s="351"/>
      <c r="IC1448" s="351"/>
      <c r="ID1448" s="351"/>
      <c r="IE1448" s="351"/>
      <c r="IF1448" s="351"/>
      <c r="IG1448" s="351"/>
      <c r="IH1448" s="351"/>
      <c r="II1448" s="351"/>
      <c r="IJ1448" s="351"/>
      <c r="IK1448" s="351"/>
      <c r="IL1448" s="351"/>
      <c r="IM1448" s="351"/>
      <c r="IN1448" s="351"/>
      <c r="IO1448" s="351"/>
      <c r="IP1448" s="351"/>
      <c r="IQ1448" s="351"/>
      <c r="IR1448" s="351"/>
      <c r="IS1448" s="351"/>
      <c r="IT1448" s="351"/>
      <c r="IU1448" s="351"/>
      <c r="IV1448" s="351"/>
      <c r="IW1448" s="351"/>
      <c r="IX1448" s="351"/>
      <c r="IY1448" s="351"/>
      <c r="IZ1448" s="351"/>
      <c r="JA1448" s="351"/>
      <c r="JB1448" s="351"/>
      <c r="JC1448" s="351"/>
      <c r="JD1448" s="351"/>
      <c r="JE1448" s="347"/>
      <c r="JF1448" s="343"/>
      <c r="JG1448" s="351"/>
      <c r="JH1448" s="351"/>
      <c r="JI1448" s="351"/>
      <c r="JJ1448" s="351"/>
      <c r="JK1448" s="351"/>
      <c r="JL1448" s="351"/>
      <c r="JM1448" s="351"/>
      <c r="JN1448" s="351"/>
      <c r="JO1448" s="351"/>
      <c r="JP1448" s="351"/>
      <c r="JQ1448" s="351"/>
      <c r="JR1448" s="351"/>
      <c r="JS1448" s="351"/>
      <c r="JT1448" s="351"/>
      <c r="JU1448" s="351"/>
      <c r="JV1448" s="351"/>
      <c r="JW1448" s="351"/>
      <c r="JX1448" s="351"/>
      <c r="JY1448" s="351"/>
      <c r="JZ1448" s="351"/>
      <c r="KA1448" s="351"/>
      <c r="KB1448" s="351"/>
      <c r="KC1448" s="351"/>
      <c r="KD1448" s="351"/>
      <c r="KE1448" s="351"/>
      <c r="KF1448" s="351"/>
      <c r="KG1448" s="351"/>
      <c r="KH1448" s="351"/>
      <c r="KI1448" s="351"/>
      <c r="KJ1448" s="351"/>
      <c r="KK1448" s="351"/>
      <c r="KL1448" s="351"/>
      <c r="KM1448" s="351"/>
      <c r="KN1448" s="351"/>
      <c r="KO1448" s="351"/>
      <c r="KP1448" s="351"/>
      <c r="KQ1448" s="351"/>
      <c r="KR1448" s="351"/>
      <c r="KS1448" s="351"/>
      <c r="KT1448" s="351"/>
      <c r="KU1448" s="351"/>
      <c r="KV1448" s="351"/>
      <c r="KW1448" s="351"/>
      <c r="KX1448" s="351"/>
      <c r="KY1448" s="351"/>
      <c r="KZ1448" s="351"/>
      <c r="LA1448" s="351"/>
      <c r="LB1448" s="343"/>
      <c r="LC1448" s="351"/>
      <c r="LD1448" s="351"/>
      <c r="LE1448" s="343"/>
      <c r="LF1448" s="351"/>
      <c r="LG1448" s="351"/>
      <c r="LH1448" s="351"/>
      <c r="LI1448" s="351"/>
      <c r="LJ1448" s="342"/>
      <c r="LK1448" s="342"/>
      <c r="LL1448" s="342"/>
      <c r="LM1448" s="342"/>
      <c r="LN1448" s="342"/>
      <c r="LO1448" s="342"/>
      <c r="LP1448" s="342"/>
      <c r="LQ1448" s="342"/>
      <c r="LR1448" s="342"/>
      <c r="LS1448" s="342"/>
      <c r="LT1448" s="342"/>
      <c r="LU1448" s="13"/>
    </row>
    <row r="1449" spans="6:333" ht="10.75" customHeight="1">
      <c r="F1449" s="342"/>
      <c r="G1449" s="342"/>
      <c r="H1449" s="342"/>
      <c r="I1449" s="342"/>
      <c r="J1449" s="342"/>
      <c r="K1449" s="342"/>
      <c r="L1449" s="342"/>
      <c r="M1449" s="342"/>
      <c r="N1449" s="342"/>
      <c r="O1449" s="342"/>
      <c r="P1449" s="342"/>
      <c r="Q1449" s="342"/>
      <c r="R1449" s="342"/>
      <c r="S1449" s="342"/>
      <c r="T1449" s="342"/>
      <c r="U1449" s="342"/>
      <c r="V1449" s="342"/>
      <c r="W1449" s="342"/>
      <c r="X1449" s="342"/>
      <c r="Y1449" s="342"/>
      <c r="Z1449" s="342"/>
      <c r="AA1449" s="342"/>
      <c r="AB1449" s="342"/>
      <c r="AC1449" s="342"/>
      <c r="AD1449" s="342"/>
      <c r="AE1449" s="342"/>
      <c r="AF1449" s="342"/>
      <c r="AG1449" s="342"/>
      <c r="AH1449" s="342"/>
      <c r="AI1449" s="342"/>
      <c r="AJ1449" s="342"/>
      <c r="AK1449" s="342"/>
      <c r="AL1449" s="342"/>
      <c r="AM1449" s="342"/>
      <c r="AN1449" s="342"/>
      <c r="AO1449" s="342"/>
      <c r="AP1449" s="342"/>
      <c r="AQ1449" s="342"/>
      <c r="AR1449" s="342"/>
      <c r="AS1449" s="342"/>
      <c r="AT1449" s="342"/>
      <c r="AU1449" s="342"/>
      <c r="AV1449" s="342"/>
      <c r="AW1449" s="342"/>
      <c r="AX1449" s="342"/>
      <c r="AY1449" s="342"/>
      <c r="AZ1449" s="342"/>
      <c r="BA1449" s="342"/>
      <c r="BB1449" s="342"/>
      <c r="BC1449" s="342"/>
      <c r="BD1449" s="342"/>
      <c r="BE1449" s="342"/>
      <c r="BF1449" s="342"/>
      <c r="BG1449" s="342"/>
      <c r="BH1449" s="342"/>
      <c r="BI1449" s="342"/>
      <c r="BJ1449" s="342"/>
      <c r="BK1449" s="342"/>
      <c r="BL1449" s="342"/>
      <c r="BM1449" s="342"/>
      <c r="BN1449" s="342"/>
      <c r="BO1449" s="342"/>
      <c r="BP1449" s="342"/>
      <c r="BQ1449" s="342"/>
      <c r="BR1449" s="342"/>
      <c r="BS1449" s="342"/>
      <c r="BT1449" s="342"/>
      <c r="BU1449" s="342"/>
      <c r="BV1449" s="342"/>
      <c r="BW1449" s="342"/>
      <c r="BX1449" s="342"/>
      <c r="BY1449" s="342"/>
      <c r="BZ1449" s="342"/>
      <c r="CA1449" s="342"/>
      <c r="CB1449" s="342"/>
      <c r="CC1449" s="342"/>
      <c r="CD1449" s="342"/>
      <c r="CE1449" s="342"/>
      <c r="CF1449" s="342"/>
      <c r="CG1449" s="342"/>
      <c r="CH1449" s="342"/>
      <c r="CI1449" s="342"/>
      <c r="CJ1449" s="342"/>
      <c r="CK1449" s="342"/>
      <c r="CL1449" s="342"/>
      <c r="CM1449" s="342"/>
      <c r="CN1449" s="342"/>
      <c r="CO1449" s="342"/>
      <c r="CP1449" s="342"/>
      <c r="CQ1449" s="342"/>
      <c r="CR1449" s="342"/>
      <c r="CS1449" s="342"/>
      <c r="CT1449" s="342"/>
      <c r="CU1449" s="342"/>
      <c r="CV1449" s="342"/>
      <c r="CW1449" s="342"/>
      <c r="CX1449" s="342"/>
      <c r="CY1449" s="342"/>
      <c r="CZ1449" s="342"/>
      <c r="DA1449" s="342"/>
      <c r="DB1449" s="342"/>
      <c r="DC1449" s="342"/>
      <c r="DD1449" s="342"/>
      <c r="DE1449" s="342"/>
      <c r="DF1449" s="342"/>
      <c r="DG1449" s="342"/>
      <c r="DH1449" s="342"/>
      <c r="DI1449" s="342"/>
      <c r="DJ1449" s="342"/>
      <c r="DK1449" s="342"/>
      <c r="DL1449" s="342"/>
      <c r="DM1449" s="342"/>
      <c r="DN1449" s="342"/>
      <c r="DO1449" s="342"/>
      <c r="DP1449" s="342"/>
      <c r="DQ1449" s="342"/>
      <c r="DR1449" s="342"/>
      <c r="DS1449" s="342"/>
      <c r="DT1449" s="342"/>
      <c r="DU1449" s="342"/>
      <c r="FV1449" s="9"/>
      <c r="FW1449" s="10"/>
      <c r="FX1449" s="10"/>
      <c r="FY1449" s="10"/>
      <c r="FZ1449" s="10"/>
      <c r="GA1449" s="10"/>
      <c r="GB1449" s="10"/>
      <c r="GC1449" s="10"/>
      <c r="GD1449" s="10"/>
      <c r="GE1449" s="11"/>
      <c r="GT1449" s="342"/>
      <c r="GU1449" s="342"/>
      <c r="GV1449" s="342"/>
      <c r="GW1449" s="342"/>
      <c r="GX1449" s="12"/>
      <c r="GY1449" s="12"/>
      <c r="GZ1449" s="342"/>
      <c r="HA1449" s="342"/>
      <c r="HB1449" s="342"/>
      <c r="HC1449" s="342"/>
      <c r="HD1449" s="342"/>
      <c r="HE1449" s="342"/>
      <c r="HF1449" s="342"/>
      <c r="HG1449" s="342"/>
      <c r="HH1449" s="342"/>
      <c r="HI1449" s="13"/>
      <c r="HJ1449" s="12"/>
      <c r="HK1449" s="342"/>
      <c r="HL1449" s="342"/>
      <c r="HM1449" s="347"/>
      <c r="HN1449" s="351"/>
      <c r="HO1449" s="351"/>
      <c r="HP1449" s="351"/>
      <c r="HQ1449" s="351"/>
      <c r="HR1449" s="351"/>
      <c r="HS1449" s="351"/>
      <c r="HT1449" s="351"/>
      <c r="HU1449" s="351"/>
      <c r="HV1449" s="351"/>
      <c r="HW1449" s="351"/>
      <c r="HX1449" s="351"/>
      <c r="HY1449" s="351"/>
      <c r="HZ1449" s="351"/>
      <c r="IA1449" s="351"/>
      <c r="IB1449" s="351"/>
      <c r="IC1449" s="351"/>
      <c r="ID1449" s="351"/>
      <c r="IE1449" s="351"/>
      <c r="IF1449" s="351"/>
      <c r="IG1449" s="351"/>
      <c r="IH1449" s="351"/>
      <c r="II1449" s="351"/>
      <c r="IJ1449" s="351"/>
      <c r="IK1449" s="351"/>
      <c r="IL1449" s="351"/>
      <c r="IM1449" s="351"/>
      <c r="IN1449" s="351"/>
      <c r="IO1449" s="351"/>
      <c r="IP1449" s="351"/>
      <c r="IQ1449" s="351"/>
      <c r="IR1449" s="351"/>
      <c r="IS1449" s="351"/>
      <c r="IT1449" s="351"/>
      <c r="IU1449" s="351"/>
      <c r="IV1449" s="351"/>
      <c r="IW1449" s="351"/>
      <c r="IX1449" s="351"/>
      <c r="IY1449" s="351"/>
      <c r="IZ1449" s="351"/>
      <c r="JA1449" s="351"/>
      <c r="JB1449" s="351"/>
      <c r="JC1449" s="351"/>
      <c r="JD1449" s="351"/>
      <c r="JE1449" s="347"/>
      <c r="JF1449" s="343"/>
      <c r="JG1449" s="351"/>
      <c r="JH1449" s="351"/>
      <c r="JI1449" s="351"/>
      <c r="JJ1449" s="351"/>
      <c r="JK1449" s="351"/>
      <c r="JL1449" s="351"/>
      <c r="JM1449" s="351"/>
      <c r="JN1449" s="351"/>
      <c r="JO1449" s="351"/>
      <c r="JP1449" s="351"/>
      <c r="JQ1449" s="351"/>
      <c r="JR1449" s="351"/>
      <c r="JS1449" s="351"/>
      <c r="JT1449" s="351"/>
      <c r="JU1449" s="351"/>
      <c r="JV1449" s="351"/>
      <c r="JW1449" s="351"/>
      <c r="JX1449" s="351"/>
      <c r="JY1449" s="351"/>
      <c r="JZ1449" s="351"/>
      <c r="KA1449" s="351"/>
      <c r="KB1449" s="351"/>
      <c r="KC1449" s="351"/>
      <c r="KD1449" s="351"/>
      <c r="KE1449" s="351"/>
      <c r="KF1449" s="351"/>
      <c r="KG1449" s="351"/>
      <c r="KH1449" s="351"/>
      <c r="KI1449" s="351"/>
      <c r="KJ1449" s="351"/>
      <c r="KK1449" s="351"/>
      <c r="KL1449" s="351"/>
      <c r="KM1449" s="351"/>
      <c r="KN1449" s="351"/>
      <c r="KO1449" s="351"/>
      <c r="KP1449" s="351"/>
      <c r="KQ1449" s="351"/>
      <c r="KR1449" s="351"/>
      <c r="KS1449" s="351"/>
      <c r="KT1449" s="351"/>
      <c r="KU1449" s="351"/>
      <c r="KV1449" s="351"/>
      <c r="KW1449" s="351"/>
      <c r="KX1449" s="351"/>
      <c r="KY1449" s="351"/>
      <c r="KZ1449" s="351"/>
      <c r="LA1449" s="351"/>
      <c r="LB1449" s="343"/>
      <c r="LC1449" s="351"/>
      <c r="LD1449" s="351"/>
      <c r="LE1449" s="343"/>
      <c r="LF1449" s="351"/>
      <c r="LG1449" s="351"/>
      <c r="LH1449" s="351"/>
      <c r="LI1449" s="351"/>
      <c r="LJ1449" s="342"/>
      <c r="LK1449" s="342"/>
      <c r="LL1449" s="342"/>
      <c r="LM1449" s="342"/>
      <c r="LN1449" s="342"/>
      <c r="LO1449" s="342"/>
      <c r="LP1449" s="342"/>
      <c r="LQ1449" s="342"/>
      <c r="LR1449" s="342"/>
      <c r="LS1449" s="342"/>
      <c r="LT1449" s="342"/>
      <c r="LU1449" s="13"/>
    </row>
    <row r="1450" spans="6:333" ht="10.75" customHeight="1">
      <c r="F1450" s="342"/>
      <c r="G1450" s="342"/>
      <c r="H1450" s="342"/>
      <c r="I1450" s="342"/>
      <c r="J1450" s="342"/>
      <c r="K1450" s="342"/>
      <c r="L1450" s="342"/>
      <c r="M1450" s="342"/>
      <c r="N1450" s="342"/>
      <c r="O1450" s="342"/>
      <c r="P1450" s="342"/>
      <c r="Q1450" s="342"/>
      <c r="R1450" s="342"/>
      <c r="S1450" s="342"/>
      <c r="T1450" s="342"/>
      <c r="U1450" s="342"/>
      <c r="V1450" s="342"/>
      <c r="W1450" s="342"/>
      <c r="X1450" s="342"/>
      <c r="Y1450" s="342"/>
      <c r="Z1450" s="342"/>
      <c r="AA1450" s="342"/>
      <c r="AB1450" s="342"/>
      <c r="AC1450" s="342"/>
      <c r="AD1450" s="342"/>
      <c r="AE1450" s="342"/>
      <c r="AF1450" s="342"/>
      <c r="AG1450" s="342"/>
      <c r="AH1450" s="342"/>
      <c r="AI1450" s="342"/>
      <c r="AJ1450" s="342"/>
      <c r="AK1450" s="342"/>
      <c r="AL1450" s="342"/>
      <c r="AM1450" s="342"/>
      <c r="AN1450" s="342"/>
      <c r="AO1450" s="342"/>
      <c r="AP1450" s="342"/>
      <c r="AQ1450" s="342"/>
      <c r="AR1450" s="342"/>
      <c r="AS1450" s="342"/>
      <c r="AT1450" s="342"/>
      <c r="AU1450" s="342"/>
      <c r="AV1450" s="342"/>
      <c r="AW1450" s="342"/>
      <c r="AX1450" s="342"/>
      <c r="AY1450" s="342"/>
      <c r="AZ1450" s="342"/>
      <c r="BA1450" s="342"/>
      <c r="BB1450" s="342"/>
      <c r="BC1450" s="342"/>
      <c r="BD1450" s="342"/>
      <c r="BE1450" s="342"/>
      <c r="BF1450" s="342"/>
      <c r="BG1450" s="342"/>
      <c r="BH1450" s="342"/>
      <c r="BI1450" s="342"/>
      <c r="BJ1450" s="342"/>
      <c r="BK1450" s="342"/>
      <c r="BL1450" s="342"/>
      <c r="BM1450" s="342"/>
      <c r="BN1450" s="342"/>
      <c r="BO1450" s="342"/>
      <c r="BP1450" s="342"/>
      <c r="BQ1450" s="342"/>
      <c r="BR1450" s="342"/>
      <c r="BS1450" s="342"/>
      <c r="BT1450" s="342"/>
      <c r="BU1450" s="342"/>
      <c r="BV1450" s="342"/>
      <c r="BW1450" s="342"/>
      <c r="BX1450" s="342"/>
      <c r="BY1450" s="342"/>
      <c r="BZ1450" s="342"/>
      <c r="CA1450" s="342"/>
      <c r="CB1450" s="342"/>
      <c r="CC1450" s="342"/>
      <c r="CD1450" s="342"/>
      <c r="CE1450" s="342"/>
      <c r="CF1450" s="342"/>
      <c r="CG1450" s="342"/>
      <c r="CH1450" s="342"/>
      <c r="CI1450" s="342"/>
      <c r="CJ1450" s="342"/>
      <c r="CK1450" s="342"/>
      <c r="CL1450" s="342"/>
      <c r="CM1450" s="342"/>
      <c r="CN1450" s="342"/>
      <c r="CO1450" s="342"/>
      <c r="CP1450" s="342"/>
      <c r="CQ1450" s="342"/>
      <c r="CR1450" s="342"/>
      <c r="CS1450" s="342"/>
      <c r="CT1450" s="342"/>
      <c r="CU1450" s="342"/>
      <c r="CV1450" s="342"/>
      <c r="CW1450" s="342"/>
      <c r="CX1450" s="342"/>
      <c r="CY1450" s="342"/>
      <c r="CZ1450" s="342"/>
      <c r="DA1450" s="342"/>
      <c r="DB1450" s="342"/>
      <c r="DC1450" s="342"/>
      <c r="DD1450" s="342"/>
      <c r="DE1450" s="342"/>
      <c r="DF1450" s="342"/>
      <c r="DG1450" s="342"/>
      <c r="DH1450" s="342"/>
      <c r="DI1450" s="342"/>
      <c r="DJ1450" s="342"/>
      <c r="DK1450" s="342"/>
      <c r="DL1450" s="342"/>
      <c r="DM1450" s="342"/>
      <c r="DN1450" s="342"/>
      <c r="DO1450" s="342"/>
      <c r="DP1450" s="342"/>
      <c r="DQ1450" s="342"/>
      <c r="DR1450" s="342"/>
      <c r="DS1450" s="342"/>
      <c r="DT1450" s="342"/>
      <c r="DU1450" s="342"/>
      <c r="FV1450" s="12"/>
      <c r="FW1450" s="342"/>
      <c r="FX1450" s="342"/>
      <c r="FY1450" s="342"/>
      <c r="FZ1450" s="342"/>
      <c r="GA1450" s="342"/>
      <c r="GB1450" s="342"/>
      <c r="GC1450" s="342"/>
      <c r="GD1450" s="342"/>
      <c r="GE1450" s="13"/>
      <c r="GT1450" s="342"/>
      <c r="GU1450" s="342"/>
      <c r="GV1450" s="342"/>
      <c r="GW1450" s="342"/>
      <c r="GX1450" s="12"/>
      <c r="GY1450" s="12"/>
      <c r="GZ1450" s="342"/>
      <c r="HA1450" s="342"/>
      <c r="HB1450" s="342"/>
      <c r="HC1450" s="342"/>
      <c r="HD1450" s="342"/>
      <c r="HE1450" s="342"/>
      <c r="HF1450" s="342"/>
      <c r="HG1450" s="342"/>
      <c r="HH1450" s="342"/>
      <c r="HI1450" s="13"/>
      <c r="HJ1450" s="12"/>
      <c r="HK1450" s="342"/>
      <c r="HL1450" s="342"/>
      <c r="HM1450" s="347"/>
      <c r="HN1450" s="351"/>
      <c r="HO1450" s="351"/>
      <c r="HP1450" s="351"/>
      <c r="HQ1450" s="351"/>
      <c r="HR1450" s="351"/>
      <c r="HS1450" s="351"/>
      <c r="HT1450" s="351"/>
      <c r="HU1450" s="351"/>
      <c r="HV1450" s="351"/>
      <c r="HW1450" s="351"/>
      <c r="HX1450" s="351"/>
      <c r="HY1450" s="351"/>
      <c r="HZ1450" s="351"/>
      <c r="IA1450" s="351"/>
      <c r="IB1450" s="351"/>
      <c r="IC1450" s="351"/>
      <c r="ID1450" s="351"/>
      <c r="IE1450" s="351"/>
      <c r="IF1450" s="351"/>
      <c r="IG1450" s="351"/>
      <c r="IH1450" s="351"/>
      <c r="II1450" s="351"/>
      <c r="IJ1450" s="351"/>
      <c r="IK1450" s="351"/>
      <c r="IL1450" s="351"/>
      <c r="IM1450" s="351"/>
      <c r="IN1450" s="351"/>
      <c r="IO1450" s="351"/>
      <c r="IP1450" s="351"/>
      <c r="IQ1450" s="351"/>
      <c r="IR1450" s="351"/>
      <c r="IS1450" s="351"/>
      <c r="IT1450" s="351"/>
      <c r="IU1450" s="351"/>
      <c r="IV1450" s="351"/>
      <c r="IW1450" s="351"/>
      <c r="IX1450" s="351"/>
      <c r="IY1450" s="351"/>
      <c r="IZ1450" s="351"/>
      <c r="JA1450" s="351"/>
      <c r="JB1450" s="351"/>
      <c r="JC1450" s="351"/>
      <c r="JD1450" s="351"/>
      <c r="JE1450" s="347"/>
      <c r="JF1450" s="343"/>
      <c r="JG1450" s="351"/>
      <c r="JH1450" s="351"/>
      <c r="JI1450" s="351"/>
      <c r="JJ1450" s="351"/>
      <c r="JK1450" s="351"/>
      <c r="JL1450" s="351"/>
      <c r="JM1450" s="351"/>
      <c r="JN1450" s="351"/>
      <c r="JO1450" s="351"/>
      <c r="JP1450" s="351"/>
      <c r="JQ1450" s="351"/>
      <c r="JR1450" s="351"/>
      <c r="JS1450" s="351"/>
      <c r="JT1450" s="351"/>
      <c r="JU1450" s="351"/>
      <c r="JV1450" s="351"/>
      <c r="JW1450" s="351"/>
      <c r="JX1450" s="351"/>
      <c r="JY1450" s="351"/>
      <c r="JZ1450" s="351"/>
      <c r="KA1450" s="351"/>
      <c r="KB1450" s="351"/>
      <c r="KC1450" s="351"/>
      <c r="KD1450" s="351"/>
      <c r="KE1450" s="351"/>
      <c r="KF1450" s="351"/>
      <c r="KG1450" s="351"/>
      <c r="KH1450" s="351"/>
      <c r="KI1450" s="351"/>
      <c r="KJ1450" s="351"/>
      <c r="KK1450" s="351"/>
      <c r="KL1450" s="351"/>
      <c r="KM1450" s="351"/>
      <c r="KN1450" s="351"/>
      <c r="KO1450" s="351"/>
      <c r="KP1450" s="351"/>
      <c r="KQ1450" s="351"/>
      <c r="KR1450" s="351"/>
      <c r="KS1450" s="351"/>
      <c r="KT1450" s="351"/>
      <c r="KU1450" s="351"/>
      <c r="KV1450" s="351"/>
      <c r="KW1450" s="351"/>
      <c r="KX1450" s="351"/>
      <c r="KY1450" s="351"/>
      <c r="KZ1450" s="351"/>
      <c r="LA1450" s="351"/>
      <c r="LB1450" s="343"/>
      <c r="LC1450" s="351"/>
      <c r="LD1450" s="351"/>
      <c r="LE1450" s="343"/>
      <c r="LF1450" s="351"/>
      <c r="LG1450" s="351"/>
      <c r="LH1450" s="351"/>
      <c r="LI1450" s="351"/>
      <c r="LJ1450" s="342"/>
      <c r="LK1450" s="342"/>
      <c r="LL1450" s="342"/>
      <c r="LM1450" s="342"/>
      <c r="LN1450" s="342"/>
      <c r="LO1450" s="342"/>
      <c r="LP1450" s="342"/>
      <c r="LQ1450" s="342"/>
      <c r="LR1450" s="342"/>
      <c r="LS1450" s="342"/>
      <c r="LT1450" s="342"/>
      <c r="LU1450" s="13"/>
    </row>
    <row r="1451" spans="6:333" ht="10.75" customHeight="1">
      <c r="F1451" s="342"/>
      <c r="G1451" s="342"/>
      <c r="H1451" s="342"/>
      <c r="I1451" s="342"/>
      <c r="J1451" s="342"/>
      <c r="K1451" s="342"/>
      <c r="L1451" s="342"/>
      <c r="M1451" s="342"/>
      <c r="N1451" s="342"/>
      <c r="O1451" s="342"/>
      <c r="P1451" s="342"/>
      <c r="Q1451" s="342"/>
      <c r="R1451" s="342"/>
      <c r="S1451" s="342"/>
      <c r="T1451" s="342"/>
      <c r="U1451" s="342"/>
      <c r="V1451" s="342"/>
      <c r="W1451" s="342"/>
      <c r="X1451" s="342"/>
      <c r="Y1451" s="342"/>
      <c r="Z1451" s="342"/>
      <c r="AA1451" s="342"/>
      <c r="AB1451" s="342"/>
      <c r="AC1451" s="342"/>
      <c r="AD1451" s="342"/>
      <c r="AE1451" s="342"/>
      <c r="AF1451" s="342"/>
      <c r="AG1451" s="342"/>
      <c r="AH1451" s="342"/>
      <c r="AI1451" s="342"/>
      <c r="AJ1451" s="342"/>
      <c r="AK1451" s="342"/>
      <c r="AL1451" s="342"/>
      <c r="AM1451" s="342"/>
      <c r="AN1451" s="342"/>
      <c r="AO1451" s="342"/>
      <c r="AP1451" s="342"/>
      <c r="AQ1451" s="342"/>
      <c r="AR1451" s="342"/>
      <c r="AS1451" s="342"/>
      <c r="AT1451" s="342"/>
      <c r="AU1451" s="342"/>
      <c r="AV1451" s="342"/>
      <c r="AW1451" s="342"/>
      <c r="AX1451" s="342"/>
      <c r="AY1451" s="342"/>
      <c r="AZ1451" s="342"/>
      <c r="BA1451" s="342"/>
      <c r="BB1451" s="342"/>
      <c r="BC1451" s="342"/>
      <c r="BD1451" s="342"/>
      <c r="BE1451" s="342"/>
      <c r="BF1451" s="342"/>
      <c r="BG1451" s="342"/>
      <c r="BH1451" s="342"/>
      <c r="BI1451" s="342"/>
      <c r="BJ1451" s="342"/>
      <c r="BK1451" s="342"/>
      <c r="BL1451" s="342"/>
      <c r="BM1451" s="342"/>
      <c r="BN1451" s="342"/>
      <c r="BO1451" s="342"/>
      <c r="BP1451" s="342"/>
      <c r="BQ1451" s="342"/>
      <c r="BR1451" s="342"/>
      <c r="BS1451" s="342"/>
      <c r="BT1451" s="342"/>
      <c r="BU1451" s="342"/>
      <c r="BV1451" s="342"/>
      <c r="BW1451" s="342"/>
      <c r="BX1451" s="342"/>
      <c r="BY1451" s="342"/>
      <c r="BZ1451" s="342"/>
      <c r="CA1451" s="342"/>
      <c r="CB1451" s="342"/>
      <c r="CC1451" s="342"/>
      <c r="CD1451" s="342"/>
      <c r="CE1451" s="342"/>
      <c r="CF1451" s="342"/>
      <c r="CG1451" s="342"/>
      <c r="CH1451" s="342"/>
      <c r="CI1451" s="342"/>
      <c r="CJ1451" s="342"/>
      <c r="CK1451" s="342"/>
      <c r="CL1451" s="342"/>
      <c r="CM1451" s="342"/>
      <c r="CN1451" s="342"/>
      <c r="CO1451" s="342"/>
      <c r="CP1451" s="342"/>
      <c r="CQ1451" s="342"/>
      <c r="CR1451" s="342"/>
      <c r="CS1451" s="342"/>
      <c r="CT1451" s="342"/>
      <c r="CU1451" s="342"/>
      <c r="CV1451" s="342"/>
      <c r="CW1451" s="342"/>
      <c r="CX1451" s="342"/>
      <c r="CY1451" s="342"/>
      <c r="CZ1451" s="342"/>
      <c r="DA1451" s="342"/>
      <c r="DB1451" s="342"/>
      <c r="DC1451" s="342"/>
      <c r="DD1451" s="342"/>
      <c r="DE1451" s="342"/>
      <c r="DF1451" s="342"/>
      <c r="DG1451" s="342"/>
      <c r="DH1451" s="342"/>
      <c r="DI1451" s="342"/>
      <c r="DJ1451" s="342"/>
      <c r="DK1451" s="342"/>
      <c r="DL1451" s="342"/>
      <c r="DM1451" s="342"/>
      <c r="DN1451" s="342"/>
      <c r="DO1451" s="342"/>
      <c r="DP1451" s="342"/>
      <c r="DQ1451" s="342"/>
      <c r="DR1451" s="342"/>
      <c r="DS1451" s="342"/>
      <c r="DT1451" s="342"/>
      <c r="DU1451" s="342"/>
      <c r="FV1451" s="12"/>
      <c r="FW1451" s="342"/>
      <c r="FX1451" s="342"/>
      <c r="FY1451" s="342"/>
      <c r="FZ1451" s="342"/>
      <c r="GA1451" s="342"/>
      <c r="GB1451" s="342"/>
      <c r="GC1451" s="342"/>
      <c r="GD1451" s="342"/>
      <c r="GE1451" s="13"/>
      <c r="GT1451" s="342"/>
      <c r="GU1451" s="342" t="s">
        <v>45</v>
      </c>
      <c r="GV1451" s="342"/>
      <c r="GW1451" s="342"/>
      <c r="GX1451" s="12"/>
      <c r="GY1451" s="12"/>
      <c r="GZ1451" s="342"/>
      <c r="HA1451" s="342"/>
      <c r="HB1451" s="342"/>
      <c r="HC1451" s="342"/>
      <c r="HD1451" s="342"/>
      <c r="HE1451" s="342"/>
      <c r="HF1451" s="342"/>
      <c r="HG1451" s="342"/>
      <c r="HH1451" s="342"/>
      <c r="HI1451" s="13"/>
      <c r="HJ1451" s="347"/>
      <c r="HK1451" s="351"/>
      <c r="HL1451" s="343"/>
      <c r="HM1451" s="347"/>
      <c r="HN1451" s="351"/>
      <c r="HO1451" s="351"/>
      <c r="HP1451" s="351"/>
      <c r="HQ1451" s="351"/>
      <c r="HR1451" s="351"/>
      <c r="HS1451" s="351"/>
      <c r="HT1451" s="351"/>
      <c r="HU1451" s="351"/>
      <c r="HV1451" s="351"/>
      <c r="HW1451" s="351"/>
      <c r="HX1451" s="351"/>
      <c r="HY1451" s="351"/>
      <c r="HZ1451" s="351"/>
      <c r="IA1451" s="351"/>
      <c r="IB1451" s="351"/>
      <c r="IC1451" s="351"/>
      <c r="ID1451" s="351"/>
      <c r="IE1451" s="351"/>
      <c r="IF1451" s="351"/>
      <c r="IG1451" s="351"/>
      <c r="IH1451" s="351"/>
      <c r="II1451" s="351"/>
      <c r="IJ1451" s="351"/>
      <c r="IK1451" s="351"/>
      <c r="IL1451" s="351"/>
      <c r="IM1451" s="351"/>
      <c r="IN1451" s="351"/>
      <c r="IO1451" s="351"/>
      <c r="IP1451" s="351"/>
      <c r="IQ1451" s="351"/>
      <c r="IR1451" s="351"/>
      <c r="IS1451" s="351"/>
      <c r="IT1451" s="351"/>
      <c r="IU1451" s="351"/>
      <c r="IV1451" s="351"/>
      <c r="IW1451" s="351"/>
      <c r="IX1451" s="351"/>
      <c r="IY1451" s="351"/>
      <c r="IZ1451" s="351"/>
      <c r="JA1451" s="351"/>
      <c r="JB1451" s="351"/>
      <c r="JC1451" s="351"/>
      <c r="JD1451" s="351"/>
      <c r="JE1451" s="347"/>
      <c r="JF1451" s="343"/>
      <c r="JG1451" s="351"/>
      <c r="JH1451" s="351"/>
      <c r="JI1451" s="351"/>
      <c r="JJ1451" s="351"/>
      <c r="JK1451" s="351"/>
      <c r="JL1451" s="351"/>
      <c r="JM1451" s="351"/>
      <c r="JN1451" s="351"/>
      <c r="JO1451" s="351"/>
      <c r="JP1451" s="351"/>
      <c r="JQ1451" s="351"/>
      <c r="JR1451" s="351"/>
      <c r="JS1451" s="351"/>
      <c r="JT1451" s="351"/>
      <c r="JU1451" s="351"/>
      <c r="JV1451" s="351"/>
      <c r="JW1451" s="351"/>
      <c r="JX1451" s="351"/>
      <c r="JY1451" s="351"/>
      <c r="JZ1451" s="351"/>
      <c r="KA1451" s="351"/>
      <c r="KB1451" s="351"/>
      <c r="KC1451" s="351"/>
      <c r="KD1451" s="351"/>
      <c r="KE1451" s="351"/>
      <c r="KF1451" s="351"/>
      <c r="KG1451" s="351"/>
      <c r="KH1451" s="351"/>
      <c r="KI1451" s="351"/>
      <c r="KJ1451" s="351"/>
      <c r="KK1451" s="351"/>
      <c r="KL1451" s="351"/>
      <c r="KM1451" s="351"/>
      <c r="KN1451" s="351"/>
      <c r="KO1451" s="351"/>
      <c r="KP1451" s="351"/>
      <c r="KQ1451" s="351"/>
      <c r="KR1451" s="351"/>
      <c r="KS1451" s="351"/>
      <c r="KT1451" s="351"/>
      <c r="KU1451" s="351"/>
      <c r="KV1451" s="351"/>
      <c r="KW1451" s="351"/>
      <c r="KX1451" s="351"/>
      <c r="KY1451" s="351"/>
      <c r="KZ1451" s="351"/>
      <c r="LA1451" s="351"/>
      <c r="LB1451" s="343"/>
      <c r="LC1451" s="351"/>
      <c r="LD1451" s="351"/>
      <c r="LE1451" s="343"/>
      <c r="LF1451" s="351"/>
      <c r="LG1451" s="351"/>
      <c r="LH1451" s="351"/>
      <c r="LI1451" s="351"/>
      <c r="LJ1451" s="342"/>
      <c r="LK1451" s="342"/>
      <c r="LL1451" s="342"/>
      <c r="LM1451" s="342"/>
      <c r="LN1451" s="342"/>
      <c r="LO1451" s="342"/>
      <c r="LP1451" s="342"/>
      <c r="LQ1451" s="342"/>
      <c r="LR1451" s="342"/>
      <c r="LS1451" s="342"/>
      <c r="LT1451" s="342"/>
      <c r="LU1451" s="13"/>
    </row>
    <row r="1452" spans="6:333" ht="10.75" customHeight="1">
      <c r="F1452" s="342"/>
      <c r="G1452" s="342"/>
      <c r="H1452" s="342"/>
      <c r="I1452" s="342"/>
      <c r="J1452" s="342"/>
      <c r="K1452" s="342"/>
      <c r="L1452" s="342"/>
      <c r="M1452" s="342"/>
      <c r="N1452" s="342"/>
      <c r="O1452" s="342"/>
      <c r="P1452" s="342"/>
      <c r="Q1452" s="342"/>
      <c r="R1452" s="342"/>
      <c r="S1452" s="342"/>
      <c r="T1452" s="342"/>
      <c r="U1452" s="342"/>
      <c r="V1452" s="342"/>
      <c r="W1452" s="342"/>
      <c r="X1452" s="342"/>
      <c r="Y1452" s="342"/>
      <c r="Z1452" s="342"/>
      <c r="AA1452" s="342"/>
      <c r="AB1452" s="342"/>
      <c r="AC1452" s="342"/>
      <c r="AD1452" s="342"/>
      <c r="AE1452" s="342"/>
      <c r="AF1452" s="342"/>
      <c r="AG1452" s="342"/>
      <c r="AH1452" s="342"/>
      <c r="AI1452" s="342"/>
      <c r="AJ1452" s="342"/>
      <c r="AK1452" s="342"/>
      <c r="AL1452" s="342"/>
      <c r="AM1452" s="342"/>
      <c r="AN1452" s="342"/>
      <c r="AO1452" s="342"/>
      <c r="AP1452" s="342"/>
      <c r="AQ1452" s="342"/>
      <c r="AR1452" s="342"/>
      <c r="AS1452" s="342"/>
      <c r="AT1452" s="342"/>
      <c r="AU1452" s="342"/>
      <c r="AV1452" s="342"/>
      <c r="AW1452" s="342"/>
      <c r="AX1452" s="342"/>
      <c r="AY1452" s="342"/>
      <c r="AZ1452" s="342"/>
      <c r="BA1452" s="342"/>
      <c r="BB1452" s="342"/>
      <c r="BC1452" s="342"/>
      <c r="BD1452" s="342"/>
      <c r="BE1452" s="342"/>
      <c r="BF1452" s="342"/>
      <c r="BG1452" s="342"/>
      <c r="BH1452" s="342"/>
      <c r="BI1452" s="342"/>
      <c r="BJ1452" s="342"/>
      <c r="BK1452" s="342"/>
      <c r="BL1452" s="342"/>
      <c r="BM1452" s="342"/>
      <c r="BN1452" s="342"/>
      <c r="BO1452" s="342"/>
      <c r="BP1452" s="342"/>
      <c r="BQ1452" s="342"/>
      <c r="BR1452" s="342"/>
      <c r="BS1452" s="342"/>
      <c r="BT1452" s="342"/>
      <c r="BU1452" s="342"/>
      <c r="BV1452" s="342"/>
      <c r="BW1452" s="342"/>
      <c r="BX1452" s="342"/>
      <c r="BY1452" s="342"/>
      <c r="BZ1452" s="342"/>
      <c r="CA1452" s="342"/>
      <c r="CB1452" s="342"/>
      <c r="CC1452" s="342"/>
      <c r="CD1452" s="342"/>
      <c r="CE1452" s="342"/>
      <c r="CF1452" s="342"/>
      <c r="CG1452" s="342"/>
      <c r="CH1452" s="342"/>
      <c r="CI1452" s="342"/>
      <c r="CJ1452" s="342"/>
      <c r="CK1452" s="342"/>
      <c r="CL1452" s="342"/>
      <c r="CM1452" s="342"/>
      <c r="CN1452" s="342"/>
      <c r="CO1452" s="342"/>
      <c r="CP1452" s="342"/>
      <c r="CQ1452" s="342"/>
      <c r="CR1452" s="342"/>
      <c r="CS1452" s="342"/>
      <c r="CT1452" s="342"/>
      <c r="CU1452" s="342"/>
      <c r="CV1452" s="342"/>
      <c r="CW1452" s="342"/>
      <c r="CX1452" s="342"/>
      <c r="CY1452" s="342"/>
      <c r="CZ1452" s="342"/>
      <c r="DA1452" s="342"/>
      <c r="DB1452" s="342"/>
      <c r="DC1452" s="342"/>
      <c r="DD1452" s="342"/>
      <c r="DE1452" s="342"/>
      <c r="DF1452" s="342"/>
      <c r="DG1452" s="342"/>
      <c r="DH1452" s="342"/>
      <c r="DI1452" s="342"/>
      <c r="DJ1452" s="342"/>
      <c r="DK1452" s="342"/>
      <c r="DL1452" s="342"/>
      <c r="DM1452" s="342"/>
      <c r="DN1452" s="342"/>
      <c r="DO1452" s="342"/>
      <c r="DP1452" s="342"/>
      <c r="DQ1452" s="342"/>
      <c r="DR1452" s="342"/>
      <c r="DS1452" s="342"/>
      <c r="DT1452" s="342"/>
      <c r="DU1452" s="342"/>
      <c r="FV1452" s="14"/>
      <c r="FW1452" s="15"/>
      <c r="FX1452" s="15"/>
      <c r="FY1452" s="15"/>
      <c r="FZ1452" s="15"/>
      <c r="GA1452" s="15"/>
      <c r="GB1452" s="15"/>
      <c r="GC1452" s="15"/>
      <c r="GD1452" s="15"/>
      <c r="GE1452" s="16"/>
      <c r="GT1452" s="342"/>
      <c r="GU1452" s="342"/>
      <c r="GV1452" s="342"/>
      <c r="GW1452" s="342"/>
      <c r="GX1452" s="12"/>
      <c r="GY1452" s="12"/>
      <c r="GZ1452" s="342"/>
      <c r="HA1452" s="342"/>
      <c r="HB1452" s="342"/>
      <c r="HC1452" s="342"/>
      <c r="HD1452" s="342"/>
      <c r="HE1452" s="342"/>
      <c r="HF1452" s="342"/>
      <c r="HG1452" s="342"/>
      <c r="HH1452" s="342"/>
      <c r="HI1452" s="13"/>
      <c r="HJ1452" s="344"/>
      <c r="HK1452" s="345"/>
      <c r="HL1452" s="346"/>
      <c r="HM1452" s="347"/>
      <c r="HN1452" s="351"/>
      <c r="HO1452" s="351"/>
      <c r="HP1452" s="351"/>
      <c r="HQ1452" s="351"/>
      <c r="HR1452" s="351"/>
      <c r="HS1452" s="351"/>
      <c r="HT1452" s="351"/>
      <c r="HU1452" s="351"/>
      <c r="HV1452" s="351"/>
      <c r="HW1452" s="351"/>
      <c r="HX1452" s="351"/>
      <c r="HY1452" s="351"/>
      <c r="HZ1452" s="351"/>
      <c r="IA1452" s="351"/>
      <c r="IB1452" s="351"/>
      <c r="IC1452" s="351"/>
      <c r="ID1452" s="351"/>
      <c r="IE1452" s="351"/>
      <c r="IF1452" s="351"/>
      <c r="IG1452" s="351"/>
      <c r="IH1452" s="351"/>
      <c r="II1452" s="351"/>
      <c r="IJ1452" s="351"/>
      <c r="IK1452" s="351"/>
      <c r="IL1452" s="351"/>
      <c r="IM1452" s="351"/>
      <c r="IN1452" s="351"/>
      <c r="IO1452" s="351"/>
      <c r="IP1452" s="351"/>
      <c r="IQ1452" s="351"/>
      <c r="IR1452" s="351"/>
      <c r="IS1452" s="351"/>
      <c r="IT1452" s="351"/>
      <c r="IU1452" s="351"/>
      <c r="IV1452" s="351"/>
      <c r="IW1452" s="351"/>
      <c r="IX1452" s="351"/>
      <c r="IY1452" s="351"/>
      <c r="IZ1452" s="351"/>
      <c r="JA1452" s="351"/>
      <c r="JB1452" s="351"/>
      <c r="JC1452" s="351"/>
      <c r="JD1452" s="344"/>
      <c r="JE1452" s="345"/>
      <c r="JF1452" s="346"/>
      <c r="JG1452" s="351"/>
      <c r="JH1452" s="351"/>
      <c r="JI1452" s="351"/>
      <c r="JJ1452" s="351"/>
      <c r="JK1452" s="351"/>
      <c r="JL1452" s="351"/>
      <c r="JM1452" s="351"/>
      <c r="JN1452" s="351"/>
      <c r="JO1452" s="351"/>
      <c r="JP1452" s="351"/>
      <c r="JQ1452" s="351"/>
      <c r="JR1452" s="351"/>
      <c r="JS1452" s="351"/>
      <c r="JT1452" s="351"/>
      <c r="JU1452" s="351"/>
      <c r="JV1452" s="351"/>
      <c r="JW1452" s="351"/>
      <c r="JX1452" s="351"/>
      <c r="JY1452" s="351"/>
      <c r="JZ1452" s="351"/>
      <c r="KA1452" s="351"/>
      <c r="KB1452" s="351"/>
      <c r="KC1452" s="351"/>
      <c r="KD1452" s="351"/>
      <c r="KE1452" s="351"/>
      <c r="KF1452" s="351"/>
      <c r="KG1452" s="351"/>
      <c r="KH1452" s="351"/>
      <c r="KI1452" s="351"/>
      <c r="KJ1452" s="351"/>
      <c r="KK1452" s="351"/>
      <c r="KL1452" s="351"/>
      <c r="KM1452" s="351"/>
      <c r="KN1452" s="351"/>
      <c r="KO1452" s="351"/>
      <c r="KP1452" s="351"/>
      <c r="KQ1452" s="351"/>
      <c r="KR1452" s="351"/>
      <c r="KS1452" s="351"/>
      <c r="KT1452" s="351"/>
      <c r="KU1452" s="351"/>
      <c r="KV1452" s="351"/>
      <c r="KW1452" s="351"/>
      <c r="KX1452" s="351"/>
      <c r="KY1452" s="351"/>
      <c r="KZ1452" s="351"/>
      <c r="LA1452" s="351"/>
      <c r="LB1452" s="343"/>
      <c r="LC1452" s="351"/>
      <c r="LD1452" s="351"/>
      <c r="LE1452" s="343"/>
      <c r="LF1452" s="351"/>
      <c r="LG1452" s="351"/>
      <c r="LH1452" s="351"/>
      <c r="LI1452" s="351"/>
      <c r="LJ1452" s="342"/>
      <c r="LK1452" s="342"/>
      <c r="LL1452" s="342"/>
      <c r="LM1452" s="342"/>
      <c r="LN1452" s="342"/>
      <c r="LO1452" s="342"/>
      <c r="LP1452" s="342"/>
      <c r="LQ1452" s="342"/>
      <c r="LR1452" s="342"/>
      <c r="LS1452" s="342"/>
      <c r="LT1452" s="342"/>
      <c r="LU1452" s="13"/>
    </row>
    <row r="1453" spans="6:333" ht="10.75" customHeight="1">
      <c r="F1453" s="342"/>
      <c r="G1453" s="342"/>
      <c r="H1453" s="342"/>
      <c r="I1453" s="342"/>
      <c r="J1453" s="342"/>
      <c r="K1453" s="342"/>
      <c r="L1453" s="342"/>
      <c r="M1453" s="342"/>
      <c r="N1453" s="342"/>
      <c r="O1453" s="342"/>
      <c r="P1453" s="342"/>
      <c r="Q1453" s="342"/>
      <c r="R1453" s="342"/>
      <c r="S1453" s="342"/>
      <c r="T1453" s="342"/>
      <c r="U1453" s="342"/>
      <c r="V1453" s="342"/>
      <c r="W1453" s="342"/>
      <c r="X1453" s="342"/>
      <c r="Y1453" s="342"/>
      <c r="Z1453" s="342"/>
      <c r="AA1453" s="342"/>
      <c r="AB1453" s="342"/>
      <c r="AC1453" s="342"/>
      <c r="AD1453" s="342"/>
      <c r="AE1453" s="342"/>
      <c r="AF1453" s="342"/>
      <c r="AG1453" s="342"/>
      <c r="AH1453" s="342"/>
      <c r="AI1453" s="342"/>
      <c r="AJ1453" s="342"/>
      <c r="AK1453" s="342"/>
      <c r="AL1453" s="342"/>
      <c r="AM1453" s="342"/>
      <c r="AN1453" s="342"/>
      <c r="AO1453" s="342"/>
      <c r="AP1453" s="342"/>
      <c r="AQ1453" s="342"/>
      <c r="AR1453" s="342"/>
      <c r="AS1453" s="342"/>
      <c r="AT1453" s="342"/>
      <c r="AU1453" s="342"/>
      <c r="AV1453" s="342"/>
      <c r="AW1453" s="342"/>
      <c r="AX1453" s="342"/>
      <c r="AY1453" s="342"/>
      <c r="AZ1453" s="342"/>
      <c r="BA1453" s="342"/>
      <c r="BB1453" s="342"/>
      <c r="BC1453" s="342"/>
      <c r="BD1453" s="342"/>
      <c r="BE1453" s="342"/>
      <c r="BF1453" s="342"/>
      <c r="BG1453" s="342"/>
      <c r="BH1453" s="342"/>
      <c r="BI1453" s="342"/>
      <c r="BJ1453" s="342"/>
      <c r="BK1453" s="342"/>
      <c r="BL1453" s="342"/>
      <c r="BM1453" s="342"/>
      <c r="BN1453" s="342"/>
      <c r="BO1453" s="342"/>
      <c r="BP1453" s="342"/>
      <c r="BQ1453" s="342"/>
      <c r="BR1453" s="342"/>
      <c r="BS1453" s="342"/>
      <c r="BT1453" s="342"/>
      <c r="BU1453" s="342"/>
      <c r="BV1453" s="342"/>
      <c r="BW1453" s="342"/>
      <c r="BX1453" s="342"/>
      <c r="BY1453" s="342"/>
      <c r="BZ1453" s="342"/>
      <c r="CA1453" s="342"/>
      <c r="CB1453" s="342"/>
      <c r="CC1453" s="342"/>
      <c r="CD1453" s="342"/>
      <c r="CE1453" s="342"/>
      <c r="CF1453" s="342"/>
      <c r="CG1453" s="342"/>
      <c r="CH1453" s="342"/>
      <c r="CI1453" s="342"/>
      <c r="CJ1453" s="342"/>
      <c r="CK1453" s="342"/>
      <c r="CL1453" s="342"/>
      <c r="CM1453" s="342"/>
      <c r="CN1453" s="342"/>
      <c r="CO1453" s="342"/>
      <c r="CP1453" s="342"/>
      <c r="CQ1453" s="342"/>
      <c r="CR1453" s="342"/>
      <c r="CS1453" s="342"/>
      <c r="CT1453" s="342"/>
      <c r="CU1453" s="342"/>
      <c r="CV1453" s="342"/>
      <c r="CW1453" s="342"/>
      <c r="CX1453" s="342"/>
      <c r="CY1453" s="342"/>
      <c r="CZ1453" s="342"/>
      <c r="DA1453" s="342"/>
      <c r="DB1453" s="342"/>
      <c r="DC1453" s="342"/>
      <c r="DD1453" s="342"/>
      <c r="DE1453" s="342"/>
      <c r="DF1453" s="342"/>
      <c r="DG1453" s="342"/>
      <c r="DH1453" s="342"/>
      <c r="DI1453" s="342"/>
      <c r="DJ1453" s="342"/>
      <c r="DK1453" s="342"/>
      <c r="DL1453" s="342"/>
      <c r="DM1453" s="342"/>
      <c r="DN1453" s="342"/>
      <c r="DO1453" s="342"/>
      <c r="DP1453" s="342"/>
      <c r="DQ1453" s="342"/>
      <c r="DR1453" s="342"/>
      <c r="DS1453" s="342"/>
      <c r="DT1453" s="342"/>
      <c r="DU1453" s="342"/>
      <c r="FV1453" s="12"/>
      <c r="FW1453" s="342"/>
      <c r="FX1453" s="342"/>
      <c r="FY1453" s="342"/>
      <c r="FZ1453" s="342"/>
      <c r="GA1453" s="342"/>
      <c r="GB1453" s="342"/>
      <c r="GC1453" s="342"/>
      <c r="GD1453" s="342"/>
      <c r="GE1453" s="13"/>
      <c r="GT1453" s="342"/>
      <c r="GU1453" s="342" t="s">
        <v>45</v>
      </c>
      <c r="GV1453" s="342"/>
      <c r="GW1453" s="342"/>
      <c r="GX1453" s="12"/>
      <c r="GY1453" s="12"/>
      <c r="GZ1453" s="342"/>
      <c r="HA1453" s="342"/>
      <c r="HB1453" s="342"/>
      <c r="HC1453" s="342"/>
      <c r="HD1453" s="342"/>
      <c r="HE1453" s="342"/>
      <c r="HF1453" s="342"/>
      <c r="HG1453" s="342"/>
      <c r="HH1453" s="342"/>
      <c r="HI1453" s="13"/>
      <c r="HJ1453" s="347"/>
      <c r="HK1453" s="351"/>
      <c r="HL1453" s="343"/>
      <c r="HM1453" s="347"/>
      <c r="HN1453" s="351"/>
      <c r="HO1453" s="351"/>
      <c r="HP1453" s="351"/>
      <c r="HQ1453" s="351"/>
      <c r="HR1453" s="351"/>
      <c r="HS1453" s="351"/>
      <c r="HT1453" s="351"/>
      <c r="HU1453" s="351"/>
      <c r="HV1453" s="351"/>
      <c r="HW1453" s="351"/>
      <c r="HX1453" s="351"/>
      <c r="HY1453" s="351"/>
      <c r="HZ1453" s="351"/>
      <c r="IA1453" s="351"/>
      <c r="IB1453" s="351"/>
      <c r="IC1453" s="351"/>
      <c r="ID1453" s="351"/>
      <c r="IE1453" s="351"/>
      <c r="IF1453" s="351"/>
      <c r="IG1453" s="351"/>
      <c r="IH1453" s="351"/>
      <c r="II1453" s="351"/>
      <c r="IJ1453" s="351"/>
      <c r="IK1453" s="351"/>
      <c r="IL1453" s="351"/>
      <c r="IM1453" s="351"/>
      <c r="IN1453" s="351"/>
      <c r="IO1453" s="351"/>
      <c r="IP1453" s="351"/>
      <c r="IQ1453" s="351"/>
      <c r="IR1453" s="351"/>
      <c r="IS1453" s="351"/>
      <c r="IT1453" s="351"/>
      <c r="IU1453" s="351"/>
      <c r="IV1453" s="351"/>
      <c r="IW1453" s="351"/>
      <c r="IX1453" s="351"/>
      <c r="IY1453" s="351"/>
      <c r="IZ1453" s="351"/>
      <c r="JA1453" s="351"/>
      <c r="JB1453" s="351"/>
      <c r="JC1453" s="351"/>
      <c r="JD1453" s="347"/>
      <c r="JE1453" s="351"/>
      <c r="JF1453" s="343"/>
      <c r="JG1453" s="351"/>
      <c r="JH1453" s="351"/>
      <c r="JI1453" s="351"/>
      <c r="JJ1453" s="351"/>
      <c r="JK1453" s="351"/>
      <c r="JL1453" s="351"/>
      <c r="JM1453" s="351"/>
      <c r="JN1453" s="351"/>
      <c r="JO1453" s="351"/>
      <c r="JP1453" s="351"/>
      <c r="JQ1453" s="351"/>
      <c r="JR1453" s="351"/>
      <c r="JS1453" s="351"/>
      <c r="JT1453" s="351"/>
      <c r="JU1453" s="351"/>
      <c r="JV1453" s="351"/>
      <c r="JW1453" s="351"/>
      <c r="JX1453" s="351"/>
      <c r="JY1453" s="351"/>
      <c r="JZ1453" s="351"/>
      <c r="KA1453" s="351"/>
      <c r="KB1453" s="351"/>
      <c r="KC1453" s="351"/>
      <c r="KD1453" s="351"/>
      <c r="KE1453" s="351"/>
      <c r="KF1453" s="351"/>
      <c r="KG1453" s="351"/>
      <c r="KH1453" s="351"/>
      <c r="KI1453" s="351"/>
      <c r="KJ1453" s="351"/>
      <c r="KK1453" s="351"/>
      <c r="KL1453" s="351"/>
      <c r="KM1453" s="351"/>
      <c r="KN1453" s="351"/>
      <c r="KO1453" s="351"/>
      <c r="KP1453" s="351"/>
      <c r="KQ1453" s="351"/>
      <c r="KR1453" s="351"/>
      <c r="KS1453" s="351"/>
      <c r="KT1453" s="351"/>
      <c r="KU1453" s="351"/>
      <c r="KV1453" s="351"/>
      <c r="KW1453" s="351"/>
      <c r="KX1453" s="351"/>
      <c r="KY1453" s="351"/>
      <c r="KZ1453" s="351"/>
      <c r="LA1453" s="351"/>
      <c r="LB1453" s="343"/>
      <c r="LC1453" s="344"/>
      <c r="LD1453" s="345"/>
      <c r="LE1453" s="345"/>
      <c r="LF1453" s="346"/>
      <c r="LG1453" s="351"/>
      <c r="LH1453" s="351"/>
      <c r="LI1453" s="351"/>
      <c r="LJ1453" s="342"/>
      <c r="LK1453" s="342"/>
      <c r="LL1453" s="342"/>
      <c r="LM1453" s="342"/>
      <c r="LN1453" s="342"/>
      <c r="LO1453" s="342"/>
      <c r="LP1453" s="342"/>
      <c r="LQ1453" s="342"/>
      <c r="LR1453" s="342"/>
      <c r="LS1453" s="342"/>
      <c r="LT1453" s="342"/>
      <c r="LU1453" s="13"/>
    </row>
    <row r="1454" spans="6:333" ht="10.75" customHeight="1">
      <c r="F1454" s="342"/>
      <c r="G1454" s="342"/>
      <c r="H1454" s="342"/>
      <c r="I1454" s="342"/>
      <c r="J1454" s="342"/>
      <c r="K1454" s="342"/>
      <c r="L1454" s="342"/>
      <c r="M1454" s="342"/>
      <c r="N1454" s="342"/>
      <c r="O1454" s="342"/>
      <c r="P1454" s="342"/>
      <c r="Q1454" s="342"/>
      <c r="R1454" s="342"/>
      <c r="S1454" s="342"/>
      <c r="T1454" s="342"/>
      <c r="U1454" s="342"/>
      <c r="V1454" s="342"/>
      <c r="W1454" s="342"/>
      <c r="X1454" s="342"/>
      <c r="Y1454" s="342"/>
      <c r="Z1454" s="342"/>
      <c r="AA1454" s="342"/>
      <c r="AB1454" s="342"/>
      <c r="AC1454" s="342"/>
      <c r="AD1454" s="342"/>
      <c r="AE1454" s="342"/>
      <c r="AF1454" s="342"/>
      <c r="AG1454" s="342"/>
      <c r="AH1454" s="342"/>
      <c r="AI1454" s="342"/>
      <c r="AJ1454" s="342"/>
      <c r="AK1454" s="342"/>
      <c r="AL1454" s="342"/>
      <c r="AM1454" s="342"/>
      <c r="AN1454" s="342"/>
      <c r="AO1454" s="342"/>
      <c r="AP1454" s="342"/>
      <c r="AQ1454" s="342"/>
      <c r="AR1454" s="342"/>
      <c r="AS1454" s="342"/>
      <c r="AT1454" s="342"/>
      <c r="AU1454" s="342"/>
      <c r="AV1454" s="342"/>
      <c r="AW1454" s="342"/>
      <c r="AX1454" s="342"/>
      <c r="AY1454" s="342"/>
      <c r="AZ1454" s="342"/>
      <c r="BA1454" s="342"/>
      <c r="BB1454" s="342"/>
      <c r="BC1454" s="342"/>
      <c r="BD1454" s="342"/>
      <c r="BE1454" s="342"/>
      <c r="BF1454" s="342"/>
      <c r="BG1454" s="342"/>
      <c r="BH1454" s="342"/>
      <c r="BI1454" s="342"/>
      <c r="BJ1454" s="342"/>
      <c r="BK1454" s="342"/>
      <c r="BL1454" s="342"/>
      <c r="BM1454" s="342"/>
      <c r="BN1454" s="342"/>
      <c r="BO1454" s="342"/>
      <c r="BP1454" s="342"/>
      <c r="BQ1454" s="342"/>
      <c r="BR1454" s="342"/>
      <c r="BS1454" s="342"/>
      <c r="BT1454" s="342"/>
      <c r="BU1454" s="342"/>
      <c r="BV1454" s="342"/>
      <c r="BW1454" s="342"/>
      <c r="BX1454" s="342"/>
      <c r="BY1454" s="342"/>
      <c r="BZ1454" s="342"/>
      <c r="CA1454" s="342"/>
      <c r="CB1454" s="342"/>
      <c r="CC1454" s="342"/>
      <c r="CD1454" s="342"/>
      <c r="CE1454" s="342"/>
      <c r="CF1454" s="342"/>
      <c r="CG1454" s="342"/>
      <c r="CH1454" s="342"/>
      <c r="CI1454" s="342"/>
      <c r="CJ1454" s="342"/>
      <c r="CK1454" s="342"/>
      <c r="CL1454" s="342"/>
      <c r="CM1454" s="342"/>
      <c r="CN1454" s="342"/>
      <c r="CO1454" s="342"/>
      <c r="CP1454" s="342"/>
      <c r="CQ1454" s="342"/>
      <c r="CR1454" s="342"/>
      <c r="CS1454" s="342"/>
      <c r="CT1454" s="342"/>
      <c r="CU1454" s="342"/>
      <c r="CV1454" s="342"/>
      <c r="CW1454" s="342"/>
      <c r="CX1454" s="342"/>
      <c r="CY1454" s="342"/>
      <c r="CZ1454" s="342"/>
      <c r="DA1454" s="342"/>
      <c r="DB1454" s="342"/>
      <c r="DC1454" s="342"/>
      <c r="DD1454" s="342"/>
      <c r="DE1454" s="342"/>
      <c r="DF1454" s="342"/>
      <c r="DG1454" s="342"/>
      <c r="DH1454" s="342"/>
      <c r="DI1454" s="342"/>
      <c r="DJ1454" s="342"/>
      <c r="DK1454" s="342"/>
      <c r="DL1454" s="342"/>
      <c r="DM1454" s="342"/>
      <c r="DN1454" s="342"/>
      <c r="DO1454" s="342"/>
      <c r="DP1454" s="342"/>
      <c r="DQ1454" s="342"/>
      <c r="DR1454" s="342"/>
      <c r="DS1454" s="342"/>
      <c r="DT1454" s="342"/>
      <c r="DU1454" s="342"/>
      <c r="FV1454" s="12"/>
      <c r="FW1454" s="342"/>
      <c r="FX1454" s="342"/>
      <c r="FY1454" s="342"/>
      <c r="FZ1454" s="342"/>
      <c r="GA1454" s="342"/>
      <c r="GB1454" s="342"/>
      <c r="GC1454" s="342"/>
      <c r="GD1454" s="342"/>
      <c r="GE1454" s="13"/>
      <c r="GT1454" s="342"/>
      <c r="GU1454" s="342"/>
      <c r="GV1454" s="342"/>
      <c r="GW1454" s="342"/>
      <c r="GX1454" s="12"/>
      <c r="GY1454" s="12"/>
      <c r="GZ1454" s="342"/>
      <c r="HA1454" s="342"/>
      <c r="HB1454" s="342"/>
      <c r="HC1454" s="342"/>
      <c r="HD1454" s="342"/>
      <c r="HE1454" s="342"/>
      <c r="HF1454" s="342"/>
      <c r="HG1454" s="342"/>
      <c r="HH1454" s="342"/>
      <c r="HI1454" s="13"/>
      <c r="HJ1454" s="347"/>
      <c r="HK1454" s="351"/>
      <c r="HL1454" s="343"/>
      <c r="HM1454" s="344"/>
      <c r="HN1454" s="345"/>
      <c r="HO1454" s="345"/>
      <c r="HP1454" s="345"/>
      <c r="HQ1454" s="345"/>
      <c r="HR1454" s="345"/>
      <c r="HS1454" s="345"/>
      <c r="HT1454" s="345"/>
      <c r="HU1454" s="345"/>
      <c r="HV1454" s="345"/>
      <c r="HW1454" s="345"/>
      <c r="HX1454" s="345"/>
      <c r="HY1454" s="345"/>
      <c r="HZ1454" s="345"/>
      <c r="IA1454" s="345"/>
      <c r="IB1454" s="345"/>
      <c r="IC1454" s="345"/>
      <c r="ID1454" s="345"/>
      <c r="IE1454" s="345"/>
      <c r="IF1454" s="345"/>
      <c r="IG1454" s="345"/>
      <c r="IH1454" s="345"/>
      <c r="II1454" s="345"/>
      <c r="IJ1454" s="345"/>
      <c r="IK1454" s="345"/>
      <c r="IL1454" s="345"/>
      <c r="IM1454" s="345"/>
      <c r="IN1454" s="345"/>
      <c r="IO1454" s="345"/>
      <c r="IP1454" s="345"/>
      <c r="IQ1454" s="264"/>
      <c r="IR1454" s="345"/>
      <c r="IS1454" s="345"/>
      <c r="IT1454" s="345"/>
      <c r="IU1454" s="345"/>
      <c r="IV1454" s="345"/>
      <c r="IW1454" s="345"/>
      <c r="IX1454" s="345"/>
      <c r="IY1454" s="345"/>
      <c r="IZ1454" s="345"/>
      <c r="JA1454" s="345"/>
      <c r="JB1454" s="266"/>
      <c r="JC1454" s="345"/>
      <c r="JD1454" s="347"/>
      <c r="JE1454" s="351"/>
      <c r="JF1454" s="343"/>
      <c r="JG1454" s="351"/>
      <c r="JH1454" s="351"/>
      <c r="JI1454" s="351"/>
      <c r="JJ1454" s="351"/>
      <c r="JK1454" s="351"/>
      <c r="JL1454" s="351"/>
      <c r="JM1454" s="351"/>
      <c r="JN1454" s="351"/>
      <c r="JO1454" s="351"/>
      <c r="JP1454" s="351"/>
      <c r="JQ1454" s="351"/>
      <c r="JR1454" s="351"/>
      <c r="JS1454" s="351"/>
      <c r="JT1454" s="351"/>
      <c r="JU1454" s="351"/>
      <c r="JV1454" s="351"/>
      <c r="JW1454" s="351"/>
      <c r="JX1454" s="351"/>
      <c r="JY1454" s="351"/>
      <c r="JZ1454" s="351"/>
      <c r="KA1454" s="351"/>
      <c r="KB1454" s="351"/>
      <c r="KC1454" s="351"/>
      <c r="KD1454" s="351"/>
      <c r="KE1454" s="351"/>
      <c r="KF1454" s="351"/>
      <c r="KG1454" s="351"/>
      <c r="KH1454" s="351"/>
      <c r="KI1454" s="351"/>
      <c r="KJ1454" s="351"/>
      <c r="KK1454" s="351"/>
      <c r="KL1454" s="351"/>
      <c r="KM1454" s="351"/>
      <c r="KN1454" s="351"/>
      <c r="KO1454" s="351"/>
      <c r="KP1454" s="351"/>
      <c r="KQ1454" s="351"/>
      <c r="KR1454" s="351"/>
      <c r="KS1454" s="351"/>
      <c r="KT1454" s="351"/>
      <c r="KU1454" s="351"/>
      <c r="KV1454" s="351"/>
      <c r="KW1454" s="351"/>
      <c r="KX1454" s="351"/>
      <c r="KY1454" s="351"/>
      <c r="KZ1454" s="351"/>
      <c r="LA1454" s="351"/>
      <c r="LB1454" s="343"/>
      <c r="LC1454" s="347"/>
      <c r="LD1454" s="351"/>
      <c r="LE1454" s="351"/>
      <c r="LF1454" s="343"/>
      <c r="LG1454" s="351"/>
      <c r="LH1454" s="351"/>
      <c r="LI1454" s="351"/>
      <c r="LJ1454" s="342"/>
      <c r="LK1454" s="342"/>
      <c r="LL1454" s="342"/>
      <c r="LM1454" s="342"/>
      <c r="LN1454" s="342"/>
      <c r="LO1454" s="342"/>
      <c r="LP1454" s="342"/>
      <c r="LQ1454" s="342"/>
      <c r="LR1454" s="342"/>
      <c r="LS1454" s="342"/>
      <c r="LT1454" s="342"/>
      <c r="LU1454" s="13"/>
    </row>
    <row r="1455" spans="6:333" ht="10.75" customHeight="1">
      <c r="F1455" s="342"/>
      <c r="G1455" s="342"/>
      <c r="H1455" s="342"/>
      <c r="I1455" s="342"/>
      <c r="J1455" s="342"/>
      <c r="K1455" s="342"/>
      <c r="L1455" s="342"/>
      <c r="M1455" s="342"/>
      <c r="N1455" s="342"/>
      <c r="O1455" s="342"/>
      <c r="P1455" s="342"/>
      <c r="Q1455" s="342"/>
      <c r="R1455" s="342"/>
      <c r="S1455" s="342"/>
      <c r="T1455" s="342"/>
      <c r="U1455" s="342"/>
      <c r="V1455" s="342"/>
      <c r="W1455" s="342"/>
      <c r="X1455" s="342"/>
      <c r="Y1455" s="342"/>
      <c r="Z1455" s="342"/>
      <c r="AA1455" s="342"/>
      <c r="AB1455" s="342"/>
      <c r="AC1455" s="342"/>
      <c r="AD1455" s="342"/>
      <c r="AE1455" s="342"/>
      <c r="AF1455" s="342"/>
      <c r="AG1455" s="342"/>
      <c r="AH1455" s="342"/>
      <c r="AI1455" s="342"/>
      <c r="AJ1455" s="342"/>
      <c r="AK1455" s="342"/>
      <c r="AL1455" s="342"/>
      <c r="AM1455" s="342"/>
      <c r="AN1455" s="342"/>
      <c r="AO1455" s="342"/>
      <c r="AP1455" s="342"/>
      <c r="AQ1455" s="342"/>
      <c r="AR1455" s="342"/>
      <c r="AS1455" s="342"/>
      <c r="AT1455" s="342"/>
      <c r="AU1455" s="342"/>
      <c r="AV1455" s="342"/>
      <c r="AW1455" s="342"/>
      <c r="AX1455" s="342"/>
      <c r="AY1455" s="342"/>
      <c r="AZ1455" s="342"/>
      <c r="BA1455" s="342"/>
      <c r="BB1455" s="342"/>
      <c r="BC1455" s="342"/>
      <c r="BD1455" s="342"/>
      <c r="BE1455" s="342"/>
      <c r="BF1455" s="342"/>
      <c r="BG1455" s="342"/>
      <c r="BH1455" s="342"/>
      <c r="BI1455" s="342"/>
      <c r="BJ1455" s="342"/>
      <c r="BK1455" s="342"/>
      <c r="BL1455" s="342"/>
      <c r="BM1455" s="342"/>
      <c r="BN1455" s="342"/>
      <c r="BO1455" s="342"/>
      <c r="BP1455" s="342"/>
      <c r="BQ1455" s="342"/>
      <c r="BR1455" s="342"/>
      <c r="BS1455" s="342"/>
      <c r="BT1455" s="342"/>
      <c r="BU1455" s="342"/>
      <c r="BV1455" s="342"/>
      <c r="BW1455" s="342"/>
      <c r="BX1455" s="342"/>
      <c r="BY1455" s="342"/>
      <c r="BZ1455" s="342"/>
      <c r="CA1455" s="342"/>
      <c r="CB1455" s="342"/>
      <c r="CC1455" s="342"/>
      <c r="CD1455" s="342"/>
      <c r="CE1455" s="342"/>
      <c r="CF1455" s="342"/>
      <c r="CG1455" s="342"/>
      <c r="CH1455" s="342"/>
      <c r="CI1455" s="342"/>
      <c r="CJ1455" s="342"/>
      <c r="CK1455" s="342"/>
      <c r="CL1455" s="342"/>
      <c r="CM1455" s="342"/>
      <c r="CN1455" s="342"/>
      <c r="CO1455" s="342"/>
      <c r="CP1455" s="342"/>
      <c r="CQ1455" s="342"/>
      <c r="CR1455" s="342"/>
      <c r="CS1455" s="342"/>
      <c r="CT1455" s="342"/>
      <c r="CU1455" s="342"/>
      <c r="CV1455" s="342"/>
      <c r="CW1455" s="342"/>
      <c r="CX1455" s="342"/>
      <c r="CY1455" s="342"/>
      <c r="CZ1455" s="342"/>
      <c r="DA1455" s="342"/>
      <c r="DB1455" s="342"/>
      <c r="DC1455" s="342"/>
      <c r="DD1455" s="342"/>
      <c r="DE1455" s="342"/>
      <c r="DF1455" s="342"/>
      <c r="DG1455" s="342"/>
      <c r="DH1455" s="342"/>
      <c r="DI1455" s="342"/>
      <c r="DJ1455" s="342"/>
      <c r="DK1455" s="342"/>
      <c r="DL1455" s="342"/>
      <c r="DM1455" s="342"/>
      <c r="DN1455" s="342"/>
      <c r="DO1455" s="342"/>
      <c r="DP1455" s="342"/>
      <c r="DQ1455" s="342"/>
      <c r="DR1455" s="342"/>
      <c r="DS1455" s="342"/>
      <c r="DT1455" s="342"/>
      <c r="DU1455" s="342"/>
      <c r="FV1455" s="12"/>
      <c r="FW1455" s="342"/>
      <c r="FX1455" s="342"/>
      <c r="FY1455" s="342"/>
      <c r="FZ1455" s="342"/>
      <c r="GA1455" s="342"/>
      <c r="GB1455" s="342"/>
      <c r="GC1455" s="342"/>
      <c r="GD1455" s="342"/>
      <c r="GE1455" s="13"/>
      <c r="GT1455" s="342"/>
      <c r="GU1455" s="342" t="s">
        <v>45</v>
      </c>
      <c r="GV1455" s="342"/>
      <c r="GW1455" s="342"/>
      <c r="GX1455" s="12"/>
      <c r="GY1455" s="12"/>
      <c r="GZ1455" s="342"/>
      <c r="HA1455" s="342"/>
      <c r="HB1455" s="342"/>
      <c r="HC1455" s="342"/>
      <c r="HD1455" s="342"/>
      <c r="HE1455" s="342"/>
      <c r="HF1455" s="342"/>
      <c r="HG1455" s="342"/>
      <c r="HH1455" s="342"/>
      <c r="HI1455" s="13"/>
      <c r="HJ1455" s="348"/>
      <c r="HK1455" s="349"/>
      <c r="HL1455" s="350"/>
      <c r="HM1455" s="348"/>
      <c r="HN1455" s="349"/>
      <c r="HO1455" s="349"/>
      <c r="HP1455" s="349"/>
      <c r="HQ1455" s="349"/>
      <c r="HR1455" s="349"/>
      <c r="HS1455" s="349"/>
      <c r="HT1455" s="349"/>
      <c r="HU1455" s="349"/>
      <c r="HV1455" s="349"/>
      <c r="HW1455" s="349"/>
      <c r="HX1455" s="349"/>
      <c r="HY1455" s="349"/>
      <c r="HZ1455" s="349"/>
      <c r="IA1455" s="349"/>
      <c r="IB1455" s="349"/>
      <c r="IC1455" s="349"/>
      <c r="ID1455" s="349"/>
      <c r="IE1455" s="349"/>
      <c r="IF1455" s="349"/>
      <c r="IG1455" s="349"/>
      <c r="IH1455" s="349"/>
      <c r="II1455" s="349"/>
      <c r="IJ1455" s="349"/>
      <c r="IK1455" s="349"/>
      <c r="IL1455" s="349"/>
      <c r="IM1455" s="349"/>
      <c r="IN1455" s="349"/>
      <c r="IO1455" s="349"/>
      <c r="IP1455" s="349"/>
      <c r="IQ1455" s="267"/>
      <c r="IR1455" s="349"/>
      <c r="IS1455" s="349"/>
      <c r="IT1455" s="349"/>
      <c r="IU1455" s="349"/>
      <c r="IV1455" s="349"/>
      <c r="IW1455" s="349"/>
      <c r="IX1455" s="349"/>
      <c r="IY1455" s="349"/>
      <c r="IZ1455" s="349"/>
      <c r="JA1455" s="349"/>
      <c r="JB1455" s="269"/>
      <c r="JC1455" s="349"/>
      <c r="JD1455" s="348"/>
      <c r="JE1455" s="349"/>
      <c r="JF1455" s="350"/>
      <c r="JG1455" s="351"/>
      <c r="JH1455" s="351"/>
      <c r="JI1455" s="351"/>
      <c r="JJ1455" s="351"/>
      <c r="JK1455" s="351"/>
      <c r="JL1455" s="351"/>
      <c r="JM1455" s="351"/>
      <c r="JN1455" s="351"/>
      <c r="JO1455" s="351"/>
      <c r="JP1455" s="351"/>
      <c r="JQ1455" s="351"/>
      <c r="JR1455" s="351"/>
      <c r="JS1455" s="351"/>
      <c r="JT1455" s="351"/>
      <c r="JU1455" s="351"/>
      <c r="JV1455" s="351"/>
      <c r="JW1455" s="351"/>
      <c r="JX1455" s="351"/>
      <c r="JY1455" s="351"/>
      <c r="JZ1455" s="351"/>
      <c r="KA1455" s="351"/>
      <c r="KB1455" s="351"/>
      <c r="KC1455" s="351"/>
      <c r="KD1455" s="351"/>
      <c r="KE1455" s="351"/>
      <c r="KF1455" s="351"/>
      <c r="KG1455" s="351"/>
      <c r="KH1455" s="351"/>
      <c r="KI1455" s="351"/>
      <c r="KJ1455" s="351"/>
      <c r="KK1455" s="351"/>
      <c r="KL1455" s="351"/>
      <c r="KM1455" s="351"/>
      <c r="KN1455" s="351"/>
      <c r="KO1455" s="351"/>
      <c r="KP1455" s="351"/>
      <c r="KQ1455" s="351"/>
      <c r="KR1455" s="351"/>
      <c r="KS1455" s="351"/>
      <c r="KT1455" s="351"/>
      <c r="KU1455" s="351"/>
      <c r="KV1455" s="351"/>
      <c r="KW1455" s="351"/>
      <c r="KX1455" s="351"/>
      <c r="KY1455" s="351"/>
      <c r="KZ1455" s="351"/>
      <c r="LA1455" s="351"/>
      <c r="LB1455" s="343"/>
      <c r="LC1455" s="348"/>
      <c r="LD1455" s="349"/>
      <c r="LE1455" s="349"/>
      <c r="LF1455" s="350"/>
      <c r="LG1455" s="351"/>
      <c r="LH1455" s="351"/>
      <c r="LI1455" s="351"/>
      <c r="LJ1455" s="342"/>
      <c r="LK1455" s="342"/>
      <c r="LL1455" s="342"/>
      <c r="LM1455" s="342"/>
      <c r="LN1455" s="342"/>
      <c r="LO1455" s="342"/>
      <c r="LP1455" s="342"/>
      <c r="LQ1455" s="342"/>
      <c r="LR1455" s="342"/>
      <c r="LS1455" s="342"/>
      <c r="LT1455" s="342"/>
      <c r="LU1455" s="13"/>
    </row>
    <row r="1456" spans="6:333" ht="10.75" customHeight="1">
      <c r="F1456" s="342"/>
      <c r="G1456" s="342"/>
      <c r="H1456" s="342"/>
      <c r="I1456" s="342"/>
      <c r="J1456" s="342"/>
      <c r="K1456" s="342"/>
      <c r="L1456" s="342"/>
      <c r="M1456" s="342"/>
      <c r="N1456" s="342"/>
      <c r="O1456" s="342"/>
      <c r="P1456" s="342"/>
      <c r="Q1456" s="342"/>
      <c r="R1456" s="342"/>
      <c r="S1456" s="342"/>
      <c r="T1456" s="342"/>
      <c r="U1456" s="342"/>
      <c r="V1456" s="342"/>
      <c r="W1456" s="342"/>
      <c r="X1456" s="342"/>
      <c r="Y1456" s="342"/>
      <c r="Z1456" s="342"/>
      <c r="AA1456" s="342"/>
      <c r="AB1456" s="342"/>
      <c r="AC1456" s="342"/>
      <c r="AD1456" s="342"/>
      <c r="AE1456" s="342"/>
      <c r="AF1456" s="342"/>
      <c r="AG1456" s="342"/>
      <c r="AH1456" s="342"/>
      <c r="AI1456" s="342"/>
      <c r="AJ1456" s="342"/>
      <c r="AK1456" s="342"/>
      <c r="AL1456" s="342"/>
      <c r="AM1456" s="342"/>
      <c r="AN1456" s="342"/>
      <c r="AO1456" s="342"/>
      <c r="AP1456" s="342"/>
      <c r="AQ1456" s="342"/>
      <c r="AR1456" s="342"/>
      <c r="AS1456" s="342"/>
      <c r="AT1456" s="342"/>
      <c r="AU1456" s="342"/>
      <c r="AV1456" s="342"/>
      <c r="AW1456" s="342"/>
      <c r="AX1456" s="342"/>
      <c r="AY1456" s="342"/>
      <c r="AZ1456" s="342"/>
      <c r="BA1456" s="342"/>
      <c r="BB1456" s="342"/>
      <c r="BC1456" s="342"/>
      <c r="BD1456" s="342"/>
      <c r="BE1456" s="342"/>
      <c r="BF1456" s="342"/>
      <c r="BG1456" s="342"/>
      <c r="BH1456" s="342"/>
      <c r="BI1456" s="342"/>
      <c r="BJ1456" s="342"/>
      <c r="BK1456" s="342"/>
      <c r="BL1456" s="342"/>
      <c r="BM1456" s="342"/>
      <c r="BN1456" s="342"/>
      <c r="BO1456" s="342"/>
      <c r="BP1456" s="342"/>
      <c r="BQ1456" s="342"/>
      <c r="BR1456" s="342"/>
      <c r="BS1456" s="342"/>
      <c r="BT1456" s="342"/>
      <c r="BU1456" s="342"/>
      <c r="BV1456" s="342"/>
      <c r="BW1456" s="342"/>
      <c r="BX1456" s="342"/>
      <c r="BY1456" s="342"/>
      <c r="BZ1456" s="342"/>
      <c r="CA1456" s="342"/>
      <c r="CB1456" s="342"/>
      <c r="CC1456" s="342"/>
      <c r="CD1456" s="342"/>
      <c r="CE1456" s="342"/>
      <c r="CF1456" s="342"/>
      <c r="CG1456" s="342"/>
      <c r="CH1456" s="342"/>
      <c r="CI1456" s="342"/>
      <c r="CJ1456" s="342"/>
      <c r="CK1456" s="342"/>
      <c r="CL1456" s="342"/>
      <c r="CM1456" s="342"/>
      <c r="CN1456" s="342"/>
      <c r="CO1456" s="342"/>
      <c r="CP1456" s="342"/>
      <c r="CQ1456" s="342"/>
      <c r="CR1456" s="342"/>
      <c r="CS1456" s="342"/>
      <c r="CT1456" s="342"/>
      <c r="CU1456" s="342"/>
      <c r="CV1456" s="342"/>
      <c r="CW1456" s="342"/>
      <c r="CX1456" s="342"/>
      <c r="CY1456" s="342"/>
      <c r="CZ1456" s="342"/>
      <c r="DA1456" s="342"/>
      <c r="DB1456" s="342"/>
      <c r="DC1456" s="342"/>
      <c r="DD1456" s="342"/>
      <c r="DE1456" s="342"/>
      <c r="DF1456" s="342"/>
      <c r="DG1456" s="342"/>
      <c r="DH1456" s="342"/>
      <c r="DI1456" s="342"/>
      <c r="DJ1456" s="342"/>
      <c r="DK1456" s="342"/>
      <c r="DL1456" s="342"/>
      <c r="DM1456" s="342"/>
      <c r="DN1456" s="342"/>
      <c r="DO1456" s="342"/>
      <c r="DP1456" s="342"/>
      <c r="DQ1456" s="342"/>
      <c r="DR1456" s="342"/>
      <c r="DS1456" s="342"/>
      <c r="DT1456" s="342"/>
      <c r="DU1456" s="342"/>
      <c r="FV1456" s="12"/>
      <c r="FW1456" s="342"/>
      <c r="FX1456" s="342"/>
      <c r="FY1456" s="342"/>
      <c r="FZ1456" s="342"/>
      <c r="GA1456" s="342"/>
      <c r="GB1456" s="342"/>
      <c r="GC1456" s="342"/>
      <c r="GD1456" s="342"/>
      <c r="GE1456" s="13"/>
      <c r="GT1456" s="342"/>
      <c r="GU1456" s="342"/>
      <c r="GV1456" s="342"/>
      <c r="GW1456" s="342"/>
      <c r="GX1456" s="12"/>
      <c r="GY1456" s="12"/>
      <c r="GZ1456" s="342"/>
      <c r="HA1456" s="342"/>
      <c r="HB1456" s="342"/>
      <c r="HC1456" s="342"/>
      <c r="HD1456" s="342"/>
      <c r="HE1456" s="342"/>
      <c r="HF1456" s="342"/>
      <c r="HG1456" s="342"/>
      <c r="HH1456" s="342"/>
      <c r="HI1456" s="13"/>
      <c r="HJ1456" s="12"/>
      <c r="HK1456" s="342"/>
      <c r="HL1456" s="342"/>
      <c r="HM1456" s="9"/>
      <c r="HN1456" s="10"/>
      <c r="HO1456" s="10"/>
      <c r="HP1456" s="10"/>
      <c r="HQ1456" s="10"/>
      <c r="HR1456" s="10"/>
      <c r="HS1456" s="10"/>
      <c r="HT1456" s="10"/>
      <c r="HU1456" s="10"/>
      <c r="HV1456" s="10"/>
      <c r="HW1456" s="10"/>
      <c r="HX1456" s="10"/>
      <c r="HY1456" s="10"/>
      <c r="HZ1456" s="10"/>
      <c r="IA1456" s="10"/>
      <c r="IB1456" s="10"/>
      <c r="IC1456" s="10"/>
      <c r="ID1456" s="10"/>
      <c r="IE1456" s="10"/>
      <c r="IF1456" s="10"/>
      <c r="IG1456" s="10"/>
      <c r="IH1456" s="10"/>
      <c r="II1456" s="10"/>
      <c r="IJ1456" s="342"/>
      <c r="IK1456" s="342"/>
      <c r="IL1456" s="342"/>
      <c r="IM1456" s="12"/>
      <c r="IN1456" s="351"/>
      <c r="IO1456" s="351"/>
      <c r="IP1456" s="351"/>
      <c r="IQ1456" s="351"/>
      <c r="IR1456" s="351"/>
      <c r="IS1456" s="351"/>
      <c r="IT1456" s="351"/>
      <c r="IU1456" s="351"/>
      <c r="IV1456" s="351"/>
      <c r="IW1456" s="351"/>
      <c r="IX1456" s="351"/>
      <c r="IY1456" s="351"/>
      <c r="IZ1456" s="351"/>
      <c r="JA1456" s="351"/>
      <c r="JB1456" s="351"/>
      <c r="JC1456" s="351"/>
      <c r="JD1456" s="351"/>
      <c r="JE1456" s="351"/>
      <c r="JF1456" s="351"/>
      <c r="JG1456" s="351"/>
      <c r="JH1456" s="351"/>
      <c r="JI1456" s="351"/>
      <c r="JJ1456" s="351"/>
      <c r="JK1456" s="351"/>
      <c r="JL1456" s="351"/>
      <c r="JM1456" s="351"/>
      <c r="JN1456" s="351"/>
      <c r="JO1456" s="351"/>
      <c r="JP1456" s="351"/>
      <c r="JQ1456" s="351"/>
      <c r="JR1456" s="351"/>
      <c r="JS1456" s="351"/>
      <c r="JT1456" s="351"/>
      <c r="JU1456" s="351"/>
      <c r="JV1456" s="351"/>
      <c r="JW1456" s="351"/>
      <c r="JX1456" s="351"/>
      <c r="JY1456" s="351"/>
      <c r="JZ1456" s="351"/>
      <c r="KA1456" s="351"/>
      <c r="KB1456" s="351"/>
      <c r="KC1456" s="351"/>
      <c r="KD1456" s="351"/>
      <c r="KE1456" s="351"/>
      <c r="KF1456" s="351"/>
      <c r="KG1456" s="351"/>
      <c r="KH1456" s="351"/>
      <c r="KI1456" s="351"/>
      <c r="KJ1456" s="351"/>
      <c r="KK1456" s="351"/>
      <c r="KL1456" s="351"/>
      <c r="KM1456" s="351"/>
      <c r="KN1456" s="351"/>
      <c r="KO1456" s="351"/>
      <c r="KP1456" s="351"/>
      <c r="KQ1456" s="351"/>
      <c r="KR1456" s="351"/>
      <c r="KS1456" s="351"/>
      <c r="KT1456" s="351"/>
      <c r="KU1456" s="351"/>
      <c r="KV1456" s="351"/>
      <c r="KW1456" s="351"/>
      <c r="KX1456" s="351"/>
      <c r="KY1456" s="351"/>
      <c r="KZ1456" s="351"/>
      <c r="LA1456" s="351"/>
      <c r="LB1456" s="343"/>
      <c r="LC1456" s="351"/>
      <c r="LD1456" s="351"/>
      <c r="LE1456" s="343"/>
      <c r="LF1456" s="351"/>
      <c r="LG1456" s="351"/>
      <c r="LH1456" s="351"/>
      <c r="LI1456" s="351"/>
      <c r="LJ1456" s="342"/>
      <c r="LK1456" s="342"/>
      <c r="LL1456" s="342"/>
      <c r="LM1456" s="342"/>
      <c r="LN1456" s="342"/>
      <c r="LO1456" s="342"/>
      <c r="LP1456" s="342"/>
      <c r="LQ1456" s="342"/>
      <c r="LR1456" s="342"/>
      <c r="LS1456" s="342"/>
      <c r="LT1456" s="342"/>
      <c r="LU1456" s="13"/>
    </row>
    <row r="1457" spans="6:333" ht="10.75" customHeight="1">
      <c r="F1457" s="342"/>
      <c r="G1457" s="342"/>
      <c r="H1457" s="342"/>
      <c r="I1457" s="342"/>
      <c r="J1457" s="342"/>
      <c r="K1457" s="342"/>
      <c r="L1457" s="342"/>
      <c r="M1457" s="342"/>
      <c r="N1457" s="342"/>
      <c r="O1457" s="342"/>
      <c r="P1457" s="342"/>
      <c r="Q1457" s="342"/>
      <c r="R1457" s="342"/>
      <c r="S1457" s="342"/>
      <c r="T1457" s="342"/>
      <c r="U1457" s="342"/>
      <c r="V1457" s="342"/>
      <c r="W1457" s="342"/>
      <c r="X1457" s="342"/>
      <c r="Y1457" s="342"/>
      <c r="Z1457" s="342"/>
      <c r="AA1457" s="342"/>
      <c r="AB1457" s="342"/>
      <c r="AC1457" s="342"/>
      <c r="AD1457" s="342"/>
      <c r="AE1457" s="342"/>
      <c r="AF1457" s="342"/>
      <c r="AG1457" s="342"/>
      <c r="AH1457" s="342"/>
      <c r="AI1457" s="342"/>
      <c r="AJ1457" s="342"/>
      <c r="AK1457" s="342"/>
      <c r="AL1457" s="342"/>
      <c r="AM1457" s="342"/>
      <c r="AN1457" s="342"/>
      <c r="AO1457" s="342"/>
      <c r="AP1457" s="342"/>
      <c r="AQ1457" s="342"/>
      <c r="AR1457" s="342"/>
      <c r="AS1457" s="342"/>
      <c r="AT1457" s="342"/>
      <c r="AU1457" s="342"/>
      <c r="AV1457" s="342"/>
      <c r="AW1457" s="342"/>
      <c r="AX1457" s="342"/>
      <c r="AY1457" s="342"/>
      <c r="AZ1457" s="342"/>
      <c r="BA1457" s="342"/>
      <c r="BB1457" s="342"/>
      <c r="BC1457" s="342"/>
      <c r="BD1457" s="342"/>
      <c r="BE1457" s="342"/>
      <c r="BF1457" s="342"/>
      <c r="BG1457" s="342"/>
      <c r="BH1457" s="342"/>
      <c r="BI1457" s="342"/>
      <c r="BJ1457" s="342"/>
      <c r="BK1457" s="342"/>
      <c r="BL1457" s="342"/>
      <c r="BM1457" s="342"/>
      <c r="BN1457" s="342"/>
      <c r="BO1457" s="342"/>
      <c r="BP1457" s="342"/>
      <c r="BQ1457" s="342"/>
      <c r="BR1457" s="342"/>
      <c r="BS1457" s="342"/>
      <c r="BT1457" s="342"/>
      <c r="BU1457" s="342"/>
      <c r="BV1457" s="342"/>
      <c r="BW1457" s="342"/>
      <c r="BX1457" s="342"/>
      <c r="BY1457" s="342"/>
      <c r="BZ1457" s="342"/>
      <c r="CA1457" s="342"/>
      <c r="CB1457" s="342"/>
      <c r="CC1457" s="342"/>
      <c r="CD1457" s="342"/>
      <c r="CE1457" s="342"/>
      <c r="CF1457" s="342"/>
      <c r="CG1457" s="342"/>
      <c r="CH1457" s="342"/>
      <c r="CI1457" s="342"/>
      <c r="CJ1457" s="342"/>
      <c r="CK1457" s="342"/>
      <c r="CL1457" s="342"/>
      <c r="CM1457" s="342"/>
      <c r="CN1457" s="342"/>
      <c r="CO1457" s="342"/>
      <c r="CP1457" s="342"/>
      <c r="CQ1457" s="342"/>
      <c r="CR1457" s="342"/>
      <c r="CS1457" s="342"/>
      <c r="CT1457" s="342"/>
      <c r="CU1457" s="342"/>
      <c r="CV1457" s="342"/>
      <c r="CW1457" s="342"/>
      <c r="CX1457" s="342"/>
      <c r="CY1457" s="342"/>
      <c r="CZ1457" s="342"/>
      <c r="DA1457" s="342"/>
      <c r="DB1457" s="342"/>
      <c r="DC1457" s="342"/>
      <c r="DD1457" s="342"/>
      <c r="DE1457" s="342"/>
      <c r="DF1457" s="342"/>
      <c r="DG1457" s="342"/>
      <c r="DH1457" s="342"/>
      <c r="DI1457" s="342"/>
      <c r="DJ1457" s="342"/>
      <c r="DK1457" s="342"/>
      <c r="DL1457" s="342"/>
      <c r="DM1457" s="342"/>
      <c r="DN1457" s="342"/>
      <c r="DO1457" s="342"/>
      <c r="DP1457" s="342"/>
      <c r="DQ1457" s="342"/>
      <c r="DR1457" s="342"/>
      <c r="DS1457" s="342"/>
      <c r="DT1457" s="342"/>
      <c r="DU1457" s="342"/>
      <c r="FV1457" s="9"/>
      <c r="FW1457" s="10"/>
      <c r="FX1457" s="10"/>
      <c r="FY1457" s="10"/>
      <c r="FZ1457" s="10"/>
      <c r="GA1457" s="10"/>
      <c r="GB1457" s="10"/>
      <c r="GC1457" s="10"/>
      <c r="GD1457" s="10"/>
      <c r="GE1457" s="11"/>
      <c r="GT1457" s="342"/>
      <c r="GU1457" s="342" t="s">
        <v>45</v>
      </c>
      <c r="GV1457" s="342"/>
      <c r="GW1457" s="342"/>
      <c r="GX1457" s="12"/>
      <c r="GY1457" s="12"/>
      <c r="GZ1457" s="342"/>
      <c r="HA1457" s="342"/>
      <c r="HB1457" s="342"/>
      <c r="HC1457" s="342"/>
      <c r="HD1457" s="342"/>
      <c r="HE1457" s="342"/>
      <c r="HF1457" s="342"/>
      <c r="HG1457" s="342"/>
      <c r="HH1457" s="342"/>
      <c r="HI1457" s="13"/>
      <c r="HJ1457" s="347"/>
      <c r="HK1457" s="351"/>
      <c r="HL1457" s="351"/>
      <c r="HM1457" s="12"/>
      <c r="HN1457" s="342"/>
      <c r="HO1457" s="342"/>
      <c r="HP1457" s="342"/>
      <c r="HQ1457" s="342"/>
      <c r="HR1457" s="342"/>
      <c r="HS1457" s="342"/>
      <c r="HT1457" s="342"/>
      <c r="HU1457" s="342"/>
      <c r="HV1457" s="342"/>
      <c r="HW1457" s="342"/>
      <c r="HX1457" s="342"/>
      <c r="HY1457" s="342"/>
      <c r="HZ1457" s="342"/>
      <c r="IA1457" s="342"/>
      <c r="IB1457" s="342"/>
      <c r="IC1457" s="342"/>
      <c r="ID1457" s="342"/>
      <c r="IE1457" s="342"/>
      <c r="IF1457" s="342"/>
      <c r="IG1457" s="342"/>
      <c r="IH1457" s="342"/>
      <c r="II1457" s="342"/>
      <c r="IJ1457" s="342"/>
      <c r="IK1457" s="342"/>
      <c r="IL1457" s="342"/>
      <c r="IM1457" s="12"/>
      <c r="IN1457" s="351"/>
      <c r="IO1457" s="351"/>
      <c r="IP1457" s="351"/>
      <c r="IQ1457" s="351"/>
      <c r="IR1457" s="351"/>
      <c r="IS1457" s="351"/>
      <c r="IT1457" s="351"/>
      <c r="IU1457" s="351"/>
      <c r="IV1457" s="351"/>
      <c r="IW1457" s="351"/>
      <c r="IX1457" s="351"/>
      <c r="IY1457" s="351"/>
      <c r="IZ1457" s="351"/>
      <c r="JA1457" s="351"/>
      <c r="JB1457" s="351"/>
      <c r="JC1457" s="351"/>
      <c r="JD1457" s="351"/>
      <c r="JE1457" s="351"/>
      <c r="JF1457" s="351"/>
      <c r="JG1457" s="351"/>
      <c r="JH1457" s="351"/>
      <c r="JI1457" s="351"/>
      <c r="JJ1457" s="351"/>
      <c r="JK1457" s="351"/>
      <c r="JL1457" s="351"/>
      <c r="JM1457" s="351"/>
      <c r="JN1457" s="351"/>
      <c r="JO1457" s="351"/>
      <c r="JP1457" s="351"/>
      <c r="JQ1457" s="351"/>
      <c r="JR1457" s="351"/>
      <c r="JS1457" s="351"/>
      <c r="JT1457" s="351"/>
      <c r="JU1457" s="351"/>
      <c r="JV1457" s="351"/>
      <c r="JW1457" s="351"/>
      <c r="JX1457" s="351"/>
      <c r="JY1457" s="351"/>
      <c r="JZ1457" s="351"/>
      <c r="KA1457" s="351"/>
      <c r="KB1457" s="351"/>
      <c r="KC1457" s="351"/>
      <c r="KD1457" s="351"/>
      <c r="KE1457" s="351"/>
      <c r="KF1457" s="351"/>
      <c r="KG1457" s="351"/>
      <c r="KH1457" s="351"/>
      <c r="KI1457" s="351"/>
      <c r="KJ1457" s="351"/>
      <c r="KK1457" s="351"/>
      <c r="KL1457" s="351"/>
      <c r="KM1457" s="351"/>
      <c r="KN1457" s="351"/>
      <c r="KO1457" s="351"/>
      <c r="KP1457" s="351"/>
      <c r="KQ1457" s="351"/>
      <c r="KR1457" s="351"/>
      <c r="KS1457" s="351"/>
      <c r="KT1457" s="351"/>
      <c r="KU1457" s="351"/>
      <c r="KV1457" s="351"/>
      <c r="KW1457" s="351"/>
      <c r="KX1457" s="351"/>
      <c r="KY1457" s="351"/>
      <c r="KZ1457" s="351"/>
      <c r="LA1457" s="351"/>
      <c r="LB1457" s="343"/>
      <c r="LC1457" s="351"/>
      <c r="LD1457" s="351"/>
      <c r="LE1457" s="343"/>
      <c r="LF1457" s="351"/>
      <c r="LG1457" s="351"/>
      <c r="LH1457" s="351"/>
      <c r="LI1457" s="351"/>
      <c r="LJ1457" s="342"/>
      <c r="LK1457" s="342"/>
      <c r="LL1457" s="342"/>
      <c r="LM1457" s="342"/>
      <c r="LN1457" s="342"/>
      <c r="LO1457" s="342"/>
      <c r="LP1457" s="342"/>
      <c r="LQ1457" s="342"/>
      <c r="LR1457" s="342"/>
      <c r="LS1457" s="342"/>
      <c r="LT1457" s="342"/>
      <c r="LU1457" s="13"/>
    </row>
    <row r="1458" spans="6:333" ht="10.75" customHeight="1">
      <c r="F1458" s="342"/>
      <c r="G1458" s="342"/>
      <c r="H1458" s="342"/>
      <c r="I1458" s="342"/>
      <c r="J1458" s="342"/>
      <c r="K1458" s="342"/>
      <c r="L1458" s="342"/>
      <c r="M1458" s="342"/>
      <c r="N1458" s="342"/>
      <c r="O1458" s="342"/>
      <c r="P1458" s="342"/>
      <c r="Q1458" s="342"/>
      <c r="R1458" s="342"/>
      <c r="S1458" s="342"/>
      <c r="T1458" s="342"/>
      <c r="U1458" s="342"/>
      <c r="V1458" s="342"/>
      <c r="W1458" s="342"/>
      <c r="X1458" s="342"/>
      <c r="Y1458" s="342"/>
      <c r="Z1458" s="342"/>
      <c r="AA1458" s="342"/>
      <c r="AB1458" s="342"/>
      <c r="AC1458" s="342"/>
      <c r="AD1458" s="342"/>
      <c r="AE1458" s="342"/>
      <c r="AF1458" s="342"/>
      <c r="AG1458" s="342"/>
      <c r="AH1458" s="342"/>
      <c r="AI1458" s="342"/>
      <c r="AJ1458" s="342"/>
      <c r="AK1458" s="342"/>
      <c r="AL1458" s="342"/>
      <c r="AM1458" s="342"/>
      <c r="AN1458" s="342"/>
      <c r="AO1458" s="342"/>
      <c r="AP1458" s="342"/>
      <c r="AQ1458" s="342"/>
      <c r="AR1458" s="342"/>
      <c r="AS1458" s="342"/>
      <c r="AT1458" s="342"/>
      <c r="AU1458" s="342"/>
      <c r="AV1458" s="342"/>
      <c r="AW1458" s="342"/>
      <c r="AX1458" s="342"/>
      <c r="AY1458" s="342"/>
      <c r="AZ1458" s="342"/>
      <c r="BA1458" s="342"/>
      <c r="BB1458" s="342"/>
      <c r="BC1458" s="342"/>
      <c r="BD1458" s="342"/>
      <c r="BE1458" s="342"/>
      <c r="BF1458" s="342"/>
      <c r="BG1458" s="342"/>
      <c r="BH1458" s="342"/>
      <c r="BI1458" s="342"/>
      <c r="BJ1458" s="342"/>
      <c r="BK1458" s="342"/>
      <c r="BL1458" s="342"/>
      <c r="BM1458" s="342"/>
      <c r="BN1458" s="342"/>
      <c r="BO1458" s="342"/>
      <c r="BP1458" s="342"/>
      <c r="BQ1458" s="342"/>
      <c r="BR1458" s="342"/>
      <c r="BS1458" s="342"/>
      <c r="BT1458" s="342"/>
      <c r="BU1458" s="342"/>
      <c r="BV1458" s="342"/>
      <c r="BW1458" s="342"/>
      <c r="BX1458" s="342"/>
      <c r="BY1458" s="342"/>
      <c r="BZ1458" s="342"/>
      <c r="CA1458" s="342"/>
      <c r="CB1458" s="342"/>
      <c r="CC1458" s="342"/>
      <c r="CD1458" s="342"/>
      <c r="CE1458" s="342"/>
      <c r="CF1458" s="342"/>
      <c r="CG1458" s="342"/>
      <c r="CH1458" s="342"/>
      <c r="CI1458" s="342"/>
      <c r="CJ1458" s="342"/>
      <c r="CK1458" s="342"/>
      <c r="CL1458" s="342"/>
      <c r="CM1458" s="342"/>
      <c r="CN1458" s="342"/>
      <c r="CO1458" s="342"/>
      <c r="CP1458" s="342"/>
      <c r="CQ1458" s="342"/>
      <c r="CR1458" s="342"/>
      <c r="CS1458" s="342"/>
      <c r="CT1458" s="342"/>
      <c r="CU1458" s="342"/>
      <c r="CV1458" s="342"/>
      <c r="CW1458" s="342"/>
      <c r="CX1458" s="342"/>
      <c r="CY1458" s="342"/>
      <c r="CZ1458" s="342"/>
      <c r="DA1458" s="342"/>
      <c r="DB1458" s="342"/>
      <c r="DC1458" s="342"/>
      <c r="DD1458" s="342"/>
      <c r="DE1458" s="342"/>
      <c r="DF1458" s="342"/>
      <c r="DG1458" s="342"/>
      <c r="DH1458" s="342"/>
      <c r="DI1458" s="342"/>
      <c r="DJ1458" s="342"/>
      <c r="DK1458" s="342"/>
      <c r="DL1458" s="342"/>
      <c r="DM1458" s="342"/>
      <c r="DN1458" s="342"/>
      <c r="DO1458" s="342"/>
      <c r="DP1458" s="342"/>
      <c r="DQ1458" s="342"/>
      <c r="DR1458" s="342"/>
      <c r="DS1458" s="342"/>
      <c r="DT1458" s="342"/>
      <c r="DU1458" s="342"/>
      <c r="FV1458" s="12"/>
      <c r="FW1458" s="342"/>
      <c r="FX1458" s="342"/>
      <c r="FY1458" s="342"/>
      <c r="FZ1458" s="342"/>
      <c r="GA1458" s="342"/>
      <c r="GB1458" s="342"/>
      <c r="GC1458" s="342"/>
      <c r="GD1458" s="342"/>
      <c r="GE1458" s="13"/>
      <c r="GT1458" s="342"/>
      <c r="GU1458" s="342"/>
      <c r="GV1458" s="342"/>
      <c r="GW1458" s="342"/>
      <c r="GX1458" s="12"/>
      <c r="GY1458" s="12"/>
      <c r="GZ1458" s="342"/>
      <c r="HA1458" s="342"/>
      <c r="HB1458" s="342"/>
      <c r="HC1458" s="342"/>
      <c r="HD1458" s="342"/>
      <c r="HE1458" s="342"/>
      <c r="HF1458" s="342"/>
      <c r="HG1458" s="342"/>
      <c r="HH1458" s="342"/>
      <c r="HI1458" s="13"/>
      <c r="HJ1458" s="347"/>
      <c r="HK1458" s="351"/>
      <c r="HL1458" s="351"/>
      <c r="HM1458" s="12"/>
      <c r="HN1458" s="342"/>
      <c r="HO1458" s="342"/>
      <c r="HP1458" s="342"/>
      <c r="HQ1458" s="342"/>
      <c r="HR1458" s="342"/>
      <c r="HS1458" s="342"/>
      <c r="HT1458" s="342"/>
      <c r="HU1458" s="342"/>
      <c r="HV1458" s="342"/>
      <c r="HW1458" s="342"/>
      <c r="HX1458" s="342"/>
      <c r="HY1458" s="342"/>
      <c r="HZ1458" s="342"/>
      <c r="IA1458" s="342"/>
      <c r="IB1458" s="342"/>
      <c r="IC1458" s="342"/>
      <c r="ID1458" s="342"/>
      <c r="IE1458" s="342"/>
      <c r="IF1458" s="342"/>
      <c r="IG1458" s="342"/>
      <c r="IH1458" s="342"/>
      <c r="II1458" s="342"/>
      <c r="IJ1458" s="342"/>
      <c r="IK1458" s="342"/>
      <c r="IL1458" s="342"/>
      <c r="IM1458" s="12"/>
      <c r="IN1458" s="351"/>
      <c r="IO1458" s="351"/>
      <c r="IP1458" s="351"/>
      <c r="IQ1458" s="351"/>
      <c r="IR1458" s="351"/>
      <c r="IS1458" s="351"/>
      <c r="IT1458" s="351"/>
      <c r="IU1458" s="351"/>
      <c r="IV1458" s="351"/>
      <c r="IW1458" s="351"/>
      <c r="IX1458" s="351"/>
      <c r="IY1458" s="351"/>
      <c r="IZ1458" s="351"/>
      <c r="JA1458" s="351"/>
      <c r="JB1458" s="351"/>
      <c r="JC1458" s="351"/>
      <c r="JD1458" s="351"/>
      <c r="JE1458" s="351"/>
      <c r="JF1458" s="351"/>
      <c r="JG1458" s="351"/>
      <c r="JH1458" s="351"/>
      <c r="JI1458" s="351"/>
      <c r="JJ1458" s="351"/>
      <c r="JK1458" s="351"/>
      <c r="JL1458" s="351"/>
      <c r="JM1458" s="351"/>
      <c r="JN1458" s="351"/>
      <c r="JO1458" s="351"/>
      <c r="JP1458" s="351"/>
      <c r="JQ1458" s="351"/>
      <c r="JR1458" s="351"/>
      <c r="JS1458" s="351"/>
      <c r="JT1458" s="351"/>
      <c r="JU1458" s="351"/>
      <c r="JV1458" s="351"/>
      <c r="JW1458" s="351"/>
      <c r="JX1458" s="351"/>
      <c r="JY1458" s="351"/>
      <c r="JZ1458" s="351"/>
      <c r="KA1458" s="351"/>
      <c r="KB1458" s="351"/>
      <c r="KC1458" s="351"/>
      <c r="KD1458" s="351"/>
      <c r="KE1458" s="351"/>
      <c r="KF1458" s="351"/>
      <c r="KG1458" s="351"/>
      <c r="KH1458" s="351"/>
      <c r="KI1458" s="351"/>
      <c r="KJ1458" s="351"/>
      <c r="KK1458" s="351"/>
      <c r="KL1458" s="351"/>
      <c r="KM1458" s="351"/>
      <c r="KN1458" s="351"/>
      <c r="KO1458" s="351"/>
      <c r="KP1458" s="351"/>
      <c r="KQ1458" s="351"/>
      <c r="KR1458" s="351"/>
      <c r="KS1458" s="351"/>
      <c r="KT1458" s="351"/>
      <c r="KU1458" s="351"/>
      <c r="KV1458" s="351"/>
      <c r="KW1458" s="351"/>
      <c r="KX1458" s="351"/>
      <c r="KY1458" s="351"/>
      <c r="KZ1458" s="351"/>
      <c r="LA1458" s="351"/>
      <c r="LB1458" s="343"/>
      <c r="LC1458" s="342"/>
      <c r="LD1458" s="342"/>
      <c r="LE1458" s="13"/>
      <c r="LF1458" s="342"/>
      <c r="LG1458" s="342"/>
      <c r="LH1458" s="342"/>
      <c r="LI1458" s="351"/>
      <c r="LJ1458" s="342"/>
      <c r="LK1458" s="342"/>
      <c r="LL1458" s="342"/>
      <c r="LM1458" s="342"/>
      <c r="LN1458" s="342"/>
      <c r="LO1458" s="342"/>
      <c r="LP1458" s="342"/>
      <c r="LQ1458" s="342"/>
      <c r="LR1458" s="342"/>
      <c r="LS1458" s="342"/>
      <c r="LT1458" s="342"/>
      <c r="LU1458" s="13"/>
    </row>
    <row r="1459" spans="6:333" ht="10.75" customHeight="1">
      <c r="F1459" s="342"/>
      <c r="G1459" s="342"/>
      <c r="H1459" s="342"/>
      <c r="I1459" s="342"/>
      <c r="J1459" s="342"/>
      <c r="K1459" s="342"/>
      <c r="L1459" s="342"/>
      <c r="M1459" s="342"/>
      <c r="N1459" s="342"/>
      <c r="O1459" s="342"/>
      <c r="P1459" s="342"/>
      <c r="Q1459" s="342"/>
      <c r="R1459" s="342"/>
      <c r="S1459" s="342"/>
      <c r="T1459" s="342"/>
      <c r="U1459" s="342"/>
      <c r="V1459" s="342"/>
      <c r="W1459" s="342"/>
      <c r="X1459" s="342"/>
      <c r="Y1459" s="342"/>
      <c r="Z1459" s="342"/>
      <c r="AA1459" s="342"/>
      <c r="AB1459" s="342"/>
      <c r="AC1459" s="342"/>
      <c r="AD1459" s="342"/>
      <c r="AE1459" s="342"/>
      <c r="AF1459" s="342"/>
      <c r="AG1459" s="342"/>
      <c r="AH1459" s="342"/>
      <c r="AI1459" s="342"/>
      <c r="AJ1459" s="342"/>
      <c r="AK1459" s="342"/>
      <c r="AL1459" s="342"/>
      <c r="AM1459" s="342"/>
      <c r="AN1459" s="342"/>
      <c r="AO1459" s="342"/>
      <c r="AP1459" s="342"/>
      <c r="AQ1459" s="342"/>
      <c r="AR1459" s="342"/>
      <c r="AS1459" s="342"/>
      <c r="AT1459" s="342"/>
      <c r="AU1459" s="342"/>
      <c r="AV1459" s="342"/>
      <c r="AW1459" s="342"/>
      <c r="AX1459" s="342"/>
      <c r="AY1459" s="342"/>
      <c r="AZ1459" s="342"/>
      <c r="BA1459" s="342"/>
      <c r="BB1459" s="342"/>
      <c r="BC1459" s="342"/>
      <c r="BD1459" s="342"/>
      <c r="BE1459" s="342"/>
      <c r="BF1459" s="342"/>
      <c r="BG1459" s="342"/>
      <c r="BH1459" s="342"/>
      <c r="BI1459" s="342"/>
      <c r="BJ1459" s="342"/>
      <c r="BK1459" s="342"/>
      <c r="BL1459" s="342"/>
      <c r="BM1459" s="342"/>
      <c r="BN1459" s="342"/>
      <c r="BO1459" s="342"/>
      <c r="BP1459" s="342"/>
      <c r="BQ1459" s="342"/>
      <c r="BR1459" s="342"/>
      <c r="BS1459" s="342"/>
      <c r="BT1459" s="342"/>
      <c r="BU1459" s="342"/>
      <c r="BV1459" s="342"/>
      <c r="BW1459" s="342"/>
      <c r="BX1459" s="342"/>
      <c r="BY1459" s="342"/>
      <c r="BZ1459" s="342"/>
      <c r="CA1459" s="342"/>
      <c r="CB1459" s="342"/>
      <c r="CC1459" s="342"/>
      <c r="CD1459" s="342"/>
      <c r="CE1459" s="342"/>
      <c r="CF1459" s="342"/>
      <c r="CG1459" s="342"/>
      <c r="CH1459" s="342"/>
      <c r="CI1459" s="342"/>
      <c r="CJ1459" s="342"/>
      <c r="CK1459" s="342"/>
      <c r="CL1459" s="342"/>
      <c r="CM1459" s="342"/>
      <c r="CN1459" s="342"/>
      <c r="CO1459" s="342"/>
      <c r="CP1459" s="342"/>
      <c r="CQ1459" s="342"/>
      <c r="CR1459" s="342"/>
      <c r="CS1459" s="342"/>
      <c r="CT1459" s="342"/>
      <c r="CU1459" s="342"/>
      <c r="CV1459" s="342"/>
      <c r="CW1459" s="342"/>
      <c r="CX1459" s="342"/>
      <c r="CY1459" s="342"/>
      <c r="CZ1459" s="342"/>
      <c r="DA1459" s="342"/>
      <c r="DB1459" s="342"/>
      <c r="DC1459" s="342"/>
      <c r="DD1459" s="342"/>
      <c r="DE1459" s="342"/>
      <c r="DF1459" s="342"/>
      <c r="DG1459" s="342"/>
      <c r="DH1459" s="342"/>
      <c r="DI1459" s="342"/>
      <c r="DJ1459" s="342"/>
      <c r="DK1459" s="342"/>
      <c r="DL1459" s="342"/>
      <c r="DM1459" s="342"/>
      <c r="DN1459" s="342"/>
      <c r="DO1459" s="342"/>
      <c r="DP1459" s="342"/>
      <c r="DQ1459" s="342"/>
      <c r="DR1459" s="342"/>
      <c r="DS1459" s="342"/>
      <c r="DT1459" s="342"/>
      <c r="DU1459" s="342"/>
      <c r="FV1459" s="12"/>
      <c r="FW1459" s="342"/>
      <c r="FX1459" s="342"/>
      <c r="FY1459" s="342"/>
      <c r="FZ1459" s="342"/>
      <c r="GA1459" s="342"/>
      <c r="GB1459" s="342"/>
      <c r="GC1459" s="342"/>
      <c r="GD1459" s="342"/>
      <c r="GE1459" s="13"/>
      <c r="GT1459" s="342"/>
      <c r="GU1459" s="342" t="s">
        <v>45</v>
      </c>
      <c r="GV1459" s="342"/>
      <c r="GW1459" s="342"/>
      <c r="GX1459" s="12"/>
      <c r="GY1459" s="12"/>
      <c r="GZ1459" s="342"/>
      <c r="HA1459" s="342"/>
      <c r="HB1459" s="342"/>
      <c r="HC1459" s="342"/>
      <c r="HD1459" s="342"/>
      <c r="HE1459" s="342"/>
      <c r="HF1459" s="342"/>
      <c r="HG1459" s="342"/>
      <c r="HH1459" s="342"/>
      <c r="HI1459" s="13"/>
      <c r="HJ1459" s="347"/>
      <c r="HK1459" s="351"/>
      <c r="HL1459" s="351"/>
      <c r="HM1459" s="12"/>
      <c r="HN1459" s="342"/>
      <c r="HO1459" s="342"/>
      <c r="HP1459" s="342"/>
      <c r="HQ1459" s="342"/>
      <c r="HR1459" s="342"/>
      <c r="HS1459" s="342"/>
      <c r="HT1459" s="342"/>
      <c r="HU1459" s="342"/>
      <c r="HV1459" s="342"/>
      <c r="HW1459" s="342"/>
      <c r="HX1459" s="342"/>
      <c r="HY1459" s="342"/>
      <c r="HZ1459" s="342"/>
      <c r="IA1459" s="342"/>
      <c r="IB1459" s="342"/>
      <c r="IC1459" s="342"/>
      <c r="ID1459" s="342"/>
      <c r="IE1459" s="342"/>
      <c r="IF1459" s="342"/>
      <c r="IG1459" s="342"/>
      <c r="IH1459" s="342"/>
      <c r="II1459" s="342"/>
      <c r="IJ1459" s="342"/>
      <c r="IK1459" s="342"/>
      <c r="IL1459" s="342"/>
      <c r="IM1459" s="12"/>
      <c r="IN1459" s="351"/>
      <c r="IO1459" s="351"/>
      <c r="IP1459" s="351"/>
      <c r="IQ1459" s="351"/>
      <c r="IR1459" s="351"/>
      <c r="IS1459" s="351"/>
      <c r="IT1459" s="351"/>
      <c r="IU1459" s="351"/>
      <c r="IV1459" s="351"/>
      <c r="IW1459" s="351"/>
      <c r="IX1459" s="351"/>
      <c r="IY1459" s="351"/>
      <c r="IZ1459" s="351"/>
      <c r="JA1459" s="351"/>
      <c r="JB1459" s="351"/>
      <c r="JC1459" s="351"/>
      <c r="JD1459" s="351"/>
      <c r="JE1459" s="351"/>
      <c r="JF1459" s="351"/>
      <c r="JG1459" s="351"/>
      <c r="JH1459" s="351"/>
      <c r="JI1459" s="351"/>
      <c r="JJ1459" s="351"/>
      <c r="JK1459" s="351"/>
      <c r="JL1459" s="351"/>
      <c r="JM1459" s="351"/>
      <c r="JN1459" s="351"/>
      <c r="JO1459" s="351"/>
      <c r="JP1459" s="351"/>
      <c r="JQ1459" s="351"/>
      <c r="JR1459" s="351"/>
      <c r="JS1459" s="351"/>
      <c r="JT1459" s="351"/>
      <c r="JU1459" s="351"/>
      <c r="JV1459" s="351"/>
      <c r="JW1459" s="351"/>
      <c r="JX1459" s="351"/>
      <c r="JY1459" s="351"/>
      <c r="JZ1459" s="351"/>
      <c r="KA1459" s="351"/>
      <c r="KB1459" s="351"/>
      <c r="KC1459" s="351"/>
      <c r="KD1459" s="351"/>
      <c r="KE1459" s="351"/>
      <c r="KF1459" s="351"/>
      <c r="KG1459" s="351"/>
      <c r="KH1459" s="351"/>
      <c r="KI1459" s="351"/>
      <c r="KJ1459" s="351"/>
      <c r="KK1459" s="351"/>
      <c r="KL1459" s="351"/>
      <c r="KM1459" s="351"/>
      <c r="KN1459" s="351"/>
      <c r="KO1459" s="351"/>
      <c r="KP1459" s="351"/>
      <c r="KQ1459" s="351"/>
      <c r="KR1459" s="351"/>
      <c r="KS1459" s="351"/>
      <c r="KT1459" s="351"/>
      <c r="KU1459" s="351"/>
      <c r="KV1459" s="351"/>
      <c r="KW1459" s="351"/>
      <c r="KX1459" s="351"/>
      <c r="KY1459" s="351"/>
      <c r="KZ1459" s="351"/>
      <c r="LA1459" s="351"/>
      <c r="LB1459" s="343"/>
      <c r="LC1459" s="342"/>
      <c r="LD1459" s="342"/>
      <c r="LE1459" s="13"/>
      <c r="LF1459" s="342"/>
      <c r="LG1459" s="342"/>
      <c r="LH1459" s="342"/>
      <c r="LI1459" s="342"/>
      <c r="LJ1459" s="342"/>
      <c r="LK1459" s="342"/>
      <c r="LL1459" s="342"/>
      <c r="LM1459" s="342"/>
      <c r="LN1459" s="342"/>
      <c r="LO1459" s="342"/>
      <c r="LP1459" s="342"/>
      <c r="LQ1459" s="342"/>
      <c r="LR1459" s="342"/>
      <c r="LS1459" s="342"/>
      <c r="LT1459" s="342"/>
      <c r="LU1459" s="13"/>
    </row>
    <row r="1460" spans="6:333" ht="10.75" customHeight="1">
      <c r="F1460" s="342"/>
      <c r="G1460" s="342"/>
      <c r="H1460" s="342"/>
      <c r="I1460" s="342"/>
      <c r="J1460" s="342"/>
      <c r="K1460" s="342"/>
      <c r="L1460" s="342"/>
      <c r="M1460" s="342"/>
      <c r="N1460" s="342"/>
      <c r="O1460" s="342"/>
      <c r="P1460" s="342"/>
      <c r="Q1460" s="342"/>
      <c r="R1460" s="342"/>
      <c r="S1460" s="342"/>
      <c r="T1460" s="342"/>
      <c r="U1460" s="342"/>
      <c r="V1460" s="342"/>
      <c r="W1460" s="342"/>
      <c r="X1460" s="342"/>
      <c r="Y1460" s="342"/>
      <c r="Z1460" s="342"/>
      <c r="AA1460" s="342"/>
      <c r="AB1460" s="342"/>
      <c r="AC1460" s="342"/>
      <c r="AD1460" s="342"/>
      <c r="AE1460" s="342"/>
      <c r="AF1460" s="342"/>
      <c r="AG1460" s="342"/>
      <c r="AH1460" s="342"/>
      <c r="AI1460" s="342"/>
      <c r="AJ1460" s="342"/>
      <c r="AK1460" s="342"/>
      <c r="AL1460" s="342"/>
      <c r="AM1460" s="342"/>
      <c r="AN1460" s="342"/>
      <c r="AO1460" s="342"/>
      <c r="AP1460" s="342"/>
      <c r="AQ1460" s="342"/>
      <c r="AR1460" s="342"/>
      <c r="AS1460" s="342"/>
      <c r="AT1460" s="342"/>
      <c r="AU1460" s="342"/>
      <c r="AV1460" s="342"/>
      <c r="AW1460" s="342"/>
      <c r="AX1460" s="342"/>
      <c r="AY1460" s="342"/>
      <c r="AZ1460" s="342"/>
      <c r="BA1460" s="342"/>
      <c r="BB1460" s="342"/>
      <c r="BC1460" s="342"/>
      <c r="BD1460" s="342"/>
      <c r="BE1460" s="342"/>
      <c r="BF1460" s="342"/>
      <c r="BG1460" s="342"/>
      <c r="BH1460" s="342"/>
      <c r="BI1460" s="342"/>
      <c r="BJ1460" s="342"/>
      <c r="BK1460" s="342"/>
      <c r="BL1460" s="342"/>
      <c r="BM1460" s="342"/>
      <c r="BN1460" s="342"/>
      <c r="BO1460" s="342"/>
      <c r="BP1460" s="342"/>
      <c r="BQ1460" s="342"/>
      <c r="BR1460" s="342"/>
      <c r="BS1460" s="342"/>
      <c r="BT1460" s="342"/>
      <c r="BU1460" s="342"/>
      <c r="BV1460" s="342"/>
      <c r="BW1460" s="342"/>
      <c r="BX1460" s="342"/>
      <c r="BY1460" s="342"/>
      <c r="BZ1460" s="342"/>
      <c r="CA1460" s="342"/>
      <c r="CB1460" s="342"/>
      <c r="CC1460" s="342"/>
      <c r="CD1460" s="342"/>
      <c r="CE1460" s="342"/>
      <c r="CF1460" s="342"/>
      <c r="CG1460" s="342"/>
      <c r="CH1460" s="342"/>
      <c r="CI1460" s="342"/>
      <c r="CJ1460" s="342"/>
      <c r="CK1460" s="342"/>
      <c r="CL1460" s="342"/>
      <c r="CM1460" s="342"/>
      <c r="CN1460" s="342"/>
      <c r="CO1460" s="342"/>
      <c r="CP1460" s="342"/>
      <c r="CQ1460" s="342"/>
      <c r="CR1460" s="342"/>
      <c r="CS1460" s="342"/>
      <c r="CT1460" s="342"/>
      <c r="CU1460" s="342"/>
      <c r="CV1460" s="342"/>
      <c r="CW1460" s="342"/>
      <c r="CX1460" s="342"/>
      <c r="CY1460" s="342"/>
      <c r="CZ1460" s="342"/>
      <c r="DA1460" s="342"/>
      <c r="DB1460" s="342"/>
      <c r="DC1460" s="342"/>
      <c r="DD1460" s="342"/>
      <c r="DE1460" s="342"/>
      <c r="DF1460" s="342"/>
      <c r="DG1460" s="342"/>
      <c r="DH1460" s="342"/>
      <c r="DI1460" s="342"/>
      <c r="DJ1460" s="342"/>
      <c r="DK1460" s="342"/>
      <c r="DL1460" s="342"/>
      <c r="DM1460" s="342"/>
      <c r="DN1460" s="342"/>
      <c r="DO1460" s="342"/>
      <c r="DP1460" s="342"/>
      <c r="DQ1460" s="342"/>
      <c r="DR1460" s="342"/>
      <c r="DS1460" s="342"/>
      <c r="DT1460" s="342"/>
      <c r="DU1460" s="342"/>
      <c r="FV1460" s="12"/>
      <c r="FW1460" s="342"/>
      <c r="FX1460" s="342"/>
      <c r="FY1460" s="342"/>
      <c r="FZ1460" s="342"/>
      <c r="GA1460" s="342"/>
      <c r="GB1460" s="342"/>
      <c r="GC1460" s="342"/>
      <c r="GD1460" s="342"/>
      <c r="GE1460" s="13"/>
      <c r="GT1460" s="342"/>
      <c r="GU1460" s="342"/>
      <c r="GV1460" s="342"/>
      <c r="GW1460" s="342"/>
      <c r="GX1460" s="12"/>
      <c r="GY1460" s="12"/>
      <c r="GZ1460" s="342"/>
      <c r="HA1460" s="342"/>
      <c r="HB1460" s="342"/>
      <c r="HC1460" s="342"/>
      <c r="HD1460" s="342"/>
      <c r="HE1460" s="342"/>
      <c r="HF1460" s="342"/>
      <c r="HG1460" s="342"/>
      <c r="HH1460" s="342"/>
      <c r="HI1460" s="13"/>
      <c r="HJ1460" s="12"/>
      <c r="HK1460" s="342"/>
      <c r="HL1460" s="342"/>
      <c r="HM1460" s="12"/>
      <c r="HN1460" s="342"/>
      <c r="HO1460" s="342"/>
      <c r="HP1460" s="342"/>
      <c r="HQ1460" s="342"/>
      <c r="HR1460" s="342"/>
      <c r="HS1460" s="342"/>
      <c r="HT1460" s="342"/>
      <c r="HU1460" s="342"/>
      <c r="HV1460" s="342"/>
      <c r="HW1460" s="342"/>
      <c r="HX1460" s="342"/>
      <c r="HY1460" s="342"/>
      <c r="HZ1460" s="342"/>
      <c r="IA1460" s="342"/>
      <c r="IB1460" s="342"/>
      <c r="IC1460" s="342"/>
      <c r="ID1460" s="342"/>
      <c r="IE1460" s="342"/>
      <c r="IF1460" s="342"/>
      <c r="IG1460" s="342"/>
      <c r="IH1460" s="342"/>
      <c r="II1460" s="342"/>
      <c r="IJ1460" s="342"/>
      <c r="IK1460" s="342"/>
      <c r="IL1460" s="342"/>
      <c r="IM1460" s="12"/>
      <c r="IN1460" s="342"/>
      <c r="IO1460" s="342"/>
      <c r="IP1460" s="342"/>
      <c r="IQ1460" s="342"/>
      <c r="IR1460" s="342"/>
      <c r="IS1460" s="342"/>
      <c r="IT1460" s="342"/>
      <c r="IU1460" s="342"/>
      <c r="IV1460" s="342"/>
      <c r="IW1460" s="342"/>
      <c r="IX1460" s="342"/>
      <c r="IY1460" s="342"/>
      <c r="IZ1460" s="342"/>
      <c r="JA1460" s="342"/>
      <c r="JB1460" s="342"/>
      <c r="JC1460" s="342"/>
      <c r="JD1460" s="342"/>
      <c r="JE1460" s="342"/>
      <c r="JF1460" s="342"/>
      <c r="JG1460" s="342"/>
      <c r="JH1460" s="342"/>
      <c r="JI1460" s="342"/>
      <c r="JJ1460" s="342"/>
      <c r="JK1460" s="351"/>
      <c r="JL1460" s="351"/>
      <c r="JM1460" s="351"/>
      <c r="JN1460" s="351"/>
      <c r="JO1460" s="351"/>
      <c r="JP1460" s="351"/>
      <c r="JQ1460" s="351"/>
      <c r="JR1460" s="351"/>
      <c r="JS1460" s="351"/>
      <c r="JT1460" s="351"/>
      <c r="JU1460" s="351"/>
      <c r="JV1460" s="351"/>
      <c r="JW1460" s="351"/>
      <c r="JX1460" s="351"/>
      <c r="JY1460" s="351"/>
      <c r="JZ1460" s="351"/>
      <c r="KA1460" s="351"/>
      <c r="KB1460" s="351"/>
      <c r="KC1460" s="351"/>
      <c r="KD1460" s="351"/>
      <c r="KE1460" s="351"/>
      <c r="KF1460" s="351"/>
      <c r="KG1460" s="351"/>
      <c r="KH1460" s="351"/>
      <c r="KI1460" s="351"/>
      <c r="KJ1460" s="351"/>
      <c r="KK1460" s="351"/>
      <c r="KL1460" s="351"/>
      <c r="KM1460" s="351"/>
      <c r="KN1460" s="351"/>
      <c r="KO1460" s="351"/>
      <c r="KP1460" s="351"/>
      <c r="KQ1460" s="351"/>
      <c r="KR1460" s="351"/>
      <c r="KS1460" s="351"/>
      <c r="KT1460" s="351"/>
      <c r="KU1460" s="351"/>
      <c r="KV1460" s="351"/>
      <c r="KW1460" s="351"/>
      <c r="KX1460" s="351"/>
      <c r="KY1460" s="351"/>
      <c r="KZ1460" s="351"/>
      <c r="LA1460" s="351"/>
      <c r="LB1460" s="343"/>
      <c r="LC1460" s="342"/>
      <c r="LD1460" s="342"/>
      <c r="LE1460" s="13"/>
      <c r="LF1460" s="342"/>
      <c r="LG1460" s="342"/>
      <c r="LH1460" s="342"/>
      <c r="LI1460" s="342"/>
      <c r="LJ1460" s="342"/>
      <c r="LK1460" s="342"/>
      <c r="LL1460" s="342"/>
      <c r="LM1460" s="342"/>
      <c r="LN1460" s="342"/>
      <c r="LO1460" s="342"/>
      <c r="LP1460" s="342"/>
      <c r="LQ1460" s="342"/>
      <c r="LR1460" s="342"/>
      <c r="LS1460" s="342"/>
      <c r="LT1460" s="342"/>
      <c r="LU1460" s="13"/>
    </row>
    <row r="1461" spans="6:333" ht="10.75" customHeight="1">
      <c r="F1461" s="342"/>
      <c r="G1461" s="342"/>
      <c r="H1461" s="342"/>
      <c r="I1461" s="342"/>
      <c r="J1461" s="342"/>
      <c r="K1461" s="342"/>
      <c r="L1461" s="342"/>
      <c r="M1461" s="342"/>
      <c r="N1461" s="342"/>
      <c r="O1461" s="342"/>
      <c r="P1461" s="342"/>
      <c r="Q1461" s="342"/>
      <c r="R1461" s="342"/>
      <c r="S1461" s="342"/>
      <c r="T1461" s="342"/>
      <c r="U1461" s="342"/>
      <c r="V1461" s="342"/>
      <c r="W1461" s="342"/>
      <c r="X1461" s="342"/>
      <c r="Y1461" s="342"/>
      <c r="Z1461" s="342"/>
      <c r="AA1461" s="342"/>
      <c r="AB1461" s="342"/>
      <c r="AC1461" s="342"/>
      <c r="AD1461" s="342"/>
      <c r="AE1461" s="342"/>
      <c r="AF1461" s="342"/>
      <c r="AG1461" s="342"/>
      <c r="AH1461" s="342"/>
      <c r="AI1461" s="342"/>
      <c r="AJ1461" s="342"/>
      <c r="AK1461" s="342"/>
      <c r="AL1461" s="342"/>
      <c r="AM1461" s="342"/>
      <c r="AN1461" s="342"/>
      <c r="AO1461" s="342"/>
      <c r="AP1461" s="342"/>
      <c r="AQ1461" s="342"/>
      <c r="AR1461" s="342"/>
      <c r="AS1461" s="342"/>
      <c r="AT1461" s="342"/>
      <c r="AU1461" s="342"/>
      <c r="AV1461" s="342"/>
      <c r="AW1461" s="342"/>
      <c r="AX1461" s="342"/>
      <c r="AY1461" s="342"/>
      <c r="AZ1461" s="342"/>
      <c r="BA1461" s="342"/>
      <c r="BB1461" s="342"/>
      <c r="BC1461" s="342"/>
      <c r="BD1461" s="342"/>
      <c r="BE1461" s="342"/>
      <c r="BF1461" s="342"/>
      <c r="BG1461" s="342"/>
      <c r="BH1461" s="342"/>
      <c r="BI1461" s="342"/>
      <c r="BJ1461" s="342"/>
      <c r="BK1461" s="342"/>
      <c r="BL1461" s="342"/>
      <c r="BM1461" s="342"/>
      <c r="BN1461" s="342"/>
      <c r="BO1461" s="342"/>
      <c r="BP1461" s="342"/>
      <c r="BQ1461" s="342"/>
      <c r="BR1461" s="342"/>
      <c r="BS1461" s="342"/>
      <c r="BT1461" s="342"/>
      <c r="BU1461" s="342"/>
      <c r="BV1461" s="342"/>
      <c r="BW1461" s="342"/>
      <c r="BX1461" s="342"/>
      <c r="BY1461" s="342"/>
      <c r="BZ1461" s="342"/>
      <c r="CA1461" s="342"/>
      <c r="CB1461" s="342"/>
      <c r="CC1461" s="342"/>
      <c r="CD1461" s="342"/>
      <c r="CE1461" s="342"/>
      <c r="CF1461" s="342"/>
      <c r="CG1461" s="342"/>
      <c r="CH1461" s="342"/>
      <c r="CI1461" s="342"/>
      <c r="CJ1461" s="342"/>
      <c r="CK1461" s="342"/>
      <c r="CL1461" s="342"/>
      <c r="CM1461" s="342"/>
      <c r="CN1461" s="342"/>
      <c r="CO1461" s="342"/>
      <c r="CP1461" s="342"/>
      <c r="CQ1461" s="342"/>
      <c r="CR1461" s="342"/>
      <c r="CS1461" s="342"/>
      <c r="CT1461" s="342"/>
      <c r="CU1461" s="342"/>
      <c r="CV1461" s="342"/>
      <c r="CW1461" s="342"/>
      <c r="CX1461" s="342"/>
      <c r="CY1461" s="342"/>
      <c r="CZ1461" s="342"/>
      <c r="DA1461" s="342"/>
      <c r="DB1461" s="342"/>
      <c r="DC1461" s="342"/>
      <c r="DD1461" s="342"/>
      <c r="DE1461" s="342"/>
      <c r="DF1461" s="342"/>
      <c r="DG1461" s="342"/>
      <c r="DH1461" s="342"/>
      <c r="DI1461" s="342"/>
      <c r="DJ1461" s="342"/>
      <c r="DK1461" s="342"/>
      <c r="DL1461" s="342"/>
      <c r="DM1461" s="342"/>
      <c r="DN1461" s="342"/>
      <c r="DO1461" s="342"/>
      <c r="DP1461" s="342"/>
      <c r="DQ1461" s="342"/>
      <c r="DR1461" s="342"/>
      <c r="DS1461" s="342"/>
      <c r="DT1461" s="342"/>
      <c r="DU1461" s="342"/>
      <c r="FV1461" s="9"/>
      <c r="FW1461" s="10"/>
      <c r="FX1461" s="10"/>
      <c r="FY1461" s="10"/>
      <c r="FZ1461" s="10"/>
      <c r="GA1461" s="10"/>
      <c r="GB1461" s="10"/>
      <c r="GC1461" s="10"/>
      <c r="GD1461" s="10"/>
      <c r="GE1461" s="11"/>
      <c r="GT1461" s="342"/>
      <c r="GU1461" s="342"/>
      <c r="GV1461" s="342"/>
      <c r="GW1461" s="342"/>
      <c r="GX1461" s="12"/>
      <c r="GY1461" s="12"/>
      <c r="GZ1461" s="342"/>
      <c r="HA1461" s="342"/>
      <c r="HB1461" s="342"/>
      <c r="HC1461" s="342"/>
      <c r="HD1461" s="342"/>
      <c r="HE1461" s="342"/>
      <c r="HF1461" s="342"/>
      <c r="HG1461" s="342"/>
      <c r="HH1461" s="342"/>
      <c r="HI1461" s="13"/>
      <c r="HJ1461" s="12"/>
      <c r="HK1461" s="342"/>
      <c r="HL1461" s="342"/>
      <c r="HM1461" s="12"/>
      <c r="HN1461" s="342"/>
      <c r="HO1461" s="342"/>
      <c r="HP1461" s="342"/>
      <c r="HQ1461" s="342"/>
      <c r="HR1461" s="342"/>
      <c r="HS1461" s="342"/>
      <c r="HT1461" s="342"/>
      <c r="HU1461" s="342"/>
      <c r="HV1461" s="342"/>
      <c r="HW1461" s="342"/>
      <c r="HX1461" s="342"/>
      <c r="HY1461" s="342"/>
      <c r="HZ1461" s="342"/>
      <c r="IA1461" s="342"/>
      <c r="IB1461" s="342"/>
      <c r="IC1461" s="342"/>
      <c r="ID1461" s="342"/>
      <c r="IE1461" s="342"/>
      <c r="IF1461" s="342"/>
      <c r="IG1461" s="342"/>
      <c r="IH1461" s="342"/>
      <c r="II1461" s="342"/>
      <c r="IJ1461" s="342"/>
      <c r="IK1461" s="342"/>
      <c r="IL1461" s="342"/>
      <c r="IM1461" s="12"/>
      <c r="IN1461" s="342"/>
      <c r="IO1461" s="342"/>
      <c r="IP1461" s="342"/>
      <c r="IQ1461" s="342"/>
      <c r="IR1461" s="342"/>
      <c r="IS1461" s="342"/>
      <c r="IT1461" s="342"/>
      <c r="IU1461" s="342"/>
      <c r="IV1461" s="342"/>
      <c r="IW1461" s="342"/>
      <c r="IX1461" s="342"/>
      <c r="IY1461" s="342"/>
      <c r="IZ1461" s="342"/>
      <c r="JA1461" s="342"/>
      <c r="JB1461" s="342"/>
      <c r="JC1461" s="342"/>
      <c r="JD1461" s="342"/>
      <c r="JE1461" s="342"/>
      <c r="JF1461" s="342"/>
      <c r="JG1461" s="342"/>
      <c r="JH1461" s="342"/>
      <c r="JI1461" s="342"/>
      <c r="JJ1461" s="342"/>
      <c r="JK1461" s="351"/>
      <c r="JL1461" s="351"/>
      <c r="JM1461" s="351"/>
      <c r="JN1461" s="351"/>
      <c r="JO1461" s="351"/>
      <c r="JP1461" s="351"/>
      <c r="JQ1461" s="351"/>
      <c r="JR1461" s="351"/>
      <c r="JS1461" s="351"/>
      <c r="JT1461" s="351"/>
      <c r="JU1461" s="351"/>
      <c r="JV1461" s="351"/>
      <c r="JW1461" s="351"/>
      <c r="JX1461" s="351"/>
      <c r="JY1461" s="351"/>
      <c r="JZ1461" s="351"/>
      <c r="KA1461" s="351"/>
      <c r="KB1461" s="351"/>
      <c r="KC1461" s="351"/>
      <c r="KD1461" s="351"/>
      <c r="KE1461" s="351"/>
      <c r="KF1461" s="351"/>
      <c r="KG1461" s="351"/>
      <c r="KH1461" s="351"/>
      <c r="KI1461" s="351"/>
      <c r="KJ1461" s="351"/>
      <c r="KK1461" s="351"/>
      <c r="KL1461" s="351"/>
      <c r="KM1461" s="351"/>
      <c r="KN1461" s="351"/>
      <c r="KO1461" s="351"/>
      <c r="KP1461" s="351"/>
      <c r="KQ1461" s="351"/>
      <c r="KR1461" s="351"/>
      <c r="KS1461" s="351"/>
      <c r="KT1461" s="351"/>
      <c r="KU1461" s="351"/>
      <c r="KV1461" s="351"/>
      <c r="KW1461" s="351"/>
      <c r="KX1461" s="351"/>
      <c r="KY1461" s="351"/>
      <c r="KZ1461" s="351"/>
      <c r="LA1461" s="351"/>
      <c r="LB1461" s="343"/>
      <c r="LC1461" s="342"/>
      <c r="LD1461" s="342"/>
      <c r="LE1461" s="13"/>
      <c r="LF1461" s="342"/>
      <c r="LG1461" s="342"/>
      <c r="LH1461" s="342"/>
      <c r="LI1461" s="342"/>
      <c r="LJ1461" s="342"/>
      <c r="LK1461" s="342"/>
      <c r="LL1461" s="342"/>
      <c r="LM1461" s="342"/>
      <c r="LN1461" s="342"/>
      <c r="LO1461" s="342"/>
      <c r="LP1461" s="342"/>
      <c r="LQ1461" s="342"/>
      <c r="LR1461" s="342"/>
      <c r="LS1461" s="342"/>
      <c r="LT1461" s="342"/>
      <c r="LU1461" s="13"/>
    </row>
    <row r="1462" spans="6:333" ht="10.75" customHeight="1">
      <c r="F1462" s="342"/>
      <c r="G1462" s="342"/>
      <c r="H1462" s="342"/>
      <c r="I1462" s="342"/>
      <c r="J1462" s="342"/>
      <c r="K1462" s="342"/>
      <c r="L1462" s="342"/>
      <c r="M1462" s="342"/>
      <c r="N1462" s="342"/>
      <c r="O1462" s="342"/>
      <c r="P1462" s="342"/>
      <c r="Q1462" s="342"/>
      <c r="R1462" s="342"/>
      <c r="S1462" s="342"/>
      <c r="T1462" s="342"/>
      <c r="U1462" s="342"/>
      <c r="V1462" s="342"/>
      <c r="W1462" s="342"/>
      <c r="X1462" s="342"/>
      <c r="Y1462" s="342"/>
      <c r="Z1462" s="342"/>
      <c r="AA1462" s="342"/>
      <c r="AB1462" s="342"/>
      <c r="AC1462" s="342"/>
      <c r="AD1462" s="342"/>
      <c r="AE1462" s="342"/>
      <c r="AF1462" s="342"/>
      <c r="AG1462" s="342"/>
      <c r="AH1462" s="342"/>
      <c r="AI1462" s="342"/>
      <c r="AJ1462" s="342"/>
      <c r="AK1462" s="342"/>
      <c r="AL1462" s="342"/>
      <c r="AM1462" s="342"/>
      <c r="AN1462" s="342"/>
      <c r="AO1462" s="342"/>
      <c r="AP1462" s="342"/>
      <c r="AQ1462" s="342"/>
      <c r="AR1462" s="342"/>
      <c r="AS1462" s="342"/>
      <c r="AT1462" s="342"/>
      <c r="AU1462" s="342"/>
      <c r="AV1462" s="342"/>
      <c r="AW1462" s="342"/>
      <c r="AX1462" s="342"/>
      <c r="AY1462" s="342"/>
      <c r="AZ1462" s="342"/>
      <c r="BA1462" s="342"/>
      <c r="BB1462" s="342"/>
      <c r="BC1462" s="342"/>
      <c r="BD1462" s="342"/>
      <c r="BE1462" s="342"/>
      <c r="BF1462" s="342"/>
      <c r="BG1462" s="342"/>
      <c r="BH1462" s="342"/>
      <c r="BI1462" s="342"/>
      <c r="BJ1462" s="342"/>
      <c r="BK1462" s="342"/>
      <c r="BL1462" s="342"/>
      <c r="BM1462" s="342"/>
      <c r="BN1462" s="342"/>
      <c r="BO1462" s="342"/>
      <c r="BP1462" s="342"/>
      <c r="BQ1462" s="342"/>
      <c r="BR1462" s="342"/>
      <c r="BS1462" s="342"/>
      <c r="BT1462" s="342"/>
      <c r="BU1462" s="342"/>
      <c r="BV1462" s="342"/>
      <c r="BW1462" s="342"/>
      <c r="BX1462" s="342"/>
      <c r="BY1462" s="342"/>
      <c r="BZ1462" s="342"/>
      <c r="CA1462" s="342"/>
      <c r="CB1462" s="342"/>
      <c r="CC1462" s="342"/>
      <c r="CD1462" s="342"/>
      <c r="CE1462" s="342"/>
      <c r="CF1462" s="342"/>
      <c r="CG1462" s="342"/>
      <c r="CH1462" s="342"/>
      <c r="CI1462" s="342"/>
      <c r="CJ1462" s="342"/>
      <c r="CK1462" s="342"/>
      <c r="CL1462" s="342"/>
      <c r="CM1462" s="342"/>
      <c r="CN1462" s="342"/>
      <c r="CO1462" s="342"/>
      <c r="CP1462" s="342"/>
      <c r="CQ1462" s="342"/>
      <c r="CR1462" s="342"/>
      <c r="CS1462" s="342"/>
      <c r="CT1462" s="342"/>
      <c r="CU1462" s="342"/>
      <c r="CV1462" s="342"/>
      <c r="CW1462" s="342"/>
      <c r="CX1462" s="342"/>
      <c r="CY1462" s="342"/>
      <c r="CZ1462" s="342"/>
      <c r="DA1462" s="342"/>
      <c r="DB1462" s="342"/>
      <c r="DC1462" s="342"/>
      <c r="DD1462" s="342"/>
      <c r="DE1462" s="342"/>
      <c r="DF1462" s="342"/>
      <c r="DG1462" s="342"/>
      <c r="DH1462" s="342"/>
      <c r="DI1462" s="342"/>
      <c r="DJ1462" s="342"/>
      <c r="DK1462" s="342"/>
      <c r="DL1462" s="342"/>
      <c r="DM1462" s="342"/>
      <c r="DN1462" s="342"/>
      <c r="DO1462" s="342"/>
      <c r="DP1462" s="342"/>
      <c r="DQ1462" s="342"/>
      <c r="DR1462" s="342"/>
      <c r="DS1462" s="342"/>
      <c r="DT1462" s="342"/>
      <c r="DU1462" s="342"/>
      <c r="FV1462" s="12"/>
      <c r="FW1462" s="342"/>
      <c r="FX1462" s="342"/>
      <c r="FY1462" s="342"/>
      <c r="FZ1462" s="342"/>
      <c r="GA1462" s="342"/>
      <c r="GB1462" s="342"/>
      <c r="GC1462" s="342"/>
      <c r="GD1462" s="342"/>
      <c r="GE1462" s="13"/>
      <c r="GT1462" s="342"/>
      <c r="GU1462" s="342"/>
      <c r="GV1462" s="342"/>
      <c r="GW1462" s="342"/>
      <c r="GX1462" s="12"/>
      <c r="GY1462" s="12"/>
      <c r="GZ1462" s="342"/>
      <c r="HA1462" s="342"/>
      <c r="HB1462" s="342"/>
      <c r="HC1462" s="342"/>
      <c r="HD1462" s="342"/>
      <c r="HE1462" s="342"/>
      <c r="HF1462" s="342"/>
      <c r="HG1462" s="342"/>
      <c r="HH1462" s="342"/>
      <c r="HI1462" s="13"/>
      <c r="HJ1462" s="12"/>
      <c r="HK1462" s="342"/>
      <c r="HL1462" s="342"/>
      <c r="HM1462" s="12"/>
      <c r="HN1462" s="342"/>
      <c r="HO1462" s="342"/>
      <c r="HP1462" s="342"/>
      <c r="HQ1462" s="342"/>
      <c r="HR1462" s="342"/>
      <c r="HS1462" s="342"/>
      <c r="HT1462" s="342"/>
      <c r="HU1462" s="342"/>
      <c r="HV1462" s="342"/>
      <c r="HW1462" s="342"/>
      <c r="HX1462" s="342"/>
      <c r="HY1462" s="342"/>
      <c r="HZ1462" s="342"/>
      <c r="IA1462" s="342"/>
      <c r="IB1462" s="342"/>
      <c r="IC1462" s="342"/>
      <c r="ID1462" s="342"/>
      <c r="IE1462" s="342"/>
      <c r="IF1462" s="342"/>
      <c r="IG1462" s="342"/>
      <c r="IH1462" s="342"/>
      <c r="II1462" s="342"/>
      <c r="IJ1462" s="342"/>
      <c r="IK1462" s="342"/>
      <c r="IL1462" s="342"/>
      <c r="IM1462" s="12"/>
      <c r="IN1462" s="342"/>
      <c r="IO1462" s="342"/>
      <c r="IP1462" s="342"/>
      <c r="IQ1462" s="342"/>
      <c r="IR1462" s="342"/>
      <c r="IS1462" s="342"/>
      <c r="IT1462" s="342"/>
      <c r="IU1462" s="342"/>
      <c r="IV1462" s="342"/>
      <c r="IW1462" s="342"/>
      <c r="IX1462" s="342"/>
      <c r="IY1462" s="342"/>
      <c r="IZ1462" s="342"/>
      <c r="JA1462" s="342"/>
      <c r="JB1462" s="342"/>
      <c r="JC1462" s="342"/>
      <c r="JD1462" s="342"/>
      <c r="JE1462" s="342"/>
      <c r="JF1462" s="342"/>
      <c r="JG1462" s="342"/>
      <c r="JH1462" s="342"/>
      <c r="JI1462" s="342"/>
      <c r="JJ1462" s="342"/>
      <c r="JK1462" s="351"/>
      <c r="JL1462" s="351"/>
      <c r="JM1462" s="351"/>
      <c r="JN1462" s="351"/>
      <c r="JO1462" s="351"/>
      <c r="JP1462" s="351"/>
      <c r="JQ1462" s="351"/>
      <c r="JR1462" s="351"/>
      <c r="JS1462" s="351"/>
      <c r="JT1462" s="351"/>
      <c r="JU1462" s="351"/>
      <c r="JV1462" s="351"/>
      <c r="JW1462" s="351"/>
      <c r="JX1462" s="351"/>
      <c r="JY1462" s="351"/>
      <c r="JZ1462" s="351"/>
      <c r="KA1462" s="351"/>
      <c r="KB1462" s="351"/>
      <c r="KC1462" s="351"/>
      <c r="KD1462" s="351"/>
      <c r="KE1462" s="351"/>
      <c r="KF1462" s="351"/>
      <c r="KG1462" s="351"/>
      <c r="KH1462" s="351"/>
      <c r="KI1462" s="351"/>
      <c r="KJ1462" s="351"/>
      <c r="KK1462" s="351"/>
      <c r="KL1462" s="351"/>
      <c r="KM1462" s="351"/>
      <c r="KN1462" s="351"/>
      <c r="KO1462" s="351"/>
      <c r="KP1462" s="351"/>
      <c r="KQ1462" s="351"/>
      <c r="KR1462" s="351"/>
      <c r="KS1462" s="351"/>
      <c r="KT1462" s="351"/>
      <c r="KU1462" s="351"/>
      <c r="KV1462" s="351"/>
      <c r="KW1462" s="351"/>
      <c r="KX1462" s="351"/>
      <c r="KY1462" s="351"/>
      <c r="KZ1462" s="351"/>
      <c r="LA1462" s="351"/>
      <c r="LB1462" s="343"/>
      <c r="LC1462" s="342"/>
      <c r="LD1462" s="342"/>
      <c r="LE1462" s="13"/>
      <c r="LF1462" s="342"/>
      <c r="LG1462" s="342"/>
      <c r="LH1462" s="342"/>
      <c r="LI1462" s="342"/>
      <c r="LJ1462" s="342"/>
      <c r="LK1462" s="342"/>
      <c r="LL1462" s="342"/>
      <c r="LM1462" s="342"/>
      <c r="LN1462" s="342"/>
      <c r="LO1462" s="342"/>
      <c r="LP1462" s="342"/>
      <c r="LQ1462" s="342"/>
      <c r="LR1462" s="342"/>
      <c r="LS1462" s="342"/>
      <c r="LT1462" s="342"/>
      <c r="LU1462" s="13"/>
    </row>
    <row r="1463" spans="6:333" ht="10.75" customHeight="1">
      <c r="F1463" s="342"/>
      <c r="G1463" s="342"/>
      <c r="H1463" s="342"/>
      <c r="I1463" s="342"/>
      <c r="J1463" s="342"/>
      <c r="K1463" s="342"/>
      <c r="L1463" s="342"/>
      <c r="M1463" s="342"/>
      <c r="N1463" s="342"/>
      <c r="O1463" s="342"/>
      <c r="P1463" s="342"/>
      <c r="Q1463" s="342"/>
      <c r="R1463" s="342"/>
      <c r="S1463" s="342"/>
      <c r="T1463" s="342"/>
      <c r="U1463" s="342"/>
      <c r="V1463" s="342"/>
      <c r="W1463" s="342"/>
      <c r="X1463" s="342"/>
      <c r="Y1463" s="342"/>
      <c r="Z1463" s="342"/>
      <c r="AA1463" s="342"/>
      <c r="AB1463" s="342"/>
      <c r="AC1463" s="342"/>
      <c r="AD1463" s="342"/>
      <c r="AE1463" s="342"/>
      <c r="AF1463" s="342"/>
      <c r="AG1463" s="342"/>
      <c r="AH1463" s="342"/>
      <c r="AI1463" s="342"/>
      <c r="AJ1463" s="342"/>
      <c r="AK1463" s="342"/>
      <c r="AL1463" s="342"/>
      <c r="AM1463" s="342"/>
      <c r="AN1463" s="342"/>
      <c r="AO1463" s="342"/>
      <c r="AP1463" s="342"/>
      <c r="AQ1463" s="342"/>
      <c r="AR1463" s="342"/>
      <c r="AS1463" s="342"/>
      <c r="AT1463" s="342"/>
      <c r="AU1463" s="342"/>
      <c r="AV1463" s="342"/>
      <c r="AW1463" s="342"/>
      <c r="AX1463" s="342"/>
      <c r="AY1463" s="342"/>
      <c r="AZ1463" s="342"/>
      <c r="BA1463" s="342"/>
      <c r="BB1463" s="342"/>
      <c r="BC1463" s="342"/>
      <c r="BD1463" s="342"/>
      <c r="BE1463" s="342"/>
      <c r="BF1463" s="342"/>
      <c r="BG1463" s="342"/>
      <c r="BH1463" s="342"/>
      <c r="BI1463" s="342"/>
      <c r="BJ1463" s="342"/>
      <c r="BK1463" s="342"/>
      <c r="BL1463" s="342"/>
      <c r="BM1463" s="342"/>
      <c r="BN1463" s="342"/>
      <c r="BO1463" s="342"/>
      <c r="BP1463" s="342"/>
      <c r="BQ1463" s="342"/>
      <c r="BR1463" s="342"/>
      <c r="BS1463" s="342"/>
      <c r="BT1463" s="342"/>
      <c r="BU1463" s="342"/>
      <c r="BV1463" s="342"/>
      <c r="BW1463" s="342"/>
      <c r="BX1463" s="342"/>
      <c r="BY1463" s="342"/>
      <c r="BZ1463" s="342"/>
      <c r="CA1463" s="342"/>
      <c r="CB1463" s="342"/>
      <c r="CC1463" s="342"/>
      <c r="CD1463" s="342"/>
      <c r="CE1463" s="342"/>
      <c r="CF1463" s="342"/>
      <c r="CG1463" s="342"/>
      <c r="CH1463" s="342"/>
      <c r="CI1463" s="342"/>
      <c r="CJ1463" s="342"/>
      <c r="CK1463" s="342"/>
      <c r="CL1463" s="342"/>
      <c r="CM1463" s="342"/>
      <c r="CN1463" s="342"/>
      <c r="CO1463" s="342"/>
      <c r="CP1463" s="342"/>
      <c r="CQ1463" s="342"/>
      <c r="CR1463" s="342"/>
      <c r="CS1463" s="342"/>
      <c r="CT1463" s="342"/>
      <c r="CU1463" s="342"/>
      <c r="CV1463" s="342"/>
      <c r="CW1463" s="342"/>
      <c r="CX1463" s="342"/>
      <c r="CY1463" s="342"/>
      <c r="CZ1463" s="342"/>
      <c r="DA1463" s="342"/>
      <c r="DB1463" s="342"/>
      <c r="DC1463" s="342"/>
      <c r="DD1463" s="342"/>
      <c r="DE1463" s="342"/>
      <c r="DF1463" s="342"/>
      <c r="DG1463" s="342"/>
      <c r="DH1463" s="342"/>
      <c r="DI1463" s="342"/>
      <c r="DJ1463" s="342"/>
      <c r="DK1463" s="342"/>
      <c r="DL1463" s="342"/>
      <c r="DM1463" s="342"/>
      <c r="DN1463" s="342"/>
      <c r="DO1463" s="342"/>
      <c r="DP1463" s="342"/>
      <c r="DQ1463" s="342"/>
      <c r="DR1463" s="342"/>
      <c r="DS1463" s="342"/>
      <c r="DT1463" s="342"/>
      <c r="DU1463" s="342"/>
      <c r="FV1463" s="12"/>
      <c r="FW1463" s="342"/>
      <c r="FX1463" s="342"/>
      <c r="FY1463" s="342"/>
      <c r="FZ1463" s="342"/>
      <c r="GA1463" s="342"/>
      <c r="GB1463" s="342"/>
      <c r="GC1463" s="342"/>
      <c r="GD1463" s="342"/>
      <c r="GE1463" s="13"/>
      <c r="GT1463" s="342"/>
      <c r="GU1463" s="342"/>
      <c r="GV1463" s="342"/>
      <c r="GW1463" s="342"/>
      <c r="GX1463" s="12"/>
      <c r="GY1463" s="12"/>
      <c r="GZ1463" s="342"/>
      <c r="HA1463" s="342"/>
      <c r="HB1463" s="342"/>
      <c r="HC1463" s="342"/>
      <c r="HD1463" s="342"/>
      <c r="HE1463" s="342"/>
      <c r="HF1463" s="342"/>
      <c r="HG1463" s="342"/>
      <c r="HH1463" s="342"/>
      <c r="HI1463" s="13"/>
      <c r="HJ1463" s="347"/>
      <c r="HK1463" s="351"/>
      <c r="HL1463" s="351"/>
      <c r="HM1463" s="12"/>
      <c r="HN1463" s="342"/>
      <c r="HO1463" s="342"/>
      <c r="HP1463" s="342"/>
      <c r="HQ1463" s="342"/>
      <c r="HR1463" s="342"/>
      <c r="HS1463" s="342"/>
      <c r="HT1463" s="342"/>
      <c r="HU1463" s="15"/>
      <c r="HV1463" s="15"/>
      <c r="HW1463" s="15"/>
      <c r="HX1463" s="15"/>
      <c r="HY1463" s="15"/>
      <c r="HZ1463" s="15"/>
      <c r="IA1463" s="15"/>
      <c r="IB1463" s="15"/>
      <c r="IC1463" s="15"/>
      <c r="ID1463" s="15"/>
      <c r="IE1463" s="15"/>
      <c r="IF1463" s="15"/>
      <c r="IG1463" s="15"/>
      <c r="IH1463" s="15"/>
      <c r="II1463" s="15"/>
      <c r="IJ1463" s="15"/>
      <c r="IK1463" s="15"/>
      <c r="IL1463" s="15"/>
      <c r="IM1463" s="12"/>
      <c r="IN1463" s="342"/>
      <c r="IO1463" s="342"/>
      <c r="IP1463" s="342"/>
      <c r="IQ1463" s="342"/>
      <c r="IR1463" s="342"/>
      <c r="IS1463" s="342"/>
      <c r="IT1463" s="342"/>
      <c r="IU1463" s="342"/>
      <c r="IV1463" s="342"/>
      <c r="IW1463" s="342"/>
      <c r="IX1463" s="342"/>
      <c r="IY1463" s="342"/>
      <c r="IZ1463" s="342"/>
      <c r="JA1463" s="342"/>
      <c r="JB1463" s="342"/>
      <c r="JC1463" s="342"/>
      <c r="JD1463" s="342"/>
      <c r="JE1463" s="342"/>
      <c r="JF1463" s="342"/>
      <c r="JG1463" s="342"/>
      <c r="JH1463" s="342"/>
      <c r="JI1463" s="342"/>
      <c r="JJ1463" s="342"/>
      <c r="JK1463" s="351"/>
      <c r="JL1463" s="351"/>
      <c r="JM1463" s="351"/>
      <c r="JN1463" s="351"/>
      <c r="JO1463" s="351"/>
      <c r="JP1463" s="351"/>
      <c r="JQ1463" s="351"/>
      <c r="JR1463" s="351"/>
      <c r="JS1463" s="351"/>
      <c r="JT1463" s="351"/>
      <c r="JU1463" s="351"/>
      <c r="JV1463" s="351"/>
      <c r="JW1463" s="351"/>
      <c r="JX1463" s="351"/>
      <c r="JY1463" s="351"/>
      <c r="JZ1463" s="351"/>
      <c r="KA1463" s="351"/>
      <c r="KB1463" s="351"/>
      <c r="KC1463" s="351"/>
      <c r="KD1463" s="351"/>
      <c r="KE1463" s="351"/>
      <c r="KF1463" s="351"/>
      <c r="KG1463" s="351"/>
      <c r="KH1463" s="351"/>
      <c r="KI1463" s="351"/>
      <c r="KJ1463" s="351"/>
      <c r="KK1463" s="351"/>
      <c r="KL1463" s="351"/>
      <c r="KM1463" s="351"/>
      <c r="KN1463" s="351"/>
      <c r="KO1463" s="351"/>
      <c r="KP1463" s="351"/>
      <c r="KQ1463" s="351"/>
      <c r="KR1463" s="351"/>
      <c r="KS1463" s="351"/>
      <c r="KT1463" s="351"/>
      <c r="KU1463" s="351"/>
      <c r="KV1463" s="351"/>
      <c r="KW1463" s="351"/>
      <c r="KX1463" s="351"/>
      <c r="KY1463" s="351"/>
      <c r="KZ1463" s="351"/>
      <c r="LA1463" s="351"/>
      <c r="LB1463" s="343"/>
      <c r="LC1463" s="342"/>
      <c r="LD1463" s="342"/>
      <c r="LE1463" s="13"/>
      <c r="LF1463" s="342"/>
      <c r="LG1463" s="342"/>
      <c r="LH1463" s="342"/>
      <c r="LI1463" s="342"/>
      <c r="LJ1463" s="342"/>
      <c r="LK1463" s="342"/>
      <c r="LL1463" s="342"/>
      <c r="LM1463" s="342"/>
      <c r="LN1463" s="342"/>
      <c r="LO1463" s="342"/>
      <c r="LP1463" s="342"/>
      <c r="LQ1463" s="342"/>
      <c r="LR1463" s="342"/>
      <c r="LS1463" s="342"/>
      <c r="LT1463" s="342"/>
      <c r="LU1463" s="13"/>
    </row>
    <row r="1464" spans="6:333" ht="10.75" customHeight="1">
      <c r="F1464" s="342"/>
      <c r="G1464" s="342"/>
      <c r="H1464" s="342"/>
      <c r="I1464" s="342"/>
      <c r="J1464" s="342"/>
      <c r="K1464" s="342"/>
      <c r="L1464" s="342"/>
      <c r="M1464" s="342"/>
      <c r="N1464" s="342"/>
      <c r="O1464" s="342"/>
      <c r="P1464" s="342"/>
      <c r="Q1464" s="342"/>
      <c r="R1464" s="342"/>
      <c r="S1464" s="342"/>
      <c r="T1464" s="342"/>
      <c r="U1464" s="342"/>
      <c r="V1464" s="342"/>
      <c r="W1464" s="342"/>
      <c r="X1464" s="342"/>
      <c r="Y1464" s="342"/>
      <c r="Z1464" s="342"/>
      <c r="AA1464" s="342"/>
      <c r="AB1464" s="342"/>
      <c r="AC1464" s="342"/>
      <c r="AD1464" s="342"/>
      <c r="AE1464" s="342"/>
      <c r="AF1464" s="342"/>
      <c r="AG1464" s="342"/>
      <c r="AH1464" s="342"/>
      <c r="AI1464" s="342"/>
      <c r="AJ1464" s="342"/>
      <c r="AK1464" s="342"/>
      <c r="AL1464" s="342"/>
      <c r="AM1464" s="342"/>
      <c r="AN1464" s="342"/>
      <c r="AO1464" s="342"/>
      <c r="AP1464" s="342"/>
      <c r="AQ1464" s="342"/>
      <c r="AR1464" s="342"/>
      <c r="AS1464" s="342"/>
      <c r="AT1464" s="342"/>
      <c r="AU1464" s="342"/>
      <c r="AV1464" s="342"/>
      <c r="AW1464" s="342"/>
      <c r="AX1464" s="342"/>
      <c r="AY1464" s="342"/>
      <c r="AZ1464" s="342"/>
      <c r="BA1464" s="342"/>
      <c r="BB1464" s="342"/>
      <c r="BC1464" s="342"/>
      <c r="BD1464" s="342"/>
      <c r="BE1464" s="342"/>
      <c r="BF1464" s="342"/>
      <c r="BG1464" s="342"/>
      <c r="BH1464" s="342"/>
      <c r="BI1464" s="342"/>
      <c r="BJ1464" s="342"/>
      <c r="BK1464" s="342"/>
      <c r="BL1464" s="342"/>
      <c r="BM1464" s="342"/>
      <c r="BN1464" s="342"/>
      <c r="BO1464" s="342"/>
      <c r="BP1464" s="342"/>
      <c r="BQ1464" s="342"/>
      <c r="BR1464" s="342"/>
      <c r="BS1464" s="342"/>
      <c r="BT1464" s="342"/>
      <c r="BU1464" s="342"/>
      <c r="BV1464" s="342"/>
      <c r="BW1464" s="342"/>
      <c r="BX1464" s="342"/>
      <c r="BY1464" s="342"/>
      <c r="BZ1464" s="342"/>
      <c r="CA1464" s="342"/>
      <c r="CB1464" s="342"/>
      <c r="CC1464" s="342"/>
      <c r="CD1464" s="342"/>
      <c r="CE1464" s="342"/>
      <c r="CF1464" s="342"/>
      <c r="CG1464" s="342"/>
      <c r="CH1464" s="342"/>
      <c r="CI1464" s="342"/>
      <c r="CJ1464" s="342"/>
      <c r="CK1464" s="342"/>
      <c r="CL1464" s="342"/>
      <c r="CM1464" s="342"/>
      <c r="CN1464" s="342"/>
      <c r="CO1464" s="342"/>
      <c r="CP1464" s="342"/>
      <c r="CQ1464" s="342"/>
      <c r="CR1464" s="342"/>
      <c r="CS1464" s="342"/>
      <c r="CT1464" s="342"/>
      <c r="CU1464" s="342"/>
      <c r="CV1464" s="342"/>
      <c r="CW1464" s="342"/>
      <c r="CX1464" s="342"/>
      <c r="CY1464" s="342"/>
      <c r="CZ1464" s="342"/>
      <c r="DA1464" s="342"/>
      <c r="DB1464" s="342"/>
      <c r="DC1464" s="342"/>
      <c r="DD1464" s="342"/>
      <c r="DE1464" s="342"/>
      <c r="DF1464" s="342"/>
      <c r="DG1464" s="342"/>
      <c r="DH1464" s="342"/>
      <c r="DI1464" s="342"/>
      <c r="DJ1464" s="342"/>
      <c r="DK1464" s="342"/>
      <c r="DL1464" s="342"/>
      <c r="DM1464" s="342"/>
      <c r="DN1464" s="342"/>
      <c r="DO1464" s="342"/>
      <c r="DP1464" s="342"/>
      <c r="DQ1464" s="342"/>
      <c r="DR1464" s="342"/>
      <c r="DS1464" s="342"/>
      <c r="DT1464" s="342"/>
      <c r="DU1464" s="342"/>
      <c r="FV1464" s="14"/>
      <c r="FW1464" s="15"/>
      <c r="FX1464" s="15"/>
      <c r="FY1464" s="15"/>
      <c r="FZ1464" s="15"/>
      <c r="GA1464" s="15"/>
      <c r="GB1464" s="15"/>
      <c r="GC1464" s="15"/>
      <c r="GD1464" s="15"/>
      <c r="GE1464" s="16"/>
      <c r="GT1464" s="342"/>
      <c r="GU1464" s="342"/>
      <c r="GV1464" s="342"/>
      <c r="GW1464" s="342"/>
      <c r="GX1464" s="12"/>
      <c r="GY1464" s="12"/>
      <c r="GZ1464" s="342"/>
      <c r="HA1464" s="342"/>
      <c r="HB1464" s="342"/>
      <c r="HC1464" s="342"/>
      <c r="HD1464" s="342"/>
      <c r="HE1464" s="342"/>
      <c r="HF1464" s="342"/>
      <c r="HG1464" s="342"/>
      <c r="HH1464" s="342"/>
      <c r="HI1464" s="13"/>
      <c r="HJ1464" s="12"/>
      <c r="HK1464" s="342"/>
      <c r="HL1464" s="342"/>
      <c r="HM1464" s="12"/>
      <c r="HN1464" s="342"/>
      <c r="HO1464" s="342"/>
      <c r="HP1464" s="342"/>
      <c r="HQ1464" s="342"/>
      <c r="HR1464" s="342"/>
      <c r="HS1464" s="342"/>
      <c r="HT1464" s="342"/>
      <c r="HU1464" s="12"/>
      <c r="HV1464" s="342"/>
      <c r="HW1464" s="342"/>
      <c r="HX1464" s="342"/>
      <c r="HY1464" s="342"/>
      <c r="HZ1464" s="342"/>
      <c r="IA1464" s="342"/>
      <c r="IB1464" s="342"/>
      <c r="IC1464" s="342"/>
      <c r="ID1464" s="342"/>
      <c r="IE1464" s="342"/>
      <c r="IF1464" s="342"/>
      <c r="IG1464" s="342"/>
      <c r="IH1464" s="342"/>
      <c r="II1464" s="342"/>
      <c r="IJ1464" s="342"/>
      <c r="IK1464" s="342"/>
      <c r="IL1464" s="342"/>
      <c r="IM1464" s="342"/>
      <c r="IN1464" s="342"/>
      <c r="IO1464" s="342"/>
      <c r="IP1464" s="342"/>
      <c r="IQ1464" s="342"/>
      <c r="IR1464" s="342"/>
      <c r="IS1464" s="342"/>
      <c r="IT1464" s="342"/>
      <c r="IU1464" s="342"/>
      <c r="IV1464" s="342"/>
      <c r="IW1464" s="342"/>
      <c r="IX1464" s="342"/>
      <c r="IY1464" s="342"/>
      <c r="IZ1464" s="342"/>
      <c r="JA1464" s="342"/>
      <c r="JB1464" s="342"/>
      <c r="JC1464" s="342"/>
      <c r="JD1464" s="342"/>
      <c r="JE1464" s="342"/>
      <c r="JF1464" s="342"/>
      <c r="JG1464" s="342"/>
      <c r="JH1464" s="342"/>
      <c r="JI1464" s="342"/>
      <c r="JJ1464" s="342"/>
      <c r="JK1464" s="342"/>
      <c r="JL1464" s="342"/>
      <c r="JM1464" s="342"/>
      <c r="JN1464" s="342"/>
      <c r="JO1464" s="342"/>
      <c r="JP1464" s="342"/>
      <c r="JQ1464" s="342"/>
      <c r="JR1464" s="342"/>
      <c r="JS1464" s="342"/>
      <c r="JT1464" s="351"/>
      <c r="JU1464" s="351"/>
      <c r="JV1464" s="351"/>
      <c r="JW1464" s="351"/>
      <c r="JX1464" s="351"/>
      <c r="JY1464" s="351"/>
      <c r="JZ1464" s="351"/>
      <c r="KA1464" s="351"/>
      <c r="KB1464" s="351"/>
      <c r="KC1464" s="351"/>
      <c r="KD1464" s="351"/>
      <c r="KE1464" s="351"/>
      <c r="KF1464" s="351"/>
      <c r="KG1464" s="351"/>
      <c r="KH1464" s="351"/>
      <c r="KI1464" s="351"/>
      <c r="KJ1464" s="351"/>
      <c r="KK1464" s="351"/>
      <c r="KL1464" s="351"/>
      <c r="KM1464" s="351"/>
      <c r="KN1464" s="351"/>
      <c r="KO1464" s="351"/>
      <c r="KP1464" s="351"/>
      <c r="KQ1464" s="351"/>
      <c r="KR1464" s="351"/>
      <c r="KS1464" s="351"/>
      <c r="KT1464" s="351"/>
      <c r="KU1464" s="351"/>
      <c r="KV1464" s="351"/>
      <c r="KW1464" s="351"/>
      <c r="KX1464" s="351"/>
      <c r="KY1464" s="351"/>
      <c r="KZ1464" s="351"/>
      <c r="LA1464" s="351"/>
      <c r="LB1464" s="343"/>
      <c r="LC1464" s="342"/>
      <c r="LD1464" s="342"/>
      <c r="LE1464" s="13"/>
      <c r="LF1464" s="342"/>
      <c r="LG1464" s="342"/>
      <c r="LH1464" s="342"/>
      <c r="LI1464" s="342"/>
      <c r="LJ1464" s="342"/>
      <c r="LK1464" s="342"/>
      <c r="LL1464" s="342"/>
      <c r="LM1464" s="342"/>
      <c r="LN1464" s="342"/>
      <c r="LO1464" s="342"/>
      <c r="LP1464" s="342"/>
      <c r="LQ1464" s="342"/>
      <c r="LR1464" s="342"/>
      <c r="LS1464" s="342"/>
      <c r="LT1464" s="342"/>
      <c r="LU1464" s="13"/>
    </row>
    <row r="1465" spans="6:333" ht="10.75" customHeight="1">
      <c r="F1465" s="342"/>
      <c r="G1465" s="342"/>
      <c r="H1465" s="342"/>
      <c r="I1465" s="342"/>
      <c r="J1465" s="342"/>
      <c r="K1465" s="342"/>
      <c r="L1465" s="342"/>
      <c r="M1465" s="342"/>
      <c r="N1465" s="342"/>
      <c r="O1465" s="342"/>
      <c r="P1465" s="342"/>
      <c r="Q1465" s="342"/>
      <c r="R1465" s="342"/>
      <c r="S1465" s="342"/>
      <c r="T1465" s="342"/>
      <c r="U1465" s="342"/>
      <c r="V1465" s="342"/>
      <c r="W1465" s="342"/>
      <c r="X1465" s="342"/>
      <c r="Y1465" s="342"/>
      <c r="Z1465" s="342"/>
      <c r="AA1465" s="342"/>
      <c r="AB1465" s="342"/>
      <c r="AC1465" s="342"/>
      <c r="AD1465" s="342"/>
      <c r="AE1465" s="342"/>
      <c r="AF1465" s="342"/>
      <c r="AG1465" s="342"/>
      <c r="AH1465" s="342"/>
      <c r="AI1465" s="342"/>
      <c r="AJ1465" s="342"/>
      <c r="AK1465" s="342"/>
      <c r="AL1465" s="342"/>
      <c r="AM1465" s="342"/>
      <c r="AN1465" s="342"/>
      <c r="AO1465" s="342"/>
      <c r="AP1465" s="342"/>
      <c r="AQ1465" s="342"/>
      <c r="AR1465" s="342"/>
      <c r="AS1465" s="342"/>
      <c r="AT1465" s="342"/>
      <c r="AU1465" s="342"/>
      <c r="AV1465" s="342"/>
      <c r="AW1465" s="342"/>
      <c r="AX1465" s="342"/>
      <c r="AY1465" s="342"/>
      <c r="AZ1465" s="342"/>
      <c r="BA1465" s="342"/>
      <c r="BB1465" s="342"/>
      <c r="BC1465" s="342"/>
      <c r="BD1465" s="342"/>
      <c r="BE1465" s="342"/>
      <c r="BF1465" s="342"/>
      <c r="BG1465" s="342"/>
      <c r="BH1465" s="342"/>
      <c r="BI1465" s="342"/>
      <c r="BJ1465" s="342"/>
      <c r="BK1465" s="342"/>
      <c r="BL1465" s="342"/>
      <c r="BM1465" s="342"/>
      <c r="BN1465" s="342"/>
      <c r="BO1465" s="342"/>
      <c r="BP1465" s="342"/>
      <c r="BQ1465" s="342"/>
      <c r="BR1465" s="342"/>
      <c r="BS1465" s="342"/>
      <c r="BT1465" s="342"/>
      <c r="BU1465" s="342"/>
      <c r="BV1465" s="342"/>
      <c r="BW1465" s="342"/>
      <c r="BX1465" s="342"/>
      <c r="BY1465" s="342"/>
      <c r="BZ1465" s="342"/>
      <c r="CA1465" s="342"/>
      <c r="CB1465" s="342"/>
      <c r="CC1465" s="342"/>
      <c r="CD1465" s="342"/>
      <c r="CE1465" s="342"/>
      <c r="CF1465" s="342"/>
      <c r="CG1465" s="342"/>
      <c r="CH1465" s="342"/>
      <c r="CI1465" s="342"/>
      <c r="CJ1465" s="342"/>
      <c r="CK1465" s="342"/>
      <c r="CL1465" s="342"/>
      <c r="CM1465" s="342"/>
      <c r="CN1465" s="342"/>
      <c r="CO1465" s="342"/>
      <c r="CP1465" s="342"/>
      <c r="CQ1465" s="342"/>
      <c r="CR1465" s="342"/>
      <c r="CS1465" s="342"/>
      <c r="CT1465" s="342"/>
      <c r="CU1465" s="342"/>
      <c r="CV1465" s="342"/>
      <c r="CW1465" s="342"/>
      <c r="CX1465" s="342"/>
      <c r="CY1465" s="342"/>
      <c r="CZ1465" s="342"/>
      <c r="DA1465" s="342"/>
      <c r="DB1465" s="342"/>
      <c r="DC1465" s="342"/>
      <c r="DD1465" s="342"/>
      <c r="DE1465" s="342"/>
      <c r="DF1465" s="342"/>
      <c r="DG1465" s="342"/>
      <c r="DH1465" s="342"/>
      <c r="DI1465" s="342"/>
      <c r="DJ1465" s="342"/>
      <c r="DK1465" s="342"/>
      <c r="DL1465" s="342"/>
      <c r="DM1465" s="342"/>
      <c r="DN1465" s="342"/>
      <c r="DO1465" s="342"/>
      <c r="DP1465" s="342"/>
      <c r="DQ1465" s="342"/>
      <c r="DR1465" s="342"/>
      <c r="DS1465" s="342"/>
      <c r="DT1465" s="342"/>
      <c r="DU1465" s="342"/>
      <c r="FV1465" s="12"/>
      <c r="FW1465" s="342"/>
      <c r="FX1465" s="342"/>
      <c r="FY1465" s="342"/>
      <c r="FZ1465" s="342"/>
      <c r="GA1465" s="342"/>
      <c r="GB1465" s="342"/>
      <c r="GC1465" s="342"/>
      <c r="GD1465" s="342"/>
      <c r="GE1465" s="13"/>
      <c r="GT1465" s="342"/>
      <c r="GU1465" s="342"/>
      <c r="GV1465" s="342"/>
      <c r="GW1465" s="342"/>
      <c r="GX1465" s="12"/>
      <c r="GY1465" s="12"/>
      <c r="GZ1465" s="342"/>
      <c r="HA1465" s="342"/>
      <c r="HB1465" s="342"/>
      <c r="HC1465" s="342"/>
      <c r="HD1465" s="342"/>
      <c r="HE1465" s="342"/>
      <c r="HF1465" s="342"/>
      <c r="HG1465" s="342"/>
      <c r="HH1465" s="342"/>
      <c r="HI1465" s="13"/>
      <c r="HJ1465" s="12"/>
      <c r="HK1465" s="342"/>
      <c r="HL1465" s="342"/>
      <c r="HM1465" s="12"/>
      <c r="HN1465" s="342"/>
      <c r="HO1465" s="342"/>
      <c r="HP1465" s="342"/>
      <c r="HQ1465" s="342"/>
      <c r="HR1465" s="342"/>
      <c r="HS1465" s="342"/>
      <c r="HT1465" s="342"/>
      <c r="HU1465" s="12"/>
      <c r="HV1465" s="342"/>
      <c r="HW1465" s="342"/>
      <c r="HX1465" s="342"/>
      <c r="HY1465" s="342"/>
      <c r="HZ1465" s="342"/>
      <c r="IA1465" s="342"/>
      <c r="IB1465" s="342"/>
      <c r="IC1465" s="342"/>
      <c r="ID1465" s="342"/>
      <c r="IE1465" s="342"/>
      <c r="IF1465" s="342"/>
      <c r="IG1465" s="342"/>
      <c r="IH1465" s="342"/>
      <c r="II1465" s="342"/>
      <c r="IJ1465" s="342"/>
      <c r="IK1465" s="342"/>
      <c r="IL1465" s="342"/>
      <c r="IM1465" s="342"/>
      <c r="IN1465" s="342"/>
      <c r="IO1465" s="342"/>
      <c r="IP1465" s="342"/>
      <c r="IQ1465" s="342"/>
      <c r="IR1465" s="342"/>
      <c r="IS1465" s="342"/>
      <c r="IT1465" s="342"/>
      <c r="IU1465" s="342"/>
      <c r="IV1465" s="342"/>
      <c r="IW1465" s="342"/>
      <c r="IX1465" s="342"/>
      <c r="IY1465" s="342"/>
      <c r="IZ1465" s="342"/>
      <c r="JA1465" s="342"/>
      <c r="JB1465" s="342"/>
      <c r="JC1465" s="342"/>
      <c r="JD1465" s="342"/>
      <c r="JE1465" s="342"/>
      <c r="JF1465" s="342"/>
      <c r="JG1465" s="342"/>
      <c r="JH1465" s="342"/>
      <c r="JI1465" s="342"/>
      <c r="JJ1465" s="342"/>
      <c r="JK1465" s="342"/>
      <c r="JL1465" s="342"/>
      <c r="JM1465" s="342"/>
      <c r="JN1465" s="342"/>
      <c r="JO1465" s="342"/>
      <c r="JP1465" s="342"/>
      <c r="JQ1465" s="342"/>
      <c r="JR1465" s="342"/>
      <c r="JS1465" s="342"/>
      <c r="JT1465" s="342"/>
      <c r="JU1465" s="342"/>
      <c r="JV1465" s="342"/>
      <c r="JW1465" s="342"/>
      <c r="JX1465" s="342"/>
      <c r="JY1465" s="342"/>
      <c r="JZ1465" s="342"/>
      <c r="KA1465" s="342"/>
      <c r="KB1465" s="342"/>
      <c r="KC1465" s="342"/>
      <c r="KD1465" s="342"/>
      <c r="KE1465" s="342"/>
      <c r="KF1465" s="342"/>
      <c r="KG1465" s="342"/>
      <c r="KH1465" s="342"/>
      <c r="KI1465" s="342"/>
      <c r="KJ1465" s="342"/>
      <c r="KK1465" s="342"/>
      <c r="KL1465" s="342"/>
      <c r="KM1465" s="342"/>
      <c r="KN1465" s="342"/>
      <c r="KO1465" s="342"/>
      <c r="KP1465" s="342"/>
      <c r="KQ1465" s="342"/>
      <c r="KR1465" s="342"/>
      <c r="KS1465" s="342"/>
      <c r="KT1465" s="342"/>
      <c r="KU1465" s="342"/>
      <c r="KV1465" s="342"/>
      <c r="KW1465" s="342"/>
      <c r="KX1465" s="342"/>
      <c r="KY1465" s="342"/>
      <c r="KZ1465" s="342"/>
      <c r="LA1465" s="342"/>
      <c r="LB1465" s="13"/>
      <c r="LC1465" s="342"/>
      <c r="LD1465" s="342"/>
      <c r="LE1465" s="13"/>
      <c r="LF1465" s="342"/>
      <c r="LG1465" s="342"/>
      <c r="LH1465" s="342"/>
      <c r="LI1465" s="342"/>
      <c r="LJ1465" s="342"/>
      <c r="LK1465" s="342"/>
      <c r="LL1465" s="342"/>
      <c r="LM1465" s="342"/>
      <c r="LN1465" s="342"/>
      <c r="LO1465" s="342"/>
      <c r="LP1465" s="342"/>
      <c r="LQ1465" s="342"/>
      <c r="LR1465" s="342"/>
      <c r="LS1465" s="342"/>
      <c r="LT1465" s="342"/>
      <c r="LU1465" s="13"/>
    </row>
    <row r="1466" spans="6:333" ht="10.75" customHeight="1">
      <c r="F1466" s="342"/>
      <c r="G1466" s="342"/>
      <c r="H1466" s="342"/>
      <c r="I1466" s="342"/>
      <c r="J1466" s="342"/>
      <c r="K1466" s="342"/>
      <c r="L1466" s="342"/>
      <c r="M1466" s="342"/>
      <c r="N1466" s="342"/>
      <c r="O1466" s="342"/>
      <c r="P1466" s="342"/>
      <c r="Q1466" s="342"/>
      <c r="R1466" s="342"/>
      <c r="S1466" s="342"/>
      <c r="T1466" s="342"/>
      <c r="U1466" s="342"/>
      <c r="V1466" s="342"/>
      <c r="W1466" s="342"/>
      <c r="X1466" s="342"/>
      <c r="Y1466" s="342"/>
      <c r="Z1466" s="342"/>
      <c r="AA1466" s="342"/>
      <c r="AB1466" s="342"/>
      <c r="AC1466" s="342"/>
      <c r="AD1466" s="342"/>
      <c r="AE1466" s="342"/>
      <c r="AF1466" s="342"/>
      <c r="AG1466" s="342"/>
      <c r="AH1466" s="342"/>
      <c r="AI1466" s="342"/>
      <c r="AJ1466" s="342"/>
      <c r="AK1466" s="342"/>
      <c r="AL1466" s="342"/>
      <c r="AM1466" s="342"/>
      <c r="AN1466" s="342"/>
      <c r="AO1466" s="342"/>
      <c r="AP1466" s="342"/>
      <c r="AQ1466" s="342"/>
      <c r="AR1466" s="342"/>
      <c r="AS1466" s="342"/>
      <c r="AT1466" s="342"/>
      <c r="AU1466" s="342"/>
      <c r="AV1466" s="342"/>
      <c r="AW1466" s="342"/>
      <c r="AX1466" s="342"/>
      <c r="AY1466" s="342"/>
      <c r="AZ1466" s="342"/>
      <c r="BA1466" s="342"/>
      <c r="BB1466" s="342"/>
      <c r="BC1466" s="342"/>
      <c r="BD1466" s="342"/>
      <c r="BE1466" s="342"/>
      <c r="BF1466" s="342"/>
      <c r="BG1466" s="342"/>
      <c r="BH1466" s="342"/>
      <c r="BI1466" s="342"/>
      <c r="BJ1466" s="342"/>
      <c r="BK1466" s="342"/>
      <c r="BL1466" s="342"/>
      <c r="BM1466" s="342"/>
      <c r="BN1466" s="342"/>
      <c r="BO1466" s="342"/>
      <c r="BP1466" s="342"/>
      <c r="BQ1466" s="342"/>
      <c r="BR1466" s="342"/>
      <c r="BS1466" s="342"/>
      <c r="BT1466" s="342"/>
      <c r="BU1466" s="342"/>
      <c r="BV1466" s="342"/>
      <c r="BW1466" s="342"/>
      <c r="BX1466" s="342"/>
      <c r="BY1466" s="342"/>
      <c r="BZ1466" s="342"/>
      <c r="CA1466" s="342"/>
      <c r="CB1466" s="342"/>
      <c r="CC1466" s="342"/>
      <c r="CD1466" s="342"/>
      <c r="CE1466" s="342"/>
      <c r="CF1466" s="342"/>
      <c r="CG1466" s="342"/>
      <c r="CH1466" s="342"/>
      <c r="CI1466" s="342"/>
      <c r="CJ1466" s="342"/>
      <c r="CK1466" s="342"/>
      <c r="CL1466" s="342"/>
      <c r="CM1466" s="342"/>
      <c r="CN1466" s="342"/>
      <c r="CO1466" s="342"/>
      <c r="CP1466" s="342"/>
      <c r="CQ1466" s="342"/>
      <c r="CR1466" s="342"/>
      <c r="CS1466" s="342"/>
      <c r="CT1466" s="342"/>
      <c r="CU1466" s="342"/>
      <c r="CV1466" s="342"/>
      <c r="CW1466" s="342"/>
      <c r="CX1466" s="342"/>
      <c r="CY1466" s="342"/>
      <c r="CZ1466" s="342"/>
      <c r="DA1466" s="342"/>
      <c r="DB1466" s="342"/>
      <c r="DC1466" s="342"/>
      <c r="DD1466" s="342"/>
      <c r="DE1466" s="342"/>
      <c r="DF1466" s="342"/>
      <c r="DG1466" s="342"/>
      <c r="DH1466" s="342"/>
      <c r="DI1466" s="342"/>
      <c r="DJ1466" s="342"/>
      <c r="DK1466" s="342"/>
      <c r="DL1466" s="342"/>
      <c r="DM1466" s="342"/>
      <c r="DN1466" s="342"/>
      <c r="DO1466" s="342"/>
      <c r="DP1466" s="342"/>
      <c r="DQ1466" s="342"/>
      <c r="DR1466" s="342"/>
      <c r="DS1466" s="342"/>
      <c r="DT1466" s="342"/>
      <c r="DU1466" s="342"/>
      <c r="FV1466" s="12"/>
      <c r="FW1466" s="342"/>
      <c r="FX1466" s="342"/>
      <c r="FY1466" s="342"/>
      <c r="FZ1466" s="342"/>
      <c r="GA1466" s="342"/>
      <c r="GB1466" s="342"/>
      <c r="GC1466" s="342"/>
      <c r="GD1466" s="342"/>
      <c r="GE1466" s="13"/>
      <c r="GT1466" s="342"/>
      <c r="GU1466" s="342"/>
      <c r="GV1466" s="342"/>
      <c r="GW1466" s="342"/>
      <c r="GX1466" s="12"/>
      <c r="GY1466" s="12"/>
      <c r="GZ1466" s="342"/>
      <c r="HA1466" s="342"/>
      <c r="HB1466" s="342"/>
      <c r="HC1466" s="342"/>
      <c r="HD1466" s="342"/>
      <c r="HE1466" s="342"/>
      <c r="HF1466" s="342"/>
      <c r="HG1466" s="342"/>
      <c r="HH1466" s="342"/>
      <c r="HI1466" s="13"/>
      <c r="HJ1466" s="12"/>
      <c r="HK1466" s="342"/>
      <c r="HL1466" s="342"/>
      <c r="HM1466" s="240"/>
      <c r="HN1466" s="342"/>
      <c r="HO1466" s="342"/>
      <c r="HP1466" s="342"/>
      <c r="HQ1466" s="342"/>
      <c r="HR1466" s="342"/>
      <c r="HS1466" s="342"/>
      <c r="HT1466" s="342"/>
      <c r="HU1466" s="12"/>
      <c r="HV1466" s="342"/>
      <c r="HW1466" s="342"/>
      <c r="HX1466" s="342"/>
      <c r="HY1466" s="342"/>
      <c r="HZ1466" s="342"/>
      <c r="IA1466" s="342"/>
      <c r="IB1466" s="342"/>
      <c r="IC1466" s="342"/>
      <c r="ID1466" s="342"/>
      <c r="IE1466" s="342"/>
      <c r="IF1466" s="342"/>
      <c r="IG1466" s="342"/>
      <c r="IH1466" s="342"/>
      <c r="II1466" s="342"/>
      <c r="IJ1466" s="342"/>
      <c r="IK1466" s="342"/>
      <c r="IL1466" s="342"/>
      <c r="IM1466" s="342"/>
      <c r="IN1466" s="342"/>
      <c r="IO1466" s="342"/>
      <c r="IP1466" s="342"/>
      <c r="IQ1466" s="342"/>
      <c r="IR1466" s="342"/>
      <c r="IS1466" s="342"/>
      <c r="IT1466" s="342"/>
      <c r="IU1466" s="342"/>
      <c r="IV1466" s="342"/>
      <c r="IW1466" s="342"/>
      <c r="IX1466" s="342"/>
      <c r="IY1466" s="342"/>
      <c r="IZ1466" s="342"/>
      <c r="JA1466" s="342"/>
      <c r="JB1466" s="342"/>
      <c r="JC1466" s="342"/>
      <c r="JD1466" s="342"/>
      <c r="JE1466" s="342"/>
      <c r="JF1466" s="342"/>
      <c r="JG1466" s="342"/>
      <c r="JH1466" s="342"/>
      <c r="JI1466" s="342"/>
      <c r="JJ1466" s="342"/>
      <c r="JK1466" s="342"/>
      <c r="JL1466" s="342"/>
      <c r="JM1466" s="342"/>
      <c r="JN1466" s="342"/>
      <c r="JO1466" s="342"/>
      <c r="JP1466" s="342"/>
      <c r="JQ1466" s="342"/>
      <c r="JR1466" s="342"/>
      <c r="JS1466" s="342"/>
      <c r="JT1466" s="342"/>
      <c r="JU1466" s="342"/>
      <c r="JV1466" s="342"/>
      <c r="JW1466" s="342"/>
      <c r="JX1466" s="342"/>
      <c r="JY1466" s="342"/>
      <c r="JZ1466" s="342"/>
      <c r="KA1466" s="342"/>
      <c r="KB1466" s="342"/>
      <c r="KC1466" s="342"/>
      <c r="KD1466" s="342"/>
      <c r="KE1466" s="342"/>
      <c r="KF1466" s="342"/>
      <c r="KG1466" s="342"/>
      <c r="KH1466" s="342"/>
      <c r="KI1466" s="342"/>
      <c r="KJ1466" s="342"/>
      <c r="KK1466" s="342"/>
      <c r="KL1466" s="342"/>
      <c r="KM1466" s="342"/>
      <c r="KN1466" s="342"/>
      <c r="KO1466" s="342"/>
      <c r="KP1466" s="342"/>
      <c r="KQ1466" s="342"/>
      <c r="KR1466" s="342"/>
      <c r="KS1466" s="342"/>
      <c r="KT1466" s="342"/>
      <c r="KU1466" s="342"/>
      <c r="KV1466" s="342"/>
      <c r="KW1466" s="342"/>
      <c r="KX1466" s="342"/>
      <c r="KY1466" s="342"/>
      <c r="KZ1466" s="342"/>
      <c r="LA1466" s="342"/>
      <c r="LB1466" s="13"/>
      <c r="LC1466" s="342"/>
      <c r="LD1466" s="342"/>
      <c r="LE1466" s="13"/>
      <c r="LF1466" s="342"/>
      <c r="LG1466" s="342"/>
      <c r="LH1466" s="342"/>
      <c r="LI1466" s="342"/>
      <c r="LJ1466" s="342"/>
      <c r="LK1466" s="342"/>
      <c r="LL1466" s="342"/>
      <c r="LM1466" s="342"/>
      <c r="LN1466" s="342"/>
      <c r="LO1466" s="342"/>
      <c r="LP1466" s="342"/>
      <c r="LQ1466" s="342"/>
      <c r="LR1466" s="342"/>
      <c r="LS1466" s="342"/>
      <c r="LT1466" s="342"/>
      <c r="LU1466" s="13"/>
    </row>
    <row r="1467" spans="6:333" ht="10.75" customHeight="1">
      <c r="F1467" s="342"/>
      <c r="G1467" s="342"/>
      <c r="H1467" s="342"/>
      <c r="I1467" s="342"/>
      <c r="J1467" s="342"/>
      <c r="K1467" s="342"/>
      <c r="L1467" s="342"/>
      <c r="M1467" s="342"/>
      <c r="N1467" s="342"/>
      <c r="O1467" s="342"/>
      <c r="P1467" s="342"/>
      <c r="Q1467" s="342"/>
      <c r="R1467" s="342"/>
      <c r="S1467" s="342"/>
      <c r="T1467" s="342"/>
      <c r="U1467" s="342"/>
      <c r="V1467" s="342"/>
      <c r="W1467" s="342"/>
      <c r="X1467" s="342"/>
      <c r="Y1467" s="342"/>
      <c r="Z1467" s="342"/>
      <c r="AA1467" s="342"/>
      <c r="AB1467" s="342"/>
      <c r="AC1467" s="342"/>
      <c r="AD1467" s="342"/>
      <c r="AE1467" s="342"/>
      <c r="AF1467" s="342"/>
      <c r="AG1467" s="342"/>
      <c r="AH1467" s="342"/>
      <c r="AI1467" s="342"/>
      <c r="AJ1467" s="342"/>
      <c r="AK1467" s="342"/>
      <c r="AL1467" s="342"/>
      <c r="AM1467" s="342"/>
      <c r="AN1467" s="342"/>
      <c r="AO1467" s="342"/>
      <c r="AP1467" s="342"/>
      <c r="AQ1467" s="342"/>
      <c r="AR1467" s="342"/>
      <c r="AS1467" s="342"/>
      <c r="AT1467" s="342"/>
      <c r="AU1467" s="342"/>
      <c r="AV1467" s="342"/>
      <c r="AW1467" s="342"/>
      <c r="AX1467" s="342"/>
      <c r="AY1467" s="342"/>
      <c r="AZ1467" s="342"/>
      <c r="BA1467" s="342"/>
      <c r="BB1467" s="342"/>
      <c r="BC1467" s="342"/>
      <c r="BD1467" s="342"/>
      <c r="BE1467" s="342"/>
      <c r="BF1467" s="342"/>
      <c r="BG1467" s="342"/>
      <c r="BH1467" s="342"/>
      <c r="BI1467" s="342"/>
      <c r="BJ1467" s="342"/>
      <c r="BK1467" s="342"/>
      <c r="BL1467" s="342"/>
      <c r="BM1467" s="342"/>
      <c r="BN1467" s="342"/>
      <c r="BO1467" s="342"/>
      <c r="BP1467" s="342"/>
      <c r="BQ1467" s="342"/>
      <c r="BR1467" s="342"/>
      <c r="BS1467" s="342"/>
      <c r="BT1467" s="342"/>
      <c r="BU1467" s="342"/>
      <c r="BV1467" s="342"/>
      <c r="BW1467" s="342"/>
      <c r="BX1467" s="342"/>
      <c r="BY1467" s="342"/>
      <c r="BZ1467" s="342"/>
      <c r="CA1467" s="342"/>
      <c r="CB1467" s="342"/>
      <c r="CC1467" s="342"/>
      <c r="CD1467" s="342"/>
      <c r="CE1467" s="342"/>
      <c r="CF1467" s="342"/>
      <c r="CG1467" s="342"/>
      <c r="CH1467" s="342"/>
      <c r="CI1467" s="342"/>
      <c r="CJ1467" s="342"/>
      <c r="CK1467" s="342"/>
      <c r="CL1467" s="342"/>
      <c r="CM1467" s="342"/>
      <c r="CN1467" s="342"/>
      <c r="CO1467" s="342"/>
      <c r="CP1467" s="342"/>
      <c r="CQ1467" s="342"/>
      <c r="CR1467" s="342"/>
      <c r="CS1467" s="342"/>
      <c r="CT1467" s="342"/>
      <c r="CU1467" s="342"/>
      <c r="CV1467" s="342"/>
      <c r="CW1467" s="342"/>
      <c r="CX1467" s="342"/>
      <c r="CY1467" s="342"/>
      <c r="CZ1467" s="342"/>
      <c r="DA1467" s="342"/>
      <c r="DB1467" s="342"/>
      <c r="DC1467" s="342"/>
      <c r="DD1467" s="342"/>
      <c r="DE1467" s="342"/>
      <c r="DF1467" s="342"/>
      <c r="DG1467" s="342"/>
      <c r="DH1467" s="342"/>
      <c r="DI1467" s="342"/>
      <c r="DJ1467" s="342"/>
      <c r="DK1467" s="342"/>
      <c r="DL1467" s="342"/>
      <c r="DM1467" s="342"/>
      <c r="DN1467" s="342"/>
      <c r="DO1467" s="342"/>
      <c r="DP1467" s="342"/>
      <c r="DQ1467" s="342"/>
      <c r="DR1467" s="342"/>
      <c r="DS1467" s="342"/>
      <c r="DT1467" s="342"/>
      <c r="DU1467" s="342"/>
      <c r="FV1467" s="12"/>
      <c r="FW1467" s="342"/>
      <c r="FX1467" s="342"/>
      <c r="FY1467" s="342"/>
      <c r="FZ1467" s="342"/>
      <c r="GA1467" s="342"/>
      <c r="GB1467" s="342"/>
      <c r="GC1467" s="342"/>
      <c r="GD1467" s="342"/>
      <c r="GE1467" s="13"/>
      <c r="GT1467" s="342"/>
      <c r="GU1467" s="342"/>
      <c r="GV1467" s="342"/>
      <c r="GW1467" s="342"/>
      <c r="GX1467" s="12"/>
      <c r="GY1467" s="12"/>
      <c r="GZ1467" s="342"/>
      <c r="HA1467" s="342"/>
      <c r="HB1467" s="342"/>
      <c r="HC1467" s="342"/>
      <c r="HD1467" s="342"/>
      <c r="HE1467" s="342"/>
      <c r="HF1467" s="342"/>
      <c r="HG1467" s="342"/>
      <c r="HH1467" s="342"/>
      <c r="HI1467" s="13"/>
      <c r="HJ1467" s="12"/>
      <c r="HK1467" s="342"/>
      <c r="HL1467" s="342"/>
      <c r="HM1467" s="240"/>
      <c r="HN1467" s="342"/>
      <c r="HO1467" s="342"/>
      <c r="HP1467" s="342"/>
      <c r="HQ1467" s="342"/>
      <c r="HR1467" s="342"/>
      <c r="HS1467" s="342"/>
      <c r="HT1467" s="342"/>
      <c r="HU1467" s="12"/>
      <c r="HV1467" s="342"/>
      <c r="HW1467" s="342"/>
      <c r="HX1467" s="342"/>
      <c r="HY1467" s="342"/>
      <c r="HZ1467" s="342"/>
      <c r="IA1467" s="342"/>
      <c r="IB1467" s="342"/>
      <c r="IC1467" s="342"/>
      <c r="ID1467" s="342"/>
      <c r="IE1467" s="342"/>
      <c r="IF1467" s="342"/>
      <c r="IG1467" s="342"/>
      <c r="IH1467" s="342"/>
      <c r="II1467" s="342"/>
      <c r="IJ1467" s="342"/>
      <c r="IK1467" s="342"/>
      <c r="IL1467" s="342"/>
      <c r="IM1467" s="342"/>
      <c r="IN1467" s="342"/>
      <c r="IO1467" s="342"/>
      <c r="IP1467" s="342"/>
      <c r="IQ1467" s="342"/>
      <c r="IR1467" s="342"/>
      <c r="IS1467" s="342"/>
      <c r="IT1467" s="342"/>
      <c r="IU1467" s="342"/>
      <c r="IV1467" s="342"/>
      <c r="IW1467" s="342"/>
      <c r="IX1467" s="342"/>
      <c r="IY1467" s="342"/>
      <c r="IZ1467" s="342"/>
      <c r="JA1467" s="342"/>
      <c r="JB1467" s="342"/>
      <c r="JC1467" s="342"/>
      <c r="JD1467" s="342"/>
      <c r="JE1467" s="342"/>
      <c r="JF1467" s="342"/>
      <c r="JG1467" s="342"/>
      <c r="JH1467" s="342"/>
      <c r="JI1467" s="342"/>
      <c r="JJ1467" s="342"/>
      <c r="JK1467" s="342"/>
      <c r="JL1467" s="342"/>
      <c r="JM1467" s="342"/>
      <c r="JN1467" s="342"/>
      <c r="JO1467" s="342"/>
      <c r="JP1467" s="342"/>
      <c r="JQ1467" s="342"/>
      <c r="JR1467" s="342"/>
      <c r="JS1467" s="342"/>
      <c r="JT1467" s="342"/>
      <c r="JU1467" s="342"/>
      <c r="JV1467" s="342"/>
      <c r="JW1467" s="342"/>
      <c r="JX1467" s="342"/>
      <c r="JY1467" s="342"/>
      <c r="JZ1467" s="342"/>
      <c r="KA1467" s="342"/>
      <c r="KB1467" s="342"/>
      <c r="KC1467" s="342"/>
      <c r="KD1467" s="342"/>
      <c r="KE1467" s="342"/>
      <c r="KF1467" s="342"/>
      <c r="KG1467" s="342"/>
      <c r="KH1467" s="342"/>
      <c r="KI1467" s="342"/>
      <c r="KJ1467" s="342"/>
      <c r="KK1467" s="342"/>
      <c r="KL1467" s="342"/>
      <c r="KM1467" s="342"/>
      <c r="KN1467" s="342"/>
      <c r="KO1467" s="342"/>
      <c r="KP1467" s="342"/>
      <c r="KQ1467" s="342"/>
      <c r="KR1467" s="342"/>
      <c r="KS1467" s="342"/>
      <c r="KT1467" s="342"/>
      <c r="KU1467" s="342"/>
      <c r="KV1467" s="342"/>
      <c r="KW1467" s="342"/>
      <c r="KX1467" s="342"/>
      <c r="KY1467" s="342"/>
      <c r="KZ1467" s="342"/>
      <c r="LA1467" s="342"/>
      <c r="LB1467" s="13"/>
      <c r="LC1467" s="342"/>
      <c r="LD1467" s="342"/>
      <c r="LE1467" s="13"/>
      <c r="LF1467" s="342"/>
      <c r="LG1467" s="342"/>
      <c r="LH1467" s="342"/>
      <c r="LI1467" s="342"/>
      <c r="LJ1467" s="342"/>
      <c r="LK1467" s="342"/>
      <c r="LL1467" s="342"/>
      <c r="LM1467" s="342"/>
      <c r="LN1467" s="342"/>
      <c r="LO1467" s="342"/>
      <c r="LP1467" s="342"/>
      <c r="LQ1467" s="342"/>
      <c r="LR1467" s="342"/>
      <c r="LS1467" s="342"/>
      <c r="LT1467" s="342"/>
      <c r="LU1467" s="13"/>
    </row>
    <row r="1468" spans="6:333" ht="10.75" customHeight="1">
      <c r="F1468" s="342"/>
      <c r="G1468" s="342"/>
      <c r="H1468" s="342"/>
      <c r="I1468" s="342"/>
      <c r="J1468" s="342"/>
      <c r="K1468" s="342"/>
      <c r="L1468" s="342"/>
      <c r="M1468" s="342"/>
      <c r="N1468" s="342"/>
      <c r="O1468" s="342"/>
      <c r="P1468" s="342"/>
      <c r="Q1468" s="342"/>
      <c r="R1468" s="342"/>
      <c r="S1468" s="342"/>
      <c r="T1468" s="342"/>
      <c r="U1468" s="342"/>
      <c r="V1468" s="342"/>
      <c r="W1468" s="342"/>
      <c r="X1468" s="342"/>
      <c r="Y1468" s="342"/>
      <c r="Z1468" s="342"/>
      <c r="AA1468" s="342"/>
      <c r="AB1468" s="342"/>
      <c r="AC1468" s="342"/>
      <c r="AD1468" s="342"/>
      <c r="AE1468" s="342"/>
      <c r="AF1468" s="342"/>
      <c r="AG1468" s="342"/>
      <c r="AH1468" s="342"/>
      <c r="AI1468" s="342"/>
      <c r="AJ1468" s="342"/>
      <c r="AK1468" s="342"/>
      <c r="AL1468" s="342"/>
      <c r="AM1468" s="342"/>
      <c r="AN1468" s="342"/>
      <c r="AO1468" s="342"/>
      <c r="AP1468" s="342"/>
      <c r="AQ1468" s="342"/>
      <c r="AR1468" s="342"/>
      <c r="AS1468" s="342"/>
      <c r="AT1468" s="342"/>
      <c r="AU1468" s="342"/>
      <c r="AV1468" s="342"/>
      <c r="AW1468" s="342"/>
      <c r="AX1468" s="342"/>
      <c r="AY1468" s="342"/>
      <c r="AZ1468" s="342"/>
      <c r="BA1468" s="342"/>
      <c r="BB1468" s="342"/>
      <c r="BC1468" s="342"/>
      <c r="BD1468" s="342"/>
      <c r="BE1468" s="342"/>
      <c r="BF1468" s="342"/>
      <c r="BG1468" s="342"/>
      <c r="BH1468" s="342"/>
      <c r="BI1468" s="342"/>
      <c r="BJ1468" s="342"/>
      <c r="BK1468" s="342"/>
      <c r="BL1468" s="342"/>
      <c r="BM1468" s="342"/>
      <c r="BN1468" s="342"/>
      <c r="BO1468" s="342"/>
      <c r="BP1468" s="342"/>
      <c r="BQ1468" s="342"/>
      <c r="BR1468" s="342"/>
      <c r="BS1468" s="342"/>
      <c r="BT1468" s="342"/>
      <c r="BU1468" s="342"/>
      <c r="BV1468" s="342"/>
      <c r="BW1468" s="342"/>
      <c r="BX1468" s="342"/>
      <c r="BY1468" s="342"/>
      <c r="BZ1468" s="342"/>
      <c r="CA1468" s="342"/>
      <c r="CB1468" s="342"/>
      <c r="CC1468" s="342"/>
      <c r="CD1468" s="342"/>
      <c r="CE1468" s="342"/>
      <c r="CF1468" s="342"/>
      <c r="CG1468" s="342"/>
      <c r="CH1468" s="342"/>
      <c r="CI1468" s="342"/>
      <c r="CJ1468" s="342"/>
      <c r="CK1468" s="342"/>
      <c r="CL1468" s="342"/>
      <c r="CM1468" s="342"/>
      <c r="CN1468" s="342"/>
      <c r="CO1468" s="342"/>
      <c r="CP1468" s="342"/>
      <c r="CQ1468" s="342"/>
      <c r="CR1468" s="342"/>
      <c r="CS1468" s="342"/>
      <c r="CT1468" s="342"/>
      <c r="CU1468" s="342"/>
      <c r="CV1468" s="342"/>
      <c r="CW1468" s="342"/>
      <c r="CX1468" s="342"/>
      <c r="CY1468" s="342"/>
      <c r="CZ1468" s="342"/>
      <c r="DA1468" s="342"/>
      <c r="DB1468" s="342"/>
      <c r="DC1468" s="342"/>
      <c r="DD1468" s="342"/>
      <c r="DE1468" s="342"/>
      <c r="DF1468" s="342"/>
      <c r="DG1468" s="342"/>
      <c r="DH1468" s="342"/>
      <c r="DI1468" s="342"/>
      <c r="DJ1468" s="342"/>
      <c r="DK1468" s="342"/>
      <c r="DL1468" s="342"/>
      <c r="DM1468" s="342"/>
      <c r="DN1468" s="342"/>
      <c r="DO1468" s="342"/>
      <c r="DP1468" s="342"/>
      <c r="DQ1468" s="342"/>
      <c r="DR1468" s="342"/>
      <c r="DS1468" s="342"/>
      <c r="DT1468" s="342"/>
      <c r="DU1468" s="342"/>
      <c r="FV1468" s="12"/>
      <c r="FW1468" s="342"/>
      <c r="FX1468" s="342"/>
      <c r="FY1468" s="342"/>
      <c r="FZ1468" s="342"/>
      <c r="GA1468" s="342"/>
      <c r="GB1468" s="342"/>
      <c r="GC1468" s="342"/>
      <c r="GD1468" s="342"/>
      <c r="GE1468" s="13"/>
      <c r="GT1468" s="342"/>
      <c r="GU1468" s="342"/>
      <c r="GV1468" s="342"/>
      <c r="GW1468" s="342"/>
      <c r="GX1468" s="12"/>
      <c r="GY1468" s="12"/>
      <c r="GZ1468" s="342"/>
      <c r="HA1468" s="342"/>
      <c r="HB1468" s="342"/>
      <c r="HC1468" s="342"/>
      <c r="HD1468" s="342"/>
      <c r="HE1468" s="342"/>
      <c r="HF1468" s="342"/>
      <c r="HG1468" s="342"/>
      <c r="HH1468" s="342"/>
      <c r="HI1468" s="13"/>
      <c r="HJ1468" s="12"/>
      <c r="HK1468" s="342"/>
      <c r="HL1468" s="342"/>
      <c r="HM1468" s="240"/>
      <c r="HN1468" s="342"/>
      <c r="HO1468" s="342"/>
      <c r="HP1468" s="342"/>
      <c r="HQ1468" s="342"/>
      <c r="HR1468" s="342"/>
      <c r="HS1468" s="342"/>
      <c r="HT1468" s="342"/>
      <c r="HU1468" s="12"/>
      <c r="HV1468" s="342"/>
      <c r="HW1468" s="342"/>
      <c r="HX1468" s="342"/>
      <c r="HY1468" s="342"/>
      <c r="HZ1468" s="342"/>
      <c r="IA1468" s="342"/>
      <c r="IB1468" s="342"/>
      <c r="IC1468" s="342"/>
      <c r="ID1468" s="342"/>
      <c r="IE1468" s="342"/>
      <c r="IF1468" s="342"/>
      <c r="IG1468" s="342"/>
      <c r="IH1468" s="342"/>
      <c r="II1468" s="342"/>
      <c r="IJ1468" s="342"/>
      <c r="IK1468" s="342"/>
      <c r="IL1468" s="342"/>
      <c r="IM1468" s="342"/>
      <c r="IN1468" s="342"/>
      <c r="IO1468" s="342"/>
      <c r="IP1468" s="342"/>
      <c r="IQ1468" s="342"/>
      <c r="IR1468" s="342"/>
      <c r="IS1468" s="342"/>
      <c r="IT1468" s="342"/>
      <c r="IU1468" s="342"/>
      <c r="IV1468" s="342"/>
      <c r="IW1468" s="342"/>
      <c r="IX1468" s="342"/>
      <c r="IY1468" s="342"/>
      <c r="IZ1468" s="342"/>
      <c r="JA1468" s="342"/>
      <c r="JB1468" s="342"/>
      <c r="JC1468" s="342"/>
      <c r="JD1468" s="342"/>
      <c r="JE1468" s="342"/>
      <c r="JF1468" s="342"/>
      <c r="JG1468" s="342"/>
      <c r="JH1468" s="342"/>
      <c r="JI1468" s="342"/>
      <c r="JJ1468" s="342"/>
      <c r="JK1468" s="342"/>
      <c r="JL1468" s="342"/>
      <c r="JM1468" s="342"/>
      <c r="JN1468" s="342"/>
      <c r="JO1468" s="342"/>
      <c r="JP1468" s="342"/>
      <c r="JQ1468" s="342"/>
      <c r="JR1468" s="342"/>
      <c r="JS1468" s="342"/>
      <c r="JT1468" s="342"/>
      <c r="JU1468" s="342"/>
      <c r="JV1468" s="342"/>
      <c r="JW1468" s="342"/>
      <c r="JX1468" s="342"/>
      <c r="JY1468" s="342"/>
      <c r="JZ1468" s="342"/>
      <c r="KA1468" s="342"/>
      <c r="KB1468" s="342"/>
      <c r="KC1468" s="342"/>
      <c r="KD1468" s="342"/>
      <c r="KE1468" s="342"/>
      <c r="KF1468" s="342"/>
      <c r="KG1468" s="342"/>
      <c r="KH1468" s="342"/>
      <c r="KI1468" s="342"/>
      <c r="KJ1468" s="342"/>
      <c r="KK1468" s="342"/>
      <c r="KL1468" s="342"/>
      <c r="KM1468" s="342"/>
      <c r="KN1468" s="342"/>
      <c r="KO1468" s="342"/>
      <c r="KP1468" s="342"/>
      <c r="KQ1468" s="342"/>
      <c r="KR1468" s="342"/>
      <c r="KS1468" s="342"/>
      <c r="KT1468" s="342"/>
      <c r="KU1468" s="342"/>
      <c r="KV1468" s="342"/>
      <c r="KW1468" s="342"/>
      <c r="KX1468" s="342"/>
      <c r="KY1468" s="342"/>
      <c r="KZ1468" s="342"/>
      <c r="LA1468" s="342"/>
      <c r="LB1468" s="13"/>
      <c r="LC1468" s="342"/>
      <c r="LD1468" s="342"/>
      <c r="LE1468" s="13"/>
      <c r="LF1468" s="342"/>
      <c r="LG1468" s="342"/>
      <c r="LH1468" s="342"/>
      <c r="LI1468" s="342"/>
      <c r="LJ1468" s="342"/>
      <c r="LK1468" s="342"/>
      <c r="LL1468" s="342"/>
      <c r="LM1468" s="342"/>
      <c r="LN1468" s="342"/>
      <c r="LO1468" s="342"/>
      <c r="LP1468" s="342"/>
      <c r="LQ1468" s="342"/>
      <c r="LR1468" s="342"/>
      <c r="LS1468" s="342"/>
      <c r="LT1468" s="342"/>
      <c r="LU1468" s="13"/>
    </row>
    <row r="1469" spans="6:333" ht="10.75" customHeight="1">
      <c r="F1469" s="342"/>
      <c r="G1469" s="342"/>
      <c r="H1469" s="342"/>
      <c r="I1469" s="342"/>
      <c r="J1469" s="342"/>
      <c r="K1469" s="342"/>
      <c r="L1469" s="342"/>
      <c r="M1469" s="342"/>
      <c r="N1469" s="342"/>
      <c r="O1469" s="342"/>
      <c r="P1469" s="342"/>
      <c r="Q1469" s="342"/>
      <c r="R1469" s="342"/>
      <c r="S1469" s="342"/>
      <c r="T1469" s="342"/>
      <c r="U1469" s="342"/>
      <c r="V1469" s="342"/>
      <c r="W1469" s="342"/>
      <c r="X1469" s="342"/>
      <c r="Y1469" s="342"/>
      <c r="Z1469" s="342"/>
      <c r="AA1469" s="342"/>
      <c r="AB1469" s="342"/>
      <c r="AC1469" s="342"/>
      <c r="AD1469" s="342"/>
      <c r="AE1469" s="342"/>
      <c r="AF1469" s="342"/>
      <c r="AG1469" s="342"/>
      <c r="AH1469" s="342"/>
      <c r="AI1469" s="342"/>
      <c r="AJ1469" s="342"/>
      <c r="AK1469" s="342"/>
      <c r="AL1469" s="342"/>
      <c r="AM1469" s="342"/>
      <c r="AN1469" s="342"/>
      <c r="AO1469" s="342"/>
      <c r="AP1469" s="342"/>
      <c r="AQ1469" s="342"/>
      <c r="AR1469" s="342"/>
      <c r="AS1469" s="342"/>
      <c r="AT1469" s="342"/>
      <c r="AU1469" s="342"/>
      <c r="AV1469" s="342"/>
      <c r="AW1469" s="342"/>
      <c r="AX1469" s="342"/>
      <c r="AY1469" s="342"/>
      <c r="AZ1469" s="342"/>
      <c r="BA1469" s="342"/>
      <c r="BB1469" s="342"/>
      <c r="BC1469" s="342"/>
      <c r="BD1469" s="342"/>
      <c r="BE1469" s="342"/>
      <c r="BF1469" s="342"/>
      <c r="BG1469" s="342"/>
      <c r="BH1469" s="342"/>
      <c r="BI1469" s="342"/>
      <c r="BJ1469" s="342"/>
      <c r="BK1469" s="342"/>
      <c r="BL1469" s="342"/>
      <c r="BM1469" s="342"/>
      <c r="BN1469" s="342"/>
      <c r="BO1469" s="342"/>
      <c r="BP1469" s="342"/>
      <c r="BQ1469" s="342"/>
      <c r="BR1469" s="342"/>
      <c r="BS1469" s="342"/>
      <c r="BT1469" s="342"/>
      <c r="BU1469" s="342"/>
      <c r="BV1469" s="342"/>
      <c r="BW1469" s="342"/>
      <c r="BX1469" s="342"/>
      <c r="BY1469" s="342"/>
      <c r="BZ1469" s="342"/>
      <c r="CA1469" s="342"/>
      <c r="CB1469" s="342"/>
      <c r="CC1469" s="342"/>
      <c r="CD1469" s="342"/>
      <c r="CE1469" s="342"/>
      <c r="CF1469" s="342"/>
      <c r="CG1469" s="342"/>
      <c r="CH1469" s="342"/>
      <c r="CI1469" s="342"/>
      <c r="CJ1469" s="342"/>
      <c r="CK1469" s="342"/>
      <c r="CL1469" s="342"/>
      <c r="CM1469" s="342"/>
      <c r="CN1469" s="342"/>
      <c r="CO1469" s="342"/>
      <c r="CP1469" s="342"/>
      <c r="CQ1469" s="342"/>
      <c r="CR1469" s="342"/>
      <c r="CS1469" s="342"/>
      <c r="CT1469" s="342"/>
      <c r="CU1469" s="342"/>
      <c r="CV1469" s="342"/>
      <c r="CW1469" s="342"/>
      <c r="CX1469" s="342"/>
      <c r="CY1469" s="342"/>
      <c r="CZ1469" s="342"/>
      <c r="DA1469" s="342"/>
      <c r="DB1469" s="342"/>
      <c r="DC1469" s="342"/>
      <c r="DD1469" s="342"/>
      <c r="DE1469" s="342"/>
      <c r="DF1469" s="342"/>
      <c r="DG1469" s="342"/>
      <c r="DH1469" s="342"/>
      <c r="DI1469" s="342"/>
      <c r="DJ1469" s="342"/>
      <c r="DK1469" s="342"/>
      <c r="DL1469" s="342"/>
      <c r="DM1469" s="342"/>
      <c r="DN1469" s="342"/>
      <c r="DO1469" s="342"/>
      <c r="DP1469" s="342"/>
      <c r="DQ1469" s="342"/>
      <c r="DR1469" s="342"/>
      <c r="DS1469" s="342"/>
      <c r="DT1469" s="342"/>
      <c r="DU1469" s="342"/>
      <c r="FV1469" s="9"/>
      <c r="FW1469" s="10"/>
      <c r="FX1469" s="10"/>
      <c r="FY1469" s="10"/>
      <c r="FZ1469" s="10"/>
      <c r="GA1469" s="10"/>
      <c r="GB1469" s="10"/>
      <c r="GC1469" s="10"/>
      <c r="GD1469" s="10"/>
      <c r="GE1469" s="11"/>
      <c r="GT1469" s="342"/>
      <c r="GU1469" s="342"/>
      <c r="GV1469" s="342"/>
      <c r="GW1469" s="342"/>
      <c r="GX1469" s="12"/>
      <c r="GY1469" s="12"/>
      <c r="GZ1469" s="342"/>
      <c r="HA1469" s="342"/>
      <c r="HB1469" s="342"/>
      <c r="HC1469" s="342"/>
      <c r="HD1469" s="342"/>
      <c r="HE1469" s="342"/>
      <c r="HF1469" s="342"/>
      <c r="HG1469" s="342"/>
      <c r="HH1469" s="342"/>
      <c r="HI1469" s="13"/>
      <c r="HJ1469" s="12"/>
      <c r="HK1469" s="342"/>
      <c r="HL1469" s="342"/>
      <c r="HM1469" s="240"/>
      <c r="HN1469" s="342"/>
      <c r="HO1469" s="342"/>
      <c r="HP1469" s="342"/>
      <c r="HQ1469" s="342"/>
      <c r="HR1469" s="342"/>
      <c r="HS1469" s="342"/>
      <c r="HT1469" s="342"/>
      <c r="HU1469" s="12"/>
      <c r="HV1469" s="342"/>
      <c r="HW1469" s="342"/>
      <c r="HX1469" s="342"/>
      <c r="HY1469" s="342"/>
      <c r="HZ1469" s="342"/>
      <c r="IA1469" s="342"/>
      <c r="IB1469" s="342"/>
      <c r="IC1469" s="342"/>
      <c r="ID1469" s="342"/>
      <c r="IE1469" s="342"/>
      <c r="IF1469" s="342"/>
      <c r="IG1469" s="342"/>
      <c r="IH1469" s="342"/>
      <c r="II1469" s="342"/>
      <c r="IJ1469" s="342"/>
      <c r="IK1469" s="342"/>
      <c r="IL1469" s="342"/>
      <c r="IM1469" s="342"/>
      <c r="IN1469" s="342"/>
      <c r="IO1469" s="342"/>
      <c r="IP1469" s="342"/>
      <c r="IQ1469" s="342"/>
      <c r="IR1469" s="342"/>
      <c r="IS1469" s="342"/>
      <c r="IT1469" s="342"/>
      <c r="IU1469" s="342"/>
      <c r="IV1469" s="342"/>
      <c r="IW1469" s="342"/>
      <c r="IX1469" s="342"/>
      <c r="IY1469" s="342"/>
      <c r="IZ1469" s="342"/>
      <c r="JA1469" s="342"/>
      <c r="JB1469" s="342"/>
      <c r="JC1469" s="342"/>
      <c r="JD1469" s="342"/>
      <c r="JE1469" s="342"/>
      <c r="JF1469" s="342"/>
      <c r="JG1469" s="342"/>
      <c r="JH1469" s="342"/>
      <c r="JI1469" s="342"/>
      <c r="JJ1469" s="342"/>
      <c r="JK1469" s="342"/>
      <c r="JL1469" s="342"/>
      <c r="JM1469" s="342"/>
      <c r="JN1469" s="342"/>
      <c r="JO1469" s="342"/>
      <c r="JP1469" s="342"/>
      <c r="JQ1469" s="342"/>
      <c r="JR1469" s="342"/>
      <c r="JS1469" s="342"/>
      <c r="JT1469" s="342"/>
      <c r="JU1469" s="342"/>
      <c r="JV1469" s="342"/>
      <c r="JW1469" s="342"/>
      <c r="JX1469" s="342"/>
      <c r="JY1469" s="342"/>
      <c r="JZ1469" s="342"/>
      <c r="KA1469" s="342"/>
      <c r="KB1469" s="342"/>
      <c r="KC1469" s="342"/>
      <c r="KD1469" s="342"/>
      <c r="KE1469" s="342"/>
      <c r="KF1469" s="342"/>
      <c r="KG1469" s="342"/>
      <c r="KH1469" s="342"/>
      <c r="KI1469" s="342"/>
      <c r="KJ1469" s="342"/>
      <c r="KK1469" s="342"/>
      <c r="KL1469" s="342"/>
      <c r="KM1469" s="342"/>
      <c r="KN1469" s="342"/>
      <c r="KO1469" s="342"/>
      <c r="KP1469" s="342"/>
      <c r="KQ1469" s="342"/>
      <c r="KR1469" s="342"/>
      <c r="KS1469" s="342"/>
      <c r="KT1469" s="342"/>
      <c r="KU1469" s="342"/>
      <c r="KV1469" s="342"/>
      <c r="KW1469" s="342"/>
      <c r="KX1469" s="342"/>
      <c r="KY1469" s="342"/>
      <c r="KZ1469" s="342"/>
      <c r="LA1469" s="342"/>
      <c r="LB1469" s="13"/>
      <c r="LC1469" s="342"/>
      <c r="LD1469" s="342"/>
      <c r="LE1469" s="13"/>
      <c r="LF1469" s="342"/>
      <c r="LG1469" s="342"/>
      <c r="LH1469" s="342"/>
      <c r="LI1469" s="342"/>
      <c r="LJ1469" s="342"/>
      <c r="LK1469" s="342"/>
      <c r="LL1469" s="342"/>
      <c r="LM1469" s="342"/>
      <c r="LN1469" s="342"/>
      <c r="LO1469" s="342"/>
      <c r="LP1469" s="342"/>
      <c r="LQ1469" s="342"/>
      <c r="LR1469" s="342"/>
      <c r="LS1469" s="342"/>
      <c r="LT1469" s="342"/>
      <c r="LU1469" s="13"/>
    </row>
    <row r="1470" spans="6:333" ht="10.75" customHeight="1">
      <c r="F1470" s="342"/>
      <c r="G1470" s="342"/>
      <c r="H1470" s="342"/>
      <c r="I1470" s="342"/>
      <c r="J1470" s="342"/>
      <c r="K1470" s="342"/>
      <c r="L1470" s="342"/>
      <c r="M1470" s="342"/>
      <c r="N1470" s="342"/>
      <c r="O1470" s="342"/>
      <c r="P1470" s="342"/>
      <c r="Q1470" s="342"/>
      <c r="R1470" s="342"/>
      <c r="S1470" s="342"/>
      <c r="T1470" s="342"/>
      <c r="U1470" s="342"/>
      <c r="V1470" s="342"/>
      <c r="W1470" s="342"/>
      <c r="X1470" s="342"/>
      <c r="Y1470" s="342"/>
      <c r="Z1470" s="342"/>
      <c r="AA1470" s="342"/>
      <c r="AB1470" s="342"/>
      <c r="AC1470" s="342"/>
      <c r="AD1470" s="342"/>
      <c r="AE1470" s="342"/>
      <c r="AF1470" s="342"/>
      <c r="AG1470" s="342"/>
      <c r="AH1470" s="342"/>
      <c r="AI1470" s="342"/>
      <c r="AJ1470" s="342"/>
      <c r="AK1470" s="342"/>
      <c r="AL1470" s="342"/>
      <c r="AM1470" s="342"/>
      <c r="AN1470" s="342"/>
      <c r="AO1470" s="342"/>
      <c r="AP1470" s="342"/>
      <c r="AQ1470" s="342"/>
      <c r="AR1470" s="342"/>
      <c r="AS1470" s="342"/>
      <c r="AT1470" s="342"/>
      <c r="AU1470" s="342"/>
      <c r="AV1470" s="342"/>
      <c r="AW1470" s="342"/>
      <c r="AX1470" s="342"/>
      <c r="AY1470" s="342"/>
      <c r="AZ1470" s="342"/>
      <c r="BA1470" s="342"/>
      <c r="BB1470" s="342"/>
      <c r="BC1470" s="342"/>
      <c r="BD1470" s="342"/>
      <c r="BE1470" s="342"/>
      <c r="BF1470" s="342"/>
      <c r="BG1470" s="342"/>
      <c r="BH1470" s="342"/>
      <c r="BI1470" s="342"/>
      <c r="BJ1470" s="342"/>
      <c r="BK1470" s="342"/>
      <c r="BL1470" s="342"/>
      <c r="BM1470" s="342"/>
      <c r="BN1470" s="342"/>
      <c r="BO1470" s="342"/>
      <c r="BP1470" s="342"/>
      <c r="BQ1470" s="342"/>
      <c r="BR1470" s="342"/>
      <c r="BS1470" s="342"/>
      <c r="BT1470" s="342"/>
      <c r="BU1470" s="342"/>
      <c r="BV1470" s="342"/>
      <c r="BW1470" s="342"/>
      <c r="BX1470" s="342"/>
      <c r="BY1470" s="342"/>
      <c r="BZ1470" s="342"/>
      <c r="CA1470" s="342"/>
      <c r="CB1470" s="342"/>
      <c r="CC1470" s="342"/>
      <c r="CD1470" s="342"/>
      <c r="CE1470" s="342"/>
      <c r="CF1470" s="342"/>
      <c r="CG1470" s="342"/>
      <c r="CH1470" s="342"/>
      <c r="CI1470" s="342"/>
      <c r="CJ1470" s="342"/>
      <c r="CK1470" s="342"/>
      <c r="CL1470" s="342"/>
      <c r="CM1470" s="342"/>
      <c r="CN1470" s="342"/>
      <c r="CO1470" s="342"/>
      <c r="CP1470" s="342"/>
      <c r="CQ1470" s="342"/>
      <c r="CR1470" s="342"/>
      <c r="CS1470" s="342"/>
      <c r="CT1470" s="342"/>
      <c r="CU1470" s="342"/>
      <c r="CV1470" s="342"/>
      <c r="CW1470" s="342"/>
      <c r="CX1470" s="342"/>
      <c r="CY1470" s="342"/>
      <c r="CZ1470" s="342"/>
      <c r="DA1470" s="342"/>
      <c r="DB1470" s="342"/>
      <c r="DC1470" s="342"/>
      <c r="DD1470" s="342"/>
      <c r="DE1470" s="342"/>
      <c r="DF1470" s="342"/>
      <c r="DG1470" s="342"/>
      <c r="DH1470" s="342"/>
      <c r="DI1470" s="342"/>
      <c r="DJ1470" s="342"/>
      <c r="DK1470" s="342"/>
      <c r="DL1470" s="342"/>
      <c r="DM1470" s="342"/>
      <c r="DN1470" s="342"/>
      <c r="DO1470" s="342"/>
      <c r="DP1470" s="342"/>
      <c r="DQ1470" s="342"/>
      <c r="DR1470" s="342"/>
      <c r="DS1470" s="342"/>
      <c r="DT1470" s="342"/>
      <c r="DU1470" s="342"/>
      <c r="FV1470" s="12"/>
      <c r="FW1470" s="342"/>
      <c r="FX1470" s="342"/>
      <c r="FY1470" s="342"/>
      <c r="FZ1470" s="342"/>
      <c r="GA1470" s="342"/>
      <c r="GB1470" s="342"/>
      <c r="GC1470" s="342"/>
      <c r="GD1470" s="342"/>
      <c r="GE1470" s="13"/>
      <c r="GT1470" s="342"/>
      <c r="GU1470" s="342"/>
      <c r="GV1470" s="342"/>
      <c r="GW1470" s="342"/>
      <c r="GX1470" s="12"/>
      <c r="GY1470" s="12"/>
      <c r="GZ1470" s="342"/>
      <c r="HA1470" s="342"/>
      <c r="HB1470" s="342"/>
      <c r="HC1470" s="342"/>
      <c r="HD1470" s="342"/>
      <c r="HE1470" s="342"/>
      <c r="HF1470" s="342"/>
      <c r="HG1470" s="342"/>
      <c r="HH1470" s="342"/>
      <c r="HI1470" s="13"/>
      <c r="HJ1470" s="12"/>
      <c r="HK1470" s="342"/>
      <c r="HL1470" s="342"/>
      <c r="HM1470" s="240"/>
      <c r="HN1470" s="342"/>
      <c r="HO1470" s="342"/>
      <c r="HP1470" s="342"/>
      <c r="HQ1470" s="342"/>
      <c r="HR1470" s="342"/>
      <c r="HS1470" s="342"/>
      <c r="HT1470" s="342"/>
      <c r="HU1470" s="12"/>
      <c r="HV1470" s="342"/>
      <c r="HW1470" s="342"/>
      <c r="HX1470" s="342"/>
      <c r="HY1470" s="342"/>
      <c r="HZ1470" s="342"/>
      <c r="IA1470" s="342"/>
      <c r="IB1470" s="342"/>
      <c r="IC1470" s="342"/>
      <c r="ID1470" s="342"/>
      <c r="IE1470" s="342"/>
      <c r="IF1470" s="342"/>
      <c r="IG1470" s="342"/>
      <c r="IH1470" s="342"/>
      <c r="II1470" s="342"/>
      <c r="IJ1470" s="342"/>
      <c r="IK1470" s="342"/>
      <c r="IL1470" s="342"/>
      <c r="IM1470" s="342"/>
      <c r="IN1470" s="342"/>
      <c r="IO1470" s="342"/>
      <c r="IP1470" s="342"/>
      <c r="IQ1470" s="342"/>
      <c r="IR1470" s="342"/>
      <c r="IS1470" s="342"/>
      <c r="IT1470" s="342"/>
      <c r="IU1470" s="342"/>
      <c r="IV1470" s="342"/>
      <c r="IW1470" s="342"/>
      <c r="IX1470" s="342"/>
      <c r="IY1470" s="342"/>
      <c r="IZ1470" s="342"/>
      <c r="JA1470" s="342"/>
      <c r="JB1470" s="342"/>
      <c r="JC1470" s="342"/>
      <c r="JD1470" s="342"/>
      <c r="JE1470" s="342"/>
      <c r="JF1470" s="342"/>
      <c r="JG1470" s="342"/>
      <c r="JH1470" s="342"/>
      <c r="JI1470" s="342"/>
      <c r="JJ1470" s="342"/>
      <c r="JK1470" s="342"/>
      <c r="JL1470" s="342"/>
      <c r="JM1470" s="342"/>
      <c r="JN1470" s="342"/>
      <c r="JO1470" s="342"/>
      <c r="JP1470" s="342"/>
      <c r="JQ1470" s="342"/>
      <c r="JR1470" s="342"/>
      <c r="JS1470" s="342"/>
      <c r="JT1470" s="342"/>
      <c r="JU1470" s="342"/>
      <c r="JV1470" s="342"/>
      <c r="JW1470" s="342"/>
      <c r="JX1470" s="342"/>
      <c r="JY1470" s="342"/>
      <c r="JZ1470" s="342"/>
      <c r="KA1470" s="342"/>
      <c r="KB1470" s="342"/>
      <c r="KC1470" s="342"/>
      <c r="KD1470" s="342"/>
      <c r="KE1470" s="342"/>
      <c r="KF1470" s="342"/>
      <c r="KG1470" s="342"/>
      <c r="KH1470" s="342"/>
      <c r="KI1470" s="342"/>
      <c r="KJ1470" s="342"/>
      <c r="KK1470" s="342"/>
      <c r="KL1470" s="342"/>
      <c r="KM1470" s="342"/>
      <c r="KN1470" s="342"/>
      <c r="KO1470" s="342"/>
      <c r="KP1470" s="342"/>
      <c r="KQ1470" s="342"/>
      <c r="KR1470" s="342"/>
      <c r="KS1470" s="342"/>
      <c r="KT1470" s="342"/>
      <c r="KU1470" s="342"/>
      <c r="KV1470" s="342"/>
      <c r="KW1470" s="342"/>
      <c r="KX1470" s="342"/>
      <c r="KY1470" s="342"/>
      <c r="KZ1470" s="342"/>
      <c r="LA1470" s="342"/>
      <c r="LB1470" s="13"/>
      <c r="LC1470" s="342"/>
      <c r="LD1470" s="342"/>
      <c r="LE1470" s="13"/>
      <c r="LF1470" s="342"/>
      <c r="LG1470" s="342"/>
      <c r="LH1470" s="342"/>
      <c r="LI1470" s="342"/>
      <c r="LJ1470" s="342"/>
      <c r="LK1470" s="342"/>
      <c r="LL1470" s="342"/>
      <c r="LM1470" s="342"/>
      <c r="LN1470" s="342"/>
      <c r="LO1470" s="342"/>
      <c r="LP1470" s="342"/>
      <c r="LQ1470" s="342"/>
      <c r="LR1470" s="342"/>
      <c r="LS1470" s="342"/>
      <c r="LT1470" s="342"/>
      <c r="LU1470" s="13"/>
    </row>
    <row r="1471" spans="6:333" ht="10.75" customHeight="1">
      <c r="F1471" s="342"/>
      <c r="G1471" s="342"/>
      <c r="H1471" s="342"/>
      <c r="I1471" s="342"/>
      <c r="J1471" s="342"/>
      <c r="K1471" s="342"/>
      <c r="L1471" s="342"/>
      <c r="M1471" s="342"/>
      <c r="N1471" s="342"/>
      <c r="O1471" s="342"/>
      <c r="P1471" s="342"/>
      <c r="Q1471" s="342"/>
      <c r="R1471" s="342"/>
      <c r="S1471" s="342"/>
      <c r="T1471" s="342"/>
      <c r="U1471" s="342"/>
      <c r="V1471" s="342"/>
      <c r="W1471" s="342"/>
      <c r="X1471" s="342"/>
      <c r="Y1471" s="342"/>
      <c r="Z1471" s="342"/>
      <c r="AA1471" s="342"/>
      <c r="AB1471" s="342"/>
      <c r="AC1471" s="342"/>
      <c r="AD1471" s="342"/>
      <c r="AE1471" s="342"/>
      <c r="AF1471" s="342"/>
      <c r="AG1471" s="342"/>
      <c r="AH1471" s="342"/>
      <c r="AI1471" s="342"/>
      <c r="AJ1471" s="342"/>
      <c r="AK1471" s="342"/>
      <c r="AL1471" s="342"/>
      <c r="AM1471" s="342"/>
      <c r="AN1471" s="342"/>
      <c r="AO1471" s="342"/>
      <c r="AP1471" s="342"/>
      <c r="AQ1471" s="342"/>
      <c r="AR1471" s="342"/>
      <c r="AS1471" s="342"/>
      <c r="AT1471" s="342"/>
      <c r="AU1471" s="342"/>
      <c r="AV1471" s="342"/>
      <c r="AW1471" s="342"/>
      <c r="AX1471" s="342"/>
      <c r="AY1471" s="342"/>
      <c r="AZ1471" s="342"/>
      <c r="BA1471" s="342"/>
      <c r="BB1471" s="342"/>
      <c r="BC1471" s="342"/>
      <c r="BD1471" s="342"/>
      <c r="BE1471" s="342"/>
      <c r="BF1471" s="342"/>
      <c r="BG1471" s="342"/>
      <c r="BH1471" s="342"/>
      <c r="BI1471" s="342"/>
      <c r="BJ1471" s="342"/>
      <c r="BK1471" s="342"/>
      <c r="BL1471" s="342"/>
      <c r="BM1471" s="342"/>
      <c r="BN1471" s="342"/>
      <c r="BO1471" s="342"/>
      <c r="BP1471" s="342"/>
      <c r="BQ1471" s="342"/>
      <c r="BR1471" s="342"/>
      <c r="BS1471" s="342"/>
      <c r="BT1471" s="342"/>
      <c r="BU1471" s="342"/>
      <c r="BV1471" s="342"/>
      <c r="BW1471" s="342"/>
      <c r="BX1471" s="342"/>
      <c r="BY1471" s="342"/>
      <c r="BZ1471" s="342"/>
      <c r="CA1471" s="342"/>
      <c r="CB1471" s="342"/>
      <c r="CC1471" s="342"/>
      <c r="CD1471" s="342"/>
      <c r="CE1471" s="342"/>
      <c r="CF1471" s="342"/>
      <c r="CG1471" s="342"/>
      <c r="CH1471" s="342"/>
      <c r="CI1471" s="342"/>
      <c r="CJ1471" s="342"/>
      <c r="CK1471" s="342"/>
      <c r="CL1471" s="342"/>
      <c r="CM1471" s="342"/>
      <c r="CN1471" s="342"/>
      <c r="CO1471" s="342"/>
      <c r="CP1471" s="342"/>
      <c r="CQ1471" s="342"/>
      <c r="CR1471" s="342"/>
      <c r="CS1471" s="342"/>
      <c r="CT1471" s="342"/>
      <c r="CU1471" s="342"/>
      <c r="CV1471" s="342"/>
      <c r="CW1471" s="342"/>
      <c r="CX1471" s="342"/>
      <c r="CY1471" s="342"/>
      <c r="CZ1471" s="342"/>
      <c r="DA1471" s="342"/>
      <c r="DB1471" s="342"/>
      <c r="DC1471" s="342"/>
      <c r="DD1471" s="342"/>
      <c r="DE1471" s="342"/>
      <c r="DF1471" s="342"/>
      <c r="DG1471" s="342"/>
      <c r="DH1471" s="342"/>
      <c r="DI1471" s="342"/>
      <c r="DJ1471" s="342"/>
      <c r="DK1471" s="342"/>
      <c r="DL1471" s="342"/>
      <c r="DM1471" s="342"/>
      <c r="DN1471" s="342"/>
      <c r="DO1471" s="342"/>
      <c r="DP1471" s="342"/>
      <c r="DQ1471" s="342"/>
      <c r="DR1471" s="342"/>
      <c r="DS1471" s="342"/>
      <c r="DT1471" s="342"/>
      <c r="DU1471" s="342"/>
      <c r="FV1471" s="12"/>
      <c r="FW1471" s="342"/>
      <c r="FX1471" s="342"/>
      <c r="FY1471" s="342"/>
      <c r="FZ1471" s="342"/>
      <c r="GA1471" s="342"/>
      <c r="GB1471" s="342"/>
      <c r="GC1471" s="342"/>
      <c r="GD1471" s="342"/>
      <c r="GE1471" s="13"/>
      <c r="GT1471" s="342"/>
      <c r="GU1471" s="342"/>
      <c r="GV1471" s="342"/>
      <c r="GW1471" s="342"/>
      <c r="GX1471" s="12"/>
      <c r="GY1471" s="12"/>
      <c r="GZ1471" s="342"/>
      <c r="HA1471" s="342"/>
      <c r="HB1471" s="342"/>
      <c r="HC1471" s="342"/>
      <c r="HD1471" s="342"/>
      <c r="HE1471" s="342"/>
      <c r="HF1471" s="342"/>
      <c r="HG1471" s="342"/>
      <c r="HH1471" s="342"/>
      <c r="HI1471" s="13"/>
      <c r="HJ1471" s="12"/>
      <c r="HK1471" s="342"/>
      <c r="HL1471" s="342"/>
      <c r="HM1471" s="240"/>
      <c r="HN1471" s="342"/>
      <c r="HO1471" s="342"/>
      <c r="HP1471" s="342"/>
      <c r="HQ1471" s="342"/>
      <c r="HR1471" s="342"/>
      <c r="HS1471" s="342"/>
      <c r="HT1471" s="342"/>
      <c r="HU1471" s="12"/>
      <c r="HV1471" s="342"/>
      <c r="HW1471" s="342"/>
      <c r="HX1471" s="342"/>
      <c r="HY1471" s="342"/>
      <c r="HZ1471" s="342"/>
      <c r="IA1471" s="342"/>
      <c r="IB1471" s="342"/>
      <c r="IC1471" s="342"/>
      <c r="ID1471" s="342"/>
      <c r="IE1471" s="342"/>
      <c r="IF1471" s="342"/>
      <c r="IG1471" s="342"/>
      <c r="IH1471" s="342"/>
      <c r="II1471" s="342"/>
      <c r="IJ1471" s="342"/>
      <c r="IK1471" s="342"/>
      <c r="IL1471" s="342"/>
      <c r="IM1471" s="342"/>
      <c r="IN1471" s="342"/>
      <c r="IO1471" s="342"/>
      <c r="IP1471" s="342"/>
      <c r="IQ1471" s="342"/>
      <c r="IR1471" s="342"/>
      <c r="IS1471" s="342"/>
      <c r="IT1471" s="342"/>
      <c r="IU1471" s="342"/>
      <c r="IV1471" s="342"/>
      <c r="IW1471" s="342"/>
      <c r="IX1471" s="342"/>
      <c r="IY1471" s="342"/>
      <c r="IZ1471" s="342"/>
      <c r="JA1471" s="342"/>
      <c r="JB1471" s="342"/>
      <c r="JC1471" s="342"/>
      <c r="JD1471" s="342"/>
      <c r="JE1471" s="342"/>
      <c r="JF1471" s="342"/>
      <c r="JG1471" s="342"/>
      <c r="JH1471" s="342"/>
      <c r="JI1471" s="342"/>
      <c r="JJ1471" s="342"/>
      <c r="JK1471" s="342"/>
      <c r="JL1471" s="342"/>
      <c r="JM1471" s="342"/>
      <c r="JN1471" s="342"/>
      <c r="JO1471" s="342"/>
      <c r="JP1471" s="342"/>
      <c r="JQ1471" s="342"/>
      <c r="JR1471" s="342"/>
      <c r="JS1471" s="342"/>
      <c r="JT1471" s="342"/>
      <c r="JU1471" s="342"/>
      <c r="JV1471" s="342"/>
      <c r="JW1471" s="342"/>
      <c r="JX1471" s="342"/>
      <c r="JY1471" s="342"/>
      <c r="JZ1471" s="342"/>
      <c r="KA1471" s="342"/>
      <c r="KB1471" s="342"/>
      <c r="KC1471" s="342"/>
      <c r="KD1471" s="342"/>
      <c r="KE1471" s="342"/>
      <c r="KF1471" s="342"/>
      <c r="KG1471" s="342"/>
      <c r="KH1471" s="342"/>
      <c r="KI1471" s="342"/>
      <c r="KJ1471" s="342"/>
      <c r="KK1471" s="342"/>
      <c r="KL1471" s="342"/>
      <c r="KM1471" s="342"/>
      <c r="KN1471" s="342"/>
      <c r="KO1471" s="342"/>
      <c r="KP1471" s="342"/>
      <c r="KQ1471" s="342"/>
      <c r="KR1471" s="342"/>
      <c r="KS1471" s="342"/>
      <c r="KT1471" s="342"/>
      <c r="KU1471" s="342"/>
      <c r="KV1471" s="342"/>
      <c r="KW1471" s="342"/>
      <c r="KX1471" s="342"/>
      <c r="KY1471" s="342"/>
      <c r="KZ1471" s="342"/>
      <c r="LA1471" s="342"/>
      <c r="LB1471" s="13"/>
      <c r="LC1471" s="342"/>
      <c r="LD1471" s="342"/>
      <c r="LE1471" s="13"/>
      <c r="LF1471" s="342"/>
      <c r="LG1471" s="342"/>
      <c r="LH1471" s="342"/>
      <c r="LI1471" s="342"/>
      <c r="LJ1471" s="342"/>
      <c r="LK1471" s="342"/>
      <c r="LL1471" s="342"/>
      <c r="LM1471" s="342"/>
      <c r="LN1471" s="342"/>
      <c r="LO1471" s="342"/>
      <c r="LP1471" s="342"/>
      <c r="LQ1471" s="342"/>
      <c r="LR1471" s="342"/>
      <c r="LS1471" s="342"/>
      <c r="LT1471" s="342"/>
      <c r="LU1471" s="13"/>
    </row>
    <row r="1472" spans="6:333" ht="10.75" customHeight="1">
      <c r="F1472" s="342"/>
      <c r="G1472" s="342"/>
      <c r="H1472" s="342"/>
      <c r="I1472" s="342"/>
      <c r="J1472" s="342"/>
      <c r="K1472" s="342"/>
      <c r="L1472" s="342"/>
      <c r="M1472" s="342"/>
      <c r="N1472" s="342"/>
      <c r="O1472" s="342"/>
      <c r="P1472" s="342"/>
      <c r="Q1472" s="342"/>
      <c r="R1472" s="342"/>
      <c r="S1472" s="342"/>
      <c r="T1472" s="342"/>
      <c r="U1472" s="342"/>
      <c r="V1472" s="342"/>
      <c r="W1472" s="342"/>
      <c r="X1472" s="342"/>
      <c r="Y1472" s="342"/>
      <c r="Z1472" s="342"/>
      <c r="AA1472" s="342"/>
      <c r="AB1472" s="342"/>
      <c r="AC1472" s="342"/>
      <c r="AD1472" s="342"/>
      <c r="AE1472" s="342"/>
      <c r="AF1472" s="342"/>
      <c r="AG1472" s="342"/>
      <c r="AH1472" s="342"/>
      <c r="AI1472" s="342"/>
      <c r="AJ1472" s="342"/>
      <c r="AK1472" s="342"/>
      <c r="AL1472" s="342"/>
      <c r="AM1472" s="342"/>
      <c r="AN1472" s="342"/>
      <c r="AO1472" s="342"/>
      <c r="AP1472" s="342"/>
      <c r="AQ1472" s="342"/>
      <c r="AR1472" s="342"/>
      <c r="AS1472" s="342"/>
      <c r="AT1472" s="342"/>
      <c r="AU1472" s="342"/>
      <c r="AV1472" s="342"/>
      <c r="AW1472" s="342"/>
      <c r="AX1472" s="342"/>
      <c r="AY1472" s="342"/>
      <c r="AZ1472" s="342"/>
      <c r="BA1472" s="342"/>
      <c r="BB1472" s="342"/>
      <c r="BC1472" s="342"/>
      <c r="BD1472" s="342"/>
      <c r="BE1472" s="342"/>
      <c r="BF1472" s="342"/>
      <c r="BG1472" s="342"/>
      <c r="BH1472" s="342"/>
      <c r="BI1472" s="342"/>
      <c r="BJ1472" s="342"/>
      <c r="BK1472" s="342"/>
      <c r="BL1472" s="342"/>
      <c r="BM1472" s="342"/>
      <c r="BN1472" s="342"/>
      <c r="BO1472" s="342"/>
      <c r="BP1472" s="342"/>
      <c r="BQ1472" s="342"/>
      <c r="BR1472" s="342"/>
      <c r="BS1472" s="342"/>
      <c r="BT1472" s="342"/>
      <c r="BU1472" s="342"/>
      <c r="BV1472" s="342"/>
      <c r="BW1472" s="342"/>
      <c r="BX1472" s="342"/>
      <c r="BY1472" s="342"/>
      <c r="BZ1472" s="342"/>
      <c r="CA1472" s="342"/>
      <c r="CB1472" s="342"/>
      <c r="CC1472" s="342"/>
      <c r="CD1472" s="342"/>
      <c r="CE1472" s="342"/>
      <c r="CF1472" s="342"/>
      <c r="CG1472" s="342"/>
      <c r="CH1472" s="342"/>
      <c r="CI1472" s="342"/>
      <c r="CJ1472" s="342"/>
      <c r="CK1472" s="342"/>
      <c r="CL1472" s="342"/>
      <c r="CM1472" s="342"/>
      <c r="CN1472" s="342"/>
      <c r="CO1472" s="342"/>
      <c r="CP1472" s="342"/>
      <c r="CQ1472" s="342"/>
      <c r="CR1472" s="342"/>
      <c r="CS1472" s="342"/>
      <c r="CT1472" s="342"/>
      <c r="CU1472" s="342"/>
      <c r="CV1472" s="342"/>
      <c r="CW1472" s="342"/>
      <c r="CX1472" s="342"/>
      <c r="CY1472" s="342"/>
      <c r="CZ1472" s="342"/>
      <c r="DA1472" s="342"/>
      <c r="DB1472" s="342"/>
      <c r="DC1472" s="342"/>
      <c r="DD1472" s="342"/>
      <c r="DE1472" s="342"/>
      <c r="DF1472" s="342"/>
      <c r="DG1472" s="342"/>
      <c r="DH1472" s="342"/>
      <c r="DI1472" s="342"/>
      <c r="DJ1472" s="342"/>
      <c r="DK1472" s="342"/>
      <c r="DL1472" s="342"/>
      <c r="DM1472" s="342"/>
      <c r="DN1472" s="342"/>
      <c r="DO1472" s="342"/>
      <c r="DP1472" s="342"/>
      <c r="DQ1472" s="342"/>
      <c r="DR1472" s="342"/>
      <c r="DS1472" s="342"/>
      <c r="DT1472" s="342"/>
      <c r="DU1472" s="342"/>
      <c r="FV1472" s="12"/>
      <c r="FW1472" s="342"/>
      <c r="FX1472" s="342"/>
      <c r="FY1472" s="342"/>
      <c r="FZ1472" s="342"/>
      <c r="GA1472" s="342"/>
      <c r="GB1472" s="342"/>
      <c r="GC1472" s="342"/>
      <c r="GD1472" s="342"/>
      <c r="GE1472" s="13"/>
      <c r="GT1472" s="342"/>
      <c r="GU1472" s="342"/>
      <c r="GV1472" s="342"/>
      <c r="GW1472" s="342"/>
      <c r="GX1472" s="12"/>
      <c r="GY1472" s="12"/>
      <c r="GZ1472" s="342"/>
      <c r="HA1472" s="342"/>
      <c r="HB1472" s="342"/>
      <c r="HC1472" s="342"/>
      <c r="HD1472" s="342"/>
      <c r="HE1472" s="342"/>
      <c r="HF1472" s="342"/>
      <c r="HG1472" s="342"/>
      <c r="HH1472" s="342"/>
      <c r="HI1472" s="13"/>
      <c r="HJ1472" s="12"/>
      <c r="HK1472" s="342"/>
      <c r="HL1472" s="342"/>
      <c r="HM1472" s="12"/>
      <c r="HN1472" s="342"/>
      <c r="HO1472" s="342"/>
      <c r="HP1472" s="342"/>
      <c r="HQ1472" s="342"/>
      <c r="HR1472" s="342"/>
      <c r="HS1472" s="342"/>
      <c r="HT1472" s="342"/>
      <c r="HU1472" s="12"/>
      <c r="HV1472" s="342"/>
      <c r="HW1472" s="342"/>
      <c r="HX1472" s="342"/>
      <c r="HY1472" s="342"/>
      <c r="HZ1472" s="342"/>
      <c r="IA1472" s="342"/>
      <c r="IB1472" s="342"/>
      <c r="IC1472" s="342"/>
      <c r="ID1472" s="342"/>
      <c r="IE1472" s="342"/>
      <c r="IF1472" s="342"/>
      <c r="IG1472" s="342"/>
      <c r="IH1472" s="342"/>
      <c r="II1472" s="342"/>
      <c r="IJ1472" s="342"/>
      <c r="IK1472" s="342"/>
      <c r="IL1472" s="342"/>
      <c r="IM1472" s="342"/>
      <c r="IN1472" s="342"/>
      <c r="IO1472" s="342"/>
      <c r="IP1472" s="342"/>
      <c r="IQ1472" s="342"/>
      <c r="IR1472" s="342"/>
      <c r="IS1472" s="342"/>
      <c r="IT1472" s="342"/>
      <c r="IU1472" s="342"/>
      <c r="IV1472" s="342"/>
      <c r="IW1472" s="342"/>
      <c r="IX1472" s="342"/>
      <c r="IY1472" s="342"/>
      <c r="IZ1472" s="342"/>
      <c r="JA1472" s="342"/>
      <c r="JB1472" s="342"/>
      <c r="JC1472" s="342"/>
      <c r="JD1472" s="342"/>
      <c r="JE1472" s="342"/>
      <c r="JF1472" s="342"/>
      <c r="JG1472" s="342"/>
      <c r="JH1472" s="342"/>
      <c r="JI1472" s="342"/>
      <c r="JJ1472" s="342"/>
      <c r="JK1472" s="342"/>
      <c r="JL1472" s="342"/>
      <c r="JM1472" s="342"/>
      <c r="JN1472" s="342"/>
      <c r="JO1472" s="342"/>
      <c r="JP1472" s="342"/>
      <c r="JQ1472" s="342"/>
      <c r="JR1472" s="342"/>
      <c r="JS1472" s="342"/>
      <c r="JT1472" s="342"/>
      <c r="JU1472" s="342"/>
      <c r="JV1472" s="342"/>
      <c r="JW1472" s="342"/>
      <c r="JX1472" s="342"/>
      <c r="JY1472" s="342"/>
      <c r="JZ1472" s="342"/>
      <c r="KA1472" s="342"/>
      <c r="KB1472" s="342"/>
      <c r="KC1472" s="342"/>
      <c r="KD1472" s="342"/>
      <c r="KE1472" s="342"/>
      <c r="KF1472" s="342"/>
      <c r="KG1472" s="342"/>
      <c r="KH1472" s="342"/>
      <c r="KI1472" s="342"/>
      <c r="KJ1472" s="342"/>
      <c r="KK1472" s="342"/>
      <c r="KL1472" s="342"/>
      <c r="KM1472" s="342"/>
      <c r="KN1472" s="342"/>
      <c r="KO1472" s="342"/>
      <c r="KP1472" s="342"/>
      <c r="KQ1472" s="342"/>
      <c r="KR1472" s="342"/>
      <c r="KS1472" s="342"/>
      <c r="KT1472" s="342"/>
      <c r="KU1472" s="342"/>
      <c r="KV1472" s="342"/>
      <c r="KW1472" s="342"/>
      <c r="KX1472" s="342"/>
      <c r="KY1472" s="342"/>
      <c r="KZ1472" s="342"/>
      <c r="LA1472" s="342"/>
      <c r="LB1472" s="13"/>
      <c r="LC1472" s="342"/>
      <c r="LD1472" s="342"/>
      <c r="LE1472" s="13"/>
      <c r="LF1472" s="342"/>
      <c r="LG1472" s="342"/>
      <c r="LH1472" s="342"/>
      <c r="LI1472" s="342"/>
      <c r="LJ1472" s="342"/>
      <c r="LK1472" s="342"/>
      <c r="LL1472" s="342"/>
      <c r="LM1472" s="342"/>
      <c r="LN1472" s="342"/>
      <c r="LO1472" s="342"/>
      <c r="LP1472" s="342"/>
      <c r="LQ1472" s="342"/>
      <c r="LR1472" s="342"/>
      <c r="LS1472" s="342"/>
      <c r="LT1472" s="342"/>
      <c r="LU1472" s="13"/>
    </row>
    <row r="1473" spans="6:333" ht="10.75" customHeight="1">
      <c r="F1473" s="342"/>
      <c r="G1473" s="342"/>
      <c r="H1473" s="342"/>
      <c r="I1473" s="342"/>
      <c r="J1473" s="342"/>
      <c r="K1473" s="342"/>
      <c r="L1473" s="342"/>
      <c r="M1473" s="342"/>
      <c r="N1473" s="342"/>
      <c r="O1473" s="342"/>
      <c r="P1473" s="342"/>
      <c r="Q1473" s="342"/>
      <c r="R1473" s="342"/>
      <c r="S1473" s="342"/>
      <c r="T1473" s="342"/>
      <c r="U1473" s="342"/>
      <c r="V1473" s="342"/>
      <c r="W1473" s="342"/>
      <c r="X1473" s="342"/>
      <c r="Y1473" s="342"/>
      <c r="Z1473" s="342"/>
      <c r="AA1473" s="342"/>
      <c r="AB1473" s="342"/>
      <c r="AC1473" s="342"/>
      <c r="AD1473" s="342"/>
      <c r="AE1473" s="342"/>
      <c r="AF1473" s="342"/>
      <c r="AG1473" s="342"/>
      <c r="AH1473" s="342"/>
      <c r="AI1473" s="342"/>
      <c r="AJ1473" s="342"/>
      <c r="AK1473" s="342"/>
      <c r="AL1473" s="342"/>
      <c r="AM1473" s="342"/>
      <c r="AN1473" s="342"/>
      <c r="AO1473" s="342"/>
      <c r="AP1473" s="342"/>
      <c r="AQ1473" s="342"/>
      <c r="AR1473" s="342"/>
      <c r="AS1473" s="342"/>
      <c r="AT1473" s="342"/>
      <c r="AU1473" s="342"/>
      <c r="AV1473" s="342"/>
      <c r="AW1473" s="342"/>
      <c r="AX1473" s="342"/>
      <c r="AY1473" s="342"/>
      <c r="AZ1473" s="342"/>
      <c r="BA1473" s="342"/>
      <c r="BB1473" s="342"/>
      <c r="BC1473" s="342"/>
      <c r="BD1473" s="342"/>
      <c r="BE1473" s="342"/>
      <c r="BF1473" s="342"/>
      <c r="BG1473" s="342"/>
      <c r="BH1473" s="342"/>
      <c r="BI1473" s="342"/>
      <c r="BJ1473" s="342"/>
      <c r="BK1473" s="342"/>
      <c r="BL1473" s="342"/>
      <c r="BM1473" s="342"/>
      <c r="BN1473" s="342"/>
      <c r="BO1473" s="342"/>
      <c r="BP1473" s="342"/>
      <c r="BQ1473" s="342"/>
      <c r="BR1473" s="342"/>
      <c r="BS1473" s="342"/>
      <c r="BT1473" s="342"/>
      <c r="BU1473" s="342"/>
      <c r="BV1473" s="342"/>
      <c r="BW1473" s="342"/>
      <c r="BX1473" s="342"/>
      <c r="BY1473" s="342"/>
      <c r="BZ1473" s="342"/>
      <c r="CA1473" s="342"/>
      <c r="CB1473" s="342"/>
      <c r="CC1473" s="342"/>
      <c r="CD1473" s="342"/>
      <c r="CE1473" s="342"/>
      <c r="CF1473" s="342"/>
      <c r="CG1473" s="342"/>
      <c r="CH1473" s="342"/>
      <c r="CI1473" s="342"/>
      <c r="CJ1473" s="342"/>
      <c r="CK1473" s="342"/>
      <c r="CL1473" s="342"/>
      <c r="CM1473" s="342"/>
      <c r="CN1473" s="342"/>
      <c r="CO1473" s="342"/>
      <c r="CP1473" s="342"/>
      <c r="CQ1473" s="342"/>
      <c r="CR1473" s="342"/>
      <c r="CS1473" s="342"/>
      <c r="CT1473" s="342"/>
      <c r="CU1473" s="342"/>
      <c r="CV1473" s="342"/>
      <c r="CW1473" s="342"/>
      <c r="CX1473" s="342"/>
      <c r="CY1473" s="342"/>
      <c r="CZ1473" s="342"/>
      <c r="DA1473" s="342"/>
      <c r="DB1473" s="342"/>
      <c r="DC1473" s="342"/>
      <c r="DD1473" s="342"/>
      <c r="DE1473" s="342"/>
      <c r="DF1473" s="342"/>
      <c r="DG1473" s="342"/>
      <c r="DH1473" s="342"/>
      <c r="DI1473" s="342"/>
      <c r="DJ1473" s="342"/>
      <c r="DK1473" s="342"/>
      <c r="DL1473" s="342"/>
      <c r="DM1473" s="342"/>
      <c r="DN1473" s="342"/>
      <c r="DO1473" s="342"/>
      <c r="DP1473" s="342"/>
      <c r="DQ1473" s="342"/>
      <c r="DR1473" s="342"/>
      <c r="DS1473" s="342"/>
      <c r="DT1473" s="342"/>
      <c r="DU1473" s="342"/>
      <c r="FV1473" s="9"/>
      <c r="FW1473" s="10"/>
      <c r="FX1473" s="10"/>
      <c r="FY1473" s="10"/>
      <c r="FZ1473" s="10"/>
      <c r="GA1473" s="10"/>
      <c r="GB1473" s="10"/>
      <c r="GC1473" s="10"/>
      <c r="GD1473" s="10"/>
      <c r="GE1473" s="11"/>
      <c r="GT1473" s="342"/>
      <c r="GU1473" s="342"/>
      <c r="GV1473" s="342"/>
      <c r="GW1473" s="342"/>
      <c r="GX1473" s="12"/>
      <c r="GY1473" s="12"/>
      <c r="GZ1473" s="342"/>
      <c r="HA1473" s="342"/>
      <c r="HB1473" s="342"/>
      <c r="HC1473" s="342"/>
      <c r="HD1473" s="342"/>
      <c r="HE1473" s="342"/>
      <c r="HF1473" s="342"/>
      <c r="HG1473" s="342"/>
      <c r="HH1473" s="342"/>
      <c r="HI1473" s="13"/>
      <c r="HJ1473" s="12"/>
      <c r="HK1473" s="342"/>
      <c r="HL1473" s="342"/>
      <c r="HM1473" s="12"/>
      <c r="HN1473" s="342"/>
      <c r="HO1473" s="342"/>
      <c r="HP1473" s="342"/>
      <c r="HQ1473" s="342"/>
      <c r="HR1473" s="342"/>
      <c r="HS1473" s="342"/>
      <c r="HT1473" s="342"/>
      <c r="HU1473" s="12"/>
      <c r="HV1473" s="342"/>
      <c r="HW1473" s="342"/>
      <c r="HX1473" s="342"/>
      <c r="HY1473" s="342"/>
      <c r="HZ1473" s="342"/>
      <c r="IA1473" s="342"/>
      <c r="IB1473" s="342"/>
      <c r="IC1473" s="342"/>
      <c r="ID1473" s="342"/>
      <c r="IE1473" s="342"/>
      <c r="IF1473" s="342"/>
      <c r="IG1473" s="342"/>
      <c r="IH1473" s="342"/>
      <c r="II1473" s="342"/>
      <c r="IJ1473" s="342"/>
      <c r="IK1473" s="342"/>
      <c r="IL1473" s="342"/>
      <c r="IM1473" s="342"/>
      <c r="IN1473" s="342"/>
      <c r="IO1473" s="342"/>
      <c r="IP1473" s="342"/>
      <c r="IQ1473" s="342"/>
      <c r="IR1473" s="342"/>
      <c r="IS1473" s="342"/>
      <c r="IT1473" s="342"/>
      <c r="IU1473" s="342"/>
      <c r="IV1473" s="342"/>
      <c r="IW1473" s="342"/>
      <c r="IX1473" s="342"/>
      <c r="IY1473" s="342"/>
      <c r="IZ1473" s="342"/>
      <c r="JA1473" s="342"/>
      <c r="JB1473" s="342"/>
      <c r="JC1473" s="342"/>
      <c r="JD1473" s="342"/>
      <c r="JE1473" s="342"/>
      <c r="JF1473" s="342"/>
      <c r="JG1473" s="342"/>
      <c r="JH1473" s="342"/>
      <c r="JI1473" s="342"/>
      <c r="JJ1473" s="342"/>
      <c r="JK1473" s="342"/>
      <c r="JL1473" s="342"/>
      <c r="JM1473" s="342"/>
      <c r="JN1473" s="342"/>
      <c r="JO1473" s="342"/>
      <c r="JP1473" s="342"/>
      <c r="JQ1473" s="342"/>
      <c r="JR1473" s="342"/>
      <c r="JS1473" s="342"/>
      <c r="JT1473" s="342"/>
      <c r="JU1473" s="342"/>
      <c r="JV1473" s="342"/>
      <c r="JW1473" s="342"/>
      <c r="JX1473" s="342"/>
      <c r="JY1473" s="342"/>
      <c r="JZ1473" s="342"/>
      <c r="KA1473" s="342"/>
      <c r="KB1473" s="342"/>
      <c r="KC1473" s="342"/>
      <c r="KD1473" s="342"/>
      <c r="KE1473" s="342"/>
      <c r="KF1473" s="342"/>
      <c r="KG1473" s="342"/>
      <c r="KH1473" s="342"/>
      <c r="KI1473" s="342"/>
      <c r="KJ1473" s="342"/>
      <c r="KK1473" s="342"/>
      <c r="KL1473" s="342"/>
      <c r="KM1473" s="342"/>
      <c r="KN1473" s="342"/>
      <c r="KO1473" s="342"/>
      <c r="KP1473" s="342"/>
      <c r="KQ1473" s="342"/>
      <c r="KR1473" s="342"/>
      <c r="KS1473" s="342"/>
      <c r="KT1473" s="342"/>
      <c r="KU1473" s="342"/>
      <c r="KV1473" s="342"/>
      <c r="KW1473" s="342"/>
      <c r="KX1473" s="342"/>
      <c r="KY1473" s="342"/>
      <c r="KZ1473" s="342"/>
      <c r="LA1473" s="342"/>
      <c r="LB1473" s="13"/>
      <c r="LC1473" s="342"/>
      <c r="LD1473" s="342"/>
      <c r="LE1473" s="13"/>
      <c r="LF1473" s="342"/>
      <c r="LG1473" s="342"/>
      <c r="LH1473" s="342"/>
      <c r="LI1473" s="342"/>
      <c r="LJ1473" s="342"/>
      <c r="LK1473" s="342"/>
      <c r="LL1473" s="342"/>
      <c r="LM1473" s="342"/>
      <c r="LN1473" s="342"/>
      <c r="LO1473" s="342"/>
      <c r="LP1473" s="342"/>
      <c r="LQ1473" s="342"/>
      <c r="LR1473" s="342"/>
      <c r="LS1473" s="342"/>
      <c r="LT1473" s="342"/>
      <c r="LU1473" s="13"/>
    </row>
    <row r="1474" spans="6:333" ht="10.75" customHeight="1">
      <c r="F1474" s="342"/>
      <c r="G1474" s="342"/>
      <c r="H1474" s="342"/>
      <c r="I1474" s="342"/>
      <c r="J1474" s="342"/>
      <c r="K1474" s="342"/>
      <c r="L1474" s="342"/>
      <c r="M1474" s="342"/>
      <c r="N1474" s="342"/>
      <c r="O1474" s="342"/>
      <c r="P1474" s="342"/>
      <c r="Q1474" s="342"/>
      <c r="R1474" s="342"/>
      <c r="S1474" s="342"/>
      <c r="T1474" s="342"/>
      <c r="U1474" s="342"/>
      <c r="V1474" s="342"/>
      <c r="W1474" s="342"/>
      <c r="X1474" s="342"/>
      <c r="Y1474" s="342"/>
      <c r="Z1474" s="342"/>
      <c r="AA1474" s="342"/>
      <c r="AB1474" s="342"/>
      <c r="AC1474" s="342"/>
      <c r="AD1474" s="342"/>
      <c r="AE1474" s="342"/>
      <c r="AF1474" s="342"/>
      <c r="AG1474" s="342"/>
      <c r="AH1474" s="342"/>
      <c r="AI1474" s="342"/>
      <c r="AJ1474" s="342"/>
      <c r="AK1474" s="342"/>
      <c r="AL1474" s="342"/>
      <c r="AM1474" s="342"/>
      <c r="AN1474" s="342"/>
      <c r="AO1474" s="342"/>
      <c r="AP1474" s="342"/>
      <c r="AQ1474" s="342"/>
      <c r="AR1474" s="342"/>
      <c r="AS1474" s="342"/>
      <c r="AT1474" s="342"/>
      <c r="AU1474" s="342"/>
      <c r="AV1474" s="342"/>
      <c r="AW1474" s="342"/>
      <c r="AX1474" s="342"/>
      <c r="AY1474" s="342"/>
      <c r="AZ1474" s="342"/>
      <c r="BA1474" s="342"/>
      <c r="BB1474" s="342"/>
      <c r="BC1474" s="342"/>
      <c r="BD1474" s="342"/>
      <c r="BE1474" s="342"/>
      <c r="BF1474" s="342"/>
      <c r="BG1474" s="342"/>
      <c r="BH1474" s="342"/>
      <c r="BI1474" s="342"/>
      <c r="BJ1474" s="342"/>
      <c r="BK1474" s="342"/>
      <c r="BL1474" s="342"/>
      <c r="BM1474" s="342"/>
      <c r="BN1474" s="342"/>
      <c r="BO1474" s="342"/>
      <c r="BP1474" s="342"/>
      <c r="BQ1474" s="342"/>
      <c r="BR1474" s="342"/>
      <c r="BS1474" s="342"/>
      <c r="BT1474" s="342"/>
      <c r="BU1474" s="342"/>
      <c r="BV1474" s="342"/>
      <c r="BW1474" s="342"/>
      <c r="BX1474" s="342"/>
      <c r="BY1474" s="342"/>
      <c r="BZ1474" s="342"/>
      <c r="CA1474" s="342"/>
      <c r="CB1474" s="342"/>
      <c r="CC1474" s="342"/>
      <c r="CD1474" s="342"/>
      <c r="CE1474" s="342"/>
      <c r="CF1474" s="342"/>
      <c r="CG1474" s="342"/>
      <c r="CH1474" s="342"/>
      <c r="CI1474" s="342"/>
      <c r="CJ1474" s="342"/>
      <c r="CK1474" s="342"/>
      <c r="CL1474" s="342"/>
      <c r="CM1474" s="342"/>
      <c r="CN1474" s="342"/>
      <c r="CO1474" s="342"/>
      <c r="CP1474" s="342"/>
      <c r="CQ1474" s="342"/>
      <c r="CR1474" s="342"/>
      <c r="CS1474" s="342"/>
      <c r="CT1474" s="342"/>
      <c r="CU1474" s="342"/>
      <c r="CV1474" s="342"/>
      <c r="CW1474" s="342"/>
      <c r="CX1474" s="342"/>
      <c r="CY1474" s="342"/>
      <c r="CZ1474" s="342"/>
      <c r="DA1474" s="342"/>
      <c r="DB1474" s="342"/>
      <c r="DC1474" s="342"/>
      <c r="DD1474" s="342"/>
      <c r="DE1474" s="342"/>
      <c r="DF1474" s="342"/>
      <c r="DG1474" s="342"/>
      <c r="DH1474" s="342"/>
      <c r="DI1474" s="342"/>
      <c r="DJ1474" s="342"/>
      <c r="DK1474" s="342"/>
      <c r="DL1474" s="342"/>
      <c r="DM1474" s="342"/>
      <c r="DN1474" s="342"/>
      <c r="DO1474" s="342"/>
      <c r="DP1474" s="342"/>
      <c r="DQ1474" s="342"/>
      <c r="DR1474" s="342"/>
      <c r="DS1474" s="342"/>
      <c r="DT1474" s="342"/>
      <c r="DU1474" s="342"/>
      <c r="FV1474" s="12"/>
      <c r="FW1474" s="342"/>
      <c r="FX1474" s="342"/>
      <c r="FY1474" s="342"/>
      <c r="FZ1474" s="342"/>
      <c r="GA1474" s="342"/>
      <c r="GB1474" s="342"/>
      <c r="GC1474" s="342"/>
      <c r="GD1474" s="342"/>
      <c r="GE1474" s="13"/>
      <c r="GT1474" s="342"/>
      <c r="GU1474" s="342"/>
      <c r="GV1474" s="342"/>
      <c r="GW1474" s="342"/>
      <c r="GX1474" s="12"/>
      <c r="GY1474" s="12"/>
      <c r="GZ1474" s="342"/>
      <c r="HA1474" s="342"/>
      <c r="HB1474" s="342"/>
      <c r="HC1474" s="342"/>
      <c r="HD1474" s="342"/>
      <c r="HE1474" s="342"/>
      <c r="HF1474" s="342"/>
      <c r="HG1474" s="342"/>
      <c r="HH1474" s="342"/>
      <c r="HI1474" s="13"/>
      <c r="HJ1474" s="12"/>
      <c r="HK1474" s="342"/>
      <c r="HL1474" s="342"/>
      <c r="HM1474" s="12"/>
      <c r="HN1474" s="342"/>
      <c r="HO1474" s="342"/>
      <c r="HP1474" s="342"/>
      <c r="HQ1474" s="342"/>
      <c r="HR1474" s="342"/>
      <c r="HS1474" s="342"/>
      <c r="HT1474" s="342"/>
      <c r="HU1474" s="12"/>
      <c r="HV1474" s="342"/>
      <c r="HW1474" s="342"/>
      <c r="HX1474" s="342"/>
      <c r="HY1474" s="342"/>
      <c r="HZ1474" s="342"/>
      <c r="IA1474" s="342"/>
      <c r="IB1474" s="342"/>
      <c r="IC1474" s="342"/>
      <c r="ID1474" s="342"/>
      <c r="IE1474" s="342"/>
      <c r="IF1474" s="342"/>
      <c r="IG1474" s="342"/>
      <c r="IH1474" s="342"/>
      <c r="II1474" s="342"/>
      <c r="IJ1474" s="342"/>
      <c r="IK1474" s="342"/>
      <c r="IL1474" s="342"/>
      <c r="IM1474" s="342"/>
      <c r="IN1474" s="342"/>
      <c r="IO1474" s="342"/>
      <c r="IP1474" s="342"/>
      <c r="IQ1474" s="342"/>
      <c r="IR1474" s="342"/>
      <c r="IS1474" s="342"/>
      <c r="IT1474" s="342"/>
      <c r="IU1474" s="342"/>
      <c r="IV1474" s="342"/>
      <c r="IW1474" s="342"/>
      <c r="IX1474" s="342"/>
      <c r="IY1474" s="342"/>
      <c r="IZ1474" s="342"/>
      <c r="JA1474" s="342"/>
      <c r="JB1474" s="342"/>
      <c r="JC1474" s="342"/>
      <c r="JD1474" s="342"/>
      <c r="JE1474" s="342"/>
      <c r="JF1474" s="342"/>
      <c r="JG1474" s="342"/>
      <c r="JH1474" s="342"/>
      <c r="JI1474" s="342"/>
      <c r="JJ1474" s="342"/>
      <c r="JK1474" s="342"/>
      <c r="JL1474" s="342"/>
      <c r="JM1474" s="342"/>
      <c r="JN1474" s="342"/>
      <c r="JO1474" s="342"/>
      <c r="JP1474" s="342"/>
      <c r="JQ1474" s="342"/>
      <c r="JR1474" s="342"/>
      <c r="JS1474" s="342"/>
      <c r="JT1474" s="342"/>
      <c r="JU1474" s="342"/>
      <c r="JV1474" s="342"/>
      <c r="JW1474" s="342"/>
      <c r="JX1474" s="342"/>
      <c r="JY1474" s="342"/>
      <c r="JZ1474" s="342"/>
      <c r="KA1474" s="342"/>
      <c r="KB1474" s="342"/>
      <c r="KC1474" s="342"/>
      <c r="KD1474" s="342"/>
      <c r="KE1474" s="342"/>
      <c r="KF1474" s="342"/>
      <c r="KG1474" s="342"/>
      <c r="KH1474" s="342"/>
      <c r="KI1474" s="342"/>
      <c r="KJ1474" s="342"/>
      <c r="KK1474" s="342"/>
      <c r="KL1474" s="342"/>
      <c r="KM1474" s="342"/>
      <c r="KN1474" s="342"/>
      <c r="KO1474" s="342"/>
      <c r="KP1474" s="342"/>
      <c r="KQ1474" s="342"/>
      <c r="KR1474" s="342"/>
      <c r="KS1474" s="342"/>
      <c r="KT1474" s="342"/>
      <c r="KU1474" s="342"/>
      <c r="KV1474" s="342"/>
      <c r="KW1474" s="342"/>
      <c r="KX1474" s="342"/>
      <c r="KY1474" s="342"/>
      <c r="KZ1474" s="342"/>
      <c r="LA1474" s="342"/>
      <c r="LB1474" s="13"/>
      <c r="LC1474" s="342"/>
      <c r="LD1474" s="342"/>
      <c r="LE1474" s="13"/>
      <c r="LF1474" s="342"/>
      <c r="LG1474" s="342"/>
      <c r="LH1474" s="342"/>
      <c r="LI1474" s="342"/>
      <c r="LJ1474" s="342"/>
      <c r="LK1474" s="342"/>
      <c r="LL1474" s="342"/>
      <c r="LM1474" s="342"/>
      <c r="LN1474" s="342"/>
      <c r="LO1474" s="342"/>
      <c r="LP1474" s="342"/>
      <c r="LQ1474" s="342"/>
      <c r="LR1474" s="342"/>
      <c r="LS1474" s="342"/>
      <c r="LT1474" s="342"/>
      <c r="LU1474" s="13"/>
    </row>
    <row r="1475" spans="6:333" ht="10.75" customHeight="1">
      <c r="F1475" s="342"/>
      <c r="G1475" s="342"/>
      <c r="H1475" s="342"/>
      <c r="I1475" s="342"/>
      <c r="J1475" s="342"/>
      <c r="K1475" s="342"/>
      <c r="L1475" s="342"/>
      <c r="M1475" s="342"/>
      <c r="N1475" s="342"/>
      <c r="O1475" s="342"/>
      <c r="P1475" s="342"/>
      <c r="Q1475" s="342"/>
      <c r="R1475" s="342"/>
      <c r="S1475" s="342"/>
      <c r="T1475" s="342"/>
      <c r="U1475" s="342"/>
      <c r="V1475" s="342"/>
      <c r="W1475" s="342"/>
      <c r="X1475" s="342"/>
      <c r="Y1475" s="342"/>
      <c r="Z1475" s="342"/>
      <c r="AA1475" s="342"/>
      <c r="AB1475" s="342"/>
      <c r="AC1475" s="342"/>
      <c r="AD1475" s="342"/>
      <c r="AE1475" s="342"/>
      <c r="AF1475" s="342"/>
      <c r="AG1475" s="342"/>
      <c r="AH1475" s="342"/>
      <c r="AI1475" s="342"/>
      <c r="AJ1475" s="342"/>
      <c r="AK1475" s="342"/>
      <c r="AL1475" s="342"/>
      <c r="AM1475" s="342"/>
      <c r="AN1475" s="342"/>
      <c r="AO1475" s="342"/>
      <c r="AP1475" s="342"/>
      <c r="AQ1475" s="342"/>
      <c r="AR1475" s="342"/>
      <c r="AS1475" s="342"/>
      <c r="AT1475" s="342"/>
      <c r="AU1475" s="342"/>
      <c r="AV1475" s="342"/>
      <c r="AW1475" s="342"/>
      <c r="AX1475" s="342"/>
      <c r="AY1475" s="342"/>
      <c r="AZ1475" s="342"/>
      <c r="BA1475" s="342"/>
      <c r="BB1475" s="342"/>
      <c r="BC1475" s="342"/>
      <c r="BD1475" s="342"/>
      <c r="BE1475" s="342"/>
      <c r="BF1475" s="342"/>
      <c r="BG1475" s="342"/>
      <c r="BH1475" s="342"/>
      <c r="BI1475" s="342"/>
      <c r="BJ1475" s="342"/>
      <c r="BK1475" s="342"/>
      <c r="BL1475" s="342"/>
      <c r="BM1475" s="342"/>
      <c r="BN1475" s="342"/>
      <c r="BO1475" s="342"/>
      <c r="BP1475" s="342"/>
      <c r="BQ1475" s="342"/>
      <c r="BR1475" s="342"/>
      <c r="BS1475" s="342"/>
      <c r="BT1475" s="342"/>
      <c r="BU1475" s="342"/>
      <c r="BV1475" s="342"/>
      <c r="BW1475" s="342"/>
      <c r="BX1475" s="342"/>
      <c r="BY1475" s="342"/>
      <c r="BZ1475" s="342"/>
      <c r="CA1475" s="342"/>
      <c r="CB1475" s="342"/>
      <c r="CC1475" s="342"/>
      <c r="CD1475" s="342"/>
      <c r="CE1475" s="342"/>
      <c r="CF1475" s="342"/>
      <c r="CG1475" s="342"/>
      <c r="CH1475" s="342"/>
      <c r="CI1475" s="342"/>
      <c r="CJ1475" s="342"/>
      <c r="CK1475" s="342"/>
      <c r="CL1475" s="342"/>
      <c r="CM1475" s="342"/>
      <c r="CN1475" s="342"/>
      <c r="CO1475" s="342"/>
      <c r="CP1475" s="342"/>
      <c r="CQ1475" s="342"/>
      <c r="CR1475" s="342"/>
      <c r="CS1475" s="342"/>
      <c r="CT1475" s="342"/>
      <c r="CU1475" s="342"/>
      <c r="CV1475" s="342"/>
      <c r="CW1475" s="342"/>
      <c r="CX1475" s="342"/>
      <c r="CY1475" s="342"/>
      <c r="CZ1475" s="342"/>
      <c r="DA1475" s="342"/>
      <c r="DB1475" s="342"/>
      <c r="DC1475" s="342"/>
      <c r="DD1475" s="342"/>
      <c r="DE1475" s="342"/>
      <c r="DF1475" s="342"/>
      <c r="DG1475" s="342"/>
      <c r="DH1475" s="342"/>
      <c r="DI1475" s="342"/>
      <c r="DJ1475" s="342"/>
      <c r="DK1475" s="342"/>
      <c r="DL1475" s="342"/>
      <c r="DM1475" s="342"/>
      <c r="DN1475" s="342"/>
      <c r="DO1475" s="342"/>
      <c r="DP1475" s="342"/>
      <c r="DQ1475" s="342"/>
      <c r="DR1475" s="342"/>
      <c r="DS1475" s="342"/>
      <c r="DT1475" s="342"/>
      <c r="DU1475" s="342"/>
      <c r="FV1475" s="12"/>
      <c r="FW1475" s="342"/>
      <c r="FX1475" s="342"/>
      <c r="FY1475" s="342"/>
      <c r="FZ1475" s="342"/>
      <c r="GA1475" s="342"/>
      <c r="GB1475" s="342"/>
      <c r="GC1475" s="342"/>
      <c r="GD1475" s="342"/>
      <c r="GE1475" s="13"/>
      <c r="GT1475" s="342"/>
      <c r="GU1475" s="342"/>
      <c r="GV1475" s="342"/>
      <c r="GW1475" s="342"/>
      <c r="GX1475" s="12"/>
      <c r="GY1475" s="12"/>
      <c r="GZ1475" s="342"/>
      <c r="HA1475" s="342"/>
      <c r="HB1475" s="342"/>
      <c r="HC1475" s="342"/>
      <c r="HD1475" s="342"/>
      <c r="HE1475" s="342"/>
      <c r="HF1475" s="342"/>
      <c r="HG1475" s="342"/>
      <c r="HH1475" s="342"/>
      <c r="HI1475" s="13"/>
      <c r="HJ1475" s="12"/>
      <c r="HK1475" s="342"/>
      <c r="HL1475" s="342"/>
      <c r="HM1475" s="12"/>
      <c r="HN1475" s="342"/>
      <c r="HO1475" s="342"/>
      <c r="HP1475" s="342"/>
      <c r="HQ1475" s="342"/>
      <c r="HR1475" s="342"/>
      <c r="HS1475" s="342"/>
      <c r="HT1475" s="342"/>
      <c r="HU1475" s="12"/>
      <c r="HV1475" s="342"/>
      <c r="HW1475" s="342"/>
      <c r="HX1475" s="342"/>
      <c r="HY1475" s="342"/>
      <c r="HZ1475" s="342"/>
      <c r="IA1475" s="342"/>
      <c r="IB1475" s="342"/>
      <c r="IC1475" s="342"/>
      <c r="ID1475" s="342"/>
      <c r="IE1475" s="342"/>
      <c r="IF1475" s="342"/>
      <c r="IG1475" s="342"/>
      <c r="IH1475" s="342"/>
      <c r="II1475" s="342"/>
      <c r="IJ1475" s="342"/>
      <c r="IK1475" s="342"/>
      <c r="IL1475" s="342"/>
      <c r="IM1475" s="342"/>
      <c r="IN1475" s="342"/>
      <c r="IO1475" s="342"/>
      <c r="IP1475" s="342"/>
      <c r="IQ1475" s="342"/>
      <c r="IR1475" s="342"/>
      <c r="IS1475" s="342"/>
      <c r="IT1475" s="342"/>
      <c r="IU1475" s="342"/>
      <c r="IV1475" s="342"/>
      <c r="IW1475" s="342"/>
      <c r="IX1475" s="342"/>
      <c r="IY1475" s="342"/>
      <c r="IZ1475" s="342"/>
      <c r="JA1475" s="342"/>
      <c r="JB1475" s="342"/>
      <c r="JC1475" s="342"/>
      <c r="JD1475" s="342"/>
      <c r="JE1475" s="342"/>
      <c r="JF1475" s="342"/>
      <c r="JG1475" s="342"/>
      <c r="JH1475" s="342"/>
      <c r="JI1475" s="342"/>
      <c r="JJ1475" s="342"/>
      <c r="JK1475" s="342"/>
      <c r="JL1475" s="342"/>
      <c r="JM1475" s="342"/>
      <c r="JN1475" s="342"/>
      <c r="JO1475" s="342"/>
      <c r="JP1475" s="342"/>
      <c r="JQ1475" s="342"/>
      <c r="JR1475" s="342"/>
      <c r="JS1475" s="342"/>
      <c r="JT1475" s="342"/>
      <c r="JU1475" s="342"/>
      <c r="JV1475" s="342"/>
      <c r="JW1475" s="342"/>
      <c r="JX1475" s="342"/>
      <c r="JY1475" s="342"/>
      <c r="JZ1475" s="342"/>
      <c r="KA1475" s="342"/>
      <c r="KB1475" s="342"/>
      <c r="KC1475" s="342"/>
      <c r="KD1475" s="342"/>
      <c r="KE1475" s="342"/>
      <c r="KF1475" s="342"/>
      <c r="KG1475" s="342"/>
      <c r="KH1475" s="342"/>
      <c r="KI1475" s="342"/>
      <c r="KJ1475" s="342"/>
      <c r="KK1475" s="342"/>
      <c r="KL1475" s="342"/>
      <c r="KM1475" s="342"/>
      <c r="KN1475" s="342"/>
      <c r="KO1475" s="342"/>
      <c r="KP1475" s="342"/>
      <c r="KQ1475" s="342"/>
      <c r="KR1475" s="342"/>
      <c r="KS1475" s="342"/>
      <c r="KT1475" s="342"/>
      <c r="KU1475" s="342"/>
      <c r="KV1475" s="342"/>
      <c r="KW1475" s="342"/>
      <c r="KX1475" s="342"/>
      <c r="KY1475" s="342"/>
      <c r="KZ1475" s="342"/>
      <c r="LA1475" s="342"/>
      <c r="LB1475" s="13"/>
      <c r="LC1475" s="342"/>
      <c r="LD1475" s="342"/>
      <c r="LE1475" s="13"/>
      <c r="LF1475" s="342"/>
      <c r="LG1475" s="342"/>
      <c r="LH1475" s="342"/>
      <c r="LI1475" s="342"/>
      <c r="LJ1475" s="342"/>
      <c r="LK1475" s="342"/>
      <c r="LL1475" s="342"/>
      <c r="LM1475" s="342"/>
      <c r="LN1475" s="342"/>
      <c r="LO1475" s="342"/>
      <c r="LP1475" s="342"/>
      <c r="LQ1475" s="342"/>
      <c r="LR1475" s="342"/>
      <c r="LS1475" s="342"/>
      <c r="LT1475" s="342"/>
      <c r="LU1475" s="13"/>
    </row>
    <row r="1476" spans="6:333" ht="10.75" customHeight="1">
      <c r="F1476" s="342"/>
      <c r="G1476" s="342"/>
      <c r="H1476" s="342"/>
      <c r="I1476" s="342"/>
      <c r="J1476" s="342"/>
      <c r="K1476" s="342"/>
      <c r="L1476" s="342"/>
      <c r="M1476" s="342"/>
      <c r="N1476" s="342"/>
      <c r="O1476" s="342"/>
      <c r="P1476" s="342"/>
      <c r="Q1476" s="342"/>
      <c r="R1476" s="342"/>
      <c r="S1476" s="342"/>
      <c r="T1476" s="342"/>
      <c r="U1476" s="342"/>
      <c r="V1476" s="342"/>
      <c r="W1476" s="342"/>
      <c r="X1476" s="342"/>
      <c r="Y1476" s="342"/>
      <c r="Z1476" s="342"/>
      <c r="AA1476" s="342"/>
      <c r="AB1476" s="342"/>
      <c r="AC1476" s="342"/>
      <c r="AD1476" s="342"/>
      <c r="AE1476" s="342"/>
      <c r="AF1476" s="342"/>
      <c r="AG1476" s="342"/>
      <c r="AH1476" s="342"/>
      <c r="AI1476" s="342"/>
      <c r="AJ1476" s="342"/>
      <c r="AK1476" s="342"/>
      <c r="AL1476" s="342"/>
      <c r="AM1476" s="342"/>
      <c r="AN1476" s="342"/>
      <c r="AO1476" s="342"/>
      <c r="AP1476" s="342"/>
      <c r="AQ1476" s="342"/>
      <c r="AR1476" s="342"/>
      <c r="AS1476" s="342"/>
      <c r="AT1476" s="342"/>
      <c r="AU1476" s="342"/>
      <c r="AV1476" s="342"/>
      <c r="AW1476" s="342"/>
      <c r="AX1476" s="342"/>
      <c r="AY1476" s="342"/>
      <c r="AZ1476" s="342"/>
      <c r="BA1476" s="342"/>
      <c r="BB1476" s="342"/>
      <c r="BC1476" s="342"/>
      <c r="BD1476" s="342"/>
      <c r="BE1476" s="342"/>
      <c r="BF1476" s="342"/>
      <c r="BG1476" s="342"/>
      <c r="BH1476" s="342"/>
      <c r="BI1476" s="342"/>
      <c r="BJ1476" s="342"/>
      <c r="BK1476" s="342"/>
      <c r="BL1476" s="342"/>
      <c r="BM1476" s="342"/>
      <c r="BN1476" s="342"/>
      <c r="BO1476" s="342"/>
      <c r="BP1476" s="342"/>
      <c r="BQ1476" s="342"/>
      <c r="BR1476" s="342"/>
      <c r="BS1476" s="342"/>
      <c r="BT1476" s="342"/>
      <c r="BU1476" s="342"/>
      <c r="BV1476" s="342"/>
      <c r="BW1476" s="342"/>
      <c r="BX1476" s="342"/>
      <c r="BY1476" s="342"/>
      <c r="BZ1476" s="342"/>
      <c r="CA1476" s="342"/>
      <c r="CB1476" s="342"/>
      <c r="CC1476" s="342"/>
      <c r="CD1476" s="342"/>
      <c r="CE1476" s="342"/>
      <c r="CF1476" s="342"/>
      <c r="CG1476" s="342"/>
      <c r="CH1476" s="342"/>
      <c r="CI1476" s="342"/>
      <c r="CJ1476" s="342"/>
      <c r="CK1476" s="342"/>
      <c r="CL1476" s="342"/>
      <c r="CM1476" s="342"/>
      <c r="CN1476" s="342"/>
      <c r="CO1476" s="342"/>
      <c r="CP1476" s="342"/>
      <c r="CQ1476" s="342"/>
      <c r="CR1476" s="342"/>
      <c r="CS1476" s="342"/>
      <c r="CT1476" s="342"/>
      <c r="CU1476" s="342"/>
      <c r="CV1476" s="342"/>
      <c r="CW1476" s="342"/>
      <c r="CX1476" s="342"/>
      <c r="CY1476" s="342"/>
      <c r="CZ1476" s="342"/>
      <c r="DA1476" s="342"/>
      <c r="DB1476" s="342"/>
      <c r="DC1476" s="342"/>
      <c r="DD1476" s="342"/>
      <c r="DE1476" s="342"/>
      <c r="DF1476" s="342"/>
      <c r="DG1476" s="342"/>
      <c r="DH1476" s="342"/>
      <c r="DI1476" s="342"/>
      <c r="DJ1476" s="342"/>
      <c r="DK1476" s="342"/>
      <c r="DL1476" s="342"/>
      <c r="DM1476" s="342"/>
      <c r="DN1476" s="342"/>
      <c r="DO1476" s="342"/>
      <c r="DP1476" s="342"/>
      <c r="DQ1476" s="342"/>
      <c r="DR1476" s="342"/>
      <c r="DS1476" s="342"/>
      <c r="DT1476" s="342"/>
      <c r="DU1476" s="342"/>
      <c r="FV1476" s="14"/>
      <c r="FW1476" s="15"/>
      <c r="FX1476" s="15"/>
      <c r="FY1476" s="15"/>
      <c r="FZ1476" s="15"/>
      <c r="GA1476" s="15"/>
      <c r="GB1476" s="15"/>
      <c r="GC1476" s="15"/>
      <c r="GD1476" s="15"/>
      <c r="GE1476" s="16"/>
      <c r="GT1476" s="342"/>
      <c r="GU1476" s="342"/>
      <c r="GV1476" s="342"/>
      <c r="GW1476" s="342"/>
      <c r="GX1476" s="12"/>
      <c r="GY1476" s="12"/>
      <c r="GZ1476" s="342"/>
      <c r="HA1476" s="342"/>
      <c r="HB1476" s="342"/>
      <c r="HC1476" s="342"/>
      <c r="HD1476" s="342"/>
      <c r="HE1476" s="342"/>
      <c r="HF1476" s="342"/>
      <c r="HG1476" s="342"/>
      <c r="HH1476" s="342"/>
      <c r="HI1476" s="13"/>
      <c r="HJ1476" s="12"/>
      <c r="HK1476" s="342"/>
      <c r="HL1476" s="342"/>
      <c r="HM1476" s="12"/>
      <c r="HN1476" s="342"/>
      <c r="HO1476" s="342"/>
      <c r="HP1476" s="342"/>
      <c r="HQ1476" s="342"/>
      <c r="HR1476" s="342"/>
      <c r="HS1476" s="342"/>
      <c r="HT1476" s="342"/>
      <c r="HU1476" s="12"/>
      <c r="HV1476" s="342"/>
      <c r="HW1476" s="342"/>
      <c r="HX1476" s="342"/>
      <c r="HY1476" s="342"/>
      <c r="HZ1476" s="342"/>
      <c r="IA1476" s="342"/>
      <c r="IB1476" s="342"/>
      <c r="IC1476" s="342"/>
      <c r="ID1476" s="342"/>
      <c r="IE1476" s="342"/>
      <c r="IF1476" s="342"/>
      <c r="IG1476" s="342"/>
      <c r="IH1476" s="342"/>
      <c r="II1476" s="342"/>
      <c r="IJ1476" s="342"/>
      <c r="IK1476" s="342"/>
      <c r="IL1476" s="342"/>
      <c r="IM1476" s="342"/>
      <c r="IN1476" s="342"/>
      <c r="IO1476" s="342"/>
      <c r="IP1476" s="342"/>
      <c r="IQ1476" s="342"/>
      <c r="IR1476" s="342"/>
      <c r="IS1476" s="342"/>
      <c r="IT1476" s="342"/>
      <c r="IU1476" s="342"/>
      <c r="IV1476" s="342"/>
      <c r="IW1476" s="342"/>
      <c r="IX1476" s="342"/>
      <c r="IY1476" s="342"/>
      <c r="IZ1476" s="342"/>
      <c r="JA1476" s="342"/>
      <c r="JB1476" s="342"/>
      <c r="JC1476" s="342"/>
      <c r="JD1476" s="342"/>
      <c r="JE1476" s="342"/>
      <c r="JF1476" s="342"/>
      <c r="JG1476" s="342"/>
      <c r="JH1476" s="342"/>
      <c r="JI1476" s="342"/>
      <c r="JJ1476" s="342"/>
      <c r="JK1476" s="342"/>
      <c r="JL1476" s="342"/>
      <c r="JM1476" s="342"/>
      <c r="JN1476" s="342"/>
      <c r="JO1476" s="342"/>
      <c r="JP1476" s="342"/>
      <c r="JQ1476" s="342"/>
      <c r="JR1476" s="342"/>
      <c r="JS1476" s="342"/>
      <c r="JT1476" s="342"/>
      <c r="JU1476" s="342"/>
      <c r="JV1476" s="342"/>
      <c r="JW1476" s="342"/>
      <c r="JX1476" s="342"/>
      <c r="JY1476" s="342"/>
      <c r="JZ1476" s="342"/>
      <c r="KA1476" s="342"/>
      <c r="KB1476" s="342"/>
      <c r="KC1476" s="342"/>
      <c r="KD1476" s="342"/>
      <c r="KE1476" s="342"/>
      <c r="KF1476" s="342"/>
      <c r="KG1476" s="342"/>
      <c r="KH1476" s="342"/>
      <c r="KI1476" s="342"/>
      <c r="KJ1476" s="342"/>
      <c r="KK1476" s="342"/>
      <c r="KL1476" s="342"/>
      <c r="KM1476" s="342"/>
      <c r="KN1476" s="342"/>
      <c r="KO1476" s="342"/>
      <c r="KP1476" s="342"/>
      <c r="KQ1476" s="342"/>
      <c r="KR1476" s="342"/>
      <c r="KS1476" s="342"/>
      <c r="KT1476" s="342"/>
      <c r="KU1476" s="342"/>
      <c r="KV1476" s="342"/>
      <c r="KW1476" s="342"/>
      <c r="KX1476" s="342"/>
      <c r="KY1476" s="342"/>
      <c r="KZ1476" s="342"/>
      <c r="LA1476" s="342"/>
      <c r="LB1476" s="13"/>
      <c r="LC1476" s="342"/>
      <c r="LD1476" s="342"/>
      <c r="LE1476" s="13"/>
      <c r="LF1476" s="342"/>
      <c r="LG1476" s="342"/>
      <c r="LH1476" s="342"/>
      <c r="LI1476" s="342"/>
      <c r="LJ1476" s="342"/>
      <c r="LK1476" s="342"/>
      <c r="LL1476" s="342"/>
      <c r="LM1476" s="342"/>
      <c r="LN1476" s="342"/>
      <c r="LO1476" s="342"/>
      <c r="LP1476" s="342"/>
      <c r="LQ1476" s="342"/>
      <c r="LR1476" s="342"/>
      <c r="LS1476" s="342"/>
      <c r="LT1476" s="342"/>
      <c r="LU1476" s="13"/>
    </row>
    <row r="1477" spans="6:333" ht="10.75" customHeight="1">
      <c r="F1477" s="342"/>
      <c r="G1477" s="342"/>
      <c r="H1477" s="342"/>
      <c r="I1477" s="342"/>
      <c r="J1477" s="342"/>
      <c r="K1477" s="342"/>
      <c r="L1477" s="342"/>
      <c r="M1477" s="342"/>
      <c r="N1477" s="342"/>
      <c r="O1477" s="342"/>
      <c r="P1477" s="342"/>
      <c r="Q1477" s="342"/>
      <c r="R1477" s="342"/>
      <c r="S1477" s="342"/>
      <c r="T1477" s="342"/>
      <c r="U1477" s="342"/>
      <c r="V1477" s="342"/>
      <c r="W1477" s="342"/>
      <c r="X1477" s="342"/>
      <c r="Y1477" s="342"/>
      <c r="Z1477" s="342"/>
      <c r="AA1477" s="342"/>
      <c r="AB1477" s="342"/>
      <c r="AC1477" s="342"/>
      <c r="AD1477" s="342"/>
      <c r="AE1477" s="342"/>
      <c r="AF1477" s="342"/>
      <c r="AG1477" s="342"/>
      <c r="AH1477" s="342"/>
      <c r="AI1477" s="342"/>
      <c r="AJ1477" s="342"/>
      <c r="AK1477" s="342"/>
      <c r="AL1477" s="342"/>
      <c r="AM1477" s="342"/>
      <c r="AN1477" s="342"/>
      <c r="AO1477" s="342"/>
      <c r="AP1477" s="342"/>
      <c r="AQ1477" s="342"/>
      <c r="AR1477" s="342"/>
      <c r="AS1477" s="342"/>
      <c r="AT1477" s="342"/>
      <c r="AU1477" s="342"/>
      <c r="AV1477" s="342"/>
      <c r="AW1477" s="342"/>
      <c r="AX1477" s="342"/>
      <c r="AY1477" s="342"/>
      <c r="AZ1477" s="342"/>
      <c r="BA1477" s="342"/>
      <c r="BB1477" s="342"/>
      <c r="BC1477" s="342"/>
      <c r="BD1477" s="342"/>
      <c r="BE1477" s="342"/>
      <c r="BF1477" s="342"/>
      <c r="BG1477" s="342"/>
      <c r="BH1477" s="342"/>
      <c r="BI1477" s="342"/>
      <c r="BJ1477" s="342"/>
      <c r="BK1477" s="342"/>
      <c r="BL1477" s="342"/>
      <c r="BM1477" s="342"/>
      <c r="BN1477" s="342"/>
      <c r="BO1477" s="342"/>
      <c r="BP1477" s="342"/>
      <c r="BQ1477" s="342"/>
      <c r="BR1477" s="342"/>
      <c r="BS1477" s="342"/>
      <c r="BT1477" s="342"/>
      <c r="BU1477" s="342"/>
      <c r="BV1477" s="342"/>
      <c r="BW1477" s="342"/>
      <c r="BX1477" s="342"/>
      <c r="BY1477" s="342"/>
      <c r="BZ1477" s="342"/>
      <c r="CA1477" s="342"/>
      <c r="CB1477" s="342"/>
      <c r="CC1477" s="342"/>
      <c r="CD1477" s="342"/>
      <c r="CE1477" s="342"/>
      <c r="CF1477" s="342"/>
      <c r="CG1477" s="342"/>
      <c r="CH1477" s="342"/>
      <c r="CI1477" s="342"/>
      <c r="CJ1477" s="342"/>
      <c r="CK1477" s="342"/>
      <c r="CL1477" s="342"/>
      <c r="CM1477" s="342"/>
      <c r="CN1477" s="342"/>
      <c r="CO1477" s="342"/>
      <c r="CP1477" s="342"/>
      <c r="CQ1477" s="342"/>
      <c r="CR1477" s="342"/>
      <c r="CS1477" s="342"/>
      <c r="CT1477" s="342"/>
      <c r="CU1477" s="342"/>
      <c r="CV1477" s="342"/>
      <c r="CW1477" s="342"/>
      <c r="CX1477" s="342"/>
      <c r="CY1477" s="342"/>
      <c r="CZ1477" s="342"/>
      <c r="DA1477" s="342"/>
      <c r="DB1477" s="342"/>
      <c r="DC1477" s="342"/>
      <c r="DD1477" s="342"/>
      <c r="DE1477" s="342"/>
      <c r="DF1477" s="342"/>
      <c r="DG1477" s="342"/>
      <c r="DH1477" s="342"/>
      <c r="DI1477" s="342"/>
      <c r="DJ1477" s="342"/>
      <c r="DK1477" s="342"/>
      <c r="DL1477" s="342"/>
      <c r="DM1477" s="342"/>
      <c r="DN1477" s="342"/>
      <c r="DO1477" s="342"/>
      <c r="DP1477" s="342"/>
      <c r="DQ1477" s="342"/>
      <c r="DR1477" s="342"/>
      <c r="DS1477" s="342"/>
      <c r="DT1477" s="342"/>
      <c r="DU1477" s="342"/>
      <c r="FV1477" s="12"/>
      <c r="FW1477" s="342"/>
      <c r="FX1477" s="342"/>
      <c r="FY1477" s="342"/>
      <c r="FZ1477" s="342"/>
      <c r="GA1477" s="342"/>
      <c r="GB1477" s="342"/>
      <c r="GC1477" s="342"/>
      <c r="GD1477" s="342"/>
      <c r="GE1477" s="13"/>
      <c r="GT1477" s="342"/>
      <c r="GU1477" s="342"/>
      <c r="GV1477" s="342"/>
      <c r="GW1477" s="342"/>
      <c r="GX1477" s="12"/>
      <c r="GY1477" s="12"/>
      <c r="GZ1477" s="342"/>
      <c r="HA1477" s="342"/>
      <c r="HB1477" s="342"/>
      <c r="HC1477" s="342"/>
      <c r="HD1477" s="342"/>
      <c r="HE1477" s="342"/>
      <c r="HF1477" s="342"/>
      <c r="HG1477" s="342"/>
      <c r="HH1477" s="342"/>
      <c r="HI1477" s="13"/>
      <c r="HJ1477" s="12"/>
      <c r="HK1477" s="342"/>
      <c r="HL1477" s="342"/>
      <c r="HM1477" s="240"/>
      <c r="HN1477" s="342"/>
      <c r="HO1477" s="342"/>
      <c r="HP1477" s="342"/>
      <c r="HQ1477" s="342"/>
      <c r="HR1477" s="342"/>
      <c r="HS1477" s="342"/>
      <c r="HT1477" s="342"/>
      <c r="HU1477" s="12"/>
      <c r="HV1477" s="342"/>
      <c r="HW1477" s="342"/>
      <c r="HX1477" s="342"/>
      <c r="HY1477" s="342"/>
      <c r="HZ1477" s="342"/>
      <c r="IA1477" s="342"/>
      <c r="IB1477" s="342"/>
      <c r="IC1477" s="342"/>
      <c r="ID1477" s="342"/>
      <c r="IE1477" s="342"/>
      <c r="IF1477" s="342"/>
      <c r="IG1477" s="342"/>
      <c r="IH1477" s="342"/>
      <c r="II1477" s="342"/>
      <c r="IJ1477" s="342"/>
      <c r="IK1477" s="342"/>
      <c r="IL1477" s="342"/>
      <c r="IM1477" s="342"/>
      <c r="IN1477" s="342"/>
      <c r="IO1477" s="342"/>
      <c r="IP1477" s="342"/>
      <c r="IQ1477" s="342"/>
      <c r="IR1477" s="342"/>
      <c r="IS1477" s="342"/>
      <c r="IT1477" s="342"/>
      <c r="IU1477" s="342"/>
      <c r="IV1477" s="342"/>
      <c r="IW1477" s="342"/>
      <c r="IX1477" s="342"/>
      <c r="IY1477" s="342"/>
      <c r="IZ1477" s="342"/>
      <c r="JA1477" s="342"/>
      <c r="JB1477" s="342"/>
      <c r="JC1477" s="342"/>
      <c r="JD1477" s="342"/>
      <c r="JE1477" s="342"/>
      <c r="JF1477" s="342"/>
      <c r="JG1477" s="342"/>
      <c r="JH1477" s="342"/>
      <c r="JI1477" s="342"/>
      <c r="JJ1477" s="342"/>
      <c r="JK1477" s="342"/>
      <c r="JL1477" s="342"/>
      <c r="JM1477" s="342"/>
      <c r="JN1477" s="342"/>
      <c r="JO1477" s="342"/>
      <c r="JP1477" s="342"/>
      <c r="JQ1477" s="342"/>
      <c r="JR1477" s="342"/>
      <c r="JS1477" s="342"/>
      <c r="JT1477" s="342"/>
      <c r="JU1477" s="342"/>
      <c r="JV1477" s="342"/>
      <c r="JW1477" s="342"/>
      <c r="JX1477" s="342"/>
      <c r="JY1477" s="342"/>
      <c r="JZ1477" s="342"/>
      <c r="KA1477" s="342"/>
      <c r="KB1477" s="342"/>
      <c r="KC1477" s="342"/>
      <c r="KD1477" s="342"/>
      <c r="KE1477" s="342"/>
      <c r="KF1477" s="342"/>
      <c r="KG1477" s="342"/>
      <c r="KH1477" s="342"/>
      <c r="KI1477" s="342"/>
      <c r="KJ1477" s="342"/>
      <c r="KK1477" s="342"/>
      <c r="KL1477" s="342"/>
      <c r="KM1477" s="342"/>
      <c r="KN1477" s="342"/>
      <c r="KO1477" s="342"/>
      <c r="KP1477" s="342"/>
      <c r="KQ1477" s="342"/>
      <c r="KR1477" s="342"/>
      <c r="KS1477" s="342"/>
      <c r="KT1477" s="342"/>
      <c r="KU1477" s="342"/>
      <c r="KV1477" s="342"/>
      <c r="KW1477" s="342"/>
      <c r="KX1477" s="342"/>
      <c r="KY1477" s="342"/>
      <c r="KZ1477" s="342"/>
      <c r="LA1477" s="342"/>
      <c r="LB1477" s="13"/>
      <c r="LC1477" s="342"/>
      <c r="LD1477" s="342"/>
      <c r="LE1477" s="13"/>
      <c r="LF1477" s="342"/>
      <c r="LG1477" s="342"/>
      <c r="LH1477" s="342"/>
      <c r="LI1477" s="342"/>
      <c r="LJ1477" s="342"/>
      <c r="LK1477" s="342"/>
      <c r="LL1477" s="342"/>
      <c r="LM1477" s="342"/>
      <c r="LN1477" s="342"/>
      <c r="LO1477" s="342"/>
      <c r="LP1477" s="342"/>
      <c r="LQ1477" s="342"/>
      <c r="LR1477" s="342"/>
      <c r="LS1477" s="342"/>
      <c r="LT1477" s="342"/>
      <c r="LU1477" s="13"/>
    </row>
    <row r="1478" spans="6:333" ht="10.75" customHeight="1">
      <c r="F1478" s="342"/>
      <c r="G1478" s="342"/>
      <c r="H1478" s="342"/>
      <c r="I1478" s="342"/>
      <c r="J1478" s="342"/>
      <c r="K1478" s="342"/>
      <c r="L1478" s="342"/>
      <c r="M1478" s="342"/>
      <c r="N1478" s="342"/>
      <c r="O1478" s="342"/>
      <c r="P1478" s="342"/>
      <c r="Q1478" s="342"/>
      <c r="R1478" s="342"/>
      <c r="S1478" s="342"/>
      <c r="T1478" s="342"/>
      <c r="U1478" s="342"/>
      <c r="V1478" s="342"/>
      <c r="W1478" s="342"/>
      <c r="X1478" s="342"/>
      <c r="Y1478" s="342"/>
      <c r="Z1478" s="342"/>
      <c r="AA1478" s="342"/>
      <c r="AB1478" s="342"/>
      <c r="AC1478" s="342"/>
      <c r="AD1478" s="342"/>
      <c r="AE1478" s="342"/>
      <c r="AF1478" s="342"/>
      <c r="AG1478" s="342"/>
      <c r="AH1478" s="342"/>
      <c r="AI1478" s="342"/>
      <c r="AJ1478" s="342"/>
      <c r="AK1478" s="342"/>
      <c r="AL1478" s="342"/>
      <c r="AM1478" s="342"/>
      <c r="AN1478" s="342"/>
      <c r="AO1478" s="342"/>
      <c r="AP1478" s="342"/>
      <c r="AQ1478" s="342"/>
      <c r="AR1478" s="342"/>
      <c r="AS1478" s="342"/>
      <c r="AT1478" s="342"/>
      <c r="AU1478" s="342"/>
      <c r="AV1478" s="342"/>
      <c r="AW1478" s="342"/>
      <c r="AX1478" s="342"/>
      <c r="AY1478" s="342"/>
      <c r="AZ1478" s="342"/>
      <c r="BA1478" s="342"/>
      <c r="BB1478" s="342"/>
      <c r="BC1478" s="342"/>
      <c r="BD1478" s="342"/>
      <c r="BE1478" s="342"/>
      <c r="BF1478" s="342"/>
      <c r="BG1478" s="342"/>
      <c r="BH1478" s="342"/>
      <c r="BI1478" s="342"/>
      <c r="BJ1478" s="342"/>
      <c r="BK1478" s="342"/>
      <c r="BL1478" s="342"/>
      <c r="BM1478" s="342"/>
      <c r="BN1478" s="342"/>
      <c r="BO1478" s="342"/>
      <c r="BP1478" s="342"/>
      <c r="BQ1478" s="342"/>
      <c r="BR1478" s="342"/>
      <c r="BS1478" s="342"/>
      <c r="BT1478" s="342"/>
      <c r="BU1478" s="342"/>
      <c r="BV1478" s="342"/>
      <c r="BW1478" s="342"/>
      <c r="BX1478" s="342"/>
      <c r="BY1478" s="342"/>
      <c r="BZ1478" s="342"/>
      <c r="CA1478" s="342"/>
      <c r="CB1478" s="342"/>
      <c r="CC1478" s="342"/>
      <c r="CD1478" s="342"/>
      <c r="CE1478" s="342"/>
      <c r="CF1478" s="342"/>
      <c r="CG1478" s="342"/>
      <c r="CH1478" s="342"/>
      <c r="CI1478" s="342"/>
      <c r="CJ1478" s="342"/>
      <c r="CK1478" s="342"/>
      <c r="CL1478" s="342"/>
      <c r="CM1478" s="342"/>
      <c r="CN1478" s="342"/>
      <c r="CO1478" s="342"/>
      <c r="CP1478" s="342"/>
      <c r="CQ1478" s="342"/>
      <c r="CR1478" s="342"/>
      <c r="CS1478" s="342"/>
      <c r="CT1478" s="342"/>
      <c r="CU1478" s="342"/>
      <c r="CV1478" s="342"/>
      <c r="CW1478" s="342"/>
      <c r="CX1478" s="342"/>
      <c r="CY1478" s="342"/>
      <c r="CZ1478" s="342"/>
      <c r="DA1478" s="342"/>
      <c r="DB1478" s="342"/>
      <c r="DC1478" s="342"/>
      <c r="DD1478" s="342"/>
      <c r="DE1478" s="342"/>
      <c r="DF1478" s="342"/>
      <c r="DG1478" s="342"/>
      <c r="DH1478" s="342"/>
      <c r="DI1478" s="342"/>
      <c r="DJ1478" s="342"/>
      <c r="DK1478" s="342"/>
      <c r="DL1478" s="342"/>
      <c r="DM1478" s="342"/>
      <c r="DN1478" s="342"/>
      <c r="DO1478" s="342"/>
      <c r="DP1478" s="342"/>
      <c r="DQ1478" s="342"/>
      <c r="DR1478" s="342"/>
      <c r="DS1478" s="342"/>
      <c r="DT1478" s="342"/>
      <c r="DU1478" s="342"/>
      <c r="FV1478" s="12"/>
      <c r="FW1478" s="342"/>
      <c r="FX1478" s="342"/>
      <c r="FY1478" s="342"/>
      <c r="FZ1478" s="342"/>
      <c r="GA1478" s="342"/>
      <c r="GB1478" s="342"/>
      <c r="GC1478" s="342"/>
      <c r="GD1478" s="342"/>
      <c r="GE1478" s="13"/>
      <c r="GT1478" s="342"/>
      <c r="GU1478" s="342"/>
      <c r="GV1478" s="342"/>
      <c r="GW1478" s="342"/>
      <c r="GX1478" s="12"/>
      <c r="GY1478" s="12"/>
      <c r="GZ1478" s="342"/>
      <c r="HA1478" s="342"/>
      <c r="HB1478" s="342"/>
      <c r="HC1478" s="342"/>
      <c r="HD1478" s="342"/>
      <c r="HE1478" s="342"/>
      <c r="HF1478" s="342"/>
      <c r="HG1478" s="342"/>
      <c r="HH1478" s="342"/>
      <c r="HI1478" s="13"/>
      <c r="HJ1478" s="12"/>
      <c r="HK1478" s="342"/>
      <c r="HL1478" s="342"/>
      <c r="HM1478" s="240"/>
      <c r="HN1478" s="342"/>
      <c r="HO1478" s="342"/>
      <c r="HP1478" s="342"/>
      <c r="HQ1478" s="342"/>
      <c r="HR1478" s="342"/>
      <c r="HS1478" s="342"/>
      <c r="HT1478" s="342"/>
      <c r="HU1478" s="12"/>
      <c r="HV1478" s="342"/>
      <c r="HW1478" s="342"/>
      <c r="HX1478" s="342"/>
      <c r="HY1478" s="342"/>
      <c r="HZ1478" s="342"/>
      <c r="IA1478" s="342"/>
      <c r="IB1478" s="342"/>
      <c r="IC1478" s="342"/>
      <c r="ID1478" s="342"/>
      <c r="IE1478" s="342"/>
      <c r="IF1478" s="342"/>
      <c r="IG1478" s="342"/>
      <c r="IH1478" s="342"/>
      <c r="II1478" s="342"/>
      <c r="IJ1478" s="342"/>
      <c r="IK1478" s="342"/>
      <c r="IL1478" s="342"/>
      <c r="IM1478" s="342"/>
      <c r="IN1478" s="342"/>
      <c r="IO1478" s="342"/>
      <c r="IP1478" s="342"/>
      <c r="IQ1478" s="342"/>
      <c r="IR1478" s="342"/>
      <c r="IS1478" s="342"/>
      <c r="IT1478" s="342"/>
      <c r="IU1478" s="342"/>
      <c r="IV1478" s="342"/>
      <c r="IW1478" s="342"/>
      <c r="IX1478" s="342"/>
      <c r="IY1478" s="342"/>
      <c r="IZ1478" s="342"/>
      <c r="JA1478" s="342"/>
      <c r="JB1478" s="342"/>
      <c r="JC1478" s="342"/>
      <c r="JD1478" s="342"/>
      <c r="JE1478" s="342"/>
      <c r="JF1478" s="342"/>
      <c r="JG1478" s="342"/>
      <c r="JH1478" s="342"/>
      <c r="JI1478" s="342"/>
      <c r="JJ1478" s="342"/>
      <c r="JK1478" s="342"/>
      <c r="JL1478" s="342"/>
      <c r="JM1478" s="342"/>
      <c r="JN1478" s="342"/>
      <c r="JO1478" s="342"/>
      <c r="JP1478" s="342"/>
      <c r="JQ1478" s="342"/>
      <c r="JR1478" s="342"/>
      <c r="JS1478" s="342"/>
      <c r="JT1478" s="342"/>
      <c r="JU1478" s="342"/>
      <c r="JV1478" s="342"/>
      <c r="JW1478" s="342"/>
      <c r="JX1478" s="342"/>
      <c r="JY1478" s="342"/>
      <c r="JZ1478" s="342"/>
      <c r="KA1478" s="342"/>
      <c r="KB1478" s="342"/>
      <c r="KC1478" s="342"/>
      <c r="KD1478" s="342"/>
      <c r="KE1478" s="342"/>
      <c r="KF1478" s="342"/>
      <c r="KG1478" s="342"/>
      <c r="KH1478" s="342"/>
      <c r="KI1478" s="342"/>
      <c r="KJ1478" s="342"/>
      <c r="KK1478" s="342"/>
      <c r="KL1478" s="342"/>
      <c r="KM1478" s="342"/>
      <c r="KN1478" s="342"/>
      <c r="KO1478" s="342"/>
      <c r="KP1478" s="342"/>
      <c r="KQ1478" s="342"/>
      <c r="KR1478" s="342"/>
      <c r="KS1478" s="342"/>
      <c r="KT1478" s="342"/>
      <c r="KU1478" s="342"/>
      <c r="KV1478" s="342"/>
      <c r="KW1478" s="342"/>
      <c r="KX1478" s="342"/>
      <c r="KY1478" s="342"/>
      <c r="KZ1478" s="342"/>
      <c r="LA1478" s="342"/>
      <c r="LB1478" s="13"/>
      <c r="LC1478" s="342"/>
      <c r="LD1478" s="342"/>
      <c r="LE1478" s="13"/>
      <c r="LF1478" s="342"/>
      <c r="LG1478" s="342"/>
      <c r="LH1478" s="342"/>
      <c r="LI1478" s="342"/>
      <c r="LJ1478" s="342"/>
      <c r="LK1478" s="342"/>
      <c r="LL1478" s="342"/>
      <c r="LM1478" s="342"/>
      <c r="LN1478" s="342"/>
      <c r="LO1478" s="342"/>
      <c r="LP1478" s="342"/>
      <c r="LQ1478" s="342"/>
      <c r="LR1478" s="342"/>
      <c r="LS1478" s="342"/>
      <c r="LT1478" s="342"/>
      <c r="LU1478" s="13"/>
    </row>
    <row r="1479" spans="6:333" ht="10.75" customHeight="1">
      <c r="F1479" s="342"/>
      <c r="G1479" s="342"/>
      <c r="H1479" s="342"/>
      <c r="I1479" s="342"/>
      <c r="J1479" s="342"/>
      <c r="K1479" s="342"/>
      <c r="L1479" s="342"/>
      <c r="M1479" s="342"/>
      <c r="N1479" s="342"/>
      <c r="O1479" s="342"/>
      <c r="P1479" s="342"/>
      <c r="Q1479" s="342"/>
      <c r="R1479" s="342"/>
      <c r="S1479" s="342"/>
      <c r="T1479" s="342"/>
      <c r="U1479" s="342"/>
      <c r="V1479" s="342"/>
      <c r="W1479" s="342"/>
      <c r="X1479" s="342"/>
      <c r="Y1479" s="342"/>
      <c r="Z1479" s="342"/>
      <c r="AA1479" s="342"/>
      <c r="AB1479" s="342"/>
      <c r="AC1479" s="342"/>
      <c r="AD1479" s="342"/>
      <c r="AE1479" s="342"/>
      <c r="AF1479" s="342"/>
      <c r="AG1479" s="342"/>
      <c r="AH1479" s="342"/>
      <c r="AI1479" s="342"/>
      <c r="AJ1479" s="342"/>
      <c r="AK1479" s="342"/>
      <c r="AL1479" s="342"/>
      <c r="AM1479" s="342"/>
      <c r="AN1479" s="342"/>
      <c r="AO1479" s="342"/>
      <c r="AP1479" s="342"/>
      <c r="AQ1479" s="342"/>
      <c r="AR1479" s="342"/>
      <c r="AS1479" s="342"/>
      <c r="AT1479" s="342"/>
      <c r="AU1479" s="342"/>
      <c r="AV1479" s="342"/>
      <c r="AW1479" s="342"/>
      <c r="AX1479" s="342"/>
      <c r="AY1479" s="342"/>
      <c r="AZ1479" s="342"/>
      <c r="BA1479" s="342"/>
      <c r="BB1479" s="342"/>
      <c r="BC1479" s="342"/>
      <c r="BD1479" s="342"/>
      <c r="BE1479" s="342"/>
      <c r="BF1479" s="342"/>
      <c r="BG1479" s="342"/>
      <c r="BH1479" s="342"/>
      <c r="BI1479" s="342"/>
      <c r="BJ1479" s="342"/>
      <c r="BK1479" s="342"/>
      <c r="BL1479" s="342"/>
      <c r="BM1479" s="342"/>
      <c r="BN1479" s="342"/>
      <c r="BO1479" s="342"/>
      <c r="BP1479" s="342"/>
      <c r="BQ1479" s="342"/>
      <c r="BR1479" s="342"/>
      <c r="BS1479" s="342"/>
      <c r="BT1479" s="342"/>
      <c r="BU1479" s="342"/>
      <c r="BV1479" s="342"/>
      <c r="BW1479" s="342"/>
      <c r="BX1479" s="342"/>
      <c r="BY1479" s="342"/>
      <c r="BZ1479" s="342"/>
      <c r="CA1479" s="342"/>
      <c r="CB1479" s="342"/>
      <c r="CC1479" s="342"/>
      <c r="CD1479" s="342"/>
      <c r="CE1479" s="342"/>
      <c r="CF1479" s="342"/>
      <c r="CG1479" s="342"/>
      <c r="CH1479" s="342"/>
      <c r="CI1479" s="342"/>
      <c r="CJ1479" s="342"/>
      <c r="CK1479" s="342"/>
      <c r="CL1479" s="342"/>
      <c r="CM1479" s="342"/>
      <c r="CN1479" s="342"/>
      <c r="CO1479" s="342"/>
      <c r="CP1479" s="342"/>
      <c r="CQ1479" s="342"/>
      <c r="CR1479" s="342"/>
      <c r="CS1479" s="342"/>
      <c r="CT1479" s="342"/>
      <c r="CU1479" s="342"/>
      <c r="CV1479" s="342"/>
      <c r="CW1479" s="342"/>
      <c r="CX1479" s="342"/>
      <c r="CY1479" s="342"/>
      <c r="CZ1479" s="342"/>
      <c r="DA1479" s="342"/>
      <c r="DB1479" s="342"/>
      <c r="DC1479" s="342"/>
      <c r="DD1479" s="342"/>
      <c r="DE1479" s="342"/>
      <c r="DF1479" s="342"/>
      <c r="DG1479" s="342"/>
      <c r="DH1479" s="342"/>
      <c r="DI1479" s="342"/>
      <c r="DJ1479" s="342"/>
      <c r="DK1479" s="342"/>
      <c r="DL1479" s="342"/>
      <c r="DM1479" s="342"/>
      <c r="DN1479" s="342"/>
      <c r="DO1479" s="342"/>
      <c r="DP1479" s="342"/>
      <c r="DQ1479" s="342"/>
      <c r="DR1479" s="342"/>
      <c r="DS1479" s="342"/>
      <c r="DT1479" s="342"/>
      <c r="DU1479" s="342"/>
      <c r="FV1479" s="12"/>
      <c r="FW1479" s="342"/>
      <c r="FX1479" s="342"/>
      <c r="FY1479" s="342"/>
      <c r="FZ1479" s="342"/>
      <c r="GA1479" s="342"/>
      <c r="GB1479" s="342"/>
      <c r="GC1479" s="342"/>
      <c r="GD1479" s="342"/>
      <c r="GE1479" s="13"/>
      <c r="GT1479" s="342"/>
      <c r="GU1479" s="342"/>
      <c r="GV1479" s="342"/>
      <c r="GW1479" s="342"/>
      <c r="GX1479" s="12"/>
      <c r="GY1479" s="12"/>
      <c r="GZ1479" s="342"/>
      <c r="HA1479" s="342"/>
      <c r="HB1479" s="342"/>
      <c r="HC1479" s="342"/>
      <c r="HD1479" s="342"/>
      <c r="HE1479" s="342"/>
      <c r="HF1479" s="342"/>
      <c r="HG1479" s="342"/>
      <c r="HH1479" s="342"/>
      <c r="HI1479" s="13"/>
      <c r="HJ1479" s="12"/>
      <c r="HK1479" s="342"/>
      <c r="HL1479" s="342"/>
      <c r="HM1479" s="240"/>
      <c r="HN1479" s="342"/>
      <c r="HO1479" s="342"/>
      <c r="HP1479" s="342"/>
      <c r="HQ1479" s="342"/>
      <c r="HR1479" s="342"/>
      <c r="HS1479" s="342"/>
      <c r="HT1479" s="342"/>
      <c r="HU1479" s="12"/>
      <c r="HV1479" s="342"/>
      <c r="HW1479" s="342"/>
      <c r="HX1479" s="342"/>
      <c r="HY1479" s="342"/>
      <c r="HZ1479" s="342"/>
      <c r="IA1479" s="342"/>
      <c r="IB1479" s="342"/>
      <c r="IC1479" s="342"/>
      <c r="ID1479" s="342"/>
      <c r="IE1479" s="342"/>
      <c r="IF1479" s="342"/>
      <c r="IG1479" s="342"/>
      <c r="IH1479" s="342"/>
      <c r="II1479" s="342"/>
      <c r="IJ1479" s="342"/>
      <c r="IK1479" s="342"/>
      <c r="IL1479" s="342"/>
      <c r="IM1479" s="342"/>
      <c r="IN1479" s="342"/>
      <c r="IO1479" s="342"/>
      <c r="IP1479" s="342"/>
      <c r="IQ1479" s="342"/>
      <c r="IR1479" s="342"/>
      <c r="IS1479" s="342"/>
      <c r="IT1479" s="342"/>
      <c r="IU1479" s="342"/>
      <c r="IV1479" s="342"/>
      <c r="IW1479" s="342"/>
      <c r="IX1479" s="342"/>
      <c r="IY1479" s="342"/>
      <c r="IZ1479" s="342"/>
      <c r="JA1479" s="342"/>
      <c r="JB1479" s="342"/>
      <c r="JC1479" s="342"/>
      <c r="JD1479" s="342"/>
      <c r="JE1479" s="342"/>
      <c r="JF1479" s="342"/>
      <c r="JG1479" s="342"/>
      <c r="JH1479" s="342"/>
      <c r="JI1479" s="342"/>
      <c r="JJ1479" s="342"/>
      <c r="JK1479" s="342"/>
      <c r="JL1479" s="342"/>
      <c r="JM1479" s="342"/>
      <c r="JN1479" s="342"/>
      <c r="JO1479" s="342"/>
      <c r="JP1479" s="342"/>
      <c r="JQ1479" s="342"/>
      <c r="JR1479" s="342"/>
      <c r="JS1479" s="342"/>
      <c r="JT1479" s="342"/>
      <c r="JU1479" s="342"/>
      <c r="JV1479" s="342"/>
      <c r="JW1479" s="342"/>
      <c r="JX1479" s="342"/>
      <c r="JY1479" s="342"/>
      <c r="JZ1479" s="342"/>
      <c r="KA1479" s="342"/>
      <c r="KB1479" s="342"/>
      <c r="KC1479" s="342"/>
      <c r="KD1479" s="342"/>
      <c r="KE1479" s="342"/>
      <c r="KF1479" s="342"/>
      <c r="KG1479" s="342"/>
      <c r="KH1479" s="342"/>
      <c r="KI1479" s="342"/>
      <c r="KJ1479" s="342"/>
      <c r="KK1479" s="342"/>
      <c r="KL1479" s="342"/>
      <c r="KM1479" s="342"/>
      <c r="KN1479" s="342"/>
      <c r="KO1479" s="342"/>
      <c r="KP1479" s="342"/>
      <c r="KQ1479" s="342"/>
      <c r="KR1479" s="342"/>
      <c r="KS1479" s="342"/>
      <c r="KT1479" s="342"/>
      <c r="KU1479" s="342"/>
      <c r="KV1479" s="342"/>
      <c r="KW1479" s="342"/>
      <c r="KX1479" s="342"/>
      <c r="KY1479" s="342"/>
      <c r="KZ1479" s="342"/>
      <c r="LA1479" s="342"/>
      <c r="LB1479" s="13"/>
      <c r="LC1479" s="342"/>
      <c r="LD1479" s="342"/>
      <c r="LE1479" s="13"/>
      <c r="LF1479" s="342"/>
      <c r="LG1479" s="342"/>
      <c r="LH1479" s="342"/>
      <c r="LI1479" s="342"/>
      <c r="LJ1479" s="342"/>
      <c r="LK1479" s="342"/>
      <c r="LL1479" s="342"/>
      <c r="LM1479" s="342"/>
      <c r="LN1479" s="342"/>
      <c r="LO1479" s="342"/>
      <c r="LP1479" s="342"/>
      <c r="LQ1479" s="342"/>
      <c r="LR1479" s="342"/>
      <c r="LS1479" s="342"/>
      <c r="LT1479" s="342"/>
      <c r="LU1479" s="13"/>
    </row>
    <row r="1480" spans="6:333" ht="10.75" customHeight="1">
      <c r="F1480" s="342"/>
      <c r="G1480" s="342"/>
      <c r="H1480" s="342"/>
      <c r="I1480" s="342"/>
      <c r="J1480" s="342"/>
      <c r="K1480" s="342"/>
      <c r="L1480" s="342"/>
      <c r="M1480" s="342"/>
      <c r="N1480" s="342"/>
      <c r="O1480" s="342"/>
      <c r="P1480" s="342"/>
      <c r="Q1480" s="342"/>
      <c r="R1480" s="342"/>
      <c r="S1480" s="342"/>
      <c r="T1480" s="342"/>
      <c r="U1480" s="342"/>
      <c r="V1480" s="342"/>
      <c r="W1480" s="342"/>
      <c r="X1480" s="342"/>
      <c r="Y1480" s="342"/>
      <c r="Z1480" s="342"/>
      <c r="AA1480" s="342"/>
      <c r="AB1480" s="342"/>
      <c r="AC1480" s="342"/>
      <c r="AD1480" s="342"/>
      <c r="AE1480" s="342"/>
      <c r="AF1480" s="342"/>
      <c r="AG1480" s="342"/>
      <c r="AH1480" s="342"/>
      <c r="AI1480" s="342"/>
      <c r="AJ1480" s="342"/>
      <c r="AK1480" s="342"/>
      <c r="AL1480" s="342"/>
      <c r="AM1480" s="342"/>
      <c r="AN1480" s="342"/>
      <c r="AO1480" s="342"/>
      <c r="AP1480" s="342"/>
      <c r="AQ1480" s="342"/>
      <c r="AR1480" s="342"/>
      <c r="AS1480" s="342"/>
      <c r="AT1480" s="342"/>
      <c r="AU1480" s="342"/>
      <c r="AV1480" s="342"/>
      <c r="AW1480" s="342"/>
      <c r="AX1480" s="342"/>
      <c r="AY1480" s="342"/>
      <c r="AZ1480" s="342"/>
      <c r="BA1480" s="342"/>
      <c r="BB1480" s="342"/>
      <c r="BC1480" s="342"/>
      <c r="BD1480" s="342"/>
      <c r="BE1480" s="342"/>
      <c r="BF1480" s="342"/>
      <c r="BG1480" s="342"/>
      <c r="BH1480" s="342"/>
      <c r="BI1480" s="342"/>
      <c r="BJ1480" s="342"/>
      <c r="BK1480" s="342"/>
      <c r="BL1480" s="342"/>
      <c r="BM1480" s="342"/>
      <c r="BN1480" s="342"/>
      <c r="BO1480" s="342"/>
      <c r="BP1480" s="342"/>
      <c r="BQ1480" s="342"/>
      <c r="BR1480" s="342"/>
      <c r="BS1480" s="342"/>
      <c r="BT1480" s="342"/>
      <c r="BU1480" s="342"/>
      <c r="BV1480" s="342"/>
      <c r="BW1480" s="342"/>
      <c r="BX1480" s="342"/>
      <c r="BY1480" s="342"/>
      <c r="BZ1480" s="342"/>
      <c r="CA1480" s="342"/>
      <c r="CB1480" s="342"/>
      <c r="CC1480" s="342"/>
      <c r="CD1480" s="342"/>
      <c r="CE1480" s="342"/>
      <c r="CF1480" s="342"/>
      <c r="CG1480" s="342"/>
      <c r="CH1480" s="342"/>
      <c r="CI1480" s="342"/>
      <c r="CJ1480" s="342"/>
      <c r="CK1480" s="342"/>
      <c r="CL1480" s="342"/>
      <c r="CM1480" s="342"/>
      <c r="CN1480" s="342"/>
      <c r="CO1480" s="342"/>
      <c r="CP1480" s="342"/>
      <c r="CQ1480" s="342"/>
      <c r="CR1480" s="342"/>
      <c r="CS1480" s="342"/>
      <c r="CT1480" s="342"/>
      <c r="CU1480" s="342"/>
      <c r="CV1480" s="342"/>
      <c r="CW1480" s="342"/>
      <c r="CX1480" s="342"/>
      <c r="CY1480" s="342"/>
      <c r="CZ1480" s="342"/>
      <c r="DA1480" s="342"/>
      <c r="DB1480" s="342"/>
      <c r="DC1480" s="342"/>
      <c r="DD1480" s="342"/>
      <c r="DE1480" s="342"/>
      <c r="DF1480" s="342"/>
      <c r="DG1480" s="342"/>
      <c r="DH1480" s="342"/>
      <c r="DI1480" s="342"/>
      <c r="DJ1480" s="342"/>
      <c r="DK1480" s="342"/>
      <c r="DL1480" s="342"/>
      <c r="DM1480" s="342"/>
      <c r="DN1480" s="342"/>
      <c r="DO1480" s="342"/>
      <c r="DP1480" s="342"/>
      <c r="DQ1480" s="342"/>
      <c r="DR1480" s="342"/>
      <c r="DS1480" s="342"/>
      <c r="DT1480" s="342"/>
      <c r="DU1480" s="342"/>
      <c r="FV1480" s="12"/>
      <c r="FW1480" s="342"/>
      <c r="FX1480" s="342"/>
      <c r="FY1480" s="342"/>
      <c r="FZ1480" s="342"/>
      <c r="GA1480" s="342"/>
      <c r="GB1480" s="342"/>
      <c r="GC1480" s="342"/>
      <c r="GD1480" s="342"/>
      <c r="GE1480" s="13"/>
      <c r="GT1480" s="342"/>
      <c r="GU1480" s="342"/>
      <c r="GV1480" s="342"/>
      <c r="GW1480" s="342"/>
      <c r="GX1480" s="12"/>
      <c r="GY1480" s="12"/>
      <c r="GZ1480" s="342"/>
      <c r="HA1480" s="342"/>
      <c r="HB1480" s="342"/>
      <c r="HC1480" s="342"/>
      <c r="HD1480" s="342"/>
      <c r="HE1480" s="342"/>
      <c r="HF1480" s="342"/>
      <c r="HG1480" s="342"/>
      <c r="HH1480" s="342"/>
      <c r="HI1480" s="13"/>
      <c r="HJ1480" s="12"/>
      <c r="HK1480" s="342"/>
      <c r="HL1480" s="342"/>
      <c r="HM1480" s="240"/>
      <c r="HN1480" s="342"/>
      <c r="HO1480" s="342"/>
      <c r="HP1480" s="342"/>
      <c r="HQ1480" s="342"/>
      <c r="HR1480" s="342"/>
      <c r="HS1480" s="342"/>
      <c r="HT1480" s="342"/>
      <c r="HU1480" s="12"/>
      <c r="HV1480" s="342"/>
      <c r="HW1480" s="342"/>
      <c r="HX1480" s="342"/>
      <c r="HY1480" s="342"/>
      <c r="HZ1480" s="342"/>
      <c r="IA1480" s="342"/>
      <c r="IB1480" s="342"/>
      <c r="IC1480" s="342"/>
      <c r="ID1480" s="342"/>
      <c r="IE1480" s="342"/>
      <c r="IF1480" s="342"/>
      <c r="IG1480" s="342"/>
      <c r="IH1480" s="342"/>
      <c r="II1480" s="342"/>
      <c r="IJ1480" s="342"/>
      <c r="IK1480" s="342"/>
      <c r="IL1480" s="342"/>
      <c r="IM1480" s="342"/>
      <c r="IN1480" s="342"/>
      <c r="IO1480" s="342"/>
      <c r="IP1480" s="342"/>
      <c r="IQ1480" s="342"/>
      <c r="IR1480" s="342"/>
      <c r="IS1480" s="342"/>
      <c r="IT1480" s="342"/>
      <c r="IU1480" s="342"/>
      <c r="IV1480" s="342"/>
      <c r="IW1480" s="342"/>
      <c r="IX1480" s="342"/>
      <c r="IY1480" s="342"/>
      <c r="IZ1480" s="342"/>
      <c r="JA1480" s="342"/>
      <c r="JB1480" s="342"/>
      <c r="JC1480" s="342"/>
      <c r="JD1480" s="342"/>
      <c r="JE1480" s="342"/>
      <c r="JF1480" s="342"/>
      <c r="JG1480" s="342"/>
      <c r="JH1480" s="342"/>
      <c r="JI1480" s="342"/>
      <c r="JJ1480" s="342"/>
      <c r="JK1480" s="342"/>
      <c r="JL1480" s="342"/>
      <c r="JM1480" s="342"/>
      <c r="JN1480" s="342"/>
      <c r="JO1480" s="342"/>
      <c r="JP1480" s="342"/>
      <c r="JQ1480" s="342"/>
      <c r="JR1480" s="342"/>
      <c r="JS1480" s="342"/>
      <c r="JT1480" s="342"/>
      <c r="JU1480" s="342"/>
      <c r="JV1480" s="342"/>
      <c r="JW1480" s="342"/>
      <c r="JX1480" s="342"/>
      <c r="JY1480" s="342"/>
      <c r="JZ1480" s="342"/>
      <c r="KA1480" s="342"/>
      <c r="KB1480" s="342"/>
      <c r="KC1480" s="342"/>
      <c r="KD1480" s="342"/>
      <c r="KE1480" s="342"/>
      <c r="KF1480" s="342"/>
      <c r="KG1480" s="342"/>
      <c r="KH1480" s="342"/>
      <c r="KI1480" s="342"/>
      <c r="KJ1480" s="342"/>
      <c r="KK1480" s="342"/>
      <c r="KL1480" s="342"/>
      <c r="KM1480" s="342"/>
      <c r="KN1480" s="342"/>
      <c r="KO1480" s="342"/>
      <c r="KP1480" s="342"/>
      <c r="KQ1480" s="342"/>
      <c r="KR1480" s="342"/>
      <c r="KS1480" s="342"/>
      <c r="KT1480" s="342"/>
      <c r="KU1480" s="342"/>
      <c r="KV1480" s="342"/>
      <c r="KW1480" s="342"/>
      <c r="KX1480" s="342"/>
      <c r="KY1480" s="342"/>
      <c r="KZ1480" s="342"/>
      <c r="LA1480" s="342"/>
      <c r="LB1480" s="13"/>
      <c r="LC1480" s="342"/>
      <c r="LD1480" s="342"/>
      <c r="LE1480" s="13"/>
      <c r="LF1480" s="342"/>
      <c r="LG1480" s="342"/>
      <c r="LH1480" s="342"/>
      <c r="LI1480" s="342"/>
      <c r="LJ1480" s="342"/>
      <c r="LK1480" s="342"/>
      <c r="LL1480" s="342"/>
      <c r="LM1480" s="342"/>
      <c r="LN1480" s="342"/>
      <c r="LO1480" s="342"/>
      <c r="LP1480" s="342"/>
      <c r="LQ1480" s="342"/>
      <c r="LR1480" s="342"/>
      <c r="LS1480" s="342"/>
      <c r="LT1480" s="342"/>
      <c r="LU1480" s="13"/>
    </row>
    <row r="1481" spans="6:333" ht="10.75" customHeight="1">
      <c r="F1481" s="342"/>
      <c r="G1481" s="342"/>
      <c r="H1481" s="342"/>
      <c r="I1481" s="342"/>
      <c r="J1481" s="342"/>
      <c r="K1481" s="342"/>
      <c r="L1481" s="342"/>
      <c r="M1481" s="342"/>
      <c r="N1481" s="342"/>
      <c r="O1481" s="342"/>
      <c r="P1481" s="342"/>
      <c r="Q1481" s="342"/>
      <c r="R1481" s="342"/>
      <c r="S1481" s="342"/>
      <c r="T1481" s="342"/>
      <c r="U1481" s="342"/>
      <c r="V1481" s="342"/>
      <c r="W1481" s="342"/>
      <c r="X1481" s="342"/>
      <c r="Y1481" s="342"/>
      <c r="Z1481" s="342"/>
      <c r="AA1481" s="342"/>
      <c r="AB1481" s="342"/>
      <c r="AC1481" s="342"/>
      <c r="AD1481" s="342"/>
      <c r="AE1481" s="342"/>
      <c r="AF1481" s="342"/>
      <c r="AG1481" s="342"/>
      <c r="AH1481" s="342"/>
      <c r="AI1481" s="342"/>
      <c r="AJ1481" s="342"/>
      <c r="AK1481" s="342"/>
      <c r="AL1481" s="342"/>
      <c r="AM1481" s="342"/>
      <c r="AN1481" s="342"/>
      <c r="AO1481" s="342"/>
      <c r="AP1481" s="342"/>
      <c r="AQ1481" s="342"/>
      <c r="AR1481" s="342"/>
      <c r="AS1481" s="342"/>
      <c r="AT1481" s="342"/>
      <c r="AU1481" s="342"/>
      <c r="AV1481" s="342"/>
      <c r="AW1481" s="342"/>
      <c r="AX1481" s="342"/>
      <c r="AY1481" s="342"/>
      <c r="AZ1481" s="342"/>
      <c r="BA1481" s="342"/>
      <c r="BB1481" s="342"/>
      <c r="BC1481" s="342"/>
      <c r="BD1481" s="342"/>
      <c r="BE1481" s="342"/>
      <c r="BF1481" s="342"/>
      <c r="BG1481" s="342"/>
      <c r="BH1481" s="342"/>
      <c r="BI1481" s="342"/>
      <c r="BJ1481" s="342"/>
      <c r="BK1481" s="342"/>
      <c r="BL1481" s="342"/>
      <c r="BM1481" s="342"/>
      <c r="BN1481" s="342"/>
      <c r="BO1481" s="342"/>
      <c r="BP1481" s="342"/>
      <c r="BQ1481" s="342"/>
      <c r="BR1481" s="342"/>
      <c r="BS1481" s="342"/>
      <c r="BT1481" s="342"/>
      <c r="BU1481" s="342"/>
      <c r="BV1481" s="342"/>
      <c r="BW1481" s="342"/>
      <c r="BX1481" s="342"/>
      <c r="BY1481" s="342"/>
      <c r="BZ1481" s="342"/>
      <c r="CA1481" s="342"/>
      <c r="CB1481" s="342"/>
      <c r="CC1481" s="342"/>
      <c r="CD1481" s="342"/>
      <c r="CE1481" s="342"/>
      <c r="CF1481" s="342"/>
      <c r="CG1481" s="342"/>
      <c r="CH1481" s="342"/>
      <c r="CI1481" s="342"/>
      <c r="CJ1481" s="342"/>
      <c r="CK1481" s="342"/>
      <c r="CL1481" s="342"/>
      <c r="CM1481" s="342"/>
      <c r="CN1481" s="342"/>
      <c r="CO1481" s="342"/>
      <c r="CP1481" s="342"/>
      <c r="CQ1481" s="342"/>
      <c r="CR1481" s="342"/>
      <c r="CS1481" s="342"/>
      <c r="CT1481" s="342"/>
      <c r="CU1481" s="342"/>
      <c r="CV1481" s="342"/>
      <c r="CW1481" s="342"/>
      <c r="CX1481" s="342"/>
      <c r="CY1481" s="342"/>
      <c r="CZ1481" s="342"/>
      <c r="DA1481" s="342"/>
      <c r="DB1481" s="342"/>
      <c r="DC1481" s="342"/>
      <c r="DD1481" s="342"/>
      <c r="DE1481" s="342"/>
      <c r="DF1481" s="342"/>
      <c r="DG1481" s="342"/>
      <c r="DH1481" s="342"/>
      <c r="DI1481" s="342"/>
      <c r="DJ1481" s="342"/>
      <c r="DK1481" s="342"/>
      <c r="DL1481" s="342"/>
      <c r="DM1481" s="342"/>
      <c r="DN1481" s="342"/>
      <c r="DO1481" s="342"/>
      <c r="DP1481" s="342"/>
      <c r="DQ1481" s="342"/>
      <c r="DR1481" s="342"/>
      <c r="DS1481" s="342"/>
      <c r="DT1481" s="342"/>
      <c r="DU1481" s="342"/>
      <c r="FV1481" s="9"/>
      <c r="FW1481" s="10"/>
      <c r="FX1481" s="10"/>
      <c r="FY1481" s="10"/>
      <c r="FZ1481" s="10"/>
      <c r="GA1481" s="10"/>
      <c r="GB1481" s="10"/>
      <c r="GC1481" s="10"/>
      <c r="GD1481" s="10"/>
      <c r="GE1481" s="11"/>
      <c r="GT1481" s="342"/>
      <c r="GU1481" s="342"/>
      <c r="GV1481" s="342"/>
      <c r="GW1481" s="342"/>
      <c r="GX1481" s="12"/>
      <c r="GY1481" s="12"/>
      <c r="GZ1481" s="342"/>
      <c r="HA1481" s="342"/>
      <c r="HB1481" s="342"/>
      <c r="HC1481" s="342"/>
      <c r="HD1481" s="342"/>
      <c r="HE1481" s="342"/>
      <c r="HF1481" s="342"/>
      <c r="HG1481" s="342"/>
      <c r="HH1481" s="342"/>
      <c r="HI1481" s="13"/>
      <c r="HJ1481" s="12"/>
      <c r="HK1481" s="342"/>
      <c r="HL1481" s="342"/>
      <c r="HM1481" s="240"/>
      <c r="HN1481" s="342"/>
      <c r="HO1481" s="342"/>
      <c r="HP1481" s="342"/>
      <c r="HQ1481" s="342"/>
      <c r="HR1481" s="342"/>
      <c r="HS1481" s="342"/>
      <c r="HT1481" s="342"/>
      <c r="HU1481" s="12"/>
      <c r="HV1481" s="342"/>
      <c r="HW1481" s="342"/>
      <c r="HX1481" s="342"/>
      <c r="HY1481" s="342"/>
      <c r="HZ1481" s="342"/>
      <c r="IA1481" s="342"/>
      <c r="IB1481" s="342"/>
      <c r="IC1481" s="342"/>
      <c r="ID1481" s="342"/>
      <c r="IE1481" s="342"/>
      <c r="IF1481" s="342"/>
      <c r="IG1481" s="342"/>
      <c r="IH1481" s="342"/>
      <c r="II1481" s="342"/>
      <c r="IJ1481" s="342"/>
      <c r="IK1481" s="342"/>
      <c r="IL1481" s="342"/>
      <c r="IM1481" s="342"/>
      <c r="IN1481" s="342"/>
      <c r="IO1481" s="342"/>
      <c r="IP1481" s="342"/>
      <c r="IQ1481" s="342"/>
      <c r="IR1481" s="342"/>
      <c r="IS1481" s="342"/>
      <c r="IT1481" s="342"/>
      <c r="IU1481" s="342"/>
      <c r="IV1481" s="342"/>
      <c r="IW1481" s="342"/>
      <c r="IX1481" s="342"/>
      <c r="IY1481" s="342"/>
      <c r="IZ1481" s="342"/>
      <c r="JA1481" s="342"/>
      <c r="JB1481" s="342"/>
      <c r="JC1481" s="342"/>
      <c r="JD1481" s="342"/>
      <c r="JE1481" s="342"/>
      <c r="JF1481" s="342"/>
      <c r="JG1481" s="342"/>
      <c r="JH1481" s="342"/>
      <c r="JI1481" s="342"/>
      <c r="JJ1481" s="342"/>
      <c r="JK1481" s="342"/>
      <c r="JL1481" s="342"/>
      <c r="JM1481" s="342"/>
      <c r="JN1481" s="342"/>
      <c r="JO1481" s="342"/>
      <c r="JP1481" s="342"/>
      <c r="JQ1481" s="342"/>
      <c r="JR1481" s="342"/>
      <c r="JS1481" s="342"/>
      <c r="JT1481" s="342"/>
      <c r="JU1481" s="342"/>
      <c r="JV1481" s="342"/>
      <c r="JW1481" s="342"/>
      <c r="JX1481" s="342"/>
      <c r="JY1481" s="342"/>
      <c r="JZ1481" s="342"/>
      <c r="KA1481" s="342"/>
      <c r="KB1481" s="342"/>
      <c r="KC1481" s="342"/>
      <c r="KD1481" s="342"/>
      <c r="KE1481" s="342"/>
      <c r="KF1481" s="342"/>
      <c r="KG1481" s="342"/>
      <c r="KH1481" s="342"/>
      <c r="KI1481" s="342"/>
      <c r="KJ1481" s="342"/>
      <c r="KK1481" s="342"/>
      <c r="KL1481" s="342"/>
      <c r="KM1481" s="342"/>
      <c r="KN1481" s="342"/>
      <c r="KO1481" s="342"/>
      <c r="KP1481" s="342"/>
      <c r="KQ1481" s="342"/>
      <c r="KR1481" s="342"/>
      <c r="KS1481" s="342"/>
      <c r="KT1481" s="342"/>
      <c r="KU1481" s="342"/>
      <c r="KV1481" s="342"/>
      <c r="KW1481" s="342"/>
      <c r="KX1481" s="342"/>
      <c r="KY1481" s="342"/>
      <c r="KZ1481" s="342"/>
      <c r="LA1481" s="342"/>
      <c r="LB1481" s="13"/>
      <c r="LC1481" s="342"/>
      <c r="LD1481" s="342"/>
      <c r="LE1481" s="13"/>
      <c r="LF1481" s="342"/>
      <c r="LG1481" s="342"/>
      <c r="LH1481" s="342"/>
      <c r="LI1481" s="342"/>
      <c r="LJ1481" s="342"/>
      <c r="LK1481" s="342"/>
      <c r="LL1481" s="342"/>
      <c r="LM1481" s="342"/>
      <c r="LN1481" s="342"/>
      <c r="LO1481" s="342"/>
      <c r="LP1481" s="342"/>
      <c r="LQ1481" s="342"/>
      <c r="LR1481" s="342"/>
      <c r="LS1481" s="342"/>
      <c r="LT1481" s="342"/>
      <c r="LU1481" s="13"/>
    </row>
    <row r="1482" spans="6:333" ht="10.75" customHeight="1">
      <c r="F1482" s="342"/>
      <c r="G1482" s="342"/>
      <c r="H1482" s="342"/>
      <c r="I1482" s="342"/>
      <c r="J1482" s="342"/>
      <c r="K1482" s="342"/>
      <c r="L1482" s="342"/>
      <c r="M1482" s="342"/>
      <c r="N1482" s="342"/>
      <c r="O1482" s="342"/>
      <c r="P1482" s="342"/>
      <c r="Q1482" s="342"/>
      <c r="R1482" s="342"/>
      <c r="S1482" s="342"/>
      <c r="T1482" s="342"/>
      <c r="U1482" s="342"/>
      <c r="V1482" s="342"/>
      <c r="W1482" s="342"/>
      <c r="X1482" s="342"/>
      <c r="Y1482" s="342"/>
      <c r="Z1482" s="342"/>
      <c r="AA1482" s="342"/>
      <c r="AB1482" s="342"/>
      <c r="AC1482" s="342"/>
      <c r="AD1482" s="342"/>
      <c r="AE1482" s="342"/>
      <c r="AF1482" s="342"/>
      <c r="AG1482" s="342"/>
      <c r="AH1482" s="342"/>
      <c r="AI1482" s="342"/>
      <c r="AJ1482" s="342"/>
      <c r="AK1482" s="342"/>
      <c r="AL1482" s="342"/>
      <c r="AM1482" s="342"/>
      <c r="AN1482" s="342"/>
      <c r="AO1482" s="342"/>
      <c r="AP1482" s="342"/>
      <c r="AQ1482" s="342"/>
      <c r="AR1482" s="342"/>
      <c r="AS1482" s="342"/>
      <c r="AT1482" s="342"/>
      <c r="AU1482" s="342"/>
      <c r="AV1482" s="342"/>
      <c r="AW1482" s="342"/>
      <c r="AX1482" s="342"/>
      <c r="AY1482" s="342"/>
      <c r="AZ1482" s="342"/>
      <c r="BA1482" s="342"/>
      <c r="BB1482" s="342"/>
      <c r="BC1482" s="342"/>
      <c r="BD1482" s="342"/>
      <c r="BE1482" s="342"/>
      <c r="BF1482" s="342"/>
      <c r="BG1482" s="342"/>
      <c r="BH1482" s="342"/>
      <c r="BI1482" s="342"/>
      <c r="BJ1482" s="342"/>
      <c r="BK1482" s="342"/>
      <c r="BL1482" s="342"/>
      <c r="BM1482" s="342"/>
      <c r="BN1482" s="342"/>
      <c r="BO1482" s="342"/>
      <c r="BP1482" s="342"/>
      <c r="BQ1482" s="342"/>
      <c r="BR1482" s="342"/>
      <c r="BS1482" s="342"/>
      <c r="BT1482" s="342"/>
      <c r="BU1482" s="342"/>
      <c r="BV1482" s="342"/>
      <c r="BW1482" s="342"/>
      <c r="BX1482" s="342"/>
      <c r="BY1482" s="342"/>
      <c r="BZ1482" s="342"/>
      <c r="CA1482" s="342"/>
      <c r="CB1482" s="342"/>
      <c r="CC1482" s="342"/>
      <c r="CD1482" s="342"/>
      <c r="CE1482" s="342"/>
      <c r="CF1482" s="342"/>
      <c r="CG1482" s="342"/>
      <c r="CH1482" s="342"/>
      <c r="CI1482" s="342"/>
      <c r="CJ1482" s="342"/>
      <c r="CK1482" s="342"/>
      <c r="CL1482" s="342"/>
      <c r="CM1482" s="342"/>
      <c r="CN1482" s="342"/>
      <c r="CO1482" s="342"/>
      <c r="CP1482" s="342"/>
      <c r="CQ1482" s="342"/>
      <c r="CR1482" s="342"/>
      <c r="CS1482" s="342"/>
      <c r="CT1482" s="342"/>
      <c r="CU1482" s="342"/>
      <c r="CV1482" s="342"/>
      <c r="CW1482" s="342"/>
      <c r="CX1482" s="342"/>
      <c r="CY1482" s="342"/>
      <c r="CZ1482" s="342"/>
      <c r="DA1482" s="342"/>
      <c r="DB1482" s="342"/>
      <c r="DC1482" s="342"/>
      <c r="DD1482" s="342"/>
      <c r="DE1482" s="342"/>
      <c r="DF1482" s="342"/>
      <c r="DG1482" s="342"/>
      <c r="DH1482" s="342"/>
      <c r="DI1482" s="342"/>
      <c r="DJ1482" s="342"/>
      <c r="DK1482" s="342"/>
      <c r="DL1482" s="342"/>
      <c r="DM1482" s="342"/>
      <c r="DN1482" s="342"/>
      <c r="DO1482" s="342"/>
      <c r="DP1482" s="342"/>
      <c r="DQ1482" s="342"/>
      <c r="DR1482" s="342"/>
      <c r="DS1482" s="342"/>
      <c r="DT1482" s="342"/>
      <c r="DU1482" s="342"/>
      <c r="FV1482" s="12"/>
      <c r="FW1482" s="342"/>
      <c r="FX1482" s="342"/>
      <c r="FY1482" s="342"/>
      <c r="FZ1482" s="342"/>
      <c r="GA1482" s="342"/>
      <c r="GB1482" s="342"/>
      <c r="GC1482" s="342"/>
      <c r="GD1482" s="342"/>
      <c r="GE1482" s="13"/>
      <c r="GT1482" s="342"/>
      <c r="GU1482" s="342"/>
      <c r="GV1482" s="342"/>
      <c r="GW1482" s="342"/>
      <c r="GX1482" s="12"/>
      <c r="GY1482" s="12"/>
      <c r="GZ1482" s="342"/>
      <c r="HA1482" s="342"/>
      <c r="HB1482" s="342"/>
      <c r="HC1482" s="342"/>
      <c r="HD1482" s="342"/>
      <c r="HE1482" s="342"/>
      <c r="HF1482" s="342"/>
      <c r="HG1482" s="342"/>
      <c r="HH1482" s="342"/>
      <c r="HI1482" s="13"/>
      <c r="HJ1482" s="12"/>
      <c r="HK1482" s="342"/>
      <c r="HL1482" s="342"/>
      <c r="HM1482" s="240"/>
      <c r="HN1482" s="342"/>
      <c r="HO1482" s="342"/>
      <c r="HP1482" s="342"/>
      <c r="HQ1482" s="342"/>
      <c r="HR1482" s="342"/>
      <c r="HS1482" s="342"/>
      <c r="HT1482" s="342"/>
      <c r="HU1482" s="12"/>
      <c r="HV1482" s="342"/>
      <c r="HW1482" s="342"/>
      <c r="HX1482" s="342"/>
      <c r="HY1482" s="342"/>
      <c r="HZ1482" s="342"/>
      <c r="IA1482" s="342"/>
      <c r="IB1482" s="342"/>
      <c r="IC1482" s="342"/>
      <c r="ID1482" s="342"/>
      <c r="IE1482" s="342"/>
      <c r="IF1482" s="342"/>
      <c r="IG1482" s="342"/>
      <c r="IH1482" s="342"/>
      <c r="II1482" s="342"/>
      <c r="IJ1482" s="342"/>
      <c r="IK1482" s="342"/>
      <c r="IL1482" s="342"/>
      <c r="IM1482" s="342"/>
      <c r="IN1482" s="342"/>
      <c r="IO1482" s="342"/>
      <c r="IP1482" s="342"/>
      <c r="IQ1482" s="342"/>
      <c r="IR1482" s="342"/>
      <c r="IS1482" s="342"/>
      <c r="IT1482" s="342"/>
      <c r="IU1482" s="342"/>
      <c r="IV1482" s="342"/>
      <c r="IW1482" s="342"/>
      <c r="IX1482" s="342"/>
      <c r="IY1482" s="342"/>
      <c r="IZ1482" s="342"/>
      <c r="JA1482" s="342"/>
      <c r="JB1482" s="342"/>
      <c r="JC1482" s="342"/>
      <c r="JD1482" s="342"/>
      <c r="JE1482" s="342"/>
      <c r="JF1482" s="342"/>
      <c r="JG1482" s="342"/>
      <c r="JH1482" s="342"/>
      <c r="JI1482" s="342"/>
      <c r="JJ1482" s="342"/>
      <c r="JK1482" s="342"/>
      <c r="JL1482" s="342"/>
      <c r="JM1482" s="342"/>
      <c r="JN1482" s="342"/>
      <c r="JO1482" s="342"/>
      <c r="JP1482" s="342"/>
      <c r="JQ1482" s="342"/>
      <c r="JR1482" s="342"/>
      <c r="JS1482" s="342"/>
      <c r="JT1482" s="342"/>
      <c r="JU1482" s="342"/>
      <c r="JV1482" s="342"/>
      <c r="JW1482" s="342"/>
      <c r="JX1482" s="342"/>
      <c r="JY1482" s="342"/>
      <c r="JZ1482" s="342"/>
      <c r="KA1482" s="342"/>
      <c r="KB1482" s="342"/>
      <c r="KC1482" s="342"/>
      <c r="KD1482" s="342"/>
      <c r="KE1482" s="342"/>
      <c r="KF1482" s="342"/>
      <c r="KG1482" s="342"/>
      <c r="KH1482" s="342"/>
      <c r="KI1482" s="342"/>
      <c r="KJ1482" s="342"/>
      <c r="KK1482" s="342"/>
      <c r="KL1482" s="342"/>
      <c r="KM1482" s="342"/>
      <c r="KN1482" s="342"/>
      <c r="KO1482" s="342"/>
      <c r="KP1482" s="342"/>
      <c r="KQ1482" s="342"/>
      <c r="KR1482" s="342"/>
      <c r="KS1482" s="342"/>
      <c r="KT1482" s="342"/>
      <c r="KU1482" s="342"/>
      <c r="KV1482" s="342"/>
      <c r="KW1482" s="342"/>
      <c r="KX1482" s="342"/>
      <c r="KY1482" s="342"/>
      <c r="KZ1482" s="342"/>
      <c r="LA1482" s="342"/>
      <c r="LB1482" s="13"/>
      <c r="LC1482" s="342"/>
      <c r="LD1482" s="342"/>
      <c r="LE1482" s="13"/>
      <c r="LF1482" s="342"/>
      <c r="LG1482" s="342"/>
      <c r="LH1482" s="342"/>
      <c r="LI1482" s="342"/>
      <c r="LJ1482" s="342"/>
      <c r="LK1482" s="342"/>
      <c r="LL1482" s="342"/>
      <c r="LM1482" s="342"/>
      <c r="LN1482" s="342"/>
      <c r="LO1482" s="342"/>
      <c r="LP1482" s="342"/>
      <c r="LQ1482" s="342"/>
      <c r="LR1482" s="342"/>
      <c r="LS1482" s="342"/>
      <c r="LT1482" s="342"/>
      <c r="LU1482" s="13"/>
    </row>
    <row r="1483" spans="6:333" ht="10.75" customHeight="1">
      <c r="F1483" s="342"/>
      <c r="G1483" s="342"/>
      <c r="H1483" s="342"/>
      <c r="I1483" s="342"/>
      <c r="J1483" s="342"/>
      <c r="K1483" s="342"/>
      <c r="L1483" s="342"/>
      <c r="M1483" s="342"/>
      <c r="N1483" s="342"/>
      <c r="O1483" s="342"/>
      <c r="P1483" s="342"/>
      <c r="Q1483" s="342"/>
      <c r="R1483" s="342"/>
      <c r="S1483" s="342"/>
      <c r="T1483" s="342"/>
      <c r="U1483" s="342"/>
      <c r="V1483" s="342"/>
      <c r="W1483" s="342"/>
      <c r="X1483" s="342"/>
      <c r="Y1483" s="342"/>
      <c r="Z1483" s="342"/>
      <c r="AA1483" s="342"/>
      <c r="AB1483" s="342"/>
      <c r="AC1483" s="342"/>
      <c r="AD1483" s="342"/>
      <c r="AE1483" s="342"/>
      <c r="AF1483" s="342"/>
      <c r="AG1483" s="342"/>
      <c r="AH1483" s="342"/>
      <c r="AI1483" s="342"/>
      <c r="AJ1483" s="342"/>
      <c r="AK1483" s="342"/>
      <c r="AL1483" s="342"/>
      <c r="AM1483" s="342"/>
      <c r="AN1483" s="342"/>
      <c r="AO1483" s="342"/>
      <c r="AP1483" s="342"/>
      <c r="AQ1483" s="342"/>
      <c r="AR1483" s="342"/>
      <c r="AS1483" s="342"/>
      <c r="AT1483" s="342"/>
      <c r="AU1483" s="342"/>
      <c r="AV1483" s="342"/>
      <c r="AW1483" s="342"/>
      <c r="AX1483" s="342"/>
      <c r="AY1483" s="342"/>
      <c r="AZ1483" s="342"/>
      <c r="BA1483" s="342"/>
      <c r="BB1483" s="342"/>
      <c r="BC1483" s="342"/>
      <c r="BD1483" s="342"/>
      <c r="BE1483" s="342"/>
      <c r="BF1483" s="342"/>
      <c r="BG1483" s="342"/>
      <c r="BH1483" s="342"/>
      <c r="BI1483" s="342"/>
      <c r="BJ1483" s="342"/>
      <c r="BK1483" s="342"/>
      <c r="BL1483" s="342"/>
      <c r="BM1483" s="342"/>
      <c r="BN1483" s="342"/>
      <c r="BO1483" s="342"/>
      <c r="BP1483" s="342"/>
      <c r="BQ1483" s="342"/>
      <c r="BR1483" s="342"/>
      <c r="BS1483" s="342"/>
      <c r="BT1483" s="342"/>
      <c r="BU1483" s="342"/>
      <c r="BV1483" s="342"/>
      <c r="BW1483" s="342"/>
      <c r="BX1483" s="342"/>
      <c r="BY1483" s="342"/>
      <c r="BZ1483" s="342"/>
      <c r="CA1483" s="342"/>
      <c r="CB1483" s="342"/>
      <c r="CC1483" s="342"/>
      <c r="CD1483" s="342"/>
      <c r="CE1483" s="342"/>
      <c r="CF1483" s="342"/>
      <c r="CG1483" s="342"/>
      <c r="CH1483" s="342"/>
      <c r="CI1483" s="342"/>
      <c r="CJ1483" s="342"/>
      <c r="CK1483" s="342"/>
      <c r="CL1483" s="342"/>
      <c r="CM1483" s="342"/>
      <c r="CN1483" s="342"/>
      <c r="CO1483" s="342"/>
      <c r="CP1483" s="342"/>
      <c r="CQ1483" s="342"/>
      <c r="CR1483" s="342"/>
      <c r="CS1483" s="342"/>
      <c r="CT1483" s="342"/>
      <c r="CU1483" s="342"/>
      <c r="CV1483" s="342"/>
      <c r="CW1483" s="342"/>
      <c r="CX1483" s="342"/>
      <c r="CY1483" s="342"/>
      <c r="CZ1483" s="342"/>
      <c r="DA1483" s="342"/>
      <c r="DB1483" s="342"/>
      <c r="DC1483" s="342"/>
      <c r="DD1483" s="342"/>
      <c r="DE1483" s="342"/>
      <c r="DF1483" s="342"/>
      <c r="DG1483" s="342"/>
      <c r="DH1483" s="342"/>
      <c r="DI1483" s="342"/>
      <c r="DJ1483" s="342"/>
      <c r="DK1483" s="342"/>
      <c r="DL1483" s="342"/>
      <c r="DM1483" s="342"/>
      <c r="DN1483" s="342"/>
      <c r="DO1483" s="342"/>
      <c r="DP1483" s="342"/>
      <c r="DQ1483" s="342"/>
      <c r="DR1483" s="342"/>
      <c r="DS1483" s="342"/>
      <c r="DT1483" s="342"/>
      <c r="DU1483" s="342"/>
      <c r="FV1483" s="12"/>
      <c r="FW1483" s="342"/>
      <c r="FX1483" s="342"/>
      <c r="FY1483" s="342"/>
      <c r="FZ1483" s="342"/>
      <c r="GA1483" s="342"/>
      <c r="GB1483" s="342"/>
      <c r="GC1483" s="342"/>
      <c r="GD1483" s="342"/>
      <c r="GE1483" s="13"/>
      <c r="GT1483" s="342"/>
      <c r="GU1483" s="342"/>
      <c r="GV1483" s="342"/>
      <c r="GW1483" s="342"/>
      <c r="GX1483" s="12"/>
      <c r="GY1483" s="12"/>
      <c r="GZ1483" s="342"/>
      <c r="HA1483" s="342"/>
      <c r="HB1483" s="342"/>
      <c r="HC1483" s="342"/>
      <c r="HD1483" s="342"/>
      <c r="HE1483" s="342"/>
      <c r="HF1483" s="342"/>
      <c r="HG1483" s="342"/>
      <c r="HH1483" s="342"/>
      <c r="HI1483" s="13"/>
      <c r="HJ1483" s="12"/>
      <c r="HK1483" s="342"/>
      <c r="HL1483" s="342"/>
      <c r="HM1483" s="240"/>
      <c r="HN1483" s="342"/>
      <c r="HO1483" s="342"/>
      <c r="HP1483" s="342"/>
      <c r="HQ1483" s="342"/>
      <c r="HR1483" s="342"/>
      <c r="HS1483" s="342"/>
      <c r="HT1483" s="342"/>
      <c r="HU1483" s="12"/>
      <c r="HV1483" s="342"/>
      <c r="HW1483" s="342"/>
      <c r="HX1483" s="342"/>
      <c r="HY1483" s="342"/>
      <c r="HZ1483" s="342"/>
      <c r="IA1483" s="342"/>
      <c r="IB1483" s="342"/>
      <c r="IC1483" s="342"/>
      <c r="ID1483" s="342"/>
      <c r="IE1483" s="342"/>
      <c r="IF1483" s="342"/>
      <c r="IG1483" s="342"/>
      <c r="IH1483" s="342"/>
      <c r="II1483" s="342"/>
      <c r="IJ1483" s="342"/>
      <c r="IK1483" s="342"/>
      <c r="IL1483" s="342"/>
      <c r="IM1483" s="342"/>
      <c r="IN1483" s="342"/>
      <c r="IO1483" s="342"/>
      <c r="IP1483" s="342"/>
      <c r="IQ1483" s="342"/>
      <c r="IR1483" s="342"/>
      <c r="IS1483" s="342"/>
      <c r="IT1483" s="342"/>
      <c r="IU1483" s="342"/>
      <c r="IV1483" s="342"/>
      <c r="IW1483" s="342"/>
      <c r="IX1483" s="342"/>
      <c r="IY1483" s="342"/>
      <c r="IZ1483" s="342"/>
      <c r="JA1483" s="342"/>
      <c r="JB1483" s="342"/>
      <c r="JC1483" s="342"/>
      <c r="JD1483" s="342"/>
      <c r="JE1483" s="342"/>
      <c r="JF1483" s="342"/>
      <c r="JG1483" s="342"/>
      <c r="JH1483" s="342"/>
      <c r="JI1483" s="342"/>
      <c r="JJ1483" s="342"/>
      <c r="JK1483" s="342"/>
      <c r="JL1483" s="342"/>
      <c r="JM1483" s="342"/>
      <c r="JN1483" s="342"/>
      <c r="JO1483" s="342"/>
      <c r="JP1483" s="342"/>
      <c r="JQ1483" s="342"/>
      <c r="JR1483" s="342"/>
      <c r="JS1483" s="342"/>
      <c r="JT1483" s="342"/>
      <c r="JU1483" s="342"/>
      <c r="JV1483" s="342"/>
      <c r="JW1483" s="342"/>
      <c r="JX1483" s="342"/>
      <c r="JY1483" s="342"/>
      <c r="JZ1483" s="342"/>
      <c r="KA1483" s="342"/>
      <c r="KB1483" s="342"/>
      <c r="KC1483" s="342"/>
      <c r="KD1483" s="342"/>
      <c r="KE1483" s="342"/>
      <c r="KF1483" s="342"/>
      <c r="KG1483" s="342"/>
      <c r="KH1483" s="342"/>
      <c r="KI1483" s="342"/>
      <c r="KJ1483" s="342"/>
      <c r="KK1483" s="342"/>
      <c r="KL1483" s="342"/>
      <c r="KM1483" s="342"/>
      <c r="KN1483" s="342"/>
      <c r="KO1483" s="342"/>
      <c r="KP1483" s="342"/>
      <c r="KQ1483" s="342"/>
      <c r="KR1483" s="342"/>
      <c r="KS1483" s="342"/>
      <c r="KT1483" s="342"/>
      <c r="KU1483" s="342"/>
      <c r="KV1483" s="342"/>
      <c r="KW1483" s="342"/>
      <c r="KX1483" s="342"/>
      <c r="KY1483" s="342"/>
      <c r="KZ1483" s="342"/>
      <c r="LA1483" s="342"/>
      <c r="LB1483" s="13"/>
      <c r="LC1483" s="342"/>
      <c r="LD1483" s="342"/>
      <c r="LE1483" s="13"/>
      <c r="LF1483" s="342"/>
      <c r="LG1483" s="342"/>
      <c r="LH1483" s="342"/>
      <c r="LI1483" s="342"/>
      <c r="LJ1483" s="342"/>
      <c r="LK1483" s="342"/>
      <c r="LL1483" s="342"/>
      <c r="LM1483" s="342"/>
      <c r="LN1483" s="342"/>
      <c r="LO1483" s="342"/>
      <c r="LP1483" s="342"/>
      <c r="LQ1483" s="342"/>
      <c r="LR1483" s="342"/>
      <c r="LS1483" s="342"/>
      <c r="LT1483" s="342"/>
      <c r="LU1483" s="13"/>
    </row>
    <row r="1484" spans="6:333" ht="10.75" customHeight="1">
      <c r="F1484" s="342"/>
      <c r="G1484" s="342"/>
      <c r="H1484" s="342"/>
      <c r="I1484" s="342"/>
      <c r="J1484" s="342"/>
      <c r="K1484" s="342"/>
      <c r="L1484" s="342"/>
      <c r="M1484" s="342"/>
      <c r="N1484" s="342"/>
      <c r="O1484" s="342"/>
      <c r="P1484" s="342"/>
      <c r="Q1484" s="342"/>
      <c r="R1484" s="342"/>
      <c r="S1484" s="342"/>
      <c r="T1484" s="342"/>
      <c r="U1484" s="342"/>
      <c r="V1484" s="342"/>
      <c r="W1484" s="342"/>
      <c r="X1484" s="342"/>
      <c r="Y1484" s="342"/>
      <c r="Z1484" s="342"/>
      <c r="AA1484" s="342"/>
      <c r="AB1484" s="342"/>
      <c r="AC1484" s="342"/>
      <c r="AD1484" s="342"/>
      <c r="AE1484" s="342"/>
      <c r="AF1484" s="342"/>
      <c r="AG1484" s="342"/>
      <c r="AH1484" s="342"/>
      <c r="AI1484" s="342"/>
      <c r="AJ1484" s="342"/>
      <c r="AK1484" s="342"/>
      <c r="AL1484" s="342"/>
      <c r="AM1484" s="342"/>
      <c r="AN1484" s="342"/>
      <c r="AO1484" s="342"/>
      <c r="AP1484" s="342"/>
      <c r="AQ1484" s="342"/>
      <c r="AR1484" s="342"/>
      <c r="AS1484" s="342"/>
      <c r="AT1484" s="342"/>
      <c r="AU1484" s="342"/>
      <c r="AV1484" s="342"/>
      <c r="AW1484" s="342"/>
      <c r="AX1484" s="342"/>
      <c r="AY1484" s="342"/>
      <c r="AZ1484" s="342"/>
      <c r="BA1484" s="342"/>
      <c r="BB1484" s="342"/>
      <c r="BC1484" s="342"/>
      <c r="BD1484" s="342"/>
      <c r="BE1484" s="342"/>
      <c r="BF1484" s="342"/>
      <c r="BG1484" s="342"/>
      <c r="BH1484" s="342"/>
      <c r="BI1484" s="342"/>
      <c r="BJ1484" s="342"/>
      <c r="BK1484" s="342"/>
      <c r="BL1484" s="342"/>
      <c r="BM1484" s="342"/>
      <c r="BN1484" s="342"/>
      <c r="BO1484" s="342"/>
      <c r="BP1484" s="342"/>
      <c r="BQ1484" s="342"/>
      <c r="BR1484" s="342"/>
      <c r="BS1484" s="342"/>
      <c r="BT1484" s="342"/>
      <c r="BU1484" s="342"/>
      <c r="BV1484" s="342"/>
      <c r="BW1484" s="342"/>
      <c r="BX1484" s="342"/>
      <c r="BY1484" s="342"/>
      <c r="BZ1484" s="342"/>
      <c r="CA1484" s="342"/>
      <c r="CB1484" s="342"/>
      <c r="CC1484" s="342"/>
      <c r="CD1484" s="342"/>
      <c r="CE1484" s="342"/>
      <c r="CF1484" s="342"/>
      <c r="CG1484" s="342"/>
      <c r="CH1484" s="342"/>
      <c r="CI1484" s="342"/>
      <c r="CJ1484" s="342"/>
      <c r="CK1484" s="342"/>
      <c r="CL1484" s="342"/>
      <c r="CM1484" s="342"/>
      <c r="CN1484" s="342"/>
      <c r="CO1484" s="342"/>
      <c r="CP1484" s="342"/>
      <c r="CQ1484" s="342"/>
      <c r="CR1484" s="342"/>
      <c r="CS1484" s="342"/>
      <c r="CT1484" s="342"/>
      <c r="CU1484" s="342"/>
      <c r="CV1484" s="342"/>
      <c r="CW1484" s="342"/>
      <c r="CX1484" s="342"/>
      <c r="CY1484" s="342"/>
      <c r="CZ1484" s="342"/>
      <c r="DA1484" s="342"/>
      <c r="DB1484" s="342"/>
      <c r="DC1484" s="342"/>
      <c r="DD1484" s="342"/>
      <c r="DE1484" s="342"/>
      <c r="DF1484" s="342"/>
      <c r="DG1484" s="342"/>
      <c r="DH1484" s="342"/>
      <c r="DI1484" s="342"/>
      <c r="DJ1484" s="342"/>
      <c r="DK1484" s="342"/>
      <c r="DL1484" s="342"/>
      <c r="DM1484" s="342"/>
      <c r="DN1484" s="342"/>
      <c r="DO1484" s="342"/>
      <c r="DP1484" s="342"/>
      <c r="DQ1484" s="342"/>
      <c r="DR1484" s="342"/>
      <c r="DS1484" s="342"/>
      <c r="DT1484" s="342"/>
      <c r="DU1484" s="342"/>
      <c r="FV1484" s="12"/>
      <c r="FW1484" s="342"/>
      <c r="FX1484" s="342"/>
      <c r="FY1484" s="342"/>
      <c r="FZ1484" s="342"/>
      <c r="GA1484" s="342"/>
      <c r="GB1484" s="342"/>
      <c r="GC1484" s="342"/>
      <c r="GD1484" s="342"/>
      <c r="GE1484" s="13"/>
      <c r="GT1484" s="342"/>
      <c r="GU1484" s="342"/>
      <c r="GV1484" s="342"/>
      <c r="GW1484" s="342"/>
      <c r="GX1484" s="12"/>
      <c r="GY1484" s="12"/>
      <c r="GZ1484" s="342"/>
      <c r="HA1484" s="342"/>
      <c r="HB1484" s="342"/>
      <c r="HC1484" s="342"/>
      <c r="HD1484" s="342"/>
      <c r="HE1484" s="342"/>
      <c r="HF1484" s="342"/>
      <c r="HG1484" s="342"/>
      <c r="HH1484" s="342"/>
      <c r="HI1484" s="13"/>
      <c r="HJ1484" s="12"/>
      <c r="HK1484" s="342"/>
      <c r="HL1484" s="342"/>
      <c r="HM1484" s="240"/>
      <c r="HN1484" s="342"/>
      <c r="HO1484" s="342"/>
      <c r="HP1484" s="342"/>
      <c r="HQ1484" s="342"/>
      <c r="HR1484" s="342"/>
      <c r="HS1484" s="342"/>
      <c r="HT1484" s="342"/>
      <c r="HU1484" s="12"/>
      <c r="HV1484" s="342"/>
      <c r="HW1484" s="342"/>
      <c r="HX1484" s="342"/>
      <c r="HY1484" s="342"/>
      <c r="HZ1484" s="342"/>
      <c r="IA1484" s="342"/>
      <c r="IB1484" s="342"/>
      <c r="IC1484" s="342"/>
      <c r="ID1484" s="342"/>
      <c r="IE1484" s="342"/>
      <c r="IF1484" s="342"/>
      <c r="IG1484" s="342"/>
      <c r="IH1484" s="342"/>
      <c r="II1484" s="342"/>
      <c r="IJ1484" s="342"/>
      <c r="IK1484" s="342"/>
      <c r="IL1484" s="342"/>
      <c r="IM1484" s="342"/>
      <c r="IN1484" s="342"/>
      <c r="IO1484" s="342"/>
      <c r="IP1484" s="342"/>
      <c r="IQ1484" s="342"/>
      <c r="IR1484" s="342"/>
      <c r="IS1484" s="342"/>
      <c r="IT1484" s="342"/>
      <c r="IU1484" s="342"/>
      <c r="IV1484" s="342"/>
      <c r="IW1484" s="342"/>
      <c r="IX1484" s="342"/>
      <c r="IY1484" s="342"/>
      <c r="IZ1484" s="342"/>
      <c r="JA1484" s="342"/>
      <c r="JB1484" s="342"/>
      <c r="JC1484" s="342"/>
      <c r="JD1484" s="342"/>
      <c r="JE1484" s="342"/>
      <c r="JF1484" s="342"/>
      <c r="JG1484" s="342"/>
      <c r="JH1484" s="342"/>
      <c r="JI1484" s="342"/>
      <c r="JJ1484" s="342"/>
      <c r="JK1484" s="342"/>
      <c r="JL1484" s="342"/>
      <c r="JM1484" s="342"/>
      <c r="JN1484" s="342"/>
      <c r="JO1484" s="342"/>
      <c r="JP1484" s="342"/>
      <c r="JQ1484" s="342"/>
      <c r="JR1484" s="342"/>
      <c r="JS1484" s="342"/>
      <c r="JT1484" s="342"/>
      <c r="JU1484" s="342"/>
      <c r="JV1484" s="342"/>
      <c r="JW1484" s="342"/>
      <c r="JX1484" s="342"/>
      <c r="JY1484" s="342"/>
      <c r="JZ1484" s="342"/>
      <c r="KA1484" s="342"/>
      <c r="KB1484" s="342"/>
      <c r="KC1484" s="342"/>
      <c r="KD1484" s="342"/>
      <c r="KE1484" s="342"/>
      <c r="KF1484" s="342"/>
      <c r="KG1484" s="342"/>
      <c r="KH1484" s="342"/>
      <c r="KI1484" s="342"/>
      <c r="KJ1484" s="342"/>
      <c r="KK1484" s="342"/>
      <c r="KL1484" s="342"/>
      <c r="KM1484" s="342"/>
      <c r="KN1484" s="342"/>
      <c r="KO1484" s="342"/>
      <c r="KP1484" s="342"/>
      <c r="KQ1484" s="342"/>
      <c r="KR1484" s="342"/>
      <c r="KS1484" s="342"/>
      <c r="KT1484" s="342"/>
      <c r="KU1484" s="342"/>
      <c r="KV1484" s="342"/>
      <c r="KW1484" s="342"/>
      <c r="KX1484" s="342"/>
      <c r="KY1484" s="342"/>
      <c r="KZ1484" s="342"/>
      <c r="LA1484" s="342"/>
      <c r="LB1484" s="13"/>
      <c r="LC1484" s="342"/>
      <c r="LD1484" s="342"/>
      <c r="LE1484" s="13"/>
      <c r="LF1484" s="342"/>
      <c r="LG1484" s="342"/>
      <c r="LH1484" s="342"/>
      <c r="LI1484" s="342"/>
      <c r="LJ1484" s="342"/>
      <c r="LK1484" s="342"/>
      <c r="LL1484" s="342"/>
      <c r="LM1484" s="342"/>
      <c r="LN1484" s="342"/>
      <c r="LO1484" s="342"/>
      <c r="LP1484" s="342"/>
      <c r="LQ1484" s="342"/>
      <c r="LR1484" s="342"/>
      <c r="LS1484" s="342"/>
      <c r="LT1484" s="342"/>
      <c r="LU1484" s="13"/>
    </row>
    <row r="1485" spans="6:333" ht="10.75" customHeight="1">
      <c r="F1485" s="342"/>
      <c r="G1485" s="342"/>
      <c r="H1485" s="342"/>
      <c r="I1485" s="342"/>
      <c r="J1485" s="342"/>
      <c r="K1485" s="342"/>
      <c r="L1485" s="342"/>
      <c r="M1485" s="342"/>
      <c r="N1485" s="342"/>
      <c r="O1485" s="342"/>
      <c r="P1485" s="342"/>
      <c r="Q1485" s="342"/>
      <c r="R1485" s="342"/>
      <c r="S1485" s="342"/>
      <c r="T1485" s="342"/>
      <c r="U1485" s="342"/>
      <c r="V1485" s="342"/>
      <c r="W1485" s="342"/>
      <c r="X1485" s="342"/>
      <c r="Y1485" s="342"/>
      <c r="Z1485" s="342"/>
      <c r="AA1485" s="342"/>
      <c r="AB1485" s="342"/>
      <c r="AC1485" s="342"/>
      <c r="AD1485" s="342"/>
      <c r="AE1485" s="342"/>
      <c r="AF1485" s="342"/>
      <c r="AG1485" s="342"/>
      <c r="AH1485" s="342"/>
      <c r="AI1485" s="342"/>
      <c r="AJ1485" s="342"/>
      <c r="AK1485" s="342"/>
      <c r="AL1485" s="342"/>
      <c r="AM1485" s="342"/>
      <c r="AN1485" s="342"/>
      <c r="AO1485" s="342"/>
      <c r="AP1485" s="342"/>
      <c r="AQ1485" s="342"/>
      <c r="AR1485" s="342"/>
      <c r="AS1485" s="342"/>
      <c r="AT1485" s="342"/>
      <c r="AU1485" s="342"/>
      <c r="AV1485" s="342"/>
      <c r="AW1485" s="342"/>
      <c r="AX1485" s="342"/>
      <c r="AY1485" s="342"/>
      <c r="AZ1485" s="342"/>
      <c r="BA1485" s="342"/>
      <c r="BB1485" s="342"/>
      <c r="BC1485" s="342"/>
      <c r="BD1485" s="342"/>
      <c r="BE1485" s="342"/>
      <c r="BF1485" s="342"/>
      <c r="BG1485" s="342"/>
      <c r="BH1485" s="342"/>
      <c r="BI1485" s="342"/>
      <c r="BJ1485" s="342"/>
      <c r="BK1485" s="342"/>
      <c r="BL1485" s="342"/>
      <c r="BM1485" s="342"/>
      <c r="BN1485" s="342"/>
      <c r="BO1485" s="342"/>
      <c r="BP1485" s="342"/>
      <c r="BQ1485" s="342"/>
      <c r="BR1485" s="342"/>
      <c r="BS1485" s="342"/>
      <c r="BT1485" s="342"/>
      <c r="BU1485" s="342"/>
      <c r="BV1485" s="342"/>
      <c r="BW1485" s="342"/>
      <c r="BX1485" s="342"/>
      <c r="BY1485" s="342"/>
      <c r="BZ1485" s="342"/>
      <c r="CA1485" s="342"/>
      <c r="CB1485" s="342"/>
      <c r="CC1485" s="342"/>
      <c r="CD1485" s="342"/>
      <c r="CE1485" s="342"/>
      <c r="CF1485" s="342"/>
      <c r="CG1485" s="342"/>
      <c r="CH1485" s="342"/>
      <c r="CI1485" s="342"/>
      <c r="CJ1485" s="342"/>
      <c r="CK1485" s="342"/>
      <c r="CL1485" s="342"/>
      <c r="CM1485" s="342"/>
      <c r="CN1485" s="342"/>
      <c r="CO1485" s="342"/>
      <c r="CP1485" s="342"/>
      <c r="CQ1485" s="342"/>
      <c r="CR1485" s="342"/>
      <c r="CS1485" s="342"/>
      <c r="CT1485" s="342"/>
      <c r="CU1485" s="342"/>
      <c r="CV1485" s="342"/>
      <c r="CW1485" s="342"/>
      <c r="CX1485" s="342"/>
      <c r="CY1485" s="342"/>
      <c r="CZ1485" s="342"/>
      <c r="DA1485" s="342"/>
      <c r="DB1485" s="342"/>
      <c r="DC1485" s="342"/>
      <c r="DD1485" s="342"/>
      <c r="DE1485" s="342"/>
      <c r="DF1485" s="342"/>
      <c r="DG1485" s="342"/>
      <c r="DH1485" s="342"/>
      <c r="DI1485" s="342"/>
      <c r="DJ1485" s="342"/>
      <c r="DK1485" s="342"/>
      <c r="DL1485" s="342"/>
      <c r="DM1485" s="342"/>
      <c r="DN1485" s="342"/>
      <c r="DO1485" s="342"/>
      <c r="DP1485" s="342"/>
      <c r="DQ1485" s="342"/>
      <c r="DR1485" s="342"/>
      <c r="DS1485" s="342"/>
      <c r="DT1485" s="342"/>
      <c r="DU1485" s="342"/>
      <c r="FV1485" s="9"/>
      <c r="FW1485" s="10"/>
      <c r="FX1485" s="10"/>
      <c r="FY1485" s="10"/>
      <c r="FZ1485" s="10"/>
      <c r="GA1485" s="10"/>
      <c r="GB1485" s="10"/>
      <c r="GC1485" s="10"/>
      <c r="GD1485" s="10"/>
      <c r="GE1485" s="11"/>
      <c r="GT1485" s="342"/>
      <c r="GU1485" s="342"/>
      <c r="GV1485" s="342"/>
      <c r="GW1485" s="342"/>
      <c r="GX1485" s="12"/>
      <c r="GY1485" s="12"/>
      <c r="GZ1485" s="342"/>
      <c r="HA1485" s="342"/>
      <c r="HB1485" s="342"/>
      <c r="HC1485" s="342"/>
      <c r="HD1485" s="342"/>
      <c r="HE1485" s="342"/>
      <c r="HF1485" s="342"/>
      <c r="HG1485" s="342"/>
      <c r="HH1485" s="342"/>
      <c r="HI1485" s="13"/>
      <c r="HJ1485" s="12"/>
      <c r="HK1485" s="342"/>
      <c r="HL1485" s="342"/>
      <c r="HM1485" s="12"/>
      <c r="HN1485" s="342"/>
      <c r="HO1485" s="342"/>
      <c r="HP1485" s="342"/>
      <c r="HQ1485" s="342"/>
      <c r="HR1485" s="342"/>
      <c r="HS1485" s="342"/>
      <c r="HT1485" s="342"/>
      <c r="HU1485" s="12"/>
      <c r="HV1485" s="342"/>
      <c r="HW1485" s="342"/>
      <c r="HX1485" s="342"/>
      <c r="HY1485" s="342"/>
      <c r="HZ1485" s="342"/>
      <c r="IA1485" s="342"/>
      <c r="IB1485" s="342"/>
      <c r="IC1485" s="342"/>
      <c r="ID1485" s="342"/>
      <c r="IE1485" s="342"/>
      <c r="IF1485" s="342"/>
      <c r="IG1485" s="342"/>
      <c r="IH1485" s="342"/>
      <c r="II1485" s="342"/>
      <c r="IJ1485" s="342"/>
      <c r="IK1485" s="342"/>
      <c r="IL1485" s="342"/>
      <c r="IM1485" s="342"/>
      <c r="IN1485" s="342"/>
      <c r="IO1485" s="342"/>
      <c r="IP1485" s="342"/>
      <c r="IQ1485" s="342"/>
      <c r="IR1485" s="342"/>
      <c r="IS1485" s="342"/>
      <c r="IT1485" s="342"/>
      <c r="IU1485" s="342"/>
      <c r="IV1485" s="342"/>
      <c r="IW1485" s="342"/>
      <c r="IX1485" s="342"/>
      <c r="IY1485" s="342"/>
      <c r="IZ1485" s="342"/>
      <c r="JA1485" s="342"/>
      <c r="JB1485" s="342"/>
      <c r="JC1485" s="342"/>
      <c r="JD1485" s="342"/>
      <c r="JE1485" s="342"/>
      <c r="JF1485" s="342"/>
      <c r="JG1485" s="342"/>
      <c r="JH1485" s="342"/>
      <c r="JI1485" s="342"/>
      <c r="JJ1485" s="342"/>
      <c r="JK1485" s="342"/>
      <c r="JL1485" s="342"/>
      <c r="JM1485" s="342"/>
      <c r="JN1485" s="342"/>
      <c r="JO1485" s="342"/>
      <c r="JP1485" s="342"/>
      <c r="JQ1485" s="342"/>
      <c r="JR1485" s="342"/>
      <c r="JS1485" s="342"/>
      <c r="JT1485" s="342"/>
      <c r="JU1485" s="342"/>
      <c r="JV1485" s="342"/>
      <c r="JW1485" s="342"/>
      <c r="JX1485" s="342"/>
      <c r="JY1485" s="342"/>
      <c r="JZ1485" s="342"/>
      <c r="KA1485" s="342"/>
      <c r="KB1485" s="342"/>
      <c r="KC1485" s="342"/>
      <c r="KD1485" s="342"/>
      <c r="KE1485" s="342"/>
      <c r="KF1485" s="342"/>
      <c r="KG1485" s="342"/>
      <c r="KH1485" s="342"/>
      <c r="KI1485" s="342"/>
      <c r="KJ1485" s="342"/>
      <c r="KK1485" s="342"/>
      <c r="KL1485" s="342"/>
      <c r="KM1485" s="342"/>
      <c r="KN1485" s="342"/>
      <c r="KO1485" s="342"/>
      <c r="KP1485" s="342"/>
      <c r="KQ1485" s="342"/>
      <c r="KR1485" s="342"/>
      <c r="KS1485" s="342"/>
      <c r="KT1485" s="342"/>
      <c r="KU1485" s="342"/>
      <c r="KV1485" s="342"/>
      <c r="KW1485" s="342"/>
      <c r="KX1485" s="342"/>
      <c r="KY1485" s="342"/>
      <c r="KZ1485" s="342"/>
      <c r="LA1485" s="342"/>
      <c r="LB1485" s="13"/>
      <c r="LC1485" s="342"/>
      <c r="LD1485" s="342"/>
      <c r="LE1485" s="13"/>
      <c r="LF1485" s="342"/>
      <c r="LG1485" s="342"/>
      <c r="LH1485" s="342"/>
      <c r="LI1485" s="342"/>
      <c r="LJ1485" s="342"/>
      <c r="LK1485" s="342"/>
      <c r="LL1485" s="342"/>
      <c r="LM1485" s="342"/>
      <c r="LN1485" s="342"/>
      <c r="LO1485" s="342"/>
      <c r="LP1485" s="342"/>
      <c r="LQ1485" s="342"/>
      <c r="LR1485" s="342"/>
      <c r="LS1485" s="342"/>
      <c r="LT1485" s="342"/>
      <c r="LU1485" s="13"/>
    </row>
    <row r="1486" spans="6:333" ht="10.75" customHeight="1">
      <c r="F1486" s="342"/>
      <c r="G1486" s="342"/>
      <c r="H1486" s="342"/>
      <c r="I1486" s="342"/>
      <c r="J1486" s="342"/>
      <c r="K1486" s="342"/>
      <c r="L1486" s="342"/>
      <c r="M1486" s="342"/>
      <c r="N1486" s="342"/>
      <c r="O1486" s="342"/>
      <c r="P1486" s="342"/>
      <c r="Q1486" s="342"/>
      <c r="R1486" s="342"/>
      <c r="S1486" s="342"/>
      <c r="T1486" s="342"/>
      <c r="U1486" s="342"/>
      <c r="V1486" s="342"/>
      <c r="W1486" s="342"/>
      <c r="X1486" s="342"/>
      <c r="Y1486" s="342"/>
      <c r="Z1486" s="342"/>
      <c r="AA1486" s="342"/>
      <c r="AB1486" s="342"/>
      <c r="AC1486" s="342"/>
      <c r="AD1486" s="342"/>
      <c r="AE1486" s="342"/>
      <c r="AF1486" s="342"/>
      <c r="AG1486" s="342"/>
      <c r="AH1486" s="342"/>
      <c r="AI1486" s="342"/>
      <c r="AJ1486" s="342"/>
      <c r="AK1486" s="342"/>
      <c r="AL1486" s="342"/>
      <c r="AM1486" s="342"/>
      <c r="AN1486" s="342"/>
      <c r="AO1486" s="342"/>
      <c r="AP1486" s="342"/>
      <c r="AQ1486" s="342"/>
      <c r="AR1486" s="342"/>
      <c r="AS1486" s="342"/>
      <c r="AT1486" s="342"/>
      <c r="AU1486" s="342"/>
      <c r="AV1486" s="342"/>
      <c r="AW1486" s="342"/>
      <c r="AX1486" s="342"/>
      <c r="AY1486" s="342"/>
      <c r="AZ1486" s="342"/>
      <c r="BA1486" s="342"/>
      <c r="BB1486" s="342"/>
      <c r="BC1486" s="342"/>
      <c r="BD1486" s="342"/>
      <c r="BE1486" s="342"/>
      <c r="BF1486" s="342"/>
      <c r="BG1486" s="342"/>
      <c r="BH1486" s="342"/>
      <c r="BI1486" s="342"/>
      <c r="BJ1486" s="342"/>
      <c r="BK1486" s="342"/>
      <c r="BL1486" s="342"/>
      <c r="BM1486" s="342"/>
      <c r="BN1486" s="342"/>
      <c r="BO1486" s="342"/>
      <c r="BP1486" s="342"/>
      <c r="BQ1486" s="342"/>
      <c r="BR1486" s="342"/>
      <c r="BS1486" s="342"/>
      <c r="BT1486" s="342"/>
      <c r="BU1486" s="342"/>
      <c r="BV1486" s="342"/>
      <c r="BW1486" s="342"/>
      <c r="BX1486" s="342"/>
      <c r="BY1486" s="342"/>
      <c r="BZ1486" s="342"/>
      <c r="CA1486" s="342"/>
      <c r="CB1486" s="342"/>
      <c r="CC1486" s="342"/>
      <c r="CD1486" s="342"/>
      <c r="CE1486" s="342"/>
      <c r="CF1486" s="342"/>
      <c r="CG1486" s="342"/>
      <c r="CH1486" s="342"/>
      <c r="CI1486" s="342"/>
      <c r="CJ1486" s="342"/>
      <c r="CK1486" s="342"/>
      <c r="CL1486" s="342"/>
      <c r="CM1486" s="342"/>
      <c r="CN1486" s="342"/>
      <c r="CO1486" s="342"/>
      <c r="CP1486" s="342"/>
      <c r="CQ1486" s="342"/>
      <c r="CR1486" s="342"/>
      <c r="CS1486" s="342"/>
      <c r="CT1486" s="342"/>
      <c r="CU1486" s="342"/>
      <c r="CV1486" s="342"/>
      <c r="CW1486" s="342"/>
      <c r="CX1486" s="342"/>
      <c r="CY1486" s="342"/>
      <c r="CZ1486" s="342"/>
      <c r="DA1486" s="342"/>
      <c r="DB1486" s="342"/>
      <c r="DC1486" s="342"/>
      <c r="DD1486" s="342"/>
      <c r="DE1486" s="342"/>
      <c r="DF1486" s="342"/>
      <c r="DG1486" s="342"/>
      <c r="DH1486" s="342"/>
      <c r="DI1486" s="342"/>
      <c r="DJ1486" s="342"/>
      <c r="DK1486" s="342"/>
      <c r="DL1486" s="342"/>
      <c r="DM1486" s="342"/>
      <c r="DN1486" s="342"/>
      <c r="DO1486" s="342"/>
      <c r="DP1486" s="342"/>
      <c r="DQ1486" s="342"/>
      <c r="DR1486" s="342"/>
      <c r="DS1486" s="342"/>
      <c r="DT1486" s="342"/>
      <c r="DU1486" s="342"/>
      <c r="FV1486" s="12"/>
      <c r="FW1486" s="342"/>
      <c r="FX1486" s="342"/>
      <c r="FY1486" s="342"/>
      <c r="FZ1486" s="342"/>
      <c r="GA1486" s="342"/>
      <c r="GB1486" s="342"/>
      <c r="GC1486" s="342"/>
      <c r="GD1486" s="342"/>
      <c r="GE1486" s="13"/>
      <c r="GT1486" s="342"/>
      <c r="GU1486" s="342"/>
      <c r="GV1486" s="342"/>
      <c r="GW1486" s="342"/>
      <c r="GX1486" s="12"/>
      <c r="GY1486" s="12"/>
      <c r="GZ1486" s="342"/>
      <c r="HA1486" s="342"/>
      <c r="HB1486" s="342"/>
      <c r="HC1486" s="342"/>
      <c r="HD1486" s="342"/>
      <c r="HE1486" s="342"/>
      <c r="HF1486" s="342"/>
      <c r="HG1486" s="342"/>
      <c r="HH1486" s="342"/>
      <c r="HI1486" s="13"/>
      <c r="HJ1486" s="12"/>
      <c r="HK1486" s="342"/>
      <c r="HL1486" s="342"/>
      <c r="HM1486" s="12"/>
      <c r="HN1486" s="342"/>
      <c r="HO1486" s="342"/>
      <c r="HP1486" s="342"/>
      <c r="HQ1486" s="342"/>
      <c r="HR1486" s="342"/>
      <c r="HS1486" s="342"/>
      <c r="HT1486" s="342"/>
      <c r="HU1486" s="12"/>
      <c r="HV1486" s="342"/>
      <c r="HW1486" s="342"/>
      <c r="HX1486" s="342"/>
      <c r="HY1486" s="342"/>
      <c r="HZ1486" s="342"/>
      <c r="IA1486" s="342"/>
      <c r="IB1486" s="342"/>
      <c r="IC1486" s="342"/>
      <c r="ID1486" s="342"/>
      <c r="IE1486" s="342"/>
      <c r="IF1486" s="342"/>
      <c r="IG1486" s="342"/>
      <c r="IH1486" s="342"/>
      <c r="II1486" s="342"/>
      <c r="IJ1486" s="342"/>
      <c r="IK1486" s="342"/>
      <c r="IL1486" s="342"/>
      <c r="IM1486" s="342"/>
      <c r="IN1486" s="342"/>
      <c r="IO1486" s="342"/>
      <c r="IP1486" s="342"/>
      <c r="IQ1486" s="342"/>
      <c r="IR1486" s="342"/>
      <c r="IS1486" s="342"/>
      <c r="IT1486" s="342"/>
      <c r="IU1486" s="342"/>
      <c r="IV1486" s="342"/>
      <c r="IW1486" s="342"/>
      <c r="IX1486" s="342"/>
      <c r="IY1486" s="342"/>
      <c r="IZ1486" s="342"/>
      <c r="JA1486" s="342"/>
      <c r="JB1486" s="342"/>
      <c r="JC1486" s="342"/>
      <c r="JD1486" s="342"/>
      <c r="JE1486" s="342"/>
      <c r="JF1486" s="342"/>
      <c r="JG1486" s="342"/>
      <c r="JH1486" s="342"/>
      <c r="JI1486" s="342"/>
      <c r="JJ1486" s="342"/>
      <c r="JK1486" s="342"/>
      <c r="JL1486" s="342"/>
      <c r="JM1486" s="342"/>
      <c r="JN1486" s="342"/>
      <c r="JO1486" s="342"/>
      <c r="JP1486" s="342"/>
      <c r="JQ1486" s="342"/>
      <c r="JR1486" s="342"/>
      <c r="JS1486" s="342"/>
      <c r="JT1486" s="342"/>
      <c r="JU1486" s="342"/>
      <c r="JV1486" s="342"/>
      <c r="JW1486" s="342"/>
      <c r="JX1486" s="342"/>
      <c r="JY1486" s="342"/>
      <c r="JZ1486" s="342"/>
      <c r="KA1486" s="342"/>
      <c r="KB1486" s="342"/>
      <c r="KC1486" s="342"/>
      <c r="KD1486" s="342"/>
      <c r="KE1486" s="342"/>
      <c r="KF1486" s="342"/>
      <c r="KG1486" s="342"/>
      <c r="KH1486" s="342"/>
      <c r="KI1486" s="342"/>
      <c r="KJ1486" s="342"/>
      <c r="KK1486" s="342"/>
      <c r="KL1486" s="342"/>
      <c r="KM1486" s="342"/>
      <c r="KN1486" s="342"/>
      <c r="KO1486" s="342"/>
      <c r="KP1486" s="342"/>
      <c r="KQ1486" s="342"/>
      <c r="KR1486" s="342"/>
      <c r="KS1486" s="342"/>
      <c r="KT1486" s="342"/>
      <c r="KU1486" s="342"/>
      <c r="KV1486" s="342"/>
      <c r="KW1486" s="342"/>
      <c r="KX1486" s="342"/>
      <c r="KY1486" s="342"/>
      <c r="KZ1486" s="342"/>
      <c r="LA1486" s="342"/>
      <c r="LB1486" s="13"/>
      <c r="LC1486" s="342"/>
      <c r="LD1486" s="342"/>
      <c r="LE1486" s="13"/>
      <c r="LF1486" s="342"/>
      <c r="LG1486" s="342"/>
      <c r="LH1486" s="342"/>
      <c r="LI1486" s="342"/>
      <c r="LJ1486" s="342"/>
      <c r="LK1486" s="342"/>
      <c r="LL1486" s="342"/>
      <c r="LM1486" s="342"/>
      <c r="LN1486" s="342"/>
      <c r="LO1486" s="342"/>
      <c r="LP1486" s="342"/>
      <c r="LQ1486" s="342"/>
      <c r="LR1486" s="342"/>
      <c r="LS1486" s="342"/>
      <c r="LT1486" s="342"/>
      <c r="LU1486" s="13"/>
    </row>
    <row r="1487" spans="6:333" ht="10.75" customHeight="1">
      <c r="F1487" s="342"/>
      <c r="G1487" s="342"/>
      <c r="H1487" s="342"/>
      <c r="I1487" s="342"/>
      <c r="J1487" s="342"/>
      <c r="K1487" s="342"/>
      <c r="L1487" s="342"/>
      <c r="M1487" s="342"/>
      <c r="N1487" s="342"/>
      <c r="O1487" s="342"/>
      <c r="P1487" s="342"/>
      <c r="Q1487" s="342"/>
      <c r="R1487" s="342"/>
      <c r="S1487" s="342"/>
      <c r="T1487" s="342"/>
      <c r="U1487" s="342"/>
      <c r="V1487" s="342"/>
      <c r="W1487" s="342"/>
      <c r="X1487" s="342"/>
      <c r="Y1487" s="342"/>
      <c r="Z1487" s="342"/>
      <c r="AA1487" s="342"/>
      <c r="AB1487" s="342"/>
      <c r="AC1487" s="342"/>
      <c r="AD1487" s="342"/>
      <c r="AE1487" s="342"/>
      <c r="AF1487" s="342"/>
      <c r="AG1487" s="342"/>
      <c r="AH1487" s="342"/>
      <c r="AI1487" s="342"/>
      <c r="AJ1487" s="342"/>
      <c r="AK1487" s="342"/>
      <c r="AL1487" s="342"/>
      <c r="AM1487" s="342"/>
      <c r="AN1487" s="342"/>
      <c r="AO1487" s="342"/>
      <c r="AP1487" s="342"/>
      <c r="AQ1487" s="342"/>
      <c r="AR1487" s="342"/>
      <c r="AS1487" s="342"/>
      <c r="AT1487" s="342"/>
      <c r="AU1487" s="342"/>
      <c r="AV1487" s="342"/>
      <c r="AW1487" s="342"/>
      <c r="AX1487" s="342"/>
      <c r="AY1487" s="342"/>
      <c r="AZ1487" s="342"/>
      <c r="BA1487" s="342"/>
      <c r="BB1487" s="342"/>
      <c r="BC1487" s="342"/>
      <c r="BD1487" s="342"/>
      <c r="BE1487" s="342"/>
      <c r="BF1487" s="342"/>
      <c r="BG1487" s="342"/>
      <c r="BH1487" s="342"/>
      <c r="BI1487" s="342"/>
      <c r="BJ1487" s="342"/>
      <c r="BK1487" s="342"/>
      <c r="BL1487" s="342"/>
      <c r="BM1487" s="342"/>
      <c r="BN1487" s="342"/>
      <c r="BO1487" s="342"/>
      <c r="BP1487" s="342"/>
      <c r="BQ1487" s="342"/>
      <c r="BR1487" s="342"/>
      <c r="BS1487" s="342"/>
      <c r="BT1487" s="342"/>
      <c r="BU1487" s="342"/>
      <c r="BV1487" s="342"/>
      <c r="BW1487" s="342"/>
      <c r="BX1487" s="342"/>
      <c r="BY1487" s="342"/>
      <c r="BZ1487" s="342"/>
      <c r="CA1487" s="342"/>
      <c r="CB1487" s="342"/>
      <c r="CC1487" s="342"/>
      <c r="CD1487" s="342"/>
      <c r="CE1487" s="342"/>
      <c r="CF1487" s="342"/>
      <c r="CG1487" s="342"/>
      <c r="CH1487" s="342"/>
      <c r="CI1487" s="342"/>
      <c r="CJ1487" s="342"/>
      <c r="CK1487" s="342"/>
      <c r="CL1487" s="342"/>
      <c r="CM1487" s="342"/>
      <c r="CN1487" s="342"/>
      <c r="CO1487" s="342"/>
      <c r="CP1487" s="342"/>
      <c r="CQ1487" s="342"/>
      <c r="CR1487" s="342"/>
      <c r="CS1487" s="342"/>
      <c r="CT1487" s="342"/>
      <c r="CU1487" s="342"/>
      <c r="CV1487" s="342"/>
      <c r="CW1487" s="342"/>
      <c r="CX1487" s="342"/>
      <c r="CY1487" s="342"/>
      <c r="CZ1487" s="342"/>
      <c r="DA1487" s="342"/>
      <c r="DB1487" s="342"/>
      <c r="DC1487" s="342"/>
      <c r="DD1487" s="342"/>
      <c r="DE1487" s="342"/>
      <c r="DF1487" s="342"/>
      <c r="DG1487" s="342"/>
      <c r="DH1487" s="342"/>
      <c r="DI1487" s="342"/>
      <c r="DJ1487" s="342"/>
      <c r="DK1487" s="342"/>
      <c r="DL1487" s="342"/>
      <c r="DM1487" s="342"/>
      <c r="DN1487" s="342"/>
      <c r="DO1487" s="342"/>
      <c r="DP1487" s="342"/>
      <c r="DQ1487" s="342"/>
      <c r="DR1487" s="342"/>
      <c r="DS1487" s="342"/>
      <c r="DT1487" s="342"/>
      <c r="DU1487" s="342"/>
      <c r="FV1487" s="12"/>
      <c r="FW1487" s="342"/>
      <c r="FX1487" s="342"/>
      <c r="FY1487" s="342"/>
      <c r="FZ1487" s="342"/>
      <c r="GA1487" s="342"/>
      <c r="GB1487" s="342"/>
      <c r="GC1487" s="342"/>
      <c r="GD1487" s="342"/>
      <c r="GE1487" s="13"/>
      <c r="GT1487" s="342"/>
      <c r="GU1487" s="342"/>
      <c r="GV1487" s="342"/>
      <c r="GW1487" s="342"/>
      <c r="GX1487" s="12"/>
      <c r="GY1487" s="12"/>
      <c r="GZ1487" s="342"/>
      <c r="HA1487" s="342"/>
      <c r="HB1487" s="342"/>
      <c r="HC1487" s="342"/>
      <c r="HD1487" s="342"/>
      <c r="HE1487" s="342"/>
      <c r="HF1487" s="342"/>
      <c r="HG1487" s="342"/>
      <c r="HH1487" s="342"/>
      <c r="HI1487" s="13"/>
      <c r="HJ1487" s="12"/>
      <c r="HK1487" s="342"/>
      <c r="HL1487" s="342"/>
      <c r="HM1487" s="12"/>
      <c r="HN1487" s="342"/>
      <c r="HO1487" s="342"/>
      <c r="HP1487" s="342"/>
      <c r="HQ1487" s="342"/>
      <c r="HR1487" s="342"/>
      <c r="HS1487" s="342"/>
      <c r="HT1487" s="342"/>
      <c r="HU1487" s="12"/>
      <c r="HV1487" s="342"/>
      <c r="HW1487" s="342"/>
      <c r="HX1487" s="342"/>
      <c r="HY1487" s="342"/>
      <c r="HZ1487" s="342"/>
      <c r="IA1487" s="342"/>
      <c r="IB1487" s="342"/>
      <c r="IC1487" s="342"/>
      <c r="ID1487" s="342"/>
      <c r="IE1487" s="342"/>
      <c r="IF1487" s="342"/>
      <c r="IG1487" s="342"/>
      <c r="IH1487" s="342"/>
      <c r="II1487" s="342"/>
      <c r="IJ1487" s="342"/>
      <c r="IK1487" s="342"/>
      <c r="IL1487" s="342"/>
      <c r="IM1487" s="342"/>
      <c r="IN1487" s="342"/>
      <c r="IO1487" s="342"/>
      <c r="IP1487" s="342"/>
      <c r="IQ1487" s="342"/>
      <c r="IR1487" s="342"/>
      <c r="IS1487" s="342"/>
      <c r="IT1487" s="342"/>
      <c r="IU1487" s="342"/>
      <c r="IV1487" s="342"/>
      <c r="IW1487" s="342"/>
      <c r="IX1487" s="342"/>
      <c r="IY1487" s="342"/>
      <c r="IZ1487" s="342"/>
      <c r="JA1487" s="342"/>
      <c r="JB1487" s="342"/>
      <c r="JC1487" s="342"/>
      <c r="JD1487" s="342"/>
      <c r="JE1487" s="342"/>
      <c r="JF1487" s="342"/>
      <c r="JG1487" s="342"/>
      <c r="JH1487" s="342"/>
      <c r="JI1487" s="342"/>
      <c r="JJ1487" s="342"/>
      <c r="JK1487" s="342"/>
      <c r="JL1487" s="342"/>
      <c r="JM1487" s="342"/>
      <c r="JN1487" s="342"/>
      <c r="JO1487" s="342"/>
      <c r="JP1487" s="342"/>
      <c r="JQ1487" s="342"/>
      <c r="JR1487" s="342"/>
      <c r="JS1487" s="342"/>
      <c r="JT1487" s="342"/>
      <c r="JU1487" s="342"/>
      <c r="JV1487" s="342"/>
      <c r="JW1487" s="342"/>
      <c r="JX1487" s="342"/>
      <c r="JY1487" s="342"/>
      <c r="JZ1487" s="342"/>
      <c r="KA1487" s="342"/>
      <c r="KB1487" s="342"/>
      <c r="KC1487" s="342"/>
      <c r="KD1487" s="342"/>
      <c r="KE1487" s="342"/>
      <c r="KF1487" s="342"/>
      <c r="KG1487" s="342"/>
      <c r="KH1487" s="342"/>
      <c r="KI1487" s="342"/>
      <c r="KJ1487" s="342"/>
      <c r="KK1487" s="342"/>
      <c r="KL1487" s="342"/>
      <c r="KM1487" s="342"/>
      <c r="KN1487" s="342"/>
      <c r="KO1487" s="342"/>
      <c r="KP1487" s="342"/>
      <c r="KQ1487" s="342"/>
      <c r="KR1487" s="342"/>
      <c r="KS1487" s="342"/>
      <c r="KT1487" s="342"/>
      <c r="KU1487" s="342"/>
      <c r="KV1487" s="342"/>
      <c r="KW1487" s="342"/>
      <c r="KX1487" s="342"/>
      <c r="KY1487" s="342"/>
      <c r="KZ1487" s="342"/>
      <c r="LA1487" s="342"/>
      <c r="LB1487" s="13"/>
      <c r="LC1487" s="342"/>
      <c r="LD1487" s="342"/>
      <c r="LE1487" s="13"/>
      <c r="LF1487" s="342"/>
      <c r="LG1487" s="342"/>
      <c r="LH1487" s="342"/>
      <c r="LI1487" s="342"/>
      <c r="LJ1487" s="342"/>
      <c r="LK1487" s="342"/>
      <c r="LL1487" s="342"/>
      <c r="LM1487" s="342"/>
      <c r="LN1487" s="342"/>
      <c r="LO1487" s="342"/>
      <c r="LP1487" s="342"/>
      <c r="LQ1487" s="342"/>
      <c r="LR1487" s="342"/>
      <c r="LS1487" s="342"/>
      <c r="LT1487" s="342"/>
      <c r="LU1487" s="13"/>
    </row>
    <row r="1488" spans="6:333" ht="10.75" customHeight="1">
      <c r="F1488" s="342"/>
      <c r="G1488" s="342"/>
      <c r="H1488" s="342"/>
      <c r="I1488" s="342"/>
      <c r="J1488" s="342"/>
      <c r="K1488" s="342"/>
      <c r="L1488" s="342"/>
      <c r="M1488" s="342"/>
      <c r="N1488" s="342"/>
      <c r="O1488" s="342"/>
      <c r="P1488" s="342"/>
      <c r="Q1488" s="342"/>
      <c r="R1488" s="342"/>
      <c r="S1488" s="342"/>
      <c r="T1488" s="342"/>
      <c r="U1488" s="342"/>
      <c r="V1488" s="342"/>
      <c r="W1488" s="342"/>
      <c r="X1488" s="342"/>
      <c r="Y1488" s="342"/>
      <c r="Z1488" s="342"/>
      <c r="AA1488" s="342"/>
      <c r="AB1488" s="342"/>
      <c r="AC1488" s="342"/>
      <c r="AD1488" s="342"/>
      <c r="AE1488" s="342"/>
      <c r="AF1488" s="342"/>
      <c r="AG1488" s="342"/>
      <c r="AH1488" s="342"/>
      <c r="AI1488" s="342"/>
      <c r="AJ1488" s="342"/>
      <c r="AK1488" s="342"/>
      <c r="AL1488" s="342"/>
      <c r="AM1488" s="342"/>
      <c r="AN1488" s="342"/>
      <c r="AO1488" s="342"/>
      <c r="AP1488" s="342"/>
      <c r="AQ1488" s="342"/>
      <c r="AR1488" s="342"/>
      <c r="AS1488" s="342"/>
      <c r="AT1488" s="342"/>
      <c r="AU1488" s="342"/>
      <c r="AV1488" s="342"/>
      <c r="AW1488" s="342"/>
      <c r="AX1488" s="342"/>
      <c r="AY1488" s="342"/>
      <c r="AZ1488" s="342"/>
      <c r="BA1488" s="342"/>
      <c r="BB1488" s="342"/>
      <c r="BC1488" s="342"/>
      <c r="BD1488" s="342"/>
      <c r="BE1488" s="342"/>
      <c r="BF1488" s="342"/>
      <c r="BG1488" s="342"/>
      <c r="BH1488" s="342"/>
      <c r="BI1488" s="342"/>
      <c r="BJ1488" s="342"/>
      <c r="BK1488" s="342"/>
      <c r="BL1488" s="342"/>
      <c r="BM1488" s="342"/>
      <c r="BN1488" s="342"/>
      <c r="BO1488" s="342"/>
      <c r="BP1488" s="342"/>
      <c r="BQ1488" s="342"/>
      <c r="BR1488" s="342"/>
      <c r="BS1488" s="342"/>
      <c r="BT1488" s="342"/>
      <c r="BU1488" s="342"/>
      <c r="BV1488" s="342"/>
      <c r="BW1488" s="342"/>
      <c r="BX1488" s="342"/>
      <c r="BY1488" s="342"/>
      <c r="BZ1488" s="342"/>
      <c r="CA1488" s="342"/>
      <c r="CB1488" s="342"/>
      <c r="CC1488" s="342"/>
      <c r="CD1488" s="342"/>
      <c r="CE1488" s="342"/>
      <c r="CF1488" s="342"/>
      <c r="CG1488" s="342"/>
      <c r="CH1488" s="342"/>
      <c r="CI1488" s="342"/>
      <c r="CJ1488" s="342"/>
      <c r="CK1488" s="342"/>
      <c r="CL1488" s="342"/>
      <c r="CM1488" s="342"/>
      <c r="CN1488" s="342"/>
      <c r="CO1488" s="342"/>
      <c r="CP1488" s="342"/>
      <c r="CQ1488" s="342"/>
      <c r="CR1488" s="342"/>
      <c r="CS1488" s="342"/>
      <c r="CT1488" s="342"/>
      <c r="CU1488" s="342"/>
      <c r="CV1488" s="342"/>
      <c r="CW1488" s="342"/>
      <c r="CX1488" s="342"/>
      <c r="CY1488" s="342"/>
      <c r="CZ1488" s="342"/>
      <c r="DA1488" s="342"/>
      <c r="DB1488" s="342"/>
      <c r="DC1488" s="342"/>
      <c r="DD1488" s="342"/>
      <c r="DE1488" s="342"/>
      <c r="DF1488" s="342"/>
      <c r="DG1488" s="342"/>
      <c r="DH1488" s="342"/>
      <c r="DI1488" s="342"/>
      <c r="DJ1488" s="342"/>
      <c r="DK1488" s="342"/>
      <c r="DL1488" s="342"/>
      <c r="DM1488" s="342"/>
      <c r="DN1488" s="342"/>
      <c r="DO1488" s="342"/>
      <c r="DP1488" s="342"/>
      <c r="DQ1488" s="342"/>
      <c r="DR1488" s="342"/>
      <c r="DS1488" s="342"/>
      <c r="DT1488" s="342"/>
      <c r="DU1488" s="342"/>
      <c r="FV1488" s="14"/>
      <c r="FW1488" s="15"/>
      <c r="FX1488" s="15"/>
      <c r="FY1488" s="15"/>
      <c r="FZ1488" s="15"/>
      <c r="GA1488" s="15"/>
      <c r="GB1488" s="15"/>
      <c r="GC1488" s="15"/>
      <c r="GD1488" s="15"/>
      <c r="GE1488" s="16"/>
      <c r="GT1488" s="342"/>
      <c r="GU1488" s="342"/>
      <c r="GV1488" s="342"/>
      <c r="GW1488" s="342"/>
      <c r="GX1488" s="12"/>
      <c r="GY1488" s="14"/>
      <c r="GZ1488" s="15"/>
      <c r="HA1488" s="15"/>
      <c r="HB1488" s="15"/>
      <c r="HC1488" s="15"/>
      <c r="HD1488" s="15"/>
      <c r="HE1488" s="15"/>
      <c r="HF1488" s="15"/>
      <c r="HG1488" s="15"/>
      <c r="HH1488" s="15"/>
      <c r="HI1488" s="16"/>
      <c r="HJ1488" s="12"/>
      <c r="HK1488" s="342"/>
      <c r="HL1488" s="342"/>
      <c r="HM1488" s="14"/>
      <c r="HN1488" s="15"/>
      <c r="HO1488" s="15"/>
      <c r="HP1488" s="15"/>
      <c r="HQ1488" s="15"/>
      <c r="HR1488" s="15"/>
      <c r="HS1488" s="15"/>
      <c r="HT1488" s="15"/>
      <c r="HU1488" s="12"/>
      <c r="HV1488" s="342"/>
      <c r="HW1488" s="342"/>
      <c r="HX1488" s="342"/>
      <c r="HY1488" s="342"/>
      <c r="HZ1488" s="342"/>
      <c r="IA1488" s="342"/>
      <c r="IB1488" s="342"/>
      <c r="IC1488" s="342"/>
      <c r="ID1488" s="342"/>
      <c r="IE1488" s="342"/>
      <c r="IF1488" s="342"/>
      <c r="IG1488" s="342"/>
      <c r="IH1488" s="342"/>
      <c r="II1488" s="342"/>
      <c r="IJ1488" s="342"/>
      <c r="IK1488" s="342"/>
      <c r="IL1488" s="342"/>
      <c r="IM1488" s="342"/>
      <c r="IN1488" s="342"/>
      <c r="IO1488" s="342"/>
      <c r="IP1488" s="342"/>
      <c r="IQ1488" s="342"/>
      <c r="IR1488" s="342"/>
      <c r="IS1488" s="342"/>
      <c r="IT1488" s="342"/>
      <c r="IU1488" s="342"/>
      <c r="IV1488" s="342"/>
      <c r="IW1488" s="342"/>
      <c r="IX1488" s="342"/>
      <c r="IY1488" s="342"/>
      <c r="IZ1488" s="342"/>
      <c r="JA1488" s="342"/>
      <c r="JB1488" s="342"/>
      <c r="JC1488" s="342"/>
      <c r="JD1488" s="342"/>
      <c r="JE1488" s="342"/>
      <c r="JF1488" s="342"/>
      <c r="JG1488" s="342"/>
      <c r="JH1488" s="342"/>
      <c r="JI1488" s="342"/>
      <c r="JJ1488" s="342"/>
      <c r="JK1488" s="342"/>
      <c r="JL1488" s="342"/>
      <c r="JM1488" s="342"/>
      <c r="JN1488" s="342"/>
      <c r="JO1488" s="342"/>
      <c r="JP1488" s="342"/>
      <c r="JQ1488" s="342"/>
      <c r="JR1488" s="342"/>
      <c r="JS1488" s="342"/>
      <c r="JT1488" s="342"/>
      <c r="JU1488" s="342"/>
      <c r="JV1488" s="342"/>
      <c r="JW1488" s="342"/>
      <c r="JX1488" s="342"/>
      <c r="JY1488" s="342"/>
      <c r="JZ1488" s="342"/>
      <c r="KA1488" s="342"/>
      <c r="KB1488" s="342"/>
      <c r="KC1488" s="342"/>
      <c r="KD1488" s="342"/>
      <c r="KE1488" s="342"/>
      <c r="KF1488" s="342"/>
      <c r="KG1488" s="342"/>
      <c r="KH1488" s="342"/>
      <c r="KI1488" s="342"/>
      <c r="KJ1488" s="342"/>
      <c r="KK1488" s="342"/>
      <c r="KL1488" s="342"/>
      <c r="KM1488" s="342"/>
      <c r="KN1488" s="342"/>
      <c r="KO1488" s="342"/>
      <c r="KP1488" s="342"/>
      <c r="KQ1488" s="342"/>
      <c r="KR1488" s="342"/>
      <c r="KS1488" s="342"/>
      <c r="KT1488" s="342"/>
      <c r="KU1488" s="342"/>
      <c r="KV1488" s="342"/>
      <c r="KW1488" s="342"/>
      <c r="KX1488" s="342"/>
      <c r="KY1488" s="342"/>
      <c r="KZ1488" s="342"/>
      <c r="LA1488" s="342"/>
      <c r="LB1488" s="13"/>
      <c r="LC1488" s="342"/>
      <c r="LD1488" s="342"/>
      <c r="LE1488" s="13"/>
      <c r="LF1488" s="342"/>
      <c r="LG1488" s="342"/>
      <c r="LH1488" s="342"/>
      <c r="LI1488" s="342"/>
      <c r="LJ1488" s="342"/>
      <c r="LK1488" s="342"/>
      <c r="LL1488" s="342"/>
      <c r="LM1488" s="342"/>
      <c r="LN1488" s="342"/>
      <c r="LO1488" s="342"/>
      <c r="LP1488" s="342"/>
      <c r="LQ1488" s="342"/>
      <c r="LR1488" s="342"/>
      <c r="LS1488" s="342"/>
      <c r="LT1488" s="342"/>
      <c r="LU1488" s="13"/>
    </row>
    <row r="1489" spans="6:333" ht="10.75" customHeight="1">
      <c r="F1489" s="342"/>
      <c r="G1489" s="342"/>
      <c r="H1489" s="342"/>
      <c r="I1489" s="342"/>
      <c r="J1489" s="342"/>
      <c r="K1489" s="342"/>
      <c r="L1489" s="342"/>
      <c r="M1489" s="342"/>
      <c r="N1489" s="342"/>
      <c r="O1489" s="342"/>
      <c r="P1489" s="342"/>
      <c r="Q1489" s="342"/>
      <c r="R1489" s="342"/>
      <c r="S1489" s="342"/>
      <c r="T1489" s="342"/>
      <c r="U1489" s="342"/>
      <c r="V1489" s="342"/>
      <c r="W1489" s="342"/>
      <c r="X1489" s="342"/>
      <c r="Y1489" s="342"/>
      <c r="Z1489" s="342"/>
      <c r="AA1489" s="342"/>
      <c r="AB1489" s="342"/>
      <c r="AC1489" s="342"/>
      <c r="AD1489" s="342"/>
      <c r="AE1489" s="342"/>
      <c r="AF1489" s="342"/>
      <c r="AG1489" s="342"/>
      <c r="AH1489" s="342"/>
      <c r="AI1489" s="342"/>
      <c r="AJ1489" s="342"/>
      <c r="AK1489" s="342"/>
      <c r="AL1489" s="342"/>
      <c r="AM1489" s="342"/>
      <c r="AN1489" s="342"/>
      <c r="AO1489" s="342"/>
      <c r="AP1489" s="342"/>
      <c r="AQ1489" s="342"/>
      <c r="AR1489" s="342"/>
      <c r="AS1489" s="342"/>
      <c r="AT1489" s="342"/>
      <c r="AU1489" s="342"/>
      <c r="AV1489" s="342"/>
      <c r="AW1489" s="342"/>
      <c r="AX1489" s="342"/>
      <c r="AY1489" s="342"/>
      <c r="AZ1489" s="342"/>
      <c r="BA1489" s="342"/>
      <c r="BB1489" s="342"/>
      <c r="BC1489" s="342"/>
      <c r="BD1489" s="342"/>
      <c r="BE1489" s="342"/>
      <c r="BF1489" s="342"/>
      <c r="BG1489" s="342"/>
      <c r="BH1489" s="342"/>
      <c r="BI1489" s="342"/>
      <c r="BJ1489" s="342"/>
      <c r="BK1489" s="342"/>
      <c r="BL1489" s="342"/>
      <c r="BM1489" s="342"/>
      <c r="BN1489" s="342"/>
      <c r="BO1489" s="342"/>
      <c r="BP1489" s="342"/>
      <c r="BQ1489" s="342"/>
      <c r="BR1489" s="342"/>
      <c r="BS1489" s="342"/>
      <c r="BT1489" s="342"/>
      <c r="BU1489" s="342"/>
      <c r="BV1489" s="342"/>
      <c r="BW1489" s="342"/>
      <c r="BX1489" s="342"/>
      <c r="BY1489" s="342"/>
      <c r="BZ1489" s="342"/>
      <c r="CA1489" s="342"/>
      <c r="CB1489" s="342"/>
      <c r="CC1489" s="342"/>
      <c r="CD1489" s="342"/>
      <c r="CE1489" s="342"/>
      <c r="CF1489" s="342"/>
      <c r="CG1489" s="342"/>
      <c r="CH1489" s="342"/>
      <c r="CI1489" s="342"/>
      <c r="CJ1489" s="342"/>
      <c r="CK1489" s="342"/>
      <c r="CL1489" s="342"/>
      <c r="CM1489" s="342"/>
      <c r="CN1489" s="342"/>
      <c r="CO1489" s="342"/>
      <c r="CP1489" s="342"/>
      <c r="CQ1489" s="342"/>
      <c r="CR1489" s="342"/>
      <c r="CS1489" s="342"/>
      <c r="CT1489" s="342"/>
      <c r="CU1489" s="342"/>
      <c r="CV1489" s="342"/>
      <c r="CW1489" s="342"/>
      <c r="CX1489" s="342"/>
      <c r="CY1489" s="342"/>
      <c r="CZ1489" s="342"/>
      <c r="DA1489" s="342"/>
      <c r="DB1489" s="342"/>
      <c r="DC1489" s="342"/>
      <c r="DD1489" s="342"/>
      <c r="DE1489" s="342"/>
      <c r="DF1489" s="342"/>
      <c r="DG1489" s="342"/>
      <c r="DH1489" s="342"/>
      <c r="DI1489" s="342"/>
      <c r="DJ1489" s="342"/>
      <c r="DK1489" s="342"/>
      <c r="DL1489" s="342"/>
      <c r="DM1489" s="342"/>
      <c r="DN1489" s="342"/>
      <c r="DO1489" s="342"/>
      <c r="DP1489" s="342"/>
      <c r="DQ1489" s="342"/>
      <c r="DR1489" s="342"/>
      <c r="DS1489" s="342"/>
      <c r="DT1489" s="342"/>
      <c r="DU1489" s="342"/>
      <c r="FV1489" s="9"/>
      <c r="FW1489" s="10"/>
      <c r="FX1489" s="10"/>
      <c r="FY1489" s="10"/>
      <c r="FZ1489" s="10"/>
      <c r="GA1489" s="10"/>
      <c r="GB1489" s="10"/>
      <c r="GC1489" s="10"/>
      <c r="GD1489" s="10"/>
      <c r="GE1489" s="11"/>
      <c r="GT1489" s="9"/>
      <c r="GU1489" s="10"/>
      <c r="GV1489" s="10"/>
      <c r="GW1489" s="11"/>
      <c r="GX1489" s="12"/>
      <c r="GY1489" s="9"/>
      <c r="GZ1489" s="10"/>
      <c r="HA1489" s="10"/>
      <c r="HB1489" s="10"/>
      <c r="HC1489" s="10"/>
      <c r="HD1489" s="10"/>
      <c r="HE1489" s="10"/>
      <c r="HF1489" s="10"/>
      <c r="HG1489" s="10"/>
      <c r="HH1489" s="10"/>
      <c r="HI1489" s="11"/>
      <c r="HJ1489" s="264"/>
      <c r="HK1489" s="265"/>
      <c r="HL1489" s="266"/>
      <c r="HM1489" s="9"/>
      <c r="HN1489" s="10"/>
      <c r="HO1489" s="10"/>
      <c r="HP1489" s="10"/>
      <c r="HQ1489" s="10"/>
      <c r="HR1489" s="10"/>
      <c r="HS1489" s="10"/>
      <c r="HT1489" s="10"/>
      <c r="HU1489" s="342"/>
      <c r="HV1489" s="342"/>
      <c r="HW1489" s="342"/>
      <c r="HX1489" s="342"/>
      <c r="HY1489" s="342"/>
      <c r="HZ1489" s="342"/>
      <c r="IA1489" s="342"/>
      <c r="IB1489" s="342"/>
      <c r="IC1489" s="342"/>
      <c r="ID1489" s="342"/>
      <c r="IE1489" s="342"/>
      <c r="IF1489" s="342"/>
      <c r="IG1489" s="342"/>
      <c r="IH1489" s="342"/>
      <c r="II1489" s="342"/>
      <c r="IJ1489" s="342"/>
      <c r="IK1489" s="342"/>
      <c r="IL1489" s="342"/>
      <c r="IM1489" s="342"/>
      <c r="IN1489" s="342"/>
      <c r="IO1489" s="342"/>
      <c r="IP1489" s="342"/>
      <c r="IQ1489" s="342"/>
      <c r="IR1489" s="342"/>
      <c r="IS1489" s="342"/>
      <c r="IT1489" s="342"/>
      <c r="IU1489" s="342"/>
      <c r="IV1489" s="342"/>
      <c r="IW1489" s="342"/>
      <c r="IX1489" s="342"/>
      <c r="IY1489" s="342"/>
      <c r="IZ1489" s="342"/>
      <c r="JA1489" s="342"/>
      <c r="JB1489" s="342"/>
      <c r="JC1489" s="342"/>
      <c r="JD1489" s="342"/>
      <c r="JE1489" s="342"/>
      <c r="JF1489" s="342"/>
      <c r="JG1489" s="342"/>
      <c r="JH1489" s="342"/>
      <c r="JI1489" s="342"/>
      <c r="JJ1489" s="342"/>
      <c r="JK1489" s="342"/>
      <c r="JL1489" s="342"/>
      <c r="JM1489" s="342"/>
      <c r="JN1489" s="342"/>
      <c r="JO1489" s="342"/>
      <c r="JP1489" s="342"/>
      <c r="JQ1489" s="342"/>
      <c r="JR1489" s="342"/>
      <c r="JS1489" s="342"/>
      <c r="JT1489" s="342"/>
      <c r="JU1489" s="342"/>
      <c r="JV1489" s="342"/>
      <c r="JW1489" s="342"/>
      <c r="JX1489" s="342"/>
      <c r="JY1489" s="342"/>
      <c r="JZ1489" s="342"/>
      <c r="KA1489" s="342"/>
      <c r="KB1489" s="342"/>
      <c r="KC1489" s="342"/>
      <c r="KD1489" s="342"/>
      <c r="KE1489" s="342"/>
      <c r="KF1489" s="342"/>
      <c r="KG1489" s="342"/>
      <c r="KH1489" s="342"/>
      <c r="KI1489" s="342"/>
      <c r="KJ1489" s="342"/>
      <c r="KK1489" s="342"/>
      <c r="KL1489" s="342"/>
      <c r="KM1489" s="342"/>
      <c r="KN1489" s="342"/>
      <c r="KO1489" s="342"/>
      <c r="KP1489" s="342"/>
      <c r="KQ1489" s="342"/>
      <c r="KR1489" s="342"/>
      <c r="KS1489" s="342"/>
      <c r="KT1489" s="342"/>
      <c r="KU1489" s="342"/>
      <c r="KV1489" s="342"/>
      <c r="KW1489" s="342"/>
      <c r="KX1489" s="342"/>
      <c r="KY1489" s="342"/>
      <c r="KZ1489" s="342"/>
      <c r="LA1489" s="342"/>
      <c r="LB1489" s="13"/>
      <c r="LC1489" s="342"/>
      <c r="LD1489" s="342"/>
      <c r="LE1489" s="13"/>
      <c r="LF1489" s="342"/>
      <c r="LG1489" s="342"/>
      <c r="LH1489" s="342"/>
      <c r="LI1489" s="342"/>
      <c r="LJ1489" s="342"/>
      <c r="LK1489" s="342"/>
      <c r="LL1489" s="342"/>
      <c r="LM1489" s="342"/>
      <c r="LN1489" s="342"/>
      <c r="LO1489" s="342"/>
      <c r="LP1489" s="342"/>
      <c r="LQ1489" s="342"/>
      <c r="LR1489" s="342"/>
      <c r="LS1489" s="342"/>
      <c r="LT1489" s="342"/>
      <c r="LU1489" s="13"/>
    </row>
    <row r="1490" spans="6:333" ht="10.75" customHeight="1">
      <c r="F1490" s="342"/>
      <c r="G1490" s="342"/>
      <c r="H1490" s="342"/>
      <c r="I1490" s="342"/>
      <c r="J1490" s="342"/>
      <c r="K1490" s="342"/>
      <c r="L1490" s="342"/>
      <c r="M1490" s="342"/>
      <c r="N1490" s="342"/>
      <c r="O1490" s="342"/>
      <c r="P1490" s="342"/>
      <c r="Q1490" s="342"/>
      <c r="R1490" s="342"/>
      <c r="S1490" s="342"/>
      <c r="T1490" s="342"/>
      <c r="U1490" s="342"/>
      <c r="V1490" s="342"/>
      <c r="W1490" s="342"/>
      <c r="X1490" s="342"/>
      <c r="Y1490" s="342"/>
      <c r="Z1490" s="342"/>
      <c r="AA1490" s="342"/>
      <c r="AB1490" s="342"/>
      <c r="AC1490" s="342"/>
      <c r="AD1490" s="342"/>
      <c r="AE1490" s="342"/>
      <c r="AF1490" s="342"/>
      <c r="AG1490" s="342"/>
      <c r="AH1490" s="342"/>
      <c r="AI1490" s="342"/>
      <c r="AJ1490" s="342"/>
      <c r="AK1490" s="342"/>
      <c r="AL1490" s="342"/>
      <c r="AM1490" s="342"/>
      <c r="AN1490" s="342"/>
      <c r="AO1490" s="342"/>
      <c r="AP1490" s="342"/>
      <c r="AQ1490" s="342"/>
      <c r="AR1490" s="342"/>
      <c r="AS1490" s="342"/>
      <c r="AT1490" s="342"/>
      <c r="AU1490" s="342"/>
      <c r="AV1490" s="342"/>
      <c r="AW1490" s="342"/>
      <c r="AX1490" s="342"/>
      <c r="AY1490" s="342"/>
      <c r="AZ1490" s="342"/>
      <c r="BA1490" s="342"/>
      <c r="BB1490" s="342"/>
      <c r="BC1490" s="342"/>
      <c r="BD1490" s="342"/>
      <c r="BE1490" s="342"/>
      <c r="BF1490" s="342"/>
      <c r="BG1490" s="342"/>
      <c r="BH1490" s="342"/>
      <c r="BI1490" s="342"/>
      <c r="BJ1490" s="342"/>
      <c r="BK1490" s="342"/>
      <c r="BL1490" s="342"/>
      <c r="BM1490" s="342"/>
      <c r="BN1490" s="342"/>
      <c r="BO1490" s="342"/>
      <c r="BP1490" s="342"/>
      <c r="BQ1490" s="342"/>
      <c r="BR1490" s="342"/>
      <c r="BS1490" s="342"/>
      <c r="BT1490" s="342"/>
      <c r="BU1490" s="342"/>
      <c r="BV1490" s="342"/>
      <c r="BW1490" s="342"/>
      <c r="BX1490" s="342"/>
      <c r="BY1490" s="342"/>
      <c r="BZ1490" s="342"/>
      <c r="CA1490" s="342"/>
      <c r="CB1490" s="342"/>
      <c r="CC1490" s="342"/>
      <c r="CD1490" s="342"/>
      <c r="CE1490" s="342"/>
      <c r="CF1490" s="342"/>
      <c r="CG1490" s="342"/>
      <c r="CH1490" s="342"/>
      <c r="CI1490" s="342"/>
      <c r="CJ1490" s="342"/>
      <c r="CK1490" s="342"/>
      <c r="CL1490" s="342"/>
      <c r="CM1490" s="342"/>
      <c r="CN1490" s="342"/>
      <c r="CO1490" s="342"/>
      <c r="CP1490" s="342"/>
      <c r="CQ1490" s="342"/>
      <c r="CR1490" s="342"/>
      <c r="CS1490" s="342"/>
      <c r="CT1490" s="342"/>
      <c r="CU1490" s="342"/>
      <c r="CV1490" s="342"/>
      <c r="CW1490" s="342"/>
      <c r="CX1490" s="342"/>
      <c r="CY1490" s="342"/>
      <c r="CZ1490" s="342"/>
      <c r="DA1490" s="342"/>
      <c r="DB1490" s="342"/>
      <c r="DC1490" s="342"/>
      <c r="DD1490" s="342"/>
      <c r="DE1490" s="342"/>
      <c r="DF1490" s="342"/>
      <c r="DG1490" s="342"/>
      <c r="DH1490" s="342"/>
      <c r="DI1490" s="342"/>
      <c r="DJ1490" s="342"/>
      <c r="DK1490" s="342"/>
      <c r="DL1490" s="342"/>
      <c r="DM1490" s="342"/>
      <c r="DN1490" s="342"/>
      <c r="DO1490" s="342"/>
      <c r="DP1490" s="342"/>
      <c r="DQ1490" s="342"/>
      <c r="DR1490" s="342"/>
      <c r="DS1490" s="342"/>
      <c r="DT1490" s="342"/>
      <c r="DU1490" s="342"/>
      <c r="FV1490" s="12"/>
      <c r="FW1490" s="342"/>
      <c r="FX1490" s="342"/>
      <c r="FY1490" s="342"/>
      <c r="FZ1490" s="342"/>
      <c r="GA1490" s="342"/>
      <c r="GB1490" s="342"/>
      <c r="GC1490" s="342"/>
      <c r="GD1490" s="342"/>
      <c r="GE1490" s="13"/>
      <c r="GT1490" s="12"/>
      <c r="GU1490" s="342"/>
      <c r="GV1490" s="342"/>
      <c r="GW1490" s="342"/>
      <c r="GX1490" s="12"/>
      <c r="GY1490" s="12"/>
      <c r="GZ1490" s="342"/>
      <c r="HA1490" s="342"/>
      <c r="HB1490" s="342"/>
      <c r="HC1490" s="342"/>
      <c r="HD1490" s="342"/>
      <c r="HE1490" s="342"/>
      <c r="HF1490" s="342"/>
      <c r="HG1490" s="342"/>
      <c r="HH1490" s="342"/>
      <c r="HI1490" s="13"/>
      <c r="HJ1490" s="12"/>
      <c r="HK1490" s="342"/>
      <c r="HL1490" s="13"/>
      <c r="HM1490" s="12"/>
      <c r="HN1490" s="342"/>
      <c r="HO1490" s="342"/>
      <c r="HP1490" s="342"/>
      <c r="HQ1490" s="342"/>
      <c r="HR1490" s="342"/>
      <c r="HS1490" s="342"/>
      <c r="HT1490" s="342"/>
      <c r="HU1490" s="342"/>
      <c r="HV1490" s="342"/>
      <c r="HW1490" s="342"/>
      <c r="HX1490" s="342"/>
      <c r="HY1490" s="342"/>
      <c r="HZ1490" s="342"/>
      <c r="IA1490" s="342"/>
      <c r="IB1490" s="342"/>
      <c r="IC1490" s="342"/>
      <c r="ID1490" s="342"/>
      <c r="IE1490" s="342"/>
      <c r="IF1490" s="342"/>
      <c r="IG1490" s="342"/>
      <c r="IH1490" s="342"/>
      <c r="II1490" s="342"/>
      <c r="IJ1490" s="342"/>
      <c r="IK1490" s="342"/>
      <c r="IL1490" s="342"/>
      <c r="IM1490" s="342"/>
      <c r="IN1490" s="342"/>
      <c r="IO1490" s="342"/>
      <c r="IP1490" s="342"/>
      <c r="IQ1490" s="342"/>
      <c r="IR1490" s="342"/>
      <c r="IS1490" s="342"/>
      <c r="IT1490" s="342"/>
      <c r="IU1490" s="342"/>
      <c r="IV1490" s="342"/>
      <c r="IW1490" s="342"/>
      <c r="IX1490" s="342"/>
      <c r="IY1490" s="342"/>
      <c r="IZ1490" s="342"/>
      <c r="JA1490" s="342"/>
      <c r="JB1490" s="342"/>
      <c r="JC1490" s="342"/>
      <c r="JD1490" s="342"/>
      <c r="JE1490" s="342"/>
      <c r="JF1490" s="342"/>
      <c r="JG1490" s="342"/>
      <c r="JH1490" s="342"/>
      <c r="JI1490" s="342"/>
      <c r="JJ1490" s="342"/>
      <c r="JK1490" s="342"/>
      <c r="JL1490" s="342"/>
      <c r="JM1490" s="342"/>
      <c r="JN1490" s="342"/>
      <c r="JO1490" s="342"/>
      <c r="JP1490" s="342"/>
      <c r="JQ1490" s="342"/>
      <c r="JR1490" s="342"/>
      <c r="JS1490" s="342"/>
      <c r="JT1490" s="342"/>
      <c r="JU1490" s="342"/>
      <c r="JV1490" s="342"/>
      <c r="JW1490" s="342"/>
      <c r="JX1490" s="342"/>
      <c r="JY1490" s="342"/>
      <c r="JZ1490" s="342"/>
      <c r="KA1490" s="342"/>
      <c r="KB1490" s="342"/>
      <c r="KC1490" s="342"/>
      <c r="KD1490" s="342"/>
      <c r="KE1490" s="342"/>
      <c r="KF1490" s="342"/>
      <c r="KG1490" s="342"/>
      <c r="KH1490" s="342"/>
      <c r="KI1490" s="342"/>
      <c r="KJ1490" s="342"/>
      <c r="KK1490" s="342"/>
      <c r="KL1490" s="342"/>
      <c r="KM1490" s="342"/>
      <c r="KN1490" s="342"/>
      <c r="KO1490" s="342"/>
      <c r="KP1490" s="342"/>
      <c r="KQ1490" s="342"/>
      <c r="KR1490" s="342"/>
      <c r="KS1490" s="342"/>
      <c r="KT1490" s="342"/>
      <c r="KU1490" s="342"/>
      <c r="KV1490" s="342"/>
      <c r="KW1490" s="342"/>
      <c r="KX1490" s="342"/>
      <c r="KY1490" s="342"/>
      <c r="KZ1490" s="342"/>
      <c r="LA1490" s="342"/>
      <c r="LB1490" s="13"/>
      <c r="LC1490" s="342"/>
      <c r="LD1490" s="342"/>
      <c r="LE1490" s="13"/>
      <c r="LF1490" s="342"/>
      <c r="LG1490" s="342"/>
      <c r="LH1490" s="342"/>
      <c r="LI1490" s="342"/>
      <c r="LJ1490" s="342"/>
      <c r="LK1490" s="342"/>
      <c r="LL1490" s="342"/>
      <c r="LM1490" s="342"/>
      <c r="LN1490" s="342"/>
      <c r="LO1490" s="342"/>
      <c r="LP1490" s="342"/>
      <c r="LQ1490" s="342"/>
      <c r="LR1490" s="342"/>
      <c r="LS1490" s="342"/>
      <c r="LT1490" s="342"/>
      <c r="LU1490" s="13"/>
    </row>
    <row r="1491" spans="6:333" ht="10.75" customHeight="1">
      <c r="F1491" s="342"/>
      <c r="G1491" s="342"/>
      <c r="H1491" s="342"/>
      <c r="I1491" s="342"/>
      <c r="J1491" s="342"/>
      <c r="K1491" s="342"/>
      <c r="L1491" s="342"/>
      <c r="M1491" s="342"/>
      <c r="N1491" s="342"/>
      <c r="O1491" s="342"/>
      <c r="P1491" s="342"/>
      <c r="Q1491" s="342"/>
      <c r="R1491" s="342"/>
      <c r="S1491" s="342"/>
      <c r="T1491" s="342"/>
      <c r="U1491" s="342"/>
      <c r="V1491" s="342"/>
      <c r="W1491" s="342"/>
      <c r="X1491" s="342"/>
      <c r="Y1491" s="342"/>
      <c r="Z1491" s="342"/>
      <c r="AA1491" s="342"/>
      <c r="AB1491" s="342"/>
      <c r="AC1491" s="342"/>
      <c r="AD1491" s="342"/>
      <c r="AE1491" s="342"/>
      <c r="AF1491" s="342"/>
      <c r="AG1491" s="342"/>
      <c r="AH1491" s="342"/>
      <c r="AI1491" s="342"/>
      <c r="AJ1491" s="342"/>
      <c r="AK1491" s="342"/>
      <c r="AL1491" s="342"/>
      <c r="AM1491" s="342"/>
      <c r="AN1491" s="342"/>
      <c r="AO1491" s="342"/>
      <c r="AP1491" s="342"/>
      <c r="AQ1491" s="342"/>
      <c r="AR1491" s="342"/>
      <c r="AS1491" s="342"/>
      <c r="AT1491" s="342"/>
      <c r="AU1491" s="342"/>
      <c r="AV1491" s="342"/>
      <c r="AW1491" s="342"/>
      <c r="AX1491" s="342"/>
      <c r="AY1491" s="342"/>
      <c r="AZ1491" s="342"/>
      <c r="BA1491" s="342"/>
      <c r="BB1491" s="342"/>
      <c r="BC1491" s="342"/>
      <c r="BD1491" s="342"/>
      <c r="BE1491" s="342"/>
      <c r="BF1491" s="342"/>
      <c r="BG1491" s="342"/>
      <c r="BH1491" s="342"/>
      <c r="BI1491" s="342"/>
      <c r="BJ1491" s="342"/>
      <c r="BK1491" s="342"/>
      <c r="BL1491" s="342"/>
      <c r="BM1491" s="342"/>
      <c r="BN1491" s="342"/>
      <c r="BO1491" s="342"/>
      <c r="BP1491" s="342"/>
      <c r="BQ1491" s="342"/>
      <c r="BR1491" s="342"/>
      <c r="BS1491" s="342"/>
      <c r="BT1491" s="342"/>
      <c r="BU1491" s="342"/>
      <c r="BV1491" s="342"/>
      <c r="BW1491" s="342"/>
      <c r="BX1491" s="342"/>
      <c r="BY1491" s="342"/>
      <c r="BZ1491" s="342"/>
      <c r="CA1491" s="342"/>
      <c r="CB1491" s="342"/>
      <c r="CC1491" s="342"/>
      <c r="CD1491" s="342"/>
      <c r="CE1491" s="342"/>
      <c r="CF1491" s="342"/>
      <c r="CG1491" s="342"/>
      <c r="CH1491" s="342"/>
      <c r="CI1491" s="342"/>
      <c r="CJ1491" s="342"/>
      <c r="CK1491" s="342"/>
      <c r="CL1491" s="342"/>
      <c r="CM1491" s="342"/>
      <c r="CN1491" s="342"/>
      <c r="CO1491" s="342"/>
      <c r="CP1491" s="342"/>
      <c r="CQ1491" s="342"/>
      <c r="CR1491" s="342"/>
      <c r="CS1491" s="342"/>
      <c r="CT1491" s="342"/>
      <c r="CU1491" s="342"/>
      <c r="CV1491" s="342"/>
      <c r="CW1491" s="342"/>
      <c r="CX1491" s="342"/>
      <c r="CY1491" s="342"/>
      <c r="CZ1491" s="342"/>
      <c r="DA1491" s="342"/>
      <c r="DB1491" s="342"/>
      <c r="DC1491" s="342"/>
      <c r="DD1491" s="342"/>
      <c r="DE1491" s="342"/>
      <c r="DF1491" s="342"/>
      <c r="DG1491" s="342"/>
      <c r="DH1491" s="342"/>
      <c r="DI1491" s="342"/>
      <c r="DJ1491" s="342"/>
      <c r="DK1491" s="342"/>
      <c r="DL1491" s="342"/>
      <c r="DM1491" s="342"/>
      <c r="DN1491" s="342"/>
      <c r="DO1491" s="342"/>
      <c r="DP1491" s="342"/>
      <c r="DQ1491" s="342"/>
      <c r="DR1491" s="342"/>
      <c r="DS1491" s="342"/>
      <c r="DT1491" s="342"/>
      <c r="DU1491" s="342"/>
      <c r="FV1491" s="12"/>
      <c r="FW1491" s="342"/>
      <c r="FX1491" s="342"/>
      <c r="FY1491" s="342"/>
      <c r="FZ1491" s="342"/>
      <c r="GA1491" s="342"/>
      <c r="GB1491" s="342"/>
      <c r="GC1491" s="342"/>
      <c r="GD1491" s="342"/>
      <c r="GE1491" s="13"/>
      <c r="GT1491" s="12"/>
      <c r="GU1491" s="342"/>
      <c r="GV1491" s="342"/>
      <c r="GW1491" s="342"/>
      <c r="GX1491" s="12"/>
      <c r="GY1491" s="12"/>
      <c r="GZ1491" s="342"/>
      <c r="HA1491" s="342"/>
      <c r="HB1491" s="342"/>
      <c r="HC1491" s="342"/>
      <c r="HD1491" s="342"/>
      <c r="HE1491" s="342"/>
      <c r="HF1491" s="342"/>
      <c r="HG1491" s="342"/>
      <c r="HH1491" s="342"/>
      <c r="HI1491" s="13"/>
      <c r="HJ1491" s="12"/>
      <c r="HK1491" s="342"/>
      <c r="HL1491" s="13"/>
      <c r="HM1491" s="12"/>
      <c r="HN1491" s="342"/>
      <c r="HO1491" s="342"/>
      <c r="HP1491" s="342"/>
      <c r="HQ1491" s="342"/>
      <c r="HR1491" s="342"/>
      <c r="HS1491" s="342"/>
      <c r="HT1491" s="342"/>
      <c r="HU1491" s="342"/>
      <c r="HV1491" s="342"/>
      <c r="HW1491" s="342"/>
      <c r="HX1491" s="342"/>
      <c r="HY1491" s="342"/>
      <c r="HZ1491" s="342"/>
      <c r="IA1491" s="342"/>
      <c r="IB1491" s="342"/>
      <c r="IC1491" s="342"/>
      <c r="ID1491" s="342"/>
      <c r="IE1491" s="342"/>
      <c r="IF1491" s="342"/>
      <c r="IG1491" s="342"/>
      <c r="IH1491" s="342"/>
      <c r="II1491" s="342"/>
      <c r="IJ1491" s="342"/>
      <c r="IK1491" s="342"/>
      <c r="IL1491" s="342"/>
      <c r="IM1491" s="342"/>
      <c r="IN1491" s="342"/>
      <c r="IO1491" s="342"/>
      <c r="IP1491" s="342"/>
      <c r="IQ1491" s="342"/>
      <c r="IR1491" s="342"/>
      <c r="IS1491" s="342"/>
      <c r="IT1491" s="342"/>
      <c r="IU1491" s="342"/>
      <c r="IV1491" s="342"/>
      <c r="IW1491" s="342"/>
      <c r="IX1491" s="342"/>
      <c r="IY1491" s="342"/>
      <c r="IZ1491" s="342"/>
      <c r="JA1491" s="342"/>
      <c r="JB1491" s="342"/>
      <c r="JC1491" s="342"/>
      <c r="JD1491" s="342"/>
      <c r="JE1491" s="342"/>
      <c r="JF1491" s="342"/>
      <c r="JG1491" s="342"/>
      <c r="JH1491" s="342"/>
      <c r="JI1491" s="342"/>
      <c r="JJ1491" s="342"/>
      <c r="JK1491" s="342"/>
      <c r="JL1491" s="342"/>
      <c r="JM1491" s="342"/>
      <c r="JN1491" s="342"/>
      <c r="JO1491" s="342"/>
      <c r="JP1491" s="342"/>
      <c r="JQ1491" s="342"/>
      <c r="JR1491" s="342"/>
      <c r="JS1491" s="342"/>
      <c r="JT1491" s="342"/>
      <c r="JU1491" s="342"/>
      <c r="JV1491" s="342"/>
      <c r="JW1491" s="342"/>
      <c r="JX1491" s="342"/>
      <c r="JY1491" s="342"/>
      <c r="JZ1491" s="342"/>
      <c r="KA1491" s="342"/>
      <c r="KB1491" s="342"/>
      <c r="KC1491" s="342"/>
      <c r="KD1491" s="342"/>
      <c r="KE1491" s="342"/>
      <c r="KF1491" s="342"/>
      <c r="KG1491" s="342"/>
      <c r="KH1491" s="342"/>
      <c r="KI1491" s="342"/>
      <c r="KJ1491" s="342"/>
      <c r="KK1491" s="342"/>
      <c r="KL1491" s="342"/>
      <c r="KM1491" s="342"/>
      <c r="KN1491" s="342"/>
      <c r="KO1491" s="342"/>
      <c r="KP1491" s="342"/>
      <c r="KQ1491" s="342"/>
      <c r="KR1491" s="342"/>
      <c r="KS1491" s="342"/>
      <c r="KT1491" s="342"/>
      <c r="KU1491" s="342"/>
      <c r="KV1491" s="342"/>
      <c r="KW1491" s="342"/>
      <c r="KX1491" s="342"/>
      <c r="KY1491" s="342"/>
      <c r="KZ1491" s="342"/>
      <c r="LA1491" s="342"/>
      <c r="LB1491" s="13"/>
      <c r="LC1491" s="342"/>
      <c r="LD1491" s="342"/>
      <c r="LE1491" s="13"/>
      <c r="LF1491" s="342"/>
      <c r="LG1491" s="342"/>
      <c r="LH1491" s="342"/>
      <c r="LI1491" s="342"/>
      <c r="LJ1491" s="342"/>
      <c r="LK1491" s="342"/>
      <c r="LL1491" s="342"/>
      <c r="LM1491" s="342"/>
      <c r="LN1491" s="342"/>
      <c r="LO1491" s="342"/>
      <c r="LP1491" s="342"/>
      <c r="LQ1491" s="342"/>
      <c r="LR1491" s="342"/>
      <c r="LS1491" s="342"/>
      <c r="LT1491" s="342"/>
      <c r="LU1491" s="13"/>
    </row>
    <row r="1492" spans="6:333" ht="10.75" customHeight="1">
      <c r="F1492" s="342"/>
      <c r="G1492" s="342"/>
      <c r="H1492" s="342"/>
      <c r="I1492" s="342"/>
      <c r="J1492" s="342"/>
      <c r="K1492" s="342"/>
      <c r="L1492" s="342"/>
      <c r="M1492" s="342"/>
      <c r="N1492" s="342"/>
      <c r="O1492" s="342"/>
      <c r="P1492" s="342"/>
      <c r="Q1492" s="342"/>
      <c r="R1492" s="342"/>
      <c r="S1492" s="342"/>
      <c r="T1492" s="342"/>
      <c r="U1492" s="342"/>
      <c r="V1492" s="342"/>
      <c r="W1492" s="342"/>
      <c r="X1492" s="342"/>
      <c r="Y1492" s="342"/>
      <c r="Z1492" s="342"/>
      <c r="AA1492" s="342"/>
      <c r="AB1492" s="342"/>
      <c r="AC1492" s="342"/>
      <c r="AD1492" s="342"/>
      <c r="AE1492" s="342"/>
      <c r="AF1492" s="342"/>
      <c r="AG1492" s="342"/>
      <c r="AH1492" s="342"/>
      <c r="AI1492" s="342"/>
      <c r="AJ1492" s="342"/>
      <c r="AK1492" s="342"/>
      <c r="AL1492" s="342"/>
      <c r="AM1492" s="342"/>
      <c r="AN1492" s="342"/>
      <c r="AO1492" s="342"/>
      <c r="AP1492" s="342"/>
      <c r="AQ1492" s="342"/>
      <c r="AR1492" s="342"/>
      <c r="AS1492" s="342"/>
      <c r="AT1492" s="342"/>
      <c r="AU1492" s="342"/>
      <c r="AV1492" s="342"/>
      <c r="AW1492" s="342"/>
      <c r="AX1492" s="342"/>
      <c r="AY1492" s="342"/>
      <c r="AZ1492" s="342"/>
      <c r="BA1492" s="342"/>
      <c r="BB1492" s="342"/>
      <c r="BC1492" s="342"/>
      <c r="BD1492" s="342"/>
      <c r="BE1492" s="342"/>
      <c r="BF1492" s="342"/>
      <c r="BG1492" s="342"/>
      <c r="BH1492" s="342"/>
      <c r="BI1492" s="342"/>
      <c r="BJ1492" s="342"/>
      <c r="BK1492" s="342"/>
      <c r="BL1492" s="342"/>
      <c r="BM1492" s="342"/>
      <c r="BN1492" s="342"/>
      <c r="BO1492" s="342"/>
      <c r="BP1492" s="342"/>
      <c r="BQ1492" s="342"/>
      <c r="BR1492" s="342"/>
      <c r="BS1492" s="342"/>
      <c r="BT1492" s="342"/>
      <c r="BU1492" s="342"/>
      <c r="BV1492" s="342"/>
      <c r="BW1492" s="342"/>
      <c r="BX1492" s="342"/>
      <c r="BY1492" s="342"/>
      <c r="BZ1492" s="342"/>
      <c r="CA1492" s="342"/>
      <c r="CB1492" s="342"/>
      <c r="CC1492" s="342"/>
      <c r="CD1492" s="342"/>
      <c r="CE1492" s="342"/>
      <c r="CF1492" s="342"/>
      <c r="CG1492" s="342"/>
      <c r="CH1492" s="342"/>
      <c r="CI1492" s="342"/>
      <c r="CJ1492" s="342"/>
      <c r="CK1492" s="342"/>
      <c r="CL1492" s="342"/>
      <c r="CM1492" s="342"/>
      <c r="CN1492" s="342"/>
      <c r="CO1492" s="342"/>
      <c r="CP1492" s="342"/>
      <c r="CQ1492" s="342"/>
      <c r="CR1492" s="342"/>
      <c r="CS1492" s="342"/>
      <c r="CT1492" s="342"/>
      <c r="CU1492" s="342"/>
      <c r="CV1492" s="342"/>
      <c r="CW1492" s="342"/>
      <c r="CX1492" s="342"/>
      <c r="CY1492" s="342"/>
      <c r="CZ1492" s="342"/>
      <c r="DA1492" s="342"/>
      <c r="DB1492" s="342"/>
      <c r="DC1492" s="342"/>
      <c r="DD1492" s="342"/>
      <c r="DE1492" s="342"/>
      <c r="DF1492" s="342"/>
      <c r="DG1492" s="342"/>
      <c r="DH1492" s="342"/>
      <c r="DI1492" s="342"/>
      <c r="DJ1492" s="342"/>
      <c r="DK1492" s="342"/>
      <c r="DL1492" s="342"/>
      <c r="DM1492" s="342"/>
      <c r="DN1492" s="342"/>
      <c r="DO1492" s="342"/>
      <c r="DP1492" s="342"/>
      <c r="DQ1492" s="342"/>
      <c r="DR1492" s="342"/>
      <c r="DS1492" s="342"/>
      <c r="DT1492" s="342"/>
      <c r="DU1492" s="342"/>
      <c r="FV1492" s="12"/>
      <c r="FW1492" s="342"/>
      <c r="FX1492" s="342"/>
      <c r="FY1492" s="342"/>
      <c r="FZ1492" s="342"/>
      <c r="GA1492" s="342"/>
      <c r="GB1492" s="342"/>
      <c r="GC1492" s="342"/>
      <c r="GD1492" s="342"/>
      <c r="GE1492" s="13"/>
      <c r="GT1492" s="12"/>
      <c r="GU1492" s="342"/>
      <c r="GV1492" s="342"/>
      <c r="GW1492" s="342"/>
      <c r="GX1492" s="12"/>
      <c r="GY1492" s="12"/>
      <c r="GZ1492" s="342"/>
      <c r="HA1492" s="342"/>
      <c r="HB1492" s="342"/>
      <c r="HC1492" s="342"/>
      <c r="HD1492" s="342"/>
      <c r="HE1492" s="342"/>
      <c r="HF1492" s="351"/>
      <c r="HG1492" s="351"/>
      <c r="HH1492" s="351"/>
      <c r="HI1492" s="343"/>
      <c r="HJ1492" s="12"/>
      <c r="HK1492" s="342"/>
      <c r="HL1492" s="13"/>
      <c r="HM1492" s="12"/>
      <c r="HN1492" s="342"/>
      <c r="HO1492" s="342"/>
      <c r="HP1492" s="342"/>
      <c r="HQ1492" s="342"/>
      <c r="HR1492" s="342"/>
      <c r="HS1492" s="342"/>
      <c r="HT1492" s="342"/>
      <c r="HU1492" s="342"/>
      <c r="HV1492" s="342"/>
      <c r="HW1492" s="342"/>
      <c r="HX1492" s="342"/>
      <c r="HY1492" s="342"/>
      <c r="HZ1492" s="342"/>
      <c r="IA1492" s="342"/>
      <c r="IB1492" s="342"/>
      <c r="IC1492" s="342"/>
      <c r="ID1492" s="342"/>
      <c r="IE1492" s="342"/>
      <c r="IF1492" s="342"/>
      <c r="IG1492" s="342"/>
      <c r="IH1492" s="342"/>
      <c r="II1492" s="342"/>
      <c r="IJ1492" s="342"/>
      <c r="IK1492" s="342"/>
      <c r="IL1492" s="342"/>
      <c r="IM1492" s="342"/>
      <c r="IN1492" s="342"/>
      <c r="IO1492" s="342"/>
      <c r="IP1492" s="342"/>
      <c r="IQ1492" s="342"/>
      <c r="IR1492" s="342"/>
      <c r="IS1492" s="342"/>
      <c r="IT1492" s="342"/>
      <c r="IU1492" s="342"/>
      <c r="IV1492" s="342"/>
      <c r="IW1492" s="342"/>
      <c r="IX1492" s="342"/>
      <c r="IY1492" s="342"/>
      <c r="IZ1492" s="342"/>
      <c r="JA1492" s="342"/>
      <c r="JB1492" s="342"/>
      <c r="JC1492" s="342"/>
      <c r="JD1492" s="342"/>
      <c r="JE1492" s="342"/>
      <c r="JF1492" s="342"/>
      <c r="JG1492" s="342"/>
      <c r="JH1492" s="342"/>
      <c r="JI1492" s="342"/>
      <c r="JJ1492" s="342"/>
      <c r="JK1492" s="342"/>
      <c r="JL1492" s="342"/>
      <c r="JM1492" s="342"/>
      <c r="JN1492" s="342"/>
      <c r="JO1492" s="342"/>
      <c r="JP1492" s="342"/>
      <c r="JQ1492" s="342"/>
      <c r="JR1492" s="342"/>
      <c r="JS1492" s="342"/>
      <c r="JT1492" s="342"/>
      <c r="JU1492" s="342"/>
      <c r="JV1492" s="342"/>
      <c r="JW1492" s="342"/>
      <c r="JX1492" s="342"/>
      <c r="JY1492" s="342"/>
      <c r="JZ1492" s="342"/>
      <c r="KA1492" s="342"/>
      <c r="KB1492" s="342"/>
      <c r="KC1492" s="342"/>
      <c r="KD1492" s="342"/>
      <c r="KE1492" s="342"/>
      <c r="KF1492" s="342"/>
      <c r="KG1492" s="342"/>
      <c r="KH1492" s="342"/>
      <c r="KI1492" s="342"/>
      <c r="KJ1492" s="342"/>
      <c r="KK1492" s="342"/>
      <c r="KL1492" s="342"/>
      <c r="KM1492" s="342"/>
      <c r="KN1492" s="342"/>
      <c r="KO1492" s="342"/>
      <c r="KP1492" s="342"/>
      <c r="KQ1492" s="342"/>
      <c r="KR1492" s="342"/>
      <c r="KS1492" s="342"/>
      <c r="KT1492" s="342"/>
      <c r="KU1492" s="342"/>
      <c r="KV1492" s="342"/>
      <c r="KW1492" s="342"/>
      <c r="KX1492" s="342"/>
      <c r="KY1492" s="342"/>
      <c r="KZ1492" s="342"/>
      <c r="LA1492" s="342"/>
      <c r="LB1492" s="13"/>
      <c r="LC1492" s="342"/>
      <c r="LD1492" s="342"/>
      <c r="LE1492" s="13"/>
      <c r="LF1492" s="342"/>
      <c r="LG1492" s="342"/>
      <c r="LH1492" s="342"/>
      <c r="LI1492" s="342"/>
      <c r="LJ1492" s="342"/>
      <c r="LK1492" s="342"/>
      <c r="LL1492" s="342"/>
      <c r="LM1492" s="342"/>
      <c r="LN1492" s="342"/>
      <c r="LO1492" s="342"/>
      <c r="LP1492" s="342"/>
      <c r="LQ1492" s="342"/>
      <c r="LR1492" s="342"/>
      <c r="LS1492" s="342"/>
      <c r="LT1492" s="342"/>
      <c r="LU1492" s="13"/>
    </row>
    <row r="1493" spans="6:333" ht="10.75" customHeight="1">
      <c r="F1493" s="342"/>
      <c r="G1493" s="342"/>
      <c r="H1493" s="342"/>
      <c r="I1493" s="342"/>
      <c r="J1493" s="342"/>
      <c r="K1493" s="342"/>
      <c r="L1493" s="342"/>
      <c r="M1493" s="342"/>
      <c r="N1493" s="342"/>
      <c r="O1493" s="342"/>
      <c r="P1493" s="342"/>
      <c r="Q1493" s="342"/>
      <c r="R1493" s="342"/>
      <c r="S1493" s="342"/>
      <c r="T1493" s="342"/>
      <c r="U1493" s="342"/>
      <c r="V1493" s="342"/>
      <c r="W1493" s="342"/>
      <c r="X1493" s="342"/>
      <c r="Y1493" s="342"/>
      <c r="Z1493" s="342"/>
      <c r="AA1493" s="342"/>
      <c r="AB1493" s="342"/>
      <c r="AC1493" s="342"/>
      <c r="AD1493" s="342"/>
      <c r="AE1493" s="342"/>
      <c r="AF1493" s="342"/>
      <c r="AG1493" s="342"/>
      <c r="AH1493" s="342"/>
      <c r="AI1493" s="342"/>
      <c r="AJ1493" s="342"/>
      <c r="AK1493" s="342"/>
      <c r="AL1493" s="342"/>
      <c r="AM1493" s="342"/>
      <c r="AN1493" s="342"/>
      <c r="AO1493" s="342"/>
      <c r="AP1493" s="342"/>
      <c r="AQ1493" s="342"/>
      <c r="AR1493" s="342"/>
      <c r="AS1493" s="342"/>
      <c r="AT1493" s="342"/>
      <c r="AU1493" s="342"/>
      <c r="AV1493" s="342"/>
      <c r="AW1493" s="342"/>
      <c r="AX1493" s="342"/>
      <c r="AY1493" s="342"/>
      <c r="AZ1493" s="342"/>
      <c r="BA1493" s="342"/>
      <c r="BB1493" s="342"/>
      <c r="BC1493" s="342"/>
      <c r="BD1493" s="342"/>
      <c r="BE1493" s="342"/>
      <c r="BF1493" s="342"/>
      <c r="BG1493" s="342"/>
      <c r="BH1493" s="342"/>
      <c r="BI1493" s="342"/>
      <c r="BJ1493" s="342"/>
      <c r="BK1493" s="342"/>
      <c r="BL1493" s="342"/>
      <c r="BM1493" s="342"/>
      <c r="BN1493" s="342"/>
      <c r="BO1493" s="342"/>
      <c r="BP1493" s="342"/>
      <c r="BQ1493" s="342"/>
      <c r="BR1493" s="342"/>
      <c r="BS1493" s="342"/>
      <c r="BT1493" s="342"/>
      <c r="BU1493" s="342"/>
      <c r="BV1493" s="342"/>
      <c r="BW1493" s="342"/>
      <c r="BX1493" s="342"/>
      <c r="BY1493" s="342"/>
      <c r="BZ1493" s="342"/>
      <c r="CA1493" s="342"/>
      <c r="CB1493" s="342"/>
      <c r="CC1493" s="342"/>
      <c r="CD1493" s="342"/>
      <c r="CE1493" s="342"/>
      <c r="CF1493" s="342"/>
      <c r="CG1493" s="342"/>
      <c r="CH1493" s="342"/>
      <c r="CI1493" s="342"/>
      <c r="CJ1493" s="342"/>
      <c r="CK1493" s="342"/>
      <c r="CL1493" s="342"/>
      <c r="CM1493" s="342"/>
      <c r="CN1493" s="342"/>
      <c r="CO1493" s="342"/>
      <c r="CP1493" s="342"/>
      <c r="CQ1493" s="342"/>
      <c r="CR1493" s="342"/>
      <c r="CS1493" s="342"/>
      <c r="CT1493" s="342"/>
      <c r="CU1493" s="342"/>
      <c r="CV1493" s="342"/>
      <c r="CW1493" s="342"/>
      <c r="CX1493" s="342"/>
      <c r="CY1493" s="342"/>
      <c r="CZ1493" s="342"/>
      <c r="DA1493" s="342"/>
      <c r="DB1493" s="342"/>
      <c r="DC1493" s="342"/>
      <c r="DD1493" s="342"/>
      <c r="DE1493" s="342"/>
      <c r="DF1493" s="342"/>
      <c r="DG1493" s="342"/>
      <c r="DH1493" s="342"/>
      <c r="DI1493" s="342"/>
      <c r="DJ1493" s="342"/>
      <c r="DK1493" s="342"/>
      <c r="DL1493" s="342"/>
      <c r="DM1493" s="342"/>
      <c r="DN1493" s="342"/>
      <c r="DO1493" s="342"/>
      <c r="DP1493" s="342"/>
      <c r="DQ1493" s="342"/>
      <c r="DR1493" s="342"/>
      <c r="DS1493" s="342"/>
      <c r="DT1493" s="342"/>
      <c r="DU1493" s="342"/>
      <c r="FV1493" s="12"/>
      <c r="FW1493" s="342"/>
      <c r="FX1493" s="342"/>
      <c r="FY1493" s="342"/>
      <c r="FZ1493" s="342"/>
      <c r="GA1493" s="342"/>
      <c r="GB1493" s="342"/>
      <c r="GC1493" s="342"/>
      <c r="GD1493" s="342"/>
      <c r="GE1493" s="13"/>
      <c r="GT1493" s="12"/>
      <c r="GU1493" s="342"/>
      <c r="GV1493" s="342"/>
      <c r="GW1493" s="342"/>
      <c r="GX1493" s="12"/>
      <c r="GY1493" s="12"/>
      <c r="GZ1493" s="342"/>
      <c r="HA1493" s="342"/>
      <c r="HB1493" s="342"/>
      <c r="HC1493" s="342"/>
      <c r="HD1493" s="342"/>
      <c r="HE1493" s="342"/>
      <c r="HF1493" s="342"/>
      <c r="HG1493" s="342"/>
      <c r="HH1493" s="342"/>
      <c r="HI1493" s="13"/>
      <c r="HJ1493" s="12"/>
      <c r="HK1493" s="342"/>
      <c r="HL1493" s="13"/>
      <c r="HM1493" s="12"/>
      <c r="HN1493" s="342"/>
      <c r="HO1493" s="342"/>
      <c r="HP1493" s="342"/>
      <c r="HQ1493" s="342"/>
      <c r="HR1493" s="342"/>
      <c r="HS1493" s="342"/>
      <c r="HT1493" s="342"/>
      <c r="HU1493" s="342"/>
      <c r="HV1493" s="342"/>
      <c r="HW1493" s="342"/>
      <c r="HX1493" s="342"/>
      <c r="HY1493" s="342"/>
      <c r="HZ1493" s="342"/>
      <c r="IA1493" s="342"/>
      <c r="IB1493" s="342"/>
      <c r="IC1493" s="342"/>
      <c r="ID1493" s="342"/>
      <c r="IE1493" s="342"/>
      <c r="IF1493" s="342"/>
      <c r="IG1493" s="342"/>
      <c r="IH1493" s="342"/>
      <c r="II1493" s="342"/>
      <c r="IJ1493" s="342"/>
      <c r="IK1493" s="342"/>
      <c r="IL1493" s="342"/>
      <c r="IM1493" s="342"/>
      <c r="IN1493" s="342"/>
      <c r="IO1493" s="342"/>
      <c r="IP1493" s="342"/>
      <c r="IQ1493" s="342"/>
      <c r="IR1493" s="342"/>
      <c r="IS1493" s="342"/>
      <c r="IT1493" s="342"/>
      <c r="IU1493" s="342"/>
      <c r="IV1493" s="342"/>
      <c r="IW1493" s="342"/>
      <c r="IX1493" s="342"/>
      <c r="IY1493" s="342"/>
      <c r="IZ1493" s="342"/>
      <c r="JA1493" s="342"/>
      <c r="JB1493" s="342"/>
      <c r="JC1493" s="342"/>
      <c r="JD1493" s="342"/>
      <c r="JE1493" s="342"/>
      <c r="JF1493" s="342"/>
      <c r="JG1493" s="342"/>
      <c r="JH1493" s="342"/>
      <c r="JI1493" s="342"/>
      <c r="JJ1493" s="342"/>
      <c r="JK1493" s="342"/>
      <c r="JL1493" s="342"/>
      <c r="JM1493" s="342"/>
      <c r="JN1493" s="342"/>
      <c r="JO1493" s="342"/>
      <c r="JP1493" s="342"/>
      <c r="JQ1493" s="342"/>
      <c r="JR1493" s="342"/>
      <c r="JS1493" s="342"/>
      <c r="JT1493" s="342"/>
      <c r="JU1493" s="342"/>
      <c r="JV1493" s="342"/>
      <c r="JW1493" s="342"/>
      <c r="JX1493" s="342"/>
      <c r="JY1493" s="342"/>
      <c r="JZ1493" s="342"/>
      <c r="KA1493" s="342"/>
      <c r="KB1493" s="342"/>
      <c r="KC1493" s="342"/>
      <c r="KD1493" s="342"/>
      <c r="KE1493" s="342"/>
      <c r="KF1493" s="342"/>
      <c r="KG1493" s="342"/>
      <c r="KH1493" s="342"/>
      <c r="KI1493" s="342"/>
      <c r="KJ1493" s="342"/>
      <c r="KK1493" s="342"/>
      <c r="KL1493" s="342"/>
      <c r="KM1493" s="342"/>
      <c r="KN1493" s="342"/>
      <c r="KO1493" s="342"/>
      <c r="KP1493" s="342"/>
      <c r="KQ1493" s="342"/>
      <c r="KR1493" s="342"/>
      <c r="KS1493" s="342"/>
      <c r="KT1493" s="342"/>
      <c r="KU1493" s="342"/>
      <c r="KV1493" s="342"/>
      <c r="KW1493" s="342"/>
      <c r="KX1493" s="342"/>
      <c r="KY1493" s="342"/>
      <c r="KZ1493" s="342"/>
      <c r="LA1493" s="342"/>
      <c r="LB1493" s="13"/>
      <c r="LC1493" s="342"/>
      <c r="LD1493" s="342"/>
      <c r="LE1493" s="13"/>
      <c r="LF1493" s="342"/>
      <c r="LG1493" s="342"/>
      <c r="LH1493" s="342"/>
      <c r="LI1493" s="342"/>
      <c r="LJ1493" s="342"/>
      <c r="LK1493" s="342"/>
      <c r="LL1493" s="342"/>
      <c r="LM1493" s="342"/>
      <c r="LN1493" s="342"/>
      <c r="LO1493" s="342"/>
      <c r="LP1493" s="342"/>
      <c r="LQ1493" s="342"/>
      <c r="LR1493" s="342"/>
      <c r="LS1493" s="342"/>
      <c r="LT1493" s="342"/>
      <c r="LU1493" s="13"/>
    </row>
    <row r="1494" spans="6:333" ht="10.75" customHeight="1">
      <c r="F1494" s="342"/>
      <c r="G1494" s="342"/>
      <c r="H1494" s="342"/>
      <c r="I1494" s="342"/>
      <c r="J1494" s="342"/>
      <c r="K1494" s="342"/>
      <c r="L1494" s="342"/>
      <c r="M1494" s="342"/>
      <c r="N1494" s="342"/>
      <c r="O1494" s="342"/>
      <c r="P1494" s="342"/>
      <c r="Q1494" s="342"/>
      <c r="R1494" s="342"/>
      <c r="S1494" s="342"/>
      <c r="T1494" s="342"/>
      <c r="U1494" s="342"/>
      <c r="V1494" s="342"/>
      <c r="W1494" s="342"/>
      <c r="X1494" s="342"/>
      <c r="Y1494" s="342"/>
      <c r="Z1494" s="342"/>
      <c r="AA1494" s="342"/>
      <c r="AB1494" s="342"/>
      <c r="AC1494" s="342"/>
      <c r="AD1494" s="342"/>
      <c r="AE1494" s="342"/>
      <c r="AF1494" s="342"/>
      <c r="AG1494" s="342"/>
      <c r="AH1494" s="342"/>
      <c r="AI1494" s="342"/>
      <c r="AJ1494" s="342"/>
      <c r="AK1494" s="342"/>
      <c r="AL1494" s="342"/>
      <c r="AM1494" s="342"/>
      <c r="AN1494" s="342"/>
      <c r="AO1494" s="342"/>
      <c r="AP1494" s="342"/>
      <c r="AQ1494" s="342"/>
      <c r="AR1494" s="342"/>
      <c r="AS1494" s="342"/>
      <c r="AT1494" s="342"/>
      <c r="AU1494" s="342"/>
      <c r="AV1494" s="342"/>
      <c r="AW1494" s="342"/>
      <c r="AX1494" s="342"/>
      <c r="AY1494" s="342"/>
      <c r="AZ1494" s="342"/>
      <c r="BA1494" s="342"/>
      <c r="BB1494" s="342"/>
      <c r="BC1494" s="342"/>
      <c r="BD1494" s="342"/>
      <c r="BE1494" s="342"/>
      <c r="BF1494" s="342"/>
      <c r="BG1494" s="342"/>
      <c r="BH1494" s="342"/>
      <c r="BI1494" s="342"/>
      <c r="BJ1494" s="342"/>
      <c r="BK1494" s="342"/>
      <c r="BL1494" s="342"/>
      <c r="BM1494" s="342"/>
      <c r="BN1494" s="342"/>
      <c r="BO1494" s="342"/>
      <c r="BP1494" s="342"/>
      <c r="BQ1494" s="342"/>
      <c r="BR1494" s="342"/>
      <c r="BS1494" s="342"/>
      <c r="BT1494" s="342"/>
      <c r="BU1494" s="342"/>
      <c r="BV1494" s="342"/>
      <c r="BW1494" s="342"/>
      <c r="BX1494" s="342"/>
      <c r="BY1494" s="342"/>
      <c r="BZ1494" s="342"/>
      <c r="CA1494" s="342"/>
      <c r="CB1494" s="342"/>
      <c r="CC1494" s="342"/>
      <c r="CD1494" s="342"/>
      <c r="CE1494" s="342"/>
      <c r="CF1494" s="342"/>
      <c r="CG1494" s="342"/>
      <c r="CH1494" s="342"/>
      <c r="CI1494" s="342"/>
      <c r="CJ1494" s="342"/>
      <c r="CK1494" s="342"/>
      <c r="CL1494" s="342"/>
      <c r="CM1494" s="342"/>
      <c r="CN1494" s="342"/>
      <c r="CO1494" s="342"/>
      <c r="CP1494" s="342"/>
      <c r="CQ1494" s="342"/>
      <c r="CR1494" s="342"/>
      <c r="CS1494" s="342"/>
      <c r="CT1494" s="342"/>
      <c r="CU1494" s="342"/>
      <c r="CV1494" s="342"/>
      <c r="CW1494" s="342"/>
      <c r="CX1494" s="342"/>
      <c r="CY1494" s="342"/>
      <c r="CZ1494" s="342"/>
      <c r="DA1494" s="342"/>
      <c r="DB1494" s="342"/>
      <c r="DC1494" s="342"/>
      <c r="DD1494" s="342"/>
      <c r="DE1494" s="342"/>
      <c r="DF1494" s="342"/>
      <c r="DG1494" s="342"/>
      <c r="DH1494" s="342"/>
      <c r="DI1494" s="342"/>
      <c r="DJ1494" s="342"/>
      <c r="DK1494" s="342"/>
      <c r="DL1494" s="342"/>
      <c r="DM1494" s="342"/>
      <c r="DN1494" s="342"/>
      <c r="DO1494" s="342"/>
      <c r="DP1494" s="342"/>
      <c r="DQ1494" s="342"/>
      <c r="DR1494" s="342"/>
      <c r="DS1494" s="342"/>
      <c r="DT1494" s="342"/>
      <c r="DU1494" s="342"/>
      <c r="FV1494" s="12"/>
      <c r="FW1494" s="342"/>
      <c r="FX1494" s="342"/>
      <c r="FY1494" s="342"/>
      <c r="FZ1494" s="342"/>
      <c r="GA1494" s="342"/>
      <c r="GB1494" s="342"/>
      <c r="GC1494" s="342"/>
      <c r="GD1494" s="342"/>
      <c r="GE1494" s="13"/>
      <c r="GT1494" s="12"/>
      <c r="GU1494" s="342"/>
      <c r="GV1494" s="342"/>
      <c r="GW1494" s="342"/>
      <c r="GX1494" s="12"/>
      <c r="GY1494" s="12"/>
      <c r="GZ1494" s="342"/>
      <c r="HA1494" s="342"/>
      <c r="HB1494" s="342"/>
      <c r="HC1494" s="342"/>
      <c r="HD1494" s="342"/>
      <c r="HE1494" s="342"/>
      <c r="HF1494" s="342"/>
      <c r="HG1494" s="342"/>
      <c r="HH1494" s="342"/>
      <c r="HI1494" s="13"/>
      <c r="HJ1494" s="12"/>
      <c r="HK1494" s="342"/>
      <c r="HL1494" s="13"/>
      <c r="HM1494" s="12"/>
      <c r="HN1494" s="342"/>
      <c r="HO1494" s="342"/>
      <c r="HP1494" s="342"/>
      <c r="HQ1494" s="342"/>
      <c r="HR1494" s="342"/>
      <c r="HS1494" s="342"/>
      <c r="HT1494" s="342"/>
      <c r="HU1494" s="342"/>
      <c r="HV1494" s="342"/>
      <c r="HW1494" s="342"/>
      <c r="HX1494" s="342"/>
      <c r="HY1494" s="342"/>
      <c r="HZ1494" s="342"/>
      <c r="IA1494" s="342"/>
      <c r="IB1494" s="342"/>
      <c r="IC1494" s="342"/>
      <c r="ID1494" s="342"/>
      <c r="IE1494" s="9"/>
      <c r="IF1494" s="10"/>
      <c r="IG1494" s="10"/>
      <c r="IH1494" s="10"/>
      <c r="II1494" s="10"/>
      <c r="IJ1494" s="10"/>
      <c r="IK1494" s="10"/>
      <c r="IL1494" s="10"/>
      <c r="IM1494" s="10"/>
      <c r="IN1494" s="10"/>
      <c r="IO1494" s="10"/>
      <c r="IP1494" s="10"/>
      <c r="IQ1494" s="10"/>
      <c r="IR1494" s="10"/>
      <c r="IS1494" s="10"/>
      <c r="IT1494" s="10"/>
      <c r="IU1494" s="10"/>
      <c r="IV1494" s="10"/>
      <c r="IW1494" s="10"/>
      <c r="IX1494" s="10"/>
      <c r="IY1494" s="10"/>
      <c r="IZ1494" s="10"/>
      <c r="JA1494" s="10"/>
      <c r="JB1494" s="11"/>
      <c r="JC1494" s="342"/>
      <c r="JD1494" s="342"/>
      <c r="JE1494" s="342"/>
      <c r="JF1494" s="342"/>
      <c r="JG1494" s="342"/>
      <c r="JH1494" s="342"/>
      <c r="JI1494" s="342"/>
      <c r="JJ1494" s="342"/>
      <c r="JK1494" s="342"/>
      <c r="JL1494" s="342"/>
      <c r="JM1494" s="342"/>
      <c r="JN1494" s="342"/>
      <c r="JO1494" s="342"/>
      <c r="JP1494" s="342"/>
      <c r="JQ1494" s="342"/>
      <c r="JR1494" s="342"/>
      <c r="JS1494" s="342"/>
      <c r="JT1494" s="342"/>
      <c r="JU1494" s="342"/>
      <c r="JV1494" s="342"/>
      <c r="JW1494" s="342"/>
      <c r="JX1494" s="342"/>
      <c r="JY1494" s="342"/>
      <c r="JZ1494" s="342"/>
      <c r="KA1494" s="342"/>
      <c r="KB1494" s="342"/>
      <c r="KC1494" s="342"/>
      <c r="KD1494" s="342"/>
      <c r="KE1494" s="342"/>
      <c r="KF1494" s="342"/>
      <c r="KG1494" s="342"/>
      <c r="KH1494" s="342"/>
      <c r="KI1494" s="342"/>
      <c r="KJ1494" s="342"/>
      <c r="KK1494" s="342"/>
      <c r="KL1494" s="342"/>
      <c r="KM1494" s="342"/>
      <c r="KN1494" s="342"/>
      <c r="KO1494" s="342"/>
      <c r="KP1494" s="342"/>
      <c r="KQ1494" s="342"/>
      <c r="KR1494" s="342"/>
      <c r="KS1494" s="342"/>
      <c r="KT1494" s="342"/>
      <c r="KU1494" s="342"/>
      <c r="KV1494" s="342"/>
      <c r="KW1494" s="342"/>
      <c r="KX1494" s="342"/>
      <c r="KY1494" s="342"/>
      <c r="KZ1494" s="342"/>
      <c r="LA1494" s="342"/>
      <c r="LB1494" s="13"/>
      <c r="LC1494" s="342"/>
      <c r="LD1494" s="342"/>
      <c r="LE1494" s="13"/>
      <c r="LF1494" s="342"/>
      <c r="LG1494" s="342"/>
      <c r="LH1494" s="342"/>
      <c r="LI1494" s="342"/>
      <c r="LJ1494" s="342"/>
      <c r="LK1494" s="342"/>
      <c r="LL1494" s="342"/>
      <c r="LM1494" s="342"/>
      <c r="LN1494" s="342"/>
      <c r="LO1494" s="342"/>
      <c r="LP1494" s="342"/>
      <c r="LQ1494" s="342"/>
      <c r="LR1494" s="342"/>
      <c r="LS1494" s="342"/>
      <c r="LT1494" s="342"/>
      <c r="LU1494" s="13"/>
    </row>
    <row r="1495" spans="6:333" ht="10.75" customHeight="1">
      <c r="F1495" s="342"/>
      <c r="G1495" s="342"/>
      <c r="H1495" s="342"/>
      <c r="I1495" s="342"/>
      <c r="J1495" s="342"/>
      <c r="K1495" s="342"/>
      <c r="L1495" s="342"/>
      <c r="M1495" s="342"/>
      <c r="N1495" s="342"/>
      <c r="O1495" s="342"/>
      <c r="P1495" s="342"/>
      <c r="Q1495" s="342"/>
      <c r="R1495" s="342"/>
      <c r="S1495" s="342"/>
      <c r="T1495" s="342"/>
      <c r="U1495" s="342"/>
      <c r="V1495" s="342"/>
      <c r="W1495" s="342"/>
      <c r="X1495" s="342"/>
      <c r="Y1495" s="342"/>
      <c r="Z1495" s="342"/>
      <c r="AA1495" s="342"/>
      <c r="AB1495" s="342"/>
      <c r="AC1495" s="342"/>
      <c r="AD1495" s="342"/>
      <c r="AE1495" s="342"/>
      <c r="AF1495" s="342"/>
      <c r="AG1495" s="342"/>
      <c r="AH1495" s="342"/>
      <c r="AI1495" s="342"/>
      <c r="AJ1495" s="342"/>
      <c r="AK1495" s="342"/>
      <c r="AL1495" s="342"/>
      <c r="AM1495" s="342"/>
      <c r="AN1495" s="342"/>
      <c r="AO1495" s="342"/>
      <c r="AP1495" s="342"/>
      <c r="AQ1495" s="342"/>
      <c r="AR1495" s="342"/>
      <c r="AS1495" s="342"/>
      <c r="AT1495" s="342"/>
      <c r="AU1495" s="342"/>
      <c r="AV1495" s="342"/>
      <c r="AW1495" s="342"/>
      <c r="AX1495" s="342"/>
      <c r="AY1495" s="342"/>
      <c r="AZ1495" s="342"/>
      <c r="BA1495" s="342"/>
      <c r="BB1495" s="342"/>
      <c r="BC1495" s="342"/>
      <c r="BD1495" s="342"/>
      <c r="BE1495" s="342"/>
      <c r="BF1495" s="342"/>
      <c r="BG1495" s="342"/>
      <c r="BH1495" s="342"/>
      <c r="BI1495" s="342"/>
      <c r="BJ1495" s="342"/>
      <c r="BK1495" s="342"/>
      <c r="BL1495" s="342"/>
      <c r="BM1495" s="342"/>
      <c r="BN1495" s="342"/>
      <c r="BO1495" s="342"/>
      <c r="BP1495" s="342"/>
      <c r="BQ1495" s="342"/>
      <c r="BR1495" s="342"/>
      <c r="BS1495" s="342"/>
      <c r="BT1495" s="342"/>
      <c r="BU1495" s="342"/>
      <c r="BV1495" s="342"/>
      <c r="BW1495" s="342"/>
      <c r="BX1495" s="342"/>
      <c r="BY1495" s="342"/>
      <c r="BZ1495" s="342"/>
      <c r="CA1495" s="342"/>
      <c r="CB1495" s="342"/>
      <c r="CC1495" s="342"/>
      <c r="CD1495" s="342"/>
      <c r="CE1495" s="342"/>
      <c r="CF1495" s="342"/>
      <c r="CG1495" s="342"/>
      <c r="CH1495" s="342"/>
      <c r="CI1495" s="342"/>
      <c r="CJ1495" s="342"/>
      <c r="CK1495" s="342"/>
      <c r="CL1495" s="342"/>
      <c r="CM1495" s="342"/>
      <c r="CN1495" s="342"/>
      <c r="CO1495" s="342"/>
      <c r="CP1495" s="342"/>
      <c r="CQ1495" s="342"/>
      <c r="CR1495" s="342"/>
      <c r="CS1495" s="342"/>
      <c r="CT1495" s="342"/>
      <c r="CU1495" s="342"/>
      <c r="CV1495" s="342"/>
      <c r="CW1495" s="342"/>
      <c r="CX1495" s="342"/>
      <c r="CY1495" s="342"/>
      <c r="CZ1495" s="342"/>
      <c r="DA1495" s="342"/>
      <c r="DB1495" s="342"/>
      <c r="DC1495" s="342"/>
      <c r="DD1495" s="342"/>
      <c r="DE1495" s="342"/>
      <c r="DF1495" s="342"/>
      <c r="DG1495" s="342"/>
      <c r="DH1495" s="342"/>
      <c r="DI1495" s="342"/>
      <c r="DJ1495" s="342"/>
      <c r="DK1495" s="342"/>
      <c r="DL1495" s="342"/>
      <c r="DM1495" s="342"/>
      <c r="DN1495" s="342"/>
      <c r="DO1495" s="342"/>
      <c r="DP1495" s="342"/>
      <c r="DQ1495" s="342"/>
      <c r="DR1495" s="342"/>
      <c r="DS1495" s="342"/>
      <c r="DT1495" s="342"/>
      <c r="DU1495" s="342"/>
      <c r="FV1495" s="12"/>
      <c r="FW1495" s="342"/>
      <c r="FX1495" s="342"/>
      <c r="FY1495" s="342"/>
      <c r="FZ1495" s="342"/>
      <c r="GA1495" s="342"/>
      <c r="GB1495" s="342"/>
      <c r="GC1495" s="342"/>
      <c r="GD1495" s="342"/>
      <c r="GE1495" s="13"/>
      <c r="GT1495" s="12"/>
      <c r="GU1495" s="342"/>
      <c r="GV1495" s="342"/>
      <c r="GW1495" s="342"/>
      <c r="GX1495" s="12"/>
      <c r="GY1495" s="12"/>
      <c r="GZ1495" s="342"/>
      <c r="HA1495" s="342"/>
      <c r="HB1495" s="342"/>
      <c r="HC1495" s="342"/>
      <c r="HD1495" s="342"/>
      <c r="HE1495" s="342"/>
      <c r="HF1495" s="342"/>
      <c r="HG1495" s="342"/>
      <c r="HH1495" s="342"/>
      <c r="HI1495" s="13"/>
      <c r="HJ1495" s="12"/>
      <c r="HK1495" s="342"/>
      <c r="HL1495" s="13"/>
      <c r="HM1495" s="12"/>
      <c r="HN1495" s="342"/>
      <c r="HO1495" s="342"/>
      <c r="HP1495" s="342"/>
      <c r="HQ1495" s="342"/>
      <c r="HR1495" s="342"/>
      <c r="HS1495" s="342"/>
      <c r="HT1495" s="342"/>
      <c r="HU1495" s="342"/>
      <c r="HV1495" s="342"/>
      <c r="HW1495" s="342"/>
      <c r="HX1495" s="342"/>
      <c r="HY1495" s="342"/>
      <c r="HZ1495" s="342"/>
      <c r="IA1495" s="342"/>
      <c r="IB1495" s="342"/>
      <c r="IC1495" s="342"/>
      <c r="ID1495" s="342"/>
      <c r="IE1495" s="12"/>
      <c r="IF1495" s="342"/>
      <c r="IG1495" s="342"/>
      <c r="IH1495" s="342"/>
      <c r="II1495" s="342"/>
      <c r="IJ1495" s="342"/>
      <c r="IK1495" s="342"/>
      <c r="IL1495" s="342"/>
      <c r="IM1495" s="342"/>
      <c r="IN1495" s="342"/>
      <c r="IO1495" s="342"/>
      <c r="IP1495" s="342"/>
      <c r="IQ1495" s="342"/>
      <c r="IR1495" s="342"/>
      <c r="IS1495" s="342"/>
      <c r="IT1495" s="342"/>
      <c r="IU1495" s="342"/>
      <c r="IV1495" s="342"/>
      <c r="IW1495" s="342"/>
      <c r="IX1495" s="342"/>
      <c r="IY1495" s="342"/>
      <c r="IZ1495" s="342"/>
      <c r="JA1495" s="342"/>
      <c r="JB1495" s="13"/>
      <c r="JC1495" s="342"/>
      <c r="JD1495" s="342"/>
      <c r="JE1495" s="342"/>
      <c r="JF1495" s="342"/>
      <c r="JG1495" s="342"/>
      <c r="JH1495" s="342"/>
      <c r="JI1495" s="342"/>
      <c r="JJ1495" s="342"/>
      <c r="JK1495" s="342"/>
      <c r="JL1495" s="342"/>
      <c r="JM1495" s="342"/>
      <c r="JN1495" s="342"/>
      <c r="JO1495" s="342"/>
      <c r="JP1495" s="342"/>
      <c r="JQ1495" s="342"/>
      <c r="JR1495" s="342"/>
      <c r="JS1495" s="342"/>
      <c r="JT1495" s="342"/>
      <c r="JU1495" s="342"/>
      <c r="JV1495" s="342"/>
      <c r="JW1495" s="342"/>
      <c r="JX1495" s="342"/>
      <c r="JY1495" s="342"/>
      <c r="JZ1495" s="342"/>
      <c r="KA1495" s="342"/>
      <c r="KB1495" s="342"/>
      <c r="KC1495" s="342"/>
      <c r="KD1495" s="342"/>
      <c r="KE1495" s="342"/>
      <c r="KF1495" s="342"/>
      <c r="KG1495" s="342"/>
      <c r="KH1495" s="342"/>
      <c r="KI1495" s="342"/>
      <c r="KJ1495" s="342"/>
      <c r="KK1495" s="342"/>
      <c r="KL1495" s="342"/>
      <c r="KM1495" s="342"/>
      <c r="KN1495" s="342"/>
      <c r="KO1495" s="342"/>
      <c r="KP1495" s="342"/>
      <c r="KQ1495" s="342"/>
      <c r="KR1495" s="342"/>
      <c r="KS1495" s="342"/>
      <c r="KT1495" s="342"/>
      <c r="KU1495" s="342"/>
      <c r="KV1495" s="342"/>
      <c r="KW1495" s="342"/>
      <c r="KX1495" s="342"/>
      <c r="KY1495" s="342"/>
      <c r="KZ1495" s="342"/>
      <c r="LA1495" s="342"/>
      <c r="LB1495" s="13"/>
      <c r="LC1495" s="342"/>
      <c r="LD1495" s="342"/>
      <c r="LE1495" s="13"/>
      <c r="LF1495" s="342"/>
      <c r="LG1495" s="342"/>
      <c r="LH1495" s="342"/>
      <c r="LI1495" s="342"/>
      <c r="LJ1495" s="342"/>
      <c r="LK1495" s="342"/>
      <c r="LL1495" s="342"/>
      <c r="LM1495" s="342"/>
      <c r="LN1495" s="342"/>
      <c r="LO1495" s="342"/>
      <c r="LP1495" s="342"/>
      <c r="LQ1495" s="342"/>
      <c r="LR1495" s="342"/>
      <c r="LS1495" s="342"/>
      <c r="LT1495" s="342"/>
      <c r="LU1495" s="13"/>
    </row>
    <row r="1496" spans="6:333" ht="10.75" customHeight="1">
      <c r="F1496" s="342"/>
      <c r="G1496" s="342"/>
      <c r="H1496" s="342"/>
      <c r="I1496" s="342"/>
      <c r="J1496" s="342"/>
      <c r="K1496" s="342"/>
      <c r="L1496" s="342"/>
      <c r="M1496" s="342"/>
      <c r="N1496" s="342"/>
      <c r="O1496" s="342"/>
      <c r="P1496" s="342"/>
      <c r="Q1496" s="342"/>
      <c r="R1496" s="342"/>
      <c r="S1496" s="342"/>
      <c r="T1496" s="342"/>
      <c r="U1496" s="342"/>
      <c r="V1496" s="342"/>
      <c r="W1496" s="342"/>
      <c r="X1496" s="342"/>
      <c r="Y1496" s="342"/>
      <c r="Z1496" s="342"/>
      <c r="AA1496" s="342"/>
      <c r="AB1496" s="342"/>
      <c r="AC1496" s="342"/>
      <c r="AD1496" s="342"/>
      <c r="AE1496" s="342"/>
      <c r="AF1496" s="342"/>
      <c r="AG1496" s="342"/>
      <c r="AH1496" s="342"/>
      <c r="AI1496" s="342"/>
      <c r="AJ1496" s="342"/>
      <c r="AK1496" s="342"/>
      <c r="AL1496" s="342"/>
      <c r="AM1496" s="342"/>
      <c r="AN1496" s="342"/>
      <c r="AO1496" s="342"/>
      <c r="AP1496" s="342"/>
      <c r="AQ1496" s="342"/>
      <c r="AR1496" s="342"/>
      <c r="AS1496" s="342"/>
      <c r="AT1496" s="342"/>
      <c r="AU1496" s="342"/>
      <c r="AV1496" s="342"/>
      <c r="AW1496" s="342"/>
      <c r="AX1496" s="342"/>
      <c r="AY1496" s="342"/>
      <c r="AZ1496" s="342"/>
      <c r="BA1496" s="342"/>
      <c r="BB1496" s="342"/>
      <c r="BC1496" s="342"/>
      <c r="BD1496" s="342"/>
      <c r="BE1496" s="342"/>
      <c r="BF1496" s="342"/>
      <c r="BG1496" s="342"/>
      <c r="BH1496" s="342"/>
      <c r="BI1496" s="342"/>
      <c r="BJ1496" s="342"/>
      <c r="BK1496" s="342"/>
      <c r="BL1496" s="342"/>
      <c r="BM1496" s="342"/>
      <c r="BN1496" s="342"/>
      <c r="BO1496" s="342"/>
      <c r="BP1496" s="342"/>
      <c r="BQ1496" s="342"/>
      <c r="BR1496" s="342"/>
      <c r="BS1496" s="342"/>
      <c r="BT1496" s="342"/>
      <c r="BU1496" s="342"/>
      <c r="BV1496" s="342"/>
      <c r="BW1496" s="342"/>
      <c r="BX1496" s="342"/>
      <c r="BY1496" s="342"/>
      <c r="BZ1496" s="342"/>
      <c r="CA1496" s="342"/>
      <c r="CB1496" s="342"/>
      <c r="CC1496" s="342"/>
      <c r="CD1496" s="342"/>
      <c r="CE1496" s="342"/>
      <c r="CF1496" s="342"/>
      <c r="CG1496" s="342"/>
      <c r="CH1496" s="342"/>
      <c r="CI1496" s="342"/>
      <c r="CJ1496" s="342"/>
      <c r="CK1496" s="342"/>
      <c r="CL1496" s="342"/>
      <c r="CM1496" s="342"/>
      <c r="CN1496" s="342"/>
      <c r="CO1496" s="342"/>
      <c r="CP1496" s="342"/>
      <c r="CQ1496" s="342"/>
      <c r="CR1496" s="342"/>
      <c r="CS1496" s="342"/>
      <c r="CT1496" s="342"/>
      <c r="CU1496" s="342"/>
      <c r="CV1496" s="342"/>
      <c r="CW1496" s="342"/>
      <c r="CX1496" s="342"/>
      <c r="CY1496" s="342"/>
      <c r="CZ1496" s="342"/>
      <c r="DA1496" s="342"/>
      <c r="DB1496" s="342"/>
      <c r="DC1496" s="342"/>
      <c r="DD1496" s="342"/>
      <c r="DE1496" s="342"/>
      <c r="DF1496" s="342"/>
      <c r="DG1496" s="342"/>
      <c r="DH1496" s="342"/>
      <c r="DI1496" s="342"/>
      <c r="DJ1496" s="342"/>
      <c r="DK1496" s="342"/>
      <c r="DL1496" s="342"/>
      <c r="DM1496" s="342"/>
      <c r="DN1496" s="342"/>
      <c r="DO1496" s="342"/>
      <c r="DP1496" s="342"/>
      <c r="DQ1496" s="342"/>
      <c r="DR1496" s="342"/>
      <c r="DS1496" s="342"/>
      <c r="DT1496" s="342"/>
      <c r="DU1496" s="342"/>
      <c r="FV1496" s="12"/>
      <c r="FW1496" s="342"/>
      <c r="FX1496" s="342"/>
      <c r="FY1496" s="342"/>
      <c r="FZ1496" s="342"/>
      <c r="GA1496" s="342"/>
      <c r="GB1496" s="342"/>
      <c r="GC1496" s="342"/>
      <c r="GD1496" s="342"/>
      <c r="GE1496" s="13"/>
      <c r="GT1496" s="12"/>
      <c r="GU1496" s="342"/>
      <c r="GV1496" s="342"/>
      <c r="GW1496" s="342"/>
      <c r="GX1496" s="12"/>
      <c r="GY1496" s="12"/>
      <c r="GZ1496" s="342"/>
      <c r="HA1496" s="342"/>
      <c r="HB1496" s="342"/>
      <c r="HC1496" s="342"/>
      <c r="HD1496" s="342"/>
      <c r="HE1496" s="342"/>
      <c r="HF1496" s="342"/>
      <c r="HG1496" s="342"/>
      <c r="HH1496" s="342"/>
      <c r="HI1496" s="13"/>
      <c r="HJ1496" s="12"/>
      <c r="HK1496" s="342"/>
      <c r="HL1496" s="13"/>
      <c r="HM1496" s="12"/>
      <c r="HN1496" s="342"/>
      <c r="HO1496" s="342"/>
      <c r="HP1496" s="342"/>
      <c r="HQ1496" s="342"/>
      <c r="HR1496" s="342"/>
      <c r="HS1496" s="342"/>
      <c r="HT1496" s="342"/>
      <c r="HU1496" s="342"/>
      <c r="HV1496" s="342"/>
      <c r="HW1496" s="342"/>
      <c r="HX1496" s="342"/>
      <c r="HY1496" s="342"/>
      <c r="HZ1496" s="342"/>
      <c r="IA1496" s="342"/>
      <c r="IB1496" s="342"/>
      <c r="IC1496" s="342"/>
      <c r="ID1496" s="342"/>
      <c r="IE1496" s="12"/>
      <c r="IF1496" s="342"/>
      <c r="IG1496" s="10"/>
      <c r="IH1496" s="10"/>
      <c r="II1496" s="10"/>
      <c r="IJ1496" s="10"/>
      <c r="IK1496" s="10"/>
      <c r="IL1496" s="10"/>
      <c r="IM1496" s="342"/>
      <c r="IN1496" s="352"/>
      <c r="IO1496" s="352"/>
      <c r="IP1496" s="352"/>
      <c r="IQ1496" s="352"/>
      <c r="IR1496" s="352"/>
      <c r="IS1496" s="352"/>
      <c r="IT1496" s="342"/>
      <c r="IU1496" s="342"/>
      <c r="IV1496" s="342"/>
      <c r="IW1496" s="342"/>
      <c r="IX1496" s="342"/>
      <c r="IY1496" s="342"/>
      <c r="IZ1496" s="342"/>
      <c r="JA1496" s="342"/>
      <c r="JB1496" s="13"/>
      <c r="JC1496" s="342"/>
      <c r="JD1496" s="342"/>
      <c r="JE1496" s="342"/>
      <c r="JF1496" s="342"/>
      <c r="JG1496" s="342"/>
      <c r="JH1496" s="342"/>
      <c r="JI1496" s="342"/>
      <c r="JJ1496" s="342"/>
      <c r="JK1496" s="342"/>
      <c r="JL1496" s="342"/>
      <c r="JM1496" s="342"/>
      <c r="JN1496" s="342"/>
      <c r="JO1496" s="342"/>
      <c r="JP1496" s="342"/>
      <c r="JQ1496" s="342"/>
      <c r="JR1496" s="342"/>
      <c r="JS1496" s="342"/>
      <c r="JT1496" s="342"/>
      <c r="JU1496" s="342"/>
      <c r="JV1496" s="342"/>
      <c r="JW1496" s="342"/>
      <c r="JX1496" s="342"/>
      <c r="JY1496" s="342"/>
      <c r="JZ1496" s="342"/>
      <c r="KA1496" s="342"/>
      <c r="KB1496" s="342"/>
      <c r="KC1496" s="342"/>
      <c r="KD1496" s="342"/>
      <c r="KE1496" s="342"/>
      <c r="KF1496" s="342"/>
      <c r="KG1496" s="342"/>
      <c r="KH1496" s="342"/>
      <c r="KI1496" s="342"/>
      <c r="KJ1496" s="342"/>
      <c r="KK1496" s="342"/>
      <c r="KL1496" s="342"/>
      <c r="KM1496" s="342"/>
      <c r="KN1496" s="342"/>
      <c r="KO1496" s="342"/>
      <c r="KP1496" s="342"/>
      <c r="KQ1496" s="342"/>
      <c r="KR1496" s="342"/>
      <c r="KS1496" s="342"/>
      <c r="KT1496" s="342"/>
      <c r="KU1496" s="342"/>
      <c r="KV1496" s="342"/>
      <c r="KW1496" s="342"/>
      <c r="KX1496" s="342"/>
      <c r="KY1496" s="342"/>
      <c r="KZ1496" s="342"/>
      <c r="LA1496" s="342"/>
      <c r="LB1496" s="13"/>
      <c r="LC1496" s="342"/>
      <c r="LD1496" s="342"/>
      <c r="LE1496" s="13"/>
      <c r="LF1496" s="342"/>
      <c r="LG1496" s="342"/>
      <c r="LH1496" s="342"/>
      <c r="LI1496" s="342"/>
      <c r="LJ1496" s="342"/>
      <c r="LK1496" s="342"/>
      <c r="LL1496" s="342"/>
      <c r="LM1496" s="342"/>
      <c r="LN1496" s="342"/>
      <c r="LO1496" s="342"/>
      <c r="LP1496" s="342"/>
      <c r="LQ1496" s="342"/>
      <c r="LR1496" s="342"/>
      <c r="LS1496" s="342"/>
      <c r="LT1496" s="342"/>
      <c r="LU1496" s="13"/>
    </row>
    <row r="1497" spans="6:333" ht="10.75" customHeight="1">
      <c r="F1497" s="342"/>
      <c r="G1497" s="342"/>
      <c r="H1497" s="342"/>
      <c r="I1497" s="342"/>
      <c r="J1497" s="342"/>
      <c r="K1497" s="342"/>
      <c r="L1497" s="342"/>
      <c r="M1497" s="342"/>
      <c r="N1497" s="342"/>
      <c r="O1497" s="342"/>
      <c r="P1497" s="342"/>
      <c r="Q1497" s="342"/>
      <c r="R1497" s="342"/>
      <c r="S1497" s="342"/>
      <c r="T1497" s="342"/>
      <c r="U1497" s="342"/>
      <c r="V1497" s="342"/>
      <c r="W1497" s="342"/>
      <c r="X1497" s="342"/>
      <c r="Y1497" s="342"/>
      <c r="Z1497" s="342"/>
      <c r="AA1497" s="342"/>
      <c r="AB1497" s="342"/>
      <c r="AC1497" s="342"/>
      <c r="AD1497" s="342"/>
      <c r="AE1497" s="342"/>
      <c r="AF1497" s="342"/>
      <c r="AG1497" s="342"/>
      <c r="AH1497" s="342"/>
      <c r="AI1497" s="342"/>
      <c r="AJ1497" s="342"/>
      <c r="AK1497" s="342"/>
      <c r="AL1497" s="342"/>
      <c r="AM1497" s="342"/>
      <c r="AN1497" s="342"/>
      <c r="AO1497" s="342"/>
      <c r="AP1497" s="342"/>
      <c r="AQ1497" s="342"/>
      <c r="AR1497" s="342"/>
      <c r="AS1497" s="342"/>
      <c r="AT1497" s="342"/>
      <c r="AU1497" s="342"/>
      <c r="AV1497" s="342"/>
      <c r="AW1497" s="342"/>
      <c r="AX1497" s="342"/>
      <c r="AY1497" s="342"/>
      <c r="AZ1497" s="342"/>
      <c r="BA1497" s="342"/>
      <c r="BB1497" s="342"/>
      <c r="BC1497" s="342"/>
      <c r="BD1497" s="342"/>
      <c r="BE1497" s="342"/>
      <c r="BF1497" s="342"/>
      <c r="BG1497" s="342"/>
      <c r="BH1497" s="342"/>
      <c r="BI1497" s="342"/>
      <c r="BJ1497" s="342"/>
      <c r="BK1497" s="342"/>
      <c r="BL1497" s="342"/>
      <c r="BM1497" s="342"/>
      <c r="BN1497" s="342"/>
      <c r="BO1497" s="342"/>
      <c r="BP1497" s="342"/>
      <c r="BQ1497" s="342"/>
      <c r="BR1497" s="342"/>
      <c r="BS1497" s="342"/>
      <c r="BT1497" s="342"/>
      <c r="BU1497" s="342"/>
      <c r="BV1497" s="342"/>
      <c r="BW1497" s="342"/>
      <c r="BX1497" s="342"/>
      <c r="BY1497" s="342"/>
      <c r="BZ1497" s="342"/>
      <c r="CA1497" s="342"/>
      <c r="CB1497" s="342"/>
      <c r="CC1497" s="342"/>
      <c r="CD1497" s="342"/>
      <c r="CE1497" s="342"/>
      <c r="CF1497" s="342"/>
      <c r="CG1497" s="342"/>
      <c r="CH1497" s="342"/>
      <c r="CI1497" s="342"/>
      <c r="CJ1497" s="342"/>
      <c r="CK1497" s="342"/>
      <c r="CL1497" s="342"/>
      <c r="CM1497" s="342"/>
      <c r="CN1497" s="342"/>
      <c r="CO1497" s="342"/>
      <c r="CP1497" s="342"/>
      <c r="CQ1497" s="342"/>
      <c r="CR1497" s="342"/>
      <c r="CS1497" s="342"/>
      <c r="CT1497" s="342"/>
      <c r="CU1497" s="342"/>
      <c r="CV1497" s="342"/>
      <c r="CW1497" s="342"/>
      <c r="CX1497" s="342"/>
      <c r="CY1497" s="342"/>
      <c r="CZ1497" s="342"/>
      <c r="DA1497" s="342"/>
      <c r="DB1497" s="342"/>
      <c r="DC1497" s="342"/>
      <c r="DD1497" s="342"/>
      <c r="DE1497" s="342"/>
      <c r="DF1497" s="342"/>
      <c r="DG1497" s="342"/>
      <c r="DH1497" s="342"/>
      <c r="DI1497" s="342"/>
      <c r="DJ1497" s="342"/>
      <c r="DK1497" s="342"/>
      <c r="DL1497" s="342"/>
      <c r="DM1497" s="342"/>
      <c r="DN1497" s="342"/>
      <c r="DO1497" s="342"/>
      <c r="DP1497" s="342"/>
      <c r="DQ1497" s="342"/>
      <c r="DR1497" s="342"/>
      <c r="DS1497" s="342"/>
      <c r="DT1497" s="342"/>
      <c r="DU1497" s="342"/>
      <c r="FV1497" s="12"/>
      <c r="FW1497" s="342"/>
      <c r="FX1497" s="342"/>
      <c r="FY1497" s="342"/>
      <c r="FZ1497" s="342"/>
      <c r="GA1497" s="342"/>
      <c r="GB1497" s="342"/>
      <c r="GC1497" s="342"/>
      <c r="GD1497" s="342"/>
      <c r="GE1497" s="13"/>
      <c r="GT1497" s="12"/>
      <c r="GU1497" s="342"/>
      <c r="GV1497" s="342"/>
      <c r="GW1497" s="342"/>
      <c r="GX1497" s="12"/>
      <c r="GY1497" s="12"/>
      <c r="GZ1497" s="342"/>
      <c r="HA1497" s="342"/>
      <c r="HB1497" s="342"/>
      <c r="HC1497" s="342"/>
      <c r="HD1497" s="342"/>
      <c r="HE1497" s="342"/>
      <c r="HF1497" s="342"/>
      <c r="HG1497" s="342"/>
      <c r="HH1497" s="342"/>
      <c r="HI1497" s="13"/>
      <c r="HJ1497" s="12"/>
      <c r="HK1497" s="342"/>
      <c r="HL1497" s="13"/>
      <c r="HM1497" s="12"/>
      <c r="HN1497" s="342"/>
      <c r="HO1497" s="342"/>
      <c r="HP1497" s="342"/>
      <c r="HQ1497" s="342"/>
      <c r="HR1497" s="342"/>
      <c r="HS1497" s="342"/>
      <c r="HT1497" s="342"/>
      <c r="HU1497" s="342"/>
      <c r="HV1497" s="342"/>
      <c r="HW1497" s="342"/>
      <c r="HX1497" s="342"/>
      <c r="HY1497" s="342"/>
      <c r="HZ1497" s="342"/>
      <c r="IA1497" s="342"/>
      <c r="IB1497" s="342"/>
      <c r="IC1497" s="342"/>
      <c r="ID1497" s="342"/>
      <c r="IE1497" s="12"/>
      <c r="IF1497" s="342"/>
      <c r="IG1497" s="15"/>
      <c r="IH1497" s="15"/>
      <c r="II1497" s="15"/>
      <c r="IJ1497" s="15"/>
      <c r="IK1497" s="15"/>
      <c r="IL1497" s="15"/>
      <c r="IM1497" s="342"/>
      <c r="IN1497" s="352"/>
      <c r="IO1497" s="352"/>
      <c r="IP1497" s="352"/>
      <c r="IQ1497" s="352"/>
      <c r="IR1497" s="352"/>
      <c r="IS1497" s="352"/>
      <c r="IT1497" s="342"/>
      <c r="IU1497" s="342"/>
      <c r="IV1497" s="342"/>
      <c r="IW1497" s="342"/>
      <c r="IX1497" s="342"/>
      <c r="IY1497" s="342"/>
      <c r="IZ1497" s="342"/>
      <c r="JA1497" s="342"/>
      <c r="JB1497" s="13"/>
      <c r="JC1497" s="342"/>
      <c r="JD1497" s="342"/>
      <c r="JE1497" s="342"/>
      <c r="JF1497" s="342"/>
      <c r="JG1497" s="342"/>
      <c r="JH1497" s="342"/>
      <c r="JI1497" s="342"/>
      <c r="JJ1497" s="342"/>
      <c r="JK1497" s="342"/>
      <c r="JL1497" s="342"/>
      <c r="JM1497" s="342"/>
      <c r="JN1497" s="342"/>
      <c r="JO1497" s="342"/>
      <c r="JP1497" s="342"/>
      <c r="JQ1497" s="342"/>
      <c r="JR1497" s="342"/>
      <c r="JS1497" s="342"/>
      <c r="JT1497" s="342"/>
      <c r="JU1497" s="342"/>
      <c r="JV1497" s="342"/>
      <c r="JW1497" s="342"/>
      <c r="JX1497" s="342"/>
      <c r="JY1497" s="342"/>
      <c r="JZ1497" s="342"/>
      <c r="KA1497" s="342"/>
      <c r="KB1497" s="342"/>
      <c r="KC1497" s="342"/>
      <c r="KD1497" s="342"/>
      <c r="KE1497" s="342"/>
      <c r="KF1497" s="342"/>
      <c r="KG1497" s="342"/>
      <c r="KH1497" s="342"/>
      <c r="KI1497" s="342"/>
      <c r="KJ1497" s="342"/>
      <c r="KK1497" s="342"/>
      <c r="KL1497" s="342"/>
      <c r="KM1497" s="342"/>
      <c r="KN1497" s="342"/>
      <c r="KO1497" s="342"/>
      <c r="KP1497" s="342"/>
      <c r="KQ1497" s="342"/>
      <c r="KR1497" s="342"/>
      <c r="KS1497" s="342"/>
      <c r="KT1497" s="342"/>
      <c r="KU1497" s="342"/>
      <c r="KV1497" s="342"/>
      <c r="KW1497" s="342"/>
      <c r="KX1497" s="342"/>
      <c r="KY1497" s="342"/>
      <c r="KZ1497" s="342"/>
      <c r="LA1497" s="342"/>
      <c r="LB1497" s="13"/>
      <c r="LC1497" s="342"/>
      <c r="LD1497" s="342"/>
      <c r="LE1497" s="13"/>
      <c r="LF1497" s="342"/>
      <c r="LG1497" s="342"/>
      <c r="LH1497" s="342"/>
      <c r="LI1497" s="342"/>
      <c r="LJ1497" s="342"/>
      <c r="LK1497" s="342"/>
      <c r="LL1497" s="342"/>
      <c r="LM1497" s="342"/>
      <c r="LN1497" s="342"/>
      <c r="LO1497" s="342"/>
      <c r="LP1497" s="342"/>
      <c r="LQ1497" s="342"/>
      <c r="LR1497" s="342"/>
      <c r="LS1497" s="342"/>
      <c r="LT1497" s="342"/>
      <c r="LU1497" s="13"/>
    </row>
    <row r="1498" spans="6:333" ht="10.75" customHeight="1">
      <c r="F1498" s="342"/>
      <c r="G1498" s="342"/>
      <c r="H1498" s="342"/>
      <c r="I1498" s="342"/>
      <c r="J1498" s="342"/>
      <c r="K1498" s="342"/>
      <c r="L1498" s="342"/>
      <c r="M1498" s="342"/>
      <c r="N1498" s="342"/>
      <c r="O1498" s="342"/>
      <c r="P1498" s="342"/>
      <c r="Q1498" s="342"/>
      <c r="R1498" s="342"/>
      <c r="S1498" s="342"/>
      <c r="T1498" s="342"/>
      <c r="U1498" s="342"/>
      <c r="V1498" s="342"/>
      <c r="W1498" s="342"/>
      <c r="X1498" s="342"/>
      <c r="Y1498" s="342"/>
      <c r="Z1498" s="342"/>
      <c r="AA1498" s="342"/>
      <c r="AB1498" s="342"/>
      <c r="AC1498" s="342"/>
      <c r="AD1498" s="342"/>
      <c r="AE1498" s="342"/>
      <c r="AF1498" s="342"/>
      <c r="AG1498" s="342"/>
      <c r="AH1498" s="342"/>
      <c r="AI1498" s="342"/>
      <c r="AJ1498" s="342"/>
      <c r="AK1498" s="342"/>
      <c r="AL1498" s="342"/>
      <c r="AM1498" s="342"/>
      <c r="AN1498" s="342"/>
      <c r="AO1498" s="342"/>
      <c r="AP1498" s="342"/>
      <c r="AQ1498" s="342"/>
      <c r="AR1498" s="342"/>
      <c r="AS1498" s="342"/>
      <c r="AT1498" s="342"/>
      <c r="AU1498" s="342"/>
      <c r="AV1498" s="342"/>
      <c r="AW1498" s="342"/>
      <c r="AX1498" s="342"/>
      <c r="AY1498" s="342"/>
      <c r="AZ1498" s="342"/>
      <c r="BA1498" s="342"/>
      <c r="BB1498" s="342"/>
      <c r="BC1498" s="342"/>
      <c r="BD1498" s="342"/>
      <c r="BE1498" s="342"/>
      <c r="BF1498" s="342"/>
      <c r="BG1498" s="342"/>
      <c r="BH1498" s="342"/>
      <c r="BI1498" s="342"/>
      <c r="BJ1498" s="342"/>
      <c r="BK1498" s="342"/>
      <c r="BL1498" s="342"/>
      <c r="BM1498" s="342"/>
      <c r="BN1498" s="342"/>
      <c r="BO1498" s="342"/>
      <c r="BP1498" s="342"/>
      <c r="BQ1498" s="342"/>
      <c r="BR1498" s="342"/>
      <c r="BS1498" s="342"/>
      <c r="BT1498" s="342"/>
      <c r="BU1498" s="342"/>
      <c r="BV1498" s="342"/>
      <c r="BW1498" s="342"/>
      <c r="BX1498" s="342"/>
      <c r="BY1498" s="342"/>
      <c r="BZ1498" s="342"/>
      <c r="CA1498" s="342"/>
      <c r="CB1498" s="342"/>
      <c r="CC1498" s="342"/>
      <c r="CD1498" s="342"/>
      <c r="CE1498" s="342"/>
      <c r="CF1498" s="342"/>
      <c r="CG1498" s="342"/>
      <c r="CH1498" s="342"/>
      <c r="CI1498" s="342"/>
      <c r="CJ1498" s="342"/>
      <c r="CK1498" s="342"/>
      <c r="CL1498" s="342"/>
      <c r="CM1498" s="342"/>
      <c r="CN1498" s="342"/>
      <c r="CO1498" s="342"/>
      <c r="CP1498" s="342"/>
      <c r="CQ1498" s="342"/>
      <c r="CR1498" s="342"/>
      <c r="CS1498" s="342"/>
      <c r="CT1498" s="342"/>
      <c r="CU1498" s="342"/>
      <c r="CV1498" s="342"/>
      <c r="CW1498" s="342"/>
      <c r="CX1498" s="342"/>
      <c r="CY1498" s="342"/>
      <c r="CZ1498" s="342"/>
      <c r="DA1498" s="342"/>
      <c r="DB1498" s="342"/>
      <c r="DC1498" s="342"/>
      <c r="DD1498" s="342"/>
      <c r="DE1498" s="342"/>
      <c r="DF1498" s="342"/>
      <c r="DG1498" s="342"/>
      <c r="DH1498" s="342"/>
      <c r="DI1498" s="342"/>
      <c r="DJ1498" s="342"/>
      <c r="DK1498" s="342"/>
      <c r="DL1498" s="342"/>
      <c r="DM1498" s="342"/>
      <c r="DN1498" s="342"/>
      <c r="DO1498" s="342"/>
      <c r="DP1498" s="342"/>
      <c r="DQ1498" s="342"/>
      <c r="DR1498" s="342"/>
      <c r="DS1498" s="342"/>
      <c r="DT1498" s="342"/>
      <c r="DU1498" s="342"/>
      <c r="FV1498" s="12"/>
      <c r="FW1498" s="342"/>
      <c r="FX1498" s="342"/>
      <c r="FY1498" s="342"/>
      <c r="FZ1498" s="342"/>
      <c r="GA1498" s="342"/>
      <c r="GB1498" s="342"/>
      <c r="GC1498" s="342"/>
      <c r="GD1498" s="342"/>
      <c r="GE1498" s="13"/>
      <c r="GT1498" s="12"/>
      <c r="GU1498" s="342"/>
      <c r="GV1498" s="342"/>
      <c r="GW1498" s="342"/>
      <c r="GX1498" s="12"/>
      <c r="GY1498" s="12"/>
      <c r="GZ1498" s="342"/>
      <c r="HA1498" s="342"/>
      <c r="HB1498" s="342"/>
      <c r="HC1498" s="342"/>
      <c r="HD1498" s="342"/>
      <c r="HE1498" s="342"/>
      <c r="HF1498" s="342"/>
      <c r="HG1498" s="342"/>
      <c r="HH1498" s="342"/>
      <c r="HI1498" s="13"/>
      <c r="HJ1498" s="12"/>
      <c r="HK1498" s="342"/>
      <c r="HL1498" s="13"/>
      <c r="HM1498" s="12"/>
      <c r="HN1498" s="342"/>
      <c r="HO1498" s="342"/>
      <c r="HP1498" s="342"/>
      <c r="HQ1498" s="342"/>
      <c r="HR1498" s="342"/>
      <c r="HS1498" s="342"/>
      <c r="HT1498" s="342"/>
      <c r="HU1498" s="342"/>
      <c r="HV1498" s="342"/>
      <c r="HW1498" s="342"/>
      <c r="HX1498" s="342"/>
      <c r="HY1498" s="342"/>
      <c r="HZ1498" s="342"/>
      <c r="IA1498" s="342"/>
      <c r="IB1498" s="342"/>
      <c r="IC1498" s="342"/>
      <c r="ID1498" s="342"/>
      <c r="IE1498" s="12"/>
      <c r="IF1498" s="342"/>
      <c r="IG1498" s="342"/>
      <c r="IH1498" s="342"/>
      <c r="II1498" s="342"/>
      <c r="IJ1498" s="342"/>
      <c r="IK1498" s="342"/>
      <c r="IL1498" s="342"/>
      <c r="IM1498" s="342"/>
      <c r="IN1498" s="352"/>
      <c r="IO1498" s="352"/>
      <c r="IP1498" s="352"/>
      <c r="IQ1498" s="352"/>
      <c r="IR1498" s="352"/>
      <c r="IS1498" s="352"/>
      <c r="IT1498" s="342"/>
      <c r="IU1498" s="342"/>
      <c r="IV1498" s="342"/>
      <c r="IW1498" s="342"/>
      <c r="IX1498" s="342"/>
      <c r="IY1498" s="342"/>
      <c r="IZ1498" s="342"/>
      <c r="JA1498" s="342"/>
      <c r="JB1498" s="13"/>
      <c r="JC1498" s="342"/>
      <c r="JD1498" s="342"/>
      <c r="JE1498" s="342"/>
      <c r="JF1498" s="342"/>
      <c r="JG1498" s="342"/>
      <c r="JH1498" s="342"/>
      <c r="JI1498" s="342"/>
      <c r="JJ1498" s="342"/>
      <c r="JK1498" s="342"/>
      <c r="JL1498" s="342"/>
      <c r="JM1498" s="342"/>
      <c r="JN1498" s="342"/>
      <c r="JO1498" s="342"/>
      <c r="JP1498" s="342"/>
      <c r="JQ1498" s="342"/>
      <c r="JR1498" s="342"/>
      <c r="JS1498" s="342"/>
      <c r="JT1498" s="342"/>
      <c r="JU1498" s="342"/>
      <c r="JV1498" s="342"/>
      <c r="JW1498" s="342"/>
      <c r="JX1498" s="342"/>
      <c r="JY1498" s="342"/>
      <c r="JZ1498" s="342"/>
      <c r="KA1498" s="342"/>
      <c r="KB1498" s="342"/>
      <c r="KC1498" s="342"/>
      <c r="KD1498" s="342"/>
      <c r="KE1498" s="342"/>
      <c r="KF1498" s="342"/>
      <c r="KG1498" s="342"/>
      <c r="KH1498" s="342"/>
      <c r="KI1498" s="342"/>
      <c r="KJ1498" s="342"/>
      <c r="KK1498" s="342"/>
      <c r="KL1498" s="342"/>
      <c r="KM1498" s="342"/>
      <c r="KN1498" s="342"/>
      <c r="KO1498" s="342"/>
      <c r="KP1498" s="342"/>
      <c r="KQ1498" s="342"/>
      <c r="KR1498" s="342"/>
      <c r="KS1498" s="342"/>
      <c r="KT1498" s="342"/>
      <c r="KU1498" s="342"/>
      <c r="KV1498" s="342"/>
      <c r="KW1498" s="342"/>
      <c r="KX1498" s="342"/>
      <c r="KY1498" s="342"/>
      <c r="KZ1498" s="342"/>
      <c r="LA1498" s="342"/>
      <c r="LB1498" s="13"/>
      <c r="LC1498" s="342"/>
      <c r="LD1498" s="342"/>
      <c r="LE1498" s="13"/>
      <c r="LF1498" s="342"/>
      <c r="LG1498" s="342"/>
      <c r="LH1498" s="342"/>
      <c r="LI1498" s="342"/>
      <c r="LJ1498" s="342"/>
      <c r="LK1498" s="342"/>
      <c r="LL1498" s="342"/>
      <c r="LM1498" s="342"/>
      <c r="LN1498" s="342"/>
      <c r="LO1498" s="342"/>
      <c r="LP1498" s="342"/>
      <c r="LQ1498" s="342"/>
      <c r="LR1498" s="342"/>
      <c r="LS1498" s="342"/>
      <c r="LT1498" s="342"/>
      <c r="LU1498" s="13"/>
    </row>
    <row r="1499" spans="6:333" ht="10.75" customHeight="1">
      <c r="F1499" s="342"/>
      <c r="G1499" s="342"/>
      <c r="H1499" s="342"/>
      <c r="I1499" s="342"/>
      <c r="J1499" s="342"/>
      <c r="K1499" s="342"/>
      <c r="L1499" s="342"/>
      <c r="M1499" s="342"/>
      <c r="N1499" s="342"/>
      <c r="O1499" s="342"/>
      <c r="P1499" s="342"/>
      <c r="Q1499" s="342"/>
      <c r="R1499" s="342"/>
      <c r="S1499" s="342"/>
      <c r="T1499" s="342"/>
      <c r="U1499" s="342"/>
      <c r="V1499" s="342"/>
      <c r="W1499" s="342"/>
      <c r="X1499" s="342"/>
      <c r="Y1499" s="342"/>
      <c r="Z1499" s="342"/>
      <c r="AA1499" s="342"/>
      <c r="AB1499" s="342"/>
      <c r="AC1499" s="342"/>
      <c r="AD1499" s="342"/>
      <c r="AE1499" s="342"/>
      <c r="AF1499" s="342"/>
      <c r="AG1499" s="342"/>
      <c r="AH1499" s="342"/>
      <c r="AI1499" s="342"/>
      <c r="AJ1499" s="342"/>
      <c r="AK1499" s="342"/>
      <c r="AL1499" s="342"/>
      <c r="AM1499" s="342"/>
      <c r="AN1499" s="342"/>
      <c r="AO1499" s="342"/>
      <c r="AP1499" s="342"/>
      <c r="AQ1499" s="342"/>
      <c r="AR1499" s="342"/>
      <c r="AS1499" s="342"/>
      <c r="AT1499" s="342"/>
      <c r="AU1499" s="342"/>
      <c r="AV1499" s="342"/>
      <c r="AW1499" s="342"/>
      <c r="AX1499" s="342"/>
      <c r="AY1499" s="342"/>
      <c r="AZ1499" s="342"/>
      <c r="BA1499" s="342"/>
      <c r="BB1499" s="342"/>
      <c r="BC1499" s="342"/>
      <c r="BD1499" s="342"/>
      <c r="BE1499" s="342"/>
      <c r="BF1499" s="342"/>
      <c r="BG1499" s="342"/>
      <c r="BH1499" s="342"/>
      <c r="BI1499" s="342"/>
      <c r="BJ1499" s="342"/>
      <c r="BK1499" s="342"/>
      <c r="BL1499" s="342"/>
      <c r="BM1499" s="342"/>
      <c r="BN1499" s="342"/>
      <c r="BO1499" s="342"/>
      <c r="BP1499" s="342"/>
      <c r="BQ1499" s="342"/>
      <c r="BR1499" s="342"/>
      <c r="BS1499" s="342"/>
      <c r="BT1499" s="342"/>
      <c r="BU1499" s="342"/>
      <c r="BV1499" s="342"/>
      <c r="BW1499" s="342"/>
      <c r="BX1499" s="342"/>
      <c r="BY1499" s="342"/>
      <c r="BZ1499" s="342"/>
      <c r="CA1499" s="342"/>
      <c r="CB1499" s="342"/>
      <c r="CC1499" s="342"/>
      <c r="CD1499" s="342"/>
      <c r="CE1499" s="342"/>
      <c r="CF1499" s="342"/>
      <c r="CG1499" s="342"/>
      <c r="CH1499" s="342"/>
      <c r="CI1499" s="342"/>
      <c r="CJ1499" s="342"/>
      <c r="CK1499" s="342"/>
      <c r="CL1499" s="342"/>
      <c r="CM1499" s="342"/>
      <c r="CN1499" s="342"/>
      <c r="CO1499" s="342"/>
      <c r="CP1499" s="342"/>
      <c r="CQ1499" s="342"/>
      <c r="CR1499" s="342"/>
      <c r="CS1499" s="342"/>
      <c r="CT1499" s="342"/>
      <c r="CU1499" s="342"/>
      <c r="CV1499" s="342"/>
      <c r="CW1499" s="342"/>
      <c r="CX1499" s="342"/>
      <c r="CY1499" s="342"/>
      <c r="CZ1499" s="342"/>
      <c r="DA1499" s="342"/>
      <c r="DB1499" s="342"/>
      <c r="DC1499" s="342"/>
      <c r="DD1499" s="342"/>
      <c r="DE1499" s="342"/>
      <c r="DF1499" s="342"/>
      <c r="DG1499" s="342"/>
      <c r="DH1499" s="342"/>
      <c r="DI1499" s="342"/>
      <c r="DJ1499" s="342"/>
      <c r="DK1499" s="342"/>
      <c r="DL1499" s="342"/>
      <c r="DM1499" s="342"/>
      <c r="DN1499" s="342"/>
      <c r="DO1499" s="342"/>
      <c r="DP1499" s="342"/>
      <c r="DQ1499" s="342"/>
      <c r="DR1499" s="342"/>
      <c r="DS1499" s="342"/>
      <c r="DT1499" s="342"/>
      <c r="DU1499" s="342"/>
      <c r="FV1499" s="12"/>
      <c r="FW1499" s="342"/>
      <c r="FX1499" s="342"/>
      <c r="FY1499" s="342"/>
      <c r="FZ1499" s="342"/>
      <c r="GA1499" s="342"/>
      <c r="GB1499" s="342"/>
      <c r="GC1499" s="342"/>
      <c r="GD1499" s="342"/>
      <c r="GE1499" s="13"/>
      <c r="GT1499" s="12"/>
      <c r="GU1499" s="342"/>
      <c r="GV1499" s="342"/>
      <c r="GW1499" s="342"/>
      <c r="GX1499" s="12"/>
      <c r="GY1499" s="12"/>
      <c r="GZ1499" s="342"/>
      <c r="HA1499" s="342"/>
      <c r="HB1499" s="342"/>
      <c r="HC1499" s="342"/>
      <c r="HD1499" s="342"/>
      <c r="HE1499" s="342"/>
      <c r="HF1499" s="342"/>
      <c r="HG1499" s="342"/>
      <c r="HH1499" s="342"/>
      <c r="HI1499" s="13"/>
      <c r="HJ1499" s="12"/>
      <c r="HK1499" s="342"/>
      <c r="HL1499" s="13"/>
      <c r="HM1499" s="12"/>
      <c r="HN1499" s="342"/>
      <c r="HO1499" s="342"/>
      <c r="HP1499" s="342"/>
      <c r="HQ1499" s="342"/>
      <c r="HR1499" s="342"/>
      <c r="HS1499" s="342"/>
      <c r="HT1499" s="342"/>
      <c r="HU1499" s="342"/>
      <c r="HV1499" s="342"/>
      <c r="HW1499" s="342"/>
      <c r="HX1499" s="342"/>
      <c r="HY1499" s="342"/>
      <c r="HZ1499" s="342"/>
      <c r="IA1499" s="342"/>
      <c r="IB1499" s="342"/>
      <c r="IC1499" s="342"/>
      <c r="ID1499" s="342"/>
      <c r="IE1499" s="12"/>
      <c r="IF1499" s="342"/>
      <c r="IG1499" s="15"/>
      <c r="IH1499" s="15"/>
      <c r="II1499" s="15"/>
      <c r="IJ1499" s="15"/>
      <c r="IK1499" s="15"/>
      <c r="IL1499" s="15"/>
      <c r="IM1499" s="342"/>
      <c r="IN1499" s="352"/>
      <c r="IO1499" s="352"/>
      <c r="IP1499" s="352"/>
      <c r="IQ1499" s="352"/>
      <c r="IR1499" s="352"/>
      <c r="IS1499" s="352"/>
      <c r="IT1499" s="342"/>
      <c r="IU1499" s="342"/>
      <c r="IV1499" s="342"/>
      <c r="IW1499" s="342"/>
      <c r="IX1499" s="342"/>
      <c r="IY1499" s="342"/>
      <c r="IZ1499" s="342"/>
      <c r="JA1499" s="342"/>
      <c r="JB1499" s="13"/>
      <c r="JC1499" s="342"/>
      <c r="JD1499" s="342"/>
      <c r="JE1499" s="342"/>
      <c r="JF1499" s="342"/>
      <c r="JG1499" s="342"/>
      <c r="JH1499" s="342"/>
      <c r="JI1499" s="342"/>
      <c r="JJ1499" s="342"/>
      <c r="JK1499" s="342"/>
      <c r="JL1499" s="342"/>
      <c r="JM1499" s="342"/>
      <c r="JN1499" s="342"/>
      <c r="JO1499" s="342"/>
      <c r="JP1499" s="342"/>
      <c r="JQ1499" s="342"/>
      <c r="JR1499" s="342"/>
      <c r="JS1499" s="342"/>
      <c r="JT1499" s="342"/>
      <c r="JU1499" s="342"/>
      <c r="JV1499" s="342"/>
      <c r="JW1499" s="342"/>
      <c r="JX1499" s="342"/>
      <c r="JY1499" s="342"/>
      <c r="JZ1499" s="342"/>
      <c r="KA1499" s="342"/>
      <c r="KB1499" s="342"/>
      <c r="KC1499" s="342"/>
      <c r="KD1499" s="342"/>
      <c r="KE1499" s="342"/>
      <c r="KF1499" s="342"/>
      <c r="KG1499" s="342"/>
      <c r="KH1499" s="342"/>
      <c r="KI1499" s="342"/>
      <c r="KJ1499" s="342"/>
      <c r="KK1499" s="342"/>
      <c r="KL1499" s="342"/>
      <c r="KM1499" s="342"/>
      <c r="KN1499" s="342"/>
      <c r="KO1499" s="342"/>
      <c r="KP1499" s="342"/>
      <c r="KQ1499" s="342"/>
      <c r="KR1499" s="342"/>
      <c r="KS1499" s="342"/>
      <c r="KT1499" s="342"/>
      <c r="KU1499" s="342"/>
      <c r="KV1499" s="342"/>
      <c r="KW1499" s="342"/>
      <c r="KX1499" s="342"/>
      <c r="KY1499" s="342"/>
      <c r="KZ1499" s="342"/>
      <c r="LA1499" s="342"/>
      <c r="LB1499" s="13"/>
      <c r="LC1499" s="342"/>
      <c r="LD1499" s="342"/>
      <c r="LE1499" s="13"/>
      <c r="LF1499" s="342"/>
      <c r="LG1499" s="342"/>
      <c r="LH1499" s="342"/>
      <c r="LI1499" s="342"/>
      <c r="LJ1499" s="342"/>
      <c r="LK1499" s="342"/>
      <c r="LL1499" s="342"/>
      <c r="LM1499" s="342"/>
      <c r="LN1499" s="342"/>
      <c r="LO1499" s="342"/>
      <c r="LP1499" s="342"/>
      <c r="LQ1499" s="342"/>
      <c r="LR1499" s="342"/>
      <c r="LS1499" s="342"/>
      <c r="LT1499" s="342"/>
      <c r="LU1499" s="13"/>
    </row>
    <row r="1500" spans="6:333" ht="10.75" customHeight="1">
      <c r="F1500" s="342"/>
      <c r="G1500" s="342"/>
      <c r="H1500" s="342"/>
      <c r="I1500" s="342"/>
      <c r="J1500" s="342"/>
      <c r="K1500" s="342"/>
      <c r="L1500" s="342"/>
      <c r="M1500" s="342"/>
      <c r="N1500" s="342"/>
      <c r="O1500" s="342"/>
      <c r="P1500" s="342"/>
      <c r="Q1500" s="342"/>
      <c r="R1500" s="342"/>
      <c r="S1500" s="342"/>
      <c r="T1500" s="342"/>
      <c r="U1500" s="342"/>
      <c r="V1500" s="342"/>
      <c r="W1500" s="342"/>
      <c r="X1500" s="342"/>
      <c r="Y1500" s="342"/>
      <c r="Z1500" s="342"/>
      <c r="AA1500" s="342"/>
      <c r="AB1500" s="342"/>
      <c r="AC1500" s="342"/>
      <c r="AD1500" s="342"/>
      <c r="AE1500" s="342"/>
      <c r="AF1500" s="342"/>
      <c r="AG1500" s="342"/>
      <c r="AH1500" s="342"/>
      <c r="AI1500" s="342"/>
      <c r="AJ1500" s="342"/>
      <c r="AK1500" s="342"/>
      <c r="AL1500" s="342"/>
      <c r="AM1500" s="342"/>
      <c r="AN1500" s="342"/>
      <c r="AO1500" s="342"/>
      <c r="AP1500" s="342"/>
      <c r="AQ1500" s="342"/>
      <c r="AR1500" s="342"/>
      <c r="AS1500" s="342"/>
      <c r="AT1500" s="342"/>
      <c r="AU1500" s="342"/>
      <c r="AV1500" s="342"/>
      <c r="AW1500" s="342"/>
      <c r="AX1500" s="342"/>
      <c r="AY1500" s="342"/>
      <c r="AZ1500" s="342"/>
      <c r="BA1500" s="342"/>
      <c r="BB1500" s="342"/>
      <c r="BC1500" s="342"/>
      <c r="BD1500" s="342"/>
      <c r="BE1500" s="342"/>
      <c r="BF1500" s="342"/>
      <c r="BG1500" s="342"/>
      <c r="BH1500" s="342"/>
      <c r="BI1500" s="342"/>
      <c r="BJ1500" s="342"/>
      <c r="BK1500" s="342"/>
      <c r="BL1500" s="342"/>
      <c r="BM1500" s="342"/>
      <c r="BN1500" s="342"/>
      <c r="BO1500" s="342"/>
      <c r="BP1500" s="342"/>
      <c r="BQ1500" s="342"/>
      <c r="BR1500" s="342"/>
      <c r="BS1500" s="342"/>
      <c r="BT1500" s="342"/>
      <c r="BU1500" s="342"/>
      <c r="BV1500" s="342"/>
      <c r="BW1500" s="342"/>
      <c r="BX1500" s="342"/>
      <c r="BY1500" s="342"/>
      <c r="BZ1500" s="342"/>
      <c r="CA1500" s="342"/>
      <c r="CB1500" s="342"/>
      <c r="CC1500" s="342"/>
      <c r="CD1500" s="342"/>
      <c r="CE1500" s="342"/>
      <c r="CF1500" s="342"/>
      <c r="CG1500" s="342"/>
      <c r="CH1500" s="342"/>
      <c r="CI1500" s="342"/>
      <c r="CJ1500" s="342"/>
      <c r="CK1500" s="342"/>
      <c r="CL1500" s="342"/>
      <c r="CM1500" s="342"/>
      <c r="CN1500" s="342"/>
      <c r="CO1500" s="342"/>
      <c r="CP1500" s="342"/>
      <c r="CQ1500" s="342"/>
      <c r="CR1500" s="342"/>
      <c r="CS1500" s="342"/>
      <c r="CT1500" s="342"/>
      <c r="CU1500" s="342"/>
      <c r="CV1500" s="342"/>
      <c r="CW1500" s="342"/>
      <c r="CX1500" s="342"/>
      <c r="CY1500" s="342"/>
      <c r="CZ1500" s="342"/>
      <c r="DA1500" s="342"/>
      <c r="DB1500" s="342"/>
      <c r="DC1500" s="342"/>
      <c r="DD1500" s="342"/>
      <c r="DE1500" s="342"/>
      <c r="DF1500" s="342"/>
      <c r="DG1500" s="342"/>
      <c r="DH1500" s="342"/>
      <c r="DI1500" s="342"/>
      <c r="DJ1500" s="342"/>
      <c r="DK1500" s="342"/>
      <c r="DL1500" s="342"/>
      <c r="DM1500" s="342"/>
      <c r="DN1500" s="342"/>
      <c r="DO1500" s="342"/>
      <c r="DP1500" s="342"/>
      <c r="DQ1500" s="342"/>
      <c r="DR1500" s="342"/>
      <c r="DS1500" s="342"/>
      <c r="DT1500" s="342"/>
      <c r="DU1500" s="342"/>
      <c r="FV1500" s="12"/>
      <c r="FW1500" s="342"/>
      <c r="FX1500" s="342"/>
      <c r="FY1500" s="342"/>
      <c r="FZ1500" s="342"/>
      <c r="GA1500" s="342"/>
      <c r="GB1500" s="342"/>
      <c r="GC1500" s="342"/>
      <c r="GD1500" s="342"/>
      <c r="GE1500" s="13"/>
      <c r="GT1500" s="12"/>
      <c r="GU1500" s="342"/>
      <c r="GV1500" s="342"/>
      <c r="GW1500" s="342"/>
      <c r="GX1500" s="12"/>
      <c r="GY1500" s="12"/>
      <c r="GZ1500" s="342"/>
      <c r="HA1500" s="342"/>
      <c r="HB1500" s="342"/>
      <c r="HC1500" s="342"/>
      <c r="HD1500" s="342"/>
      <c r="HE1500" s="342"/>
      <c r="HF1500" s="342"/>
      <c r="HG1500" s="342"/>
      <c r="HH1500" s="342"/>
      <c r="HI1500" s="13"/>
      <c r="HJ1500" s="267"/>
      <c r="HK1500" s="268"/>
      <c r="HL1500" s="269"/>
      <c r="HM1500" s="12"/>
      <c r="HN1500" s="342"/>
      <c r="HO1500" s="342"/>
      <c r="HP1500" s="342"/>
      <c r="HQ1500" s="342"/>
      <c r="HR1500" s="342"/>
      <c r="HS1500" s="342"/>
      <c r="HT1500" s="342"/>
      <c r="HU1500" s="342"/>
      <c r="HV1500" s="342"/>
      <c r="HW1500" s="342"/>
      <c r="HX1500" s="342"/>
      <c r="HY1500" s="342"/>
      <c r="HZ1500" s="342"/>
      <c r="IA1500" s="342"/>
      <c r="IB1500" s="342"/>
      <c r="IC1500" s="342"/>
      <c r="ID1500" s="342"/>
      <c r="IE1500" s="12"/>
      <c r="IF1500" s="342"/>
      <c r="IG1500" s="342"/>
      <c r="IH1500" s="342"/>
      <c r="II1500" s="342"/>
      <c r="IJ1500" s="342"/>
      <c r="IK1500" s="342"/>
      <c r="IL1500" s="342"/>
      <c r="IM1500" s="342"/>
      <c r="IN1500" s="342"/>
      <c r="IO1500" s="342"/>
      <c r="IP1500" s="342"/>
      <c r="IQ1500" s="342"/>
      <c r="IR1500" s="342"/>
      <c r="IS1500" s="342"/>
      <c r="IT1500" s="342"/>
      <c r="IU1500" s="342"/>
      <c r="IV1500" s="342"/>
      <c r="IW1500" s="342"/>
      <c r="IX1500" s="342"/>
      <c r="IY1500" s="342"/>
      <c r="IZ1500" s="342"/>
      <c r="JA1500" s="342"/>
      <c r="JB1500" s="13"/>
      <c r="JC1500" s="342"/>
      <c r="JD1500" s="342"/>
      <c r="JE1500" s="342"/>
      <c r="JF1500" s="342"/>
      <c r="JG1500" s="342"/>
      <c r="JH1500" s="342"/>
      <c r="JI1500" s="342"/>
      <c r="JJ1500" s="342"/>
      <c r="JK1500" s="342"/>
      <c r="JL1500" s="342"/>
      <c r="JM1500" s="342"/>
      <c r="JN1500" s="342"/>
      <c r="JO1500" s="342"/>
      <c r="JP1500" s="342"/>
      <c r="JQ1500" s="342"/>
      <c r="JR1500" s="342"/>
      <c r="JS1500" s="342"/>
      <c r="JT1500" s="342"/>
      <c r="JU1500" s="342"/>
      <c r="JV1500" s="342"/>
      <c r="JW1500" s="342"/>
      <c r="JX1500" s="342"/>
      <c r="JY1500" s="342"/>
      <c r="JZ1500" s="342"/>
      <c r="KA1500" s="342"/>
      <c r="KB1500" s="342"/>
      <c r="KC1500" s="342"/>
      <c r="KD1500" s="342"/>
      <c r="KE1500" s="342"/>
      <c r="KF1500" s="342"/>
      <c r="KG1500" s="342"/>
      <c r="KH1500" s="342"/>
      <c r="KI1500" s="342"/>
      <c r="KJ1500" s="342"/>
      <c r="KK1500" s="342"/>
      <c r="KL1500" s="342"/>
      <c r="KM1500" s="342"/>
      <c r="KN1500" s="342"/>
      <c r="KO1500" s="342"/>
      <c r="KP1500" s="342"/>
      <c r="KQ1500" s="342"/>
      <c r="KR1500" s="342"/>
      <c r="KS1500" s="342"/>
      <c r="KT1500" s="342"/>
      <c r="KU1500" s="342"/>
      <c r="KV1500" s="342"/>
      <c r="KW1500" s="342"/>
      <c r="KX1500" s="342"/>
      <c r="KY1500" s="342"/>
      <c r="KZ1500" s="342"/>
      <c r="LA1500" s="342"/>
      <c r="LB1500" s="13"/>
      <c r="LC1500" s="342"/>
      <c r="LD1500" s="342"/>
      <c r="LE1500" s="13"/>
      <c r="LF1500" s="342"/>
      <c r="LG1500" s="342"/>
      <c r="LH1500" s="342"/>
      <c r="LI1500" s="342"/>
      <c r="LJ1500" s="342"/>
      <c r="LK1500" s="342"/>
      <c r="LL1500" s="342"/>
      <c r="LM1500" s="342"/>
      <c r="LN1500" s="342"/>
      <c r="LO1500" s="342"/>
      <c r="LP1500" s="342"/>
      <c r="LQ1500" s="342"/>
      <c r="LR1500" s="342"/>
      <c r="LS1500" s="342"/>
      <c r="LT1500" s="342"/>
      <c r="LU1500" s="13"/>
    </row>
    <row r="1501" spans="6:333" ht="10.75" customHeight="1">
      <c r="F1501" s="342"/>
      <c r="G1501" s="342"/>
      <c r="H1501" s="342"/>
      <c r="I1501" s="342"/>
      <c r="J1501" s="342"/>
      <c r="K1501" s="342"/>
      <c r="L1501" s="342"/>
      <c r="M1501" s="342"/>
      <c r="N1501" s="342"/>
      <c r="O1501" s="342"/>
      <c r="P1501" s="342"/>
      <c r="Q1501" s="342"/>
      <c r="R1501" s="342"/>
      <c r="S1501" s="342"/>
      <c r="T1501" s="342"/>
      <c r="U1501" s="342"/>
      <c r="V1501" s="342"/>
      <c r="W1501" s="342"/>
      <c r="X1501" s="342"/>
      <c r="Y1501" s="342"/>
      <c r="Z1501" s="342"/>
      <c r="AA1501" s="342"/>
      <c r="AB1501" s="342"/>
      <c r="AC1501" s="342"/>
      <c r="AD1501" s="342"/>
      <c r="AE1501" s="342"/>
      <c r="AF1501" s="342"/>
      <c r="AG1501" s="342"/>
      <c r="AH1501" s="342"/>
      <c r="AI1501" s="342"/>
      <c r="AJ1501" s="342"/>
      <c r="AK1501" s="342"/>
      <c r="AL1501" s="342"/>
      <c r="AM1501" s="342"/>
      <c r="AN1501" s="342"/>
      <c r="AO1501" s="342"/>
      <c r="AP1501" s="342"/>
      <c r="AQ1501" s="342"/>
      <c r="AR1501" s="342"/>
      <c r="AS1501" s="342"/>
      <c r="AT1501" s="342"/>
      <c r="AU1501" s="342"/>
      <c r="AV1501" s="342"/>
      <c r="AW1501" s="342"/>
      <c r="AX1501" s="342"/>
      <c r="AY1501" s="342"/>
      <c r="AZ1501" s="342"/>
      <c r="BA1501" s="342"/>
      <c r="BB1501" s="342"/>
      <c r="BC1501" s="342"/>
      <c r="BD1501" s="342"/>
      <c r="BE1501" s="342"/>
      <c r="BF1501" s="342"/>
      <c r="BG1501" s="342"/>
      <c r="BH1501" s="342"/>
      <c r="BI1501" s="342"/>
      <c r="BJ1501" s="342"/>
      <c r="BK1501" s="342"/>
      <c r="BL1501" s="342"/>
      <c r="BM1501" s="342"/>
      <c r="BN1501" s="342"/>
      <c r="BO1501" s="342"/>
      <c r="BP1501" s="342"/>
      <c r="BQ1501" s="342"/>
      <c r="BR1501" s="342"/>
      <c r="BS1501" s="342"/>
      <c r="BT1501" s="342"/>
      <c r="BU1501" s="342"/>
      <c r="BV1501" s="342"/>
      <c r="BW1501" s="342"/>
      <c r="BX1501" s="342"/>
      <c r="BY1501" s="342"/>
      <c r="BZ1501" s="342"/>
      <c r="CA1501" s="342"/>
      <c r="CB1501" s="342"/>
      <c r="CC1501" s="342"/>
      <c r="CD1501" s="342"/>
      <c r="CE1501" s="342"/>
      <c r="CF1501" s="342"/>
      <c r="CG1501" s="342"/>
      <c r="CH1501" s="342"/>
      <c r="CI1501" s="342"/>
      <c r="CJ1501" s="342"/>
      <c r="CK1501" s="342"/>
      <c r="CL1501" s="342"/>
      <c r="CM1501" s="342"/>
      <c r="CN1501" s="342"/>
      <c r="CO1501" s="342"/>
      <c r="CP1501" s="342"/>
      <c r="CQ1501" s="342"/>
      <c r="CR1501" s="342"/>
      <c r="CS1501" s="342"/>
      <c r="CT1501" s="342"/>
      <c r="CU1501" s="342"/>
      <c r="CV1501" s="342"/>
      <c r="CW1501" s="342"/>
      <c r="CX1501" s="342"/>
      <c r="CY1501" s="342"/>
      <c r="CZ1501" s="342"/>
      <c r="DA1501" s="342"/>
      <c r="DB1501" s="342"/>
      <c r="DC1501" s="342"/>
      <c r="DD1501" s="342"/>
      <c r="DE1501" s="342"/>
      <c r="DF1501" s="342"/>
      <c r="DG1501" s="342"/>
      <c r="DH1501" s="342"/>
      <c r="DI1501" s="342"/>
      <c r="DJ1501" s="342"/>
      <c r="DK1501" s="342"/>
      <c r="DL1501" s="342"/>
      <c r="DM1501" s="342"/>
      <c r="DN1501" s="342"/>
      <c r="DO1501" s="342"/>
      <c r="DP1501" s="342"/>
      <c r="DQ1501" s="342"/>
      <c r="DR1501" s="342"/>
      <c r="DS1501" s="342"/>
      <c r="DT1501" s="342"/>
      <c r="DU1501" s="342"/>
      <c r="FV1501" s="12"/>
      <c r="FW1501" s="342"/>
      <c r="FX1501" s="342"/>
      <c r="FY1501" s="342"/>
      <c r="FZ1501" s="342"/>
      <c r="GA1501" s="342"/>
      <c r="GB1501" s="342"/>
      <c r="GC1501" s="342"/>
      <c r="GD1501" s="342"/>
      <c r="GE1501" s="13"/>
      <c r="GT1501" s="12"/>
      <c r="GU1501" s="342"/>
      <c r="GV1501" s="342"/>
      <c r="GW1501" s="342"/>
      <c r="GX1501" s="12"/>
      <c r="GY1501" s="12"/>
      <c r="GZ1501" s="342"/>
      <c r="HA1501" s="342"/>
      <c r="HB1501" s="342"/>
      <c r="HC1501" s="342"/>
      <c r="HD1501" s="342"/>
      <c r="HE1501" s="342"/>
      <c r="HF1501" s="351"/>
      <c r="HG1501" s="351"/>
      <c r="HH1501" s="351"/>
      <c r="HI1501" s="343"/>
      <c r="HJ1501" s="348"/>
      <c r="HK1501" s="349"/>
      <c r="HL1501" s="349"/>
      <c r="HM1501" s="348"/>
      <c r="HN1501" s="349"/>
      <c r="HO1501" s="349"/>
      <c r="HP1501" s="349"/>
      <c r="HQ1501" s="349"/>
      <c r="HR1501" s="349"/>
      <c r="HS1501" s="349"/>
      <c r="HT1501" s="349"/>
      <c r="HU1501" s="349"/>
      <c r="HV1501" s="349"/>
      <c r="HW1501" s="349"/>
      <c r="HX1501" s="349"/>
      <c r="HY1501" s="349"/>
      <c r="HZ1501" s="349"/>
      <c r="IA1501" s="349"/>
      <c r="IB1501" s="349"/>
      <c r="IC1501" s="349"/>
      <c r="ID1501" s="349"/>
      <c r="IE1501" s="348"/>
      <c r="IF1501" s="349"/>
      <c r="IG1501" s="349"/>
      <c r="IH1501" s="349"/>
      <c r="II1501" s="349"/>
      <c r="IJ1501" s="349"/>
      <c r="IK1501" s="349"/>
      <c r="IL1501" s="349"/>
      <c r="IM1501" s="349"/>
      <c r="IN1501" s="349"/>
      <c r="IO1501" s="349"/>
      <c r="IP1501" s="349"/>
      <c r="IQ1501" s="349"/>
      <c r="IR1501" s="349"/>
      <c r="IS1501" s="349"/>
      <c r="IT1501" s="349"/>
      <c r="IU1501" s="349"/>
      <c r="IV1501" s="349"/>
      <c r="IW1501" s="349"/>
      <c r="IX1501" s="349"/>
      <c r="IY1501" s="349"/>
      <c r="IZ1501" s="349"/>
      <c r="JA1501" s="349"/>
      <c r="JB1501" s="350"/>
      <c r="JC1501" s="349"/>
      <c r="JD1501" s="349"/>
      <c r="JE1501" s="349"/>
      <c r="JF1501" s="349"/>
      <c r="JG1501" s="349"/>
      <c r="JH1501" s="349"/>
      <c r="JI1501" s="349"/>
      <c r="JJ1501" s="349"/>
      <c r="JK1501" s="349"/>
      <c r="JL1501" s="349"/>
      <c r="JM1501" s="349"/>
      <c r="JN1501" s="349"/>
      <c r="JO1501" s="349"/>
      <c r="JP1501" s="349"/>
      <c r="JQ1501" s="349"/>
      <c r="JR1501" s="349"/>
      <c r="JS1501" s="349"/>
      <c r="JT1501" s="349"/>
      <c r="JU1501" s="349"/>
      <c r="JV1501" s="349"/>
      <c r="JW1501" s="349"/>
      <c r="JX1501" s="349"/>
      <c r="JY1501" s="349"/>
      <c r="JZ1501" s="349"/>
      <c r="KA1501" s="349"/>
      <c r="KB1501" s="349"/>
      <c r="KC1501" s="349"/>
      <c r="KD1501" s="349"/>
      <c r="KE1501" s="349"/>
      <c r="KF1501" s="349"/>
      <c r="KG1501" s="349"/>
      <c r="KH1501" s="349"/>
      <c r="KI1501" s="349"/>
      <c r="KJ1501" s="349"/>
      <c r="KK1501" s="349"/>
      <c r="KL1501" s="349"/>
      <c r="KM1501" s="349"/>
      <c r="KN1501" s="349"/>
      <c r="KO1501" s="349"/>
      <c r="KP1501" s="349"/>
      <c r="KQ1501" s="349"/>
      <c r="KR1501" s="349"/>
      <c r="KS1501" s="349"/>
      <c r="KT1501" s="349"/>
      <c r="KU1501" s="349"/>
      <c r="KV1501" s="349"/>
      <c r="KW1501" s="349"/>
      <c r="KX1501" s="349"/>
      <c r="KY1501" s="349"/>
      <c r="KZ1501" s="349"/>
      <c r="LA1501" s="349"/>
      <c r="LB1501" s="350"/>
      <c r="LC1501" s="351"/>
      <c r="LD1501" s="351"/>
      <c r="LE1501" s="343"/>
      <c r="LF1501" s="351"/>
      <c r="LG1501" s="351"/>
      <c r="LH1501" s="351"/>
      <c r="LI1501" s="351"/>
      <c r="LJ1501" s="342"/>
      <c r="LK1501" s="342"/>
      <c r="LL1501" s="342"/>
      <c r="LM1501" s="342"/>
      <c r="LN1501" s="342"/>
      <c r="LO1501" s="342"/>
      <c r="LP1501" s="342"/>
      <c r="LQ1501" s="342"/>
      <c r="LR1501" s="342"/>
      <c r="LS1501" s="342"/>
      <c r="LT1501" s="342"/>
      <c r="LU1501" s="13"/>
    </row>
    <row r="1502" spans="6:333" ht="10.75" customHeight="1">
      <c r="F1502" s="342"/>
      <c r="G1502" s="342"/>
      <c r="H1502" s="342"/>
      <c r="I1502" s="342"/>
      <c r="J1502" s="342"/>
      <c r="K1502" s="342"/>
      <c r="L1502" s="342"/>
      <c r="M1502" s="342"/>
      <c r="N1502" s="342"/>
      <c r="O1502" s="342"/>
      <c r="P1502" s="342"/>
      <c r="Q1502" s="342"/>
      <c r="R1502" s="342"/>
      <c r="S1502" s="342"/>
      <c r="T1502" s="342"/>
      <c r="U1502" s="342"/>
      <c r="V1502" s="342"/>
      <c r="W1502" s="342"/>
      <c r="X1502" s="342"/>
      <c r="Y1502" s="342"/>
      <c r="Z1502" s="342"/>
      <c r="AA1502" s="342"/>
      <c r="AB1502" s="342"/>
      <c r="AC1502" s="342"/>
      <c r="AD1502" s="342"/>
      <c r="AE1502" s="342"/>
      <c r="AF1502" s="342"/>
      <c r="AG1502" s="342"/>
      <c r="AH1502" s="342"/>
      <c r="AI1502" s="342"/>
      <c r="AJ1502" s="342"/>
      <c r="AK1502" s="342"/>
      <c r="AL1502" s="342"/>
      <c r="AM1502" s="342"/>
      <c r="AN1502" s="342"/>
      <c r="AO1502" s="342"/>
      <c r="AP1502" s="342"/>
      <c r="AQ1502" s="342"/>
      <c r="AR1502" s="342"/>
      <c r="AS1502" s="342"/>
      <c r="AT1502" s="342"/>
      <c r="AU1502" s="342"/>
      <c r="AV1502" s="342"/>
      <c r="AW1502" s="342"/>
      <c r="AX1502" s="342"/>
      <c r="AY1502" s="342"/>
      <c r="AZ1502" s="342"/>
      <c r="BA1502" s="342"/>
      <c r="BB1502" s="342"/>
      <c r="BC1502" s="342"/>
      <c r="BD1502" s="342"/>
      <c r="BE1502" s="342"/>
      <c r="BF1502" s="342"/>
      <c r="BG1502" s="342"/>
      <c r="BH1502" s="342"/>
      <c r="BI1502" s="342"/>
      <c r="BJ1502" s="342"/>
      <c r="BK1502" s="342"/>
      <c r="BL1502" s="342"/>
      <c r="BM1502" s="342"/>
      <c r="BN1502" s="342"/>
      <c r="BO1502" s="342"/>
      <c r="BP1502" s="342"/>
      <c r="BQ1502" s="342"/>
      <c r="BR1502" s="342"/>
      <c r="BS1502" s="342"/>
      <c r="BT1502" s="342"/>
      <c r="BU1502" s="342"/>
      <c r="BV1502" s="342"/>
      <c r="BW1502" s="342"/>
      <c r="BX1502" s="342"/>
      <c r="BY1502" s="342"/>
      <c r="BZ1502" s="342"/>
      <c r="CA1502" s="342"/>
      <c r="CB1502" s="342"/>
      <c r="CC1502" s="342"/>
      <c r="CD1502" s="342"/>
      <c r="CE1502" s="342"/>
      <c r="CF1502" s="342"/>
      <c r="CG1502" s="342"/>
      <c r="CH1502" s="342"/>
      <c r="CI1502" s="342"/>
      <c r="CJ1502" s="342"/>
      <c r="CK1502" s="342"/>
      <c r="CL1502" s="342"/>
      <c r="CM1502" s="342"/>
      <c r="CN1502" s="342"/>
      <c r="CO1502" s="342"/>
      <c r="CP1502" s="342"/>
      <c r="CQ1502" s="342"/>
      <c r="CR1502" s="342"/>
      <c r="CS1502" s="342"/>
      <c r="CT1502" s="342"/>
      <c r="CU1502" s="342"/>
      <c r="CV1502" s="342"/>
      <c r="CW1502" s="342"/>
      <c r="CX1502" s="342"/>
      <c r="CY1502" s="342"/>
      <c r="CZ1502" s="342"/>
      <c r="DA1502" s="342"/>
      <c r="DB1502" s="342"/>
      <c r="DC1502" s="342"/>
      <c r="DD1502" s="342"/>
      <c r="DE1502" s="342"/>
      <c r="DF1502" s="342"/>
      <c r="DG1502" s="342"/>
      <c r="DH1502" s="342"/>
      <c r="DI1502" s="342"/>
      <c r="DJ1502" s="342"/>
      <c r="DK1502" s="342"/>
      <c r="DL1502" s="342"/>
      <c r="DM1502" s="342"/>
      <c r="DN1502" s="342"/>
      <c r="DO1502" s="342"/>
      <c r="DP1502" s="342"/>
      <c r="DQ1502" s="342"/>
      <c r="DR1502" s="342"/>
      <c r="DS1502" s="342"/>
      <c r="DT1502" s="342"/>
      <c r="DU1502" s="342"/>
      <c r="FV1502" s="12"/>
      <c r="FW1502" s="342"/>
      <c r="FX1502" s="342"/>
      <c r="FY1502" s="342"/>
      <c r="FZ1502" s="342"/>
      <c r="GA1502" s="342"/>
      <c r="GB1502" s="342"/>
      <c r="GC1502" s="342"/>
      <c r="GD1502" s="342"/>
      <c r="GE1502" s="13"/>
      <c r="GT1502" s="12"/>
      <c r="GU1502" s="342"/>
      <c r="GV1502" s="342"/>
      <c r="GW1502" s="342"/>
      <c r="GX1502" s="12"/>
      <c r="GY1502" s="12"/>
      <c r="GZ1502" s="342"/>
      <c r="HA1502" s="342"/>
      <c r="HB1502" s="342"/>
      <c r="HC1502" s="342"/>
      <c r="HD1502" s="342"/>
      <c r="HE1502" s="342"/>
      <c r="HF1502" s="351"/>
      <c r="HG1502" s="351"/>
      <c r="HH1502" s="351"/>
      <c r="HI1502" s="343"/>
      <c r="HJ1502" s="344"/>
      <c r="HK1502" s="345"/>
      <c r="HL1502" s="346"/>
      <c r="HM1502" s="351"/>
      <c r="HN1502" s="351"/>
      <c r="HO1502" s="351"/>
      <c r="HP1502" s="351"/>
      <c r="HQ1502" s="351"/>
      <c r="HR1502" s="351"/>
      <c r="HS1502" s="351"/>
      <c r="HT1502" s="351"/>
      <c r="HU1502" s="351"/>
      <c r="HV1502" s="351"/>
      <c r="HW1502" s="351"/>
      <c r="HX1502" s="351"/>
      <c r="HY1502" s="351"/>
      <c r="HZ1502" s="351"/>
      <c r="IA1502" s="351"/>
      <c r="IB1502" s="351"/>
      <c r="IC1502" s="351"/>
      <c r="ID1502" s="351"/>
      <c r="IE1502" s="351"/>
      <c r="IF1502" s="351"/>
      <c r="IG1502" s="351"/>
      <c r="IH1502" s="351"/>
      <c r="II1502" s="351"/>
      <c r="IJ1502" s="351"/>
      <c r="IK1502" s="351"/>
      <c r="IL1502" s="351"/>
      <c r="IM1502" s="351"/>
      <c r="IN1502" s="351"/>
      <c r="IO1502" s="351"/>
      <c r="IP1502" s="351"/>
      <c r="IQ1502" s="351"/>
      <c r="IR1502" s="351"/>
      <c r="IS1502" s="351"/>
      <c r="IT1502" s="351"/>
      <c r="IU1502" s="351"/>
      <c r="IV1502" s="351"/>
      <c r="IW1502" s="351"/>
      <c r="IX1502" s="351"/>
      <c r="IY1502" s="351"/>
      <c r="IZ1502" s="351"/>
      <c r="JA1502" s="351"/>
      <c r="JB1502" s="351"/>
      <c r="JC1502" s="347"/>
      <c r="JD1502" s="351"/>
      <c r="JE1502" s="343"/>
      <c r="JF1502" s="351"/>
      <c r="JG1502" s="351"/>
      <c r="JH1502" s="351"/>
      <c r="JI1502" s="351"/>
      <c r="JJ1502" s="351"/>
      <c r="JK1502" s="351"/>
      <c r="JL1502" s="351"/>
      <c r="JM1502" s="351"/>
      <c r="JN1502" s="351"/>
      <c r="JO1502" s="351"/>
      <c r="JP1502" s="351"/>
      <c r="JQ1502" s="351"/>
      <c r="JR1502" s="351"/>
      <c r="JS1502" s="351"/>
      <c r="JT1502" s="351"/>
      <c r="JU1502" s="351"/>
      <c r="JV1502" s="351"/>
      <c r="JW1502" s="351"/>
      <c r="JX1502" s="351"/>
      <c r="JY1502" s="351"/>
      <c r="JZ1502" s="351"/>
      <c r="KA1502" s="351"/>
      <c r="KB1502" s="351"/>
      <c r="KC1502" s="351"/>
      <c r="KD1502" s="351"/>
      <c r="KE1502" s="351"/>
      <c r="KF1502" s="351"/>
      <c r="KG1502" s="351"/>
      <c r="KH1502" s="351"/>
      <c r="KI1502" s="351"/>
      <c r="KJ1502" s="351"/>
      <c r="KK1502" s="351"/>
      <c r="KL1502" s="351"/>
      <c r="KM1502" s="264"/>
      <c r="KN1502" s="345"/>
      <c r="KO1502" s="345"/>
      <c r="KP1502" s="345"/>
      <c r="KQ1502" s="345"/>
      <c r="KR1502" s="345"/>
      <c r="KS1502" s="345"/>
      <c r="KT1502" s="345"/>
      <c r="KU1502" s="345"/>
      <c r="KV1502" s="345"/>
      <c r="KW1502" s="345"/>
      <c r="KX1502" s="345"/>
      <c r="KY1502" s="266"/>
      <c r="KZ1502" s="351"/>
      <c r="LA1502" s="351"/>
      <c r="LB1502" s="351"/>
      <c r="LC1502" s="344"/>
      <c r="LD1502" s="345"/>
      <c r="LE1502" s="346"/>
      <c r="LF1502" s="351"/>
      <c r="LG1502" s="351"/>
      <c r="LH1502" s="351"/>
      <c r="LI1502" s="351"/>
      <c r="LJ1502" s="342"/>
      <c r="LK1502" s="342"/>
      <c r="LL1502" s="342"/>
      <c r="LM1502" s="342"/>
      <c r="LN1502" s="342"/>
      <c r="LO1502" s="342"/>
      <c r="LP1502" s="342"/>
      <c r="LQ1502" s="342"/>
      <c r="LR1502" s="342"/>
      <c r="LS1502" s="342"/>
      <c r="LT1502" s="342"/>
      <c r="LU1502" s="13"/>
    </row>
    <row r="1503" spans="6:333" ht="10.75" customHeight="1">
      <c r="F1503" s="342"/>
      <c r="G1503" s="342"/>
      <c r="H1503" s="342"/>
      <c r="I1503" s="342"/>
      <c r="J1503" s="342"/>
      <c r="K1503" s="342"/>
      <c r="L1503" s="342"/>
      <c r="M1503" s="342"/>
      <c r="N1503" s="342"/>
      <c r="O1503" s="342"/>
      <c r="P1503" s="342"/>
      <c r="Q1503" s="342"/>
      <c r="R1503" s="342"/>
      <c r="S1503" s="342"/>
      <c r="T1503" s="342"/>
      <c r="U1503" s="342"/>
      <c r="V1503" s="342"/>
      <c r="W1503" s="342"/>
      <c r="X1503" s="342"/>
      <c r="Y1503" s="342"/>
      <c r="Z1503" s="342"/>
      <c r="AA1503" s="342"/>
      <c r="AB1503" s="342"/>
      <c r="AC1503" s="342"/>
      <c r="AD1503" s="342"/>
      <c r="AE1503" s="342"/>
      <c r="AF1503" s="342"/>
      <c r="AG1503" s="342"/>
      <c r="AH1503" s="342"/>
      <c r="AI1503" s="342"/>
      <c r="AJ1503" s="342"/>
      <c r="AK1503" s="342"/>
      <c r="AL1503" s="342"/>
      <c r="AM1503" s="342"/>
      <c r="AN1503" s="342"/>
      <c r="AO1503" s="342"/>
      <c r="AP1503" s="342"/>
      <c r="AQ1503" s="342"/>
      <c r="AR1503" s="342"/>
      <c r="AS1503" s="342"/>
      <c r="AT1503" s="342"/>
      <c r="AU1503" s="342"/>
      <c r="AV1503" s="342"/>
      <c r="AW1503" s="342"/>
      <c r="AX1503" s="342"/>
      <c r="AY1503" s="342"/>
      <c r="AZ1503" s="342"/>
      <c r="BA1503" s="342"/>
      <c r="BB1503" s="342"/>
      <c r="BC1503" s="342"/>
      <c r="BD1503" s="342"/>
      <c r="BE1503" s="342"/>
      <c r="BF1503" s="342"/>
      <c r="BG1503" s="342"/>
      <c r="BH1503" s="342"/>
      <c r="BI1503" s="342"/>
      <c r="BJ1503" s="342"/>
      <c r="BK1503" s="342"/>
      <c r="BL1503" s="342"/>
      <c r="BM1503" s="342"/>
      <c r="BN1503" s="342"/>
      <c r="BO1503" s="342"/>
      <c r="BP1503" s="342"/>
      <c r="BQ1503" s="342"/>
      <c r="BR1503" s="342"/>
      <c r="BS1503" s="342"/>
      <c r="BT1503" s="342"/>
      <c r="BU1503" s="342"/>
      <c r="BV1503" s="342"/>
      <c r="BW1503" s="342"/>
      <c r="BX1503" s="342"/>
      <c r="BY1503" s="342"/>
      <c r="BZ1503" s="342"/>
      <c r="CA1503" s="342"/>
      <c r="CB1503" s="342"/>
      <c r="CC1503" s="342"/>
      <c r="CD1503" s="342"/>
      <c r="CE1503" s="342"/>
      <c r="CF1503" s="342"/>
      <c r="CG1503" s="342"/>
      <c r="CH1503" s="342"/>
      <c r="CI1503" s="342"/>
      <c r="CJ1503" s="342"/>
      <c r="CK1503" s="342"/>
      <c r="CL1503" s="342"/>
      <c r="CM1503" s="342"/>
      <c r="CN1503" s="342"/>
      <c r="CO1503" s="342"/>
      <c r="CP1503" s="342"/>
      <c r="CQ1503" s="342"/>
      <c r="CR1503" s="342"/>
      <c r="CS1503" s="342"/>
      <c r="CT1503" s="342"/>
      <c r="CU1503" s="342"/>
      <c r="CV1503" s="342"/>
      <c r="CW1503" s="342"/>
      <c r="CX1503" s="342"/>
      <c r="CY1503" s="342"/>
      <c r="CZ1503" s="342"/>
      <c r="DA1503" s="342"/>
      <c r="DB1503" s="342"/>
      <c r="DC1503" s="342"/>
      <c r="DD1503" s="342"/>
      <c r="DE1503" s="342"/>
      <c r="DF1503" s="342"/>
      <c r="DG1503" s="342"/>
      <c r="DH1503" s="342"/>
      <c r="DI1503" s="342"/>
      <c r="DJ1503" s="342"/>
      <c r="DK1503" s="342"/>
      <c r="DL1503" s="342"/>
      <c r="DM1503" s="342"/>
      <c r="DN1503" s="342"/>
      <c r="DO1503" s="342"/>
      <c r="DP1503" s="342"/>
      <c r="DQ1503" s="342"/>
      <c r="DR1503" s="342"/>
      <c r="DS1503" s="342"/>
      <c r="DT1503" s="342"/>
      <c r="DU1503" s="342"/>
      <c r="FV1503" s="12"/>
      <c r="FW1503" s="342"/>
      <c r="FX1503" s="342"/>
      <c r="FY1503" s="342"/>
      <c r="FZ1503" s="342"/>
      <c r="GA1503" s="342"/>
      <c r="GB1503" s="342"/>
      <c r="GC1503" s="342"/>
      <c r="GD1503" s="342"/>
      <c r="GE1503" s="13"/>
      <c r="GT1503" s="12"/>
      <c r="GU1503" s="342"/>
      <c r="GV1503" s="342"/>
      <c r="GW1503" s="342"/>
      <c r="GX1503" s="12"/>
      <c r="GY1503" s="14"/>
      <c r="GZ1503" s="15"/>
      <c r="HA1503" s="15"/>
      <c r="HB1503" s="15"/>
      <c r="HC1503" s="15"/>
      <c r="HD1503" s="15"/>
      <c r="HE1503" s="15"/>
      <c r="HF1503" s="349"/>
      <c r="HG1503" s="349"/>
      <c r="HH1503" s="349"/>
      <c r="HI1503" s="350"/>
      <c r="HJ1503" s="347"/>
      <c r="HK1503" s="351"/>
      <c r="HL1503" s="343"/>
      <c r="HM1503" s="351"/>
      <c r="HN1503" s="351"/>
      <c r="HO1503" s="351"/>
      <c r="HP1503" s="351"/>
      <c r="HQ1503" s="351"/>
      <c r="HR1503" s="351"/>
      <c r="HS1503" s="351"/>
      <c r="HT1503" s="351"/>
      <c r="HU1503" s="351"/>
      <c r="HV1503" s="351"/>
      <c r="HW1503" s="351"/>
      <c r="HX1503" s="351"/>
      <c r="HY1503" s="351"/>
      <c r="HZ1503" s="351"/>
      <c r="IA1503" s="351"/>
      <c r="IB1503" s="351"/>
      <c r="IC1503" s="351"/>
      <c r="ID1503" s="351"/>
      <c r="IE1503" s="351"/>
      <c r="IF1503" s="351"/>
      <c r="IG1503" s="351"/>
      <c r="IH1503" s="351"/>
      <c r="II1503" s="351"/>
      <c r="IJ1503" s="351"/>
      <c r="IK1503" s="351"/>
      <c r="IL1503" s="351"/>
      <c r="IM1503" s="351"/>
      <c r="IN1503" s="351"/>
      <c r="IO1503" s="351"/>
      <c r="IP1503" s="351"/>
      <c r="IQ1503" s="351"/>
      <c r="IR1503" s="351"/>
      <c r="IS1503" s="351"/>
      <c r="IT1503" s="351"/>
      <c r="IU1503" s="351"/>
      <c r="IV1503" s="351"/>
      <c r="IW1503" s="351"/>
      <c r="IX1503" s="351"/>
      <c r="IY1503" s="351"/>
      <c r="IZ1503" s="351"/>
      <c r="JA1503" s="351"/>
      <c r="JB1503" s="351"/>
      <c r="JC1503" s="347"/>
      <c r="JD1503" s="351"/>
      <c r="JE1503" s="343"/>
      <c r="JF1503" s="351"/>
      <c r="JG1503" s="351"/>
      <c r="JH1503" s="351"/>
      <c r="JI1503" s="351"/>
      <c r="JJ1503" s="351"/>
      <c r="JK1503" s="351"/>
      <c r="JL1503" s="351"/>
      <c r="JM1503" s="351"/>
      <c r="JN1503" s="351"/>
      <c r="JO1503" s="351"/>
      <c r="JP1503" s="351"/>
      <c r="JQ1503" s="351"/>
      <c r="JR1503" s="351"/>
      <c r="JS1503" s="351"/>
      <c r="JT1503" s="351"/>
      <c r="JU1503" s="351"/>
      <c r="JV1503" s="351"/>
      <c r="JW1503" s="351"/>
      <c r="JX1503" s="351"/>
      <c r="JY1503" s="351"/>
      <c r="JZ1503" s="351"/>
      <c r="KA1503" s="351"/>
      <c r="KB1503" s="351"/>
      <c r="KC1503" s="351"/>
      <c r="KD1503" s="351"/>
      <c r="KE1503" s="351"/>
      <c r="KF1503" s="351"/>
      <c r="KG1503" s="351"/>
      <c r="KH1503" s="351"/>
      <c r="KI1503" s="351"/>
      <c r="KJ1503" s="351"/>
      <c r="KK1503" s="351"/>
      <c r="KL1503" s="351"/>
      <c r="KM1503" s="270"/>
      <c r="KN1503" s="351"/>
      <c r="KO1503" s="351"/>
      <c r="KP1503" s="351"/>
      <c r="KQ1503" s="351"/>
      <c r="KR1503" s="351"/>
      <c r="KS1503" s="351"/>
      <c r="KT1503" s="351"/>
      <c r="KU1503" s="351"/>
      <c r="KV1503" s="351"/>
      <c r="KW1503" s="351"/>
      <c r="KX1503" s="351"/>
      <c r="KY1503" s="272"/>
      <c r="KZ1503" s="351"/>
      <c r="LA1503" s="351"/>
      <c r="LB1503" s="351"/>
      <c r="LC1503" s="347"/>
      <c r="LD1503" s="351"/>
      <c r="LE1503" s="343"/>
      <c r="LF1503" s="351"/>
      <c r="LG1503" s="351"/>
      <c r="LH1503" s="351"/>
      <c r="LI1503" s="351"/>
      <c r="LJ1503" s="342"/>
      <c r="LK1503" s="342"/>
      <c r="LL1503" s="342"/>
      <c r="LM1503" s="342"/>
      <c r="LN1503" s="342"/>
      <c r="LO1503" s="342"/>
      <c r="LP1503" s="342"/>
      <c r="LQ1503" s="342"/>
      <c r="LR1503" s="342"/>
      <c r="LS1503" s="342"/>
      <c r="LT1503" s="342"/>
      <c r="LU1503" s="13"/>
    </row>
    <row r="1504" spans="6:333" ht="10.75" customHeight="1">
      <c r="F1504" s="342"/>
      <c r="G1504" s="342"/>
      <c r="H1504" s="342"/>
      <c r="I1504" s="342"/>
      <c r="J1504" s="342"/>
      <c r="K1504" s="342"/>
      <c r="L1504" s="342"/>
      <c r="M1504" s="342"/>
      <c r="N1504" s="342"/>
      <c r="O1504" s="342"/>
      <c r="P1504" s="342"/>
      <c r="Q1504" s="342"/>
      <c r="R1504" s="342"/>
      <c r="S1504" s="342"/>
      <c r="T1504" s="342"/>
      <c r="U1504" s="342"/>
      <c r="V1504" s="342"/>
      <c r="W1504" s="342"/>
      <c r="X1504" s="342"/>
      <c r="Y1504" s="342"/>
      <c r="Z1504" s="342"/>
      <c r="AA1504" s="342"/>
      <c r="AB1504" s="342"/>
      <c r="AC1504" s="342"/>
      <c r="AD1504" s="342"/>
      <c r="AE1504" s="342"/>
      <c r="AF1504" s="342"/>
      <c r="AG1504" s="342"/>
      <c r="AH1504" s="342"/>
      <c r="AI1504" s="342"/>
      <c r="AJ1504" s="342"/>
      <c r="AK1504" s="342"/>
      <c r="AL1504" s="342"/>
      <c r="AM1504" s="342"/>
      <c r="AN1504" s="342"/>
      <c r="AO1504" s="342"/>
      <c r="AP1504" s="342"/>
      <c r="AQ1504" s="342"/>
      <c r="AR1504" s="342"/>
      <c r="AS1504" s="342"/>
      <c r="AT1504" s="342"/>
      <c r="AU1504" s="342"/>
      <c r="AV1504" s="342"/>
      <c r="AW1504" s="342"/>
      <c r="AX1504" s="342"/>
      <c r="AY1504" s="342"/>
      <c r="AZ1504" s="342"/>
      <c r="BA1504" s="342"/>
      <c r="BB1504" s="342"/>
      <c r="BC1504" s="342"/>
      <c r="BD1504" s="342"/>
      <c r="BE1504" s="342"/>
      <c r="BF1504" s="342"/>
      <c r="BG1504" s="342"/>
      <c r="BH1504" s="342"/>
      <c r="BI1504" s="342"/>
      <c r="BJ1504" s="342"/>
      <c r="BK1504" s="342"/>
      <c r="BL1504" s="342"/>
      <c r="BM1504" s="342"/>
      <c r="BN1504" s="342"/>
      <c r="BO1504" s="342"/>
      <c r="BP1504" s="342"/>
      <c r="BQ1504" s="342"/>
      <c r="BR1504" s="342"/>
      <c r="BS1504" s="342"/>
      <c r="BT1504" s="342"/>
      <c r="BU1504" s="342"/>
      <c r="BV1504" s="342"/>
      <c r="BW1504" s="342"/>
      <c r="BX1504" s="342"/>
      <c r="BY1504" s="342"/>
      <c r="BZ1504" s="342"/>
      <c r="CA1504" s="342"/>
      <c r="CB1504" s="342"/>
      <c r="CC1504" s="342"/>
      <c r="CD1504" s="342"/>
      <c r="CE1504" s="342"/>
      <c r="CF1504" s="342"/>
      <c r="CG1504" s="342"/>
      <c r="CH1504" s="342"/>
      <c r="CI1504" s="342"/>
      <c r="CJ1504" s="342"/>
      <c r="CK1504" s="342"/>
      <c r="CL1504" s="342"/>
      <c r="CM1504" s="342"/>
      <c r="CN1504" s="342"/>
      <c r="CO1504" s="342"/>
      <c r="CP1504" s="342"/>
      <c r="CQ1504" s="342"/>
      <c r="CR1504" s="342"/>
      <c r="CS1504" s="342"/>
      <c r="CT1504" s="342"/>
      <c r="CU1504" s="342"/>
      <c r="CV1504" s="342"/>
      <c r="CW1504" s="342"/>
      <c r="CX1504" s="342"/>
      <c r="CY1504" s="342"/>
      <c r="CZ1504" s="342"/>
      <c r="DA1504" s="342"/>
      <c r="DB1504" s="342"/>
      <c r="DC1504" s="342"/>
      <c r="DD1504" s="342"/>
      <c r="DE1504" s="342"/>
      <c r="DF1504" s="342"/>
      <c r="DG1504" s="342"/>
      <c r="DH1504" s="342"/>
      <c r="DI1504" s="342"/>
      <c r="DJ1504" s="342"/>
      <c r="DK1504" s="342"/>
      <c r="DL1504" s="342"/>
      <c r="DM1504" s="342"/>
      <c r="DN1504" s="342"/>
      <c r="DO1504" s="342"/>
      <c r="DP1504" s="342"/>
      <c r="DQ1504" s="342"/>
      <c r="DR1504" s="342"/>
      <c r="DS1504" s="342"/>
      <c r="DT1504" s="342"/>
      <c r="DU1504" s="342"/>
      <c r="FV1504" s="14"/>
      <c r="FW1504" s="15"/>
      <c r="FX1504" s="15"/>
      <c r="FY1504" s="15"/>
      <c r="FZ1504" s="15"/>
      <c r="GA1504" s="15"/>
      <c r="GB1504" s="15"/>
      <c r="GC1504" s="15"/>
      <c r="GD1504" s="15"/>
      <c r="GE1504" s="16"/>
      <c r="GT1504" s="12"/>
      <c r="GU1504" s="342"/>
      <c r="GV1504" s="342"/>
      <c r="GW1504" s="342"/>
      <c r="GX1504" s="14"/>
      <c r="GY1504" s="15"/>
      <c r="GZ1504" s="15"/>
      <c r="HA1504" s="15"/>
      <c r="HB1504" s="15"/>
      <c r="HC1504" s="15"/>
      <c r="HD1504" s="15"/>
      <c r="HE1504" s="15"/>
      <c r="HF1504" s="349"/>
      <c r="HG1504" s="349"/>
      <c r="HH1504" s="349"/>
      <c r="HI1504" s="350"/>
      <c r="HJ1504" s="347"/>
      <c r="HK1504" s="351"/>
      <c r="HL1504" s="343"/>
      <c r="HM1504" s="349"/>
      <c r="HN1504" s="349"/>
      <c r="HO1504" s="349"/>
      <c r="HP1504" s="349"/>
      <c r="HQ1504" s="349"/>
      <c r="HR1504" s="349"/>
      <c r="HS1504" s="349"/>
      <c r="HT1504" s="349"/>
      <c r="HU1504" s="349"/>
      <c r="HV1504" s="349"/>
      <c r="HW1504" s="349"/>
      <c r="HX1504" s="349"/>
      <c r="HY1504" s="349"/>
      <c r="HZ1504" s="349"/>
      <c r="IA1504" s="349"/>
      <c r="IB1504" s="349"/>
      <c r="IC1504" s="349"/>
      <c r="ID1504" s="349"/>
      <c r="IE1504" s="349"/>
      <c r="IF1504" s="349"/>
      <c r="IG1504" s="349"/>
      <c r="IH1504" s="349"/>
      <c r="II1504" s="349"/>
      <c r="IJ1504" s="349"/>
      <c r="IK1504" s="349"/>
      <c r="IL1504" s="349"/>
      <c r="IM1504" s="349"/>
      <c r="IN1504" s="349"/>
      <c r="IO1504" s="349"/>
      <c r="IP1504" s="349"/>
      <c r="IQ1504" s="349"/>
      <c r="IR1504" s="349"/>
      <c r="IS1504" s="349"/>
      <c r="IT1504" s="349"/>
      <c r="IU1504" s="349"/>
      <c r="IV1504" s="349"/>
      <c r="IW1504" s="349"/>
      <c r="IX1504" s="349"/>
      <c r="IY1504" s="349"/>
      <c r="IZ1504" s="349"/>
      <c r="JA1504" s="349"/>
      <c r="JB1504" s="349"/>
      <c r="JC1504" s="347"/>
      <c r="JD1504" s="351"/>
      <c r="JE1504" s="343"/>
      <c r="JF1504" s="349"/>
      <c r="JG1504" s="349"/>
      <c r="JH1504" s="349"/>
      <c r="JI1504" s="349"/>
      <c r="JJ1504" s="349"/>
      <c r="JK1504" s="349"/>
      <c r="JL1504" s="349"/>
      <c r="JM1504" s="349"/>
      <c r="JN1504" s="349"/>
      <c r="JO1504" s="349"/>
      <c r="JP1504" s="349"/>
      <c r="JQ1504" s="349"/>
      <c r="JR1504" s="349"/>
      <c r="JS1504" s="349"/>
      <c r="JT1504" s="349"/>
      <c r="JU1504" s="349"/>
      <c r="JV1504" s="349"/>
      <c r="JW1504" s="349"/>
      <c r="JX1504" s="349"/>
      <c r="JY1504" s="349"/>
      <c r="JZ1504" s="349"/>
      <c r="KA1504" s="349"/>
      <c r="KB1504" s="349"/>
      <c r="KC1504" s="349"/>
      <c r="KD1504" s="349"/>
      <c r="KE1504" s="349"/>
      <c r="KF1504" s="349"/>
      <c r="KG1504" s="349"/>
      <c r="KH1504" s="349"/>
      <c r="KI1504" s="349"/>
      <c r="KJ1504" s="349"/>
      <c r="KK1504" s="349"/>
      <c r="KL1504" s="349"/>
      <c r="KM1504" s="267"/>
      <c r="KN1504" s="349"/>
      <c r="KO1504" s="349"/>
      <c r="KP1504" s="349"/>
      <c r="KQ1504" s="349"/>
      <c r="KR1504" s="349"/>
      <c r="KS1504" s="349"/>
      <c r="KT1504" s="349"/>
      <c r="KU1504" s="349"/>
      <c r="KV1504" s="349"/>
      <c r="KW1504" s="349"/>
      <c r="KX1504" s="349"/>
      <c r="KY1504" s="269"/>
      <c r="KZ1504" s="349"/>
      <c r="LA1504" s="349"/>
      <c r="LB1504" s="349"/>
      <c r="LC1504" s="347"/>
      <c r="LD1504" s="351"/>
      <c r="LE1504" s="343"/>
      <c r="LF1504" s="351"/>
      <c r="LG1504" s="351"/>
      <c r="LH1504" s="351"/>
      <c r="LI1504" s="351"/>
      <c r="LJ1504" s="342"/>
      <c r="LK1504" s="342"/>
      <c r="LL1504" s="342"/>
      <c r="LM1504" s="342"/>
      <c r="LN1504" s="342"/>
      <c r="LO1504" s="342"/>
      <c r="LP1504" s="342"/>
      <c r="LQ1504" s="342"/>
      <c r="LR1504" s="342"/>
      <c r="LS1504" s="342"/>
      <c r="LT1504" s="342"/>
      <c r="LU1504" s="13"/>
    </row>
    <row r="1505" spans="6:333" ht="10.75" customHeight="1">
      <c r="F1505" s="342"/>
      <c r="G1505" s="342"/>
      <c r="H1505" s="342"/>
      <c r="I1505" s="342"/>
      <c r="J1505" s="342"/>
      <c r="K1505" s="342"/>
      <c r="L1505" s="342"/>
      <c r="M1505" s="342"/>
      <c r="N1505" s="342"/>
      <c r="O1505" s="342"/>
      <c r="P1505" s="342"/>
      <c r="Q1505" s="342"/>
      <c r="R1505" s="342"/>
      <c r="S1505" s="342"/>
      <c r="T1505" s="342"/>
      <c r="U1505" s="342"/>
      <c r="V1505" s="342"/>
      <c r="W1505" s="342"/>
      <c r="X1505" s="342"/>
      <c r="Y1505" s="342"/>
      <c r="Z1505" s="342"/>
      <c r="AA1505" s="342"/>
      <c r="AB1505" s="342"/>
      <c r="AC1505" s="342"/>
      <c r="AD1505" s="342"/>
      <c r="AE1505" s="342"/>
      <c r="AF1505" s="342"/>
      <c r="AG1505" s="342"/>
      <c r="AH1505" s="342"/>
      <c r="AI1505" s="342"/>
      <c r="AJ1505" s="342"/>
      <c r="AK1505" s="342"/>
      <c r="AL1505" s="342"/>
      <c r="AM1505" s="342"/>
      <c r="AN1505" s="342"/>
      <c r="AO1505" s="342"/>
      <c r="AP1505" s="342"/>
      <c r="AQ1505" s="342"/>
      <c r="AR1505" s="342"/>
      <c r="AS1505" s="342"/>
      <c r="AT1505" s="342"/>
      <c r="AU1505" s="342"/>
      <c r="AV1505" s="342"/>
      <c r="AW1505" s="342"/>
      <c r="AX1505" s="342"/>
      <c r="AY1505" s="342"/>
      <c r="AZ1505" s="342"/>
      <c r="BA1505" s="342"/>
      <c r="BB1505" s="342"/>
      <c r="BC1505" s="342"/>
      <c r="BD1505" s="342"/>
      <c r="BE1505" s="342"/>
      <c r="BF1505" s="342"/>
      <c r="BG1505" s="342"/>
      <c r="BH1505" s="342"/>
      <c r="BI1505" s="342"/>
      <c r="BJ1505" s="342"/>
      <c r="BK1505" s="342"/>
      <c r="BL1505" s="342"/>
      <c r="BM1505" s="342"/>
      <c r="BN1505" s="342"/>
      <c r="BO1505" s="342"/>
      <c r="BP1505" s="342"/>
      <c r="BQ1505" s="342"/>
      <c r="BR1505" s="342"/>
      <c r="BS1505" s="342"/>
      <c r="BT1505" s="342"/>
      <c r="BU1505" s="342"/>
      <c r="BV1505" s="342"/>
      <c r="BW1505" s="342"/>
      <c r="BX1505" s="342"/>
      <c r="BY1505" s="342"/>
      <c r="BZ1505" s="342"/>
      <c r="CA1505" s="342"/>
      <c r="CB1505" s="342"/>
      <c r="CC1505" s="342"/>
      <c r="CD1505" s="342"/>
      <c r="CE1505" s="342"/>
      <c r="CF1505" s="342"/>
      <c r="CG1505" s="342"/>
      <c r="CH1505" s="342"/>
      <c r="CI1505" s="342"/>
      <c r="CJ1505" s="342"/>
      <c r="CK1505" s="342"/>
      <c r="CL1505" s="342"/>
      <c r="CM1505" s="342"/>
      <c r="CN1505" s="342"/>
      <c r="CO1505" s="342"/>
      <c r="CP1505" s="342"/>
      <c r="CQ1505" s="342"/>
      <c r="CR1505" s="342"/>
      <c r="CS1505" s="342"/>
      <c r="CT1505" s="342"/>
      <c r="CU1505" s="342"/>
      <c r="CV1505" s="342"/>
      <c r="CW1505" s="342"/>
      <c r="CX1505" s="342"/>
      <c r="CY1505" s="342"/>
      <c r="CZ1505" s="342"/>
      <c r="DA1505" s="342"/>
      <c r="DB1505" s="342"/>
      <c r="DC1505" s="342"/>
      <c r="DD1505" s="342"/>
      <c r="DE1505" s="342"/>
      <c r="DF1505" s="342"/>
      <c r="DG1505" s="342"/>
      <c r="DH1505" s="342"/>
      <c r="DI1505" s="342"/>
      <c r="DJ1505" s="342"/>
      <c r="DK1505" s="342"/>
      <c r="DL1505" s="342"/>
      <c r="DM1505" s="342"/>
      <c r="DN1505" s="342"/>
      <c r="DO1505" s="342"/>
      <c r="DP1505" s="342"/>
      <c r="DQ1505" s="342"/>
      <c r="DR1505" s="342"/>
      <c r="DS1505" s="342"/>
      <c r="DT1505" s="342"/>
      <c r="DU1505" s="342"/>
      <c r="GT1505" s="12"/>
      <c r="GU1505" s="342"/>
      <c r="GV1505" s="342"/>
      <c r="GW1505" s="342"/>
      <c r="GX1505" s="342"/>
      <c r="GY1505" s="342"/>
      <c r="GZ1505" s="342"/>
      <c r="HA1505" s="342"/>
      <c r="HB1505" s="342"/>
      <c r="HC1505" s="342"/>
      <c r="HD1505" s="342"/>
      <c r="HE1505" s="342"/>
      <c r="HF1505" s="351"/>
      <c r="HG1505" s="351"/>
      <c r="HH1505" s="351"/>
      <c r="HI1505" s="351"/>
      <c r="HJ1505" s="348"/>
      <c r="HK1505" s="349"/>
      <c r="HL1505" s="350"/>
      <c r="HM1505" s="351"/>
      <c r="HN1505" s="351"/>
      <c r="HO1505" s="351"/>
      <c r="HP1505" s="351"/>
      <c r="HQ1505" s="351"/>
      <c r="HR1505" s="351"/>
      <c r="HS1505" s="351"/>
      <c r="HT1505" s="351"/>
      <c r="HU1505" s="351"/>
      <c r="HV1505" s="351"/>
      <c r="HW1505" s="351"/>
      <c r="HX1505" s="351"/>
      <c r="HY1505" s="351"/>
      <c r="HZ1505" s="351"/>
      <c r="IA1505" s="351"/>
      <c r="IB1505" s="351"/>
      <c r="IC1505" s="351"/>
      <c r="ID1505" s="351"/>
      <c r="IE1505" s="351"/>
      <c r="IF1505" s="351"/>
      <c r="IG1505" s="351"/>
      <c r="IH1505" s="351"/>
      <c r="II1505" s="351"/>
      <c r="IJ1505" s="351"/>
      <c r="IK1505" s="351"/>
      <c r="IL1505" s="351"/>
      <c r="IM1505" s="351"/>
      <c r="IN1505" s="351"/>
      <c r="IO1505" s="351"/>
      <c r="IP1505" s="351"/>
      <c r="IQ1505" s="351"/>
      <c r="IR1505" s="351"/>
      <c r="IS1505" s="351"/>
      <c r="IT1505" s="351"/>
      <c r="IU1505" s="351"/>
      <c r="IV1505" s="351"/>
      <c r="IW1505" s="351"/>
      <c r="IX1505" s="351"/>
      <c r="IY1505" s="351"/>
      <c r="IZ1505" s="351"/>
      <c r="JA1505" s="351"/>
      <c r="JB1505" s="351"/>
      <c r="JC1505" s="348"/>
      <c r="JD1505" s="349"/>
      <c r="JE1505" s="350"/>
      <c r="JF1505" s="351"/>
      <c r="JG1505" s="351"/>
      <c r="JH1505" s="351"/>
      <c r="JI1505" s="351"/>
      <c r="JJ1505" s="351"/>
      <c r="JK1505" s="351"/>
      <c r="JL1505" s="351"/>
      <c r="JM1505" s="351"/>
      <c r="JN1505" s="351"/>
      <c r="JO1505" s="351"/>
      <c r="JP1505" s="351"/>
      <c r="JQ1505" s="351"/>
      <c r="JR1505" s="351"/>
      <c r="JS1505" s="351"/>
      <c r="JT1505" s="351"/>
      <c r="JU1505" s="351"/>
      <c r="JV1505" s="351"/>
      <c r="JW1505" s="351"/>
      <c r="JX1505" s="351"/>
      <c r="JY1505" s="351"/>
      <c r="JZ1505" s="351"/>
      <c r="KA1505" s="351"/>
      <c r="KB1505" s="351"/>
      <c r="KC1505" s="351"/>
      <c r="KD1505" s="351"/>
      <c r="KE1505" s="351"/>
      <c r="KF1505" s="351"/>
      <c r="KG1505" s="351"/>
      <c r="KH1505" s="351"/>
      <c r="KI1505" s="351"/>
      <c r="KJ1505" s="351"/>
      <c r="KK1505" s="351"/>
      <c r="KL1505" s="351"/>
      <c r="KM1505" s="351"/>
      <c r="KN1505" s="351"/>
      <c r="KO1505" s="351"/>
      <c r="KP1505" s="351"/>
      <c r="KQ1505" s="351"/>
      <c r="KR1505" s="351"/>
      <c r="KS1505" s="351"/>
      <c r="KT1505" s="351"/>
      <c r="KU1505" s="351"/>
      <c r="KV1505" s="351"/>
      <c r="KW1505" s="351"/>
      <c r="KX1505" s="351"/>
      <c r="KY1505" s="351"/>
      <c r="KZ1505" s="351"/>
      <c r="LA1505" s="351"/>
      <c r="LB1505" s="343"/>
      <c r="LC1505" s="349"/>
      <c r="LD1505" s="349"/>
      <c r="LE1505" s="350"/>
      <c r="LF1505" s="351"/>
      <c r="LG1505" s="351"/>
      <c r="LH1505" s="351"/>
      <c r="LI1505" s="351"/>
      <c r="LJ1505" s="342"/>
      <c r="LK1505" s="342"/>
      <c r="LL1505" s="342"/>
      <c r="LM1505" s="342"/>
      <c r="LN1505" s="342"/>
      <c r="LO1505" s="342"/>
      <c r="LP1505" s="342"/>
      <c r="LQ1505" s="342"/>
      <c r="LR1505" s="342"/>
      <c r="LS1505" s="342"/>
      <c r="LT1505" s="342"/>
      <c r="LU1505" s="13"/>
    </row>
    <row r="1506" spans="6:333" ht="10.75" customHeight="1">
      <c r="F1506" s="342"/>
      <c r="G1506" s="342"/>
      <c r="H1506" s="342"/>
      <c r="I1506" s="342"/>
      <c r="J1506" s="342"/>
      <c r="K1506" s="342"/>
      <c r="L1506" s="342"/>
      <c r="M1506" s="342"/>
      <c r="N1506" s="342"/>
      <c r="O1506" s="342"/>
      <c r="P1506" s="342"/>
      <c r="Q1506" s="342"/>
      <c r="R1506" s="342"/>
      <c r="S1506" s="342"/>
      <c r="T1506" s="342"/>
      <c r="U1506" s="342"/>
      <c r="V1506" s="342"/>
      <c r="W1506" s="342"/>
      <c r="X1506" s="342"/>
      <c r="Y1506" s="342"/>
      <c r="Z1506" s="342"/>
      <c r="AA1506" s="342"/>
      <c r="AB1506" s="342"/>
      <c r="AC1506" s="342"/>
      <c r="AD1506" s="342"/>
      <c r="AE1506" s="342"/>
      <c r="AF1506" s="342"/>
      <c r="AG1506" s="342"/>
      <c r="AH1506" s="342"/>
      <c r="AI1506" s="342"/>
      <c r="AJ1506" s="342"/>
      <c r="AK1506" s="342"/>
      <c r="AL1506" s="342"/>
      <c r="AM1506" s="342"/>
      <c r="AN1506" s="342"/>
      <c r="AO1506" s="342"/>
      <c r="AP1506" s="342"/>
      <c r="AQ1506" s="342"/>
      <c r="AR1506" s="342"/>
      <c r="AS1506" s="342"/>
      <c r="AT1506" s="342"/>
      <c r="AU1506" s="342"/>
      <c r="AV1506" s="342"/>
      <c r="AW1506" s="342"/>
      <c r="AX1506" s="342"/>
      <c r="AY1506" s="342"/>
      <c r="AZ1506" s="342"/>
      <c r="BA1506" s="342"/>
      <c r="BB1506" s="342"/>
      <c r="BC1506" s="342"/>
      <c r="BD1506" s="342"/>
      <c r="BE1506" s="342"/>
      <c r="BF1506" s="342"/>
      <c r="BG1506" s="342"/>
      <c r="BH1506" s="342"/>
      <c r="BI1506" s="342"/>
      <c r="BJ1506" s="342"/>
      <c r="BK1506" s="342"/>
      <c r="BL1506" s="342"/>
      <c r="BM1506" s="342"/>
      <c r="BN1506" s="342"/>
      <c r="BO1506" s="342"/>
      <c r="BP1506" s="342"/>
      <c r="BQ1506" s="342"/>
      <c r="BR1506" s="342"/>
      <c r="BS1506" s="342"/>
      <c r="BT1506" s="342"/>
      <c r="BU1506" s="342"/>
      <c r="BV1506" s="342"/>
      <c r="BW1506" s="342"/>
      <c r="BX1506" s="342"/>
      <c r="BY1506" s="342"/>
      <c r="BZ1506" s="342"/>
      <c r="CA1506" s="342"/>
      <c r="CB1506" s="342"/>
      <c r="CC1506" s="342"/>
      <c r="CD1506" s="342"/>
      <c r="CE1506" s="342"/>
      <c r="CF1506" s="342"/>
      <c r="CG1506" s="342"/>
      <c r="CH1506" s="342"/>
      <c r="CI1506" s="342"/>
      <c r="CJ1506" s="342"/>
      <c r="CK1506" s="342"/>
      <c r="CL1506" s="342"/>
      <c r="CM1506" s="342"/>
      <c r="CN1506" s="342"/>
      <c r="CO1506" s="342"/>
      <c r="CP1506" s="342"/>
      <c r="CQ1506" s="342"/>
      <c r="CR1506" s="342"/>
      <c r="CS1506" s="342"/>
      <c r="CT1506" s="342"/>
      <c r="CU1506" s="342"/>
      <c r="CV1506" s="342"/>
      <c r="CW1506" s="342"/>
      <c r="CX1506" s="342"/>
      <c r="CY1506" s="342"/>
      <c r="CZ1506" s="342"/>
      <c r="DA1506" s="342"/>
      <c r="DB1506" s="342"/>
      <c r="DC1506" s="342"/>
      <c r="DD1506" s="342"/>
      <c r="DE1506" s="342"/>
      <c r="DF1506" s="342"/>
      <c r="DG1506" s="342"/>
      <c r="DH1506" s="342"/>
      <c r="DI1506" s="342"/>
      <c r="DJ1506" s="342"/>
      <c r="DK1506" s="342"/>
      <c r="DL1506" s="342"/>
      <c r="DM1506" s="342"/>
      <c r="DN1506" s="342"/>
      <c r="DO1506" s="342"/>
      <c r="DP1506" s="342"/>
      <c r="DQ1506" s="342"/>
      <c r="DR1506" s="342"/>
      <c r="DS1506" s="342"/>
      <c r="DT1506" s="342"/>
      <c r="DU1506" s="342"/>
      <c r="GT1506" s="12"/>
      <c r="GU1506" s="342"/>
      <c r="GV1506" s="342"/>
      <c r="GW1506" s="342"/>
      <c r="GX1506" s="342"/>
      <c r="GY1506" s="342"/>
      <c r="GZ1506" s="342"/>
      <c r="HA1506" s="342"/>
      <c r="HB1506" s="342"/>
      <c r="HC1506" s="342"/>
      <c r="HD1506" s="342"/>
      <c r="HE1506" s="342"/>
      <c r="HF1506" s="351"/>
      <c r="HG1506" s="351"/>
      <c r="HH1506" s="351"/>
      <c r="HI1506" s="351"/>
      <c r="HJ1506" s="351"/>
      <c r="HK1506" s="351"/>
      <c r="HL1506" s="351"/>
      <c r="HM1506" s="351"/>
      <c r="HN1506" s="351"/>
      <c r="HO1506" s="351"/>
      <c r="HP1506" s="351"/>
      <c r="HQ1506" s="351"/>
      <c r="HR1506" s="351"/>
      <c r="HS1506" s="351"/>
      <c r="HT1506" s="351"/>
      <c r="HU1506" s="351"/>
      <c r="HV1506" s="351"/>
      <c r="HW1506" s="351"/>
      <c r="HX1506" s="351"/>
      <c r="HY1506" s="351"/>
      <c r="HZ1506" s="351"/>
      <c r="IA1506" s="351"/>
      <c r="IB1506" s="351"/>
      <c r="IC1506" s="351"/>
      <c r="ID1506" s="351"/>
      <c r="IE1506" s="351"/>
      <c r="IF1506" s="351"/>
      <c r="IG1506" s="351"/>
      <c r="IH1506" s="351"/>
      <c r="II1506" s="351"/>
      <c r="IJ1506" s="351"/>
      <c r="IK1506" s="351"/>
      <c r="IL1506" s="351"/>
      <c r="IM1506" s="351"/>
      <c r="IN1506" s="351"/>
      <c r="IO1506" s="351"/>
      <c r="IP1506" s="351"/>
      <c r="IQ1506" s="351"/>
      <c r="IR1506" s="351"/>
      <c r="IS1506" s="351"/>
      <c r="IT1506" s="351"/>
      <c r="IU1506" s="351"/>
      <c r="IV1506" s="351"/>
      <c r="IW1506" s="351"/>
      <c r="IX1506" s="351"/>
      <c r="IY1506" s="351"/>
      <c r="IZ1506" s="351"/>
      <c r="JA1506" s="351"/>
      <c r="JB1506" s="351"/>
      <c r="JC1506" s="351"/>
      <c r="JD1506" s="351"/>
      <c r="JE1506" s="351"/>
      <c r="JF1506" s="351"/>
      <c r="JG1506" s="351"/>
      <c r="JH1506" s="351"/>
      <c r="JI1506" s="351"/>
      <c r="JJ1506" s="351"/>
      <c r="JK1506" s="351"/>
      <c r="JL1506" s="351"/>
      <c r="JM1506" s="351"/>
      <c r="JN1506" s="351"/>
      <c r="JO1506" s="351"/>
      <c r="JP1506" s="351"/>
      <c r="JQ1506" s="351"/>
      <c r="JR1506" s="351"/>
      <c r="JS1506" s="351"/>
      <c r="JT1506" s="351"/>
      <c r="JU1506" s="351"/>
      <c r="JV1506" s="351"/>
      <c r="JW1506" s="351"/>
      <c r="JX1506" s="351"/>
      <c r="JY1506" s="351"/>
      <c r="JZ1506" s="351"/>
      <c r="KA1506" s="351"/>
      <c r="KB1506" s="351"/>
      <c r="KC1506" s="351"/>
      <c r="KD1506" s="351"/>
      <c r="KE1506" s="351"/>
      <c r="KF1506" s="351"/>
      <c r="KG1506" s="351"/>
      <c r="KH1506" s="351"/>
      <c r="KI1506" s="351"/>
      <c r="KJ1506" s="351"/>
      <c r="KK1506" s="351"/>
      <c r="KL1506" s="351"/>
      <c r="KM1506" s="351"/>
      <c r="KN1506" s="351"/>
      <c r="KO1506" s="351"/>
      <c r="KP1506" s="351"/>
      <c r="KQ1506" s="351"/>
      <c r="KR1506" s="351"/>
      <c r="KS1506" s="351"/>
      <c r="KT1506" s="351"/>
      <c r="KU1506" s="351"/>
      <c r="KV1506" s="351"/>
      <c r="KW1506" s="351"/>
      <c r="KX1506" s="351"/>
      <c r="KY1506" s="351"/>
      <c r="KZ1506" s="351"/>
      <c r="LA1506" s="351"/>
      <c r="LB1506" s="351"/>
      <c r="LC1506" s="351"/>
      <c r="LD1506" s="351"/>
      <c r="LE1506" s="351"/>
      <c r="LF1506" s="351"/>
      <c r="LG1506" s="351"/>
      <c r="LH1506" s="351"/>
      <c r="LI1506" s="351"/>
      <c r="LJ1506" s="342"/>
      <c r="LK1506" s="342"/>
      <c r="LL1506" s="342"/>
      <c r="LM1506" s="342"/>
      <c r="LN1506" s="342"/>
      <c r="LO1506" s="342"/>
      <c r="LP1506" s="342"/>
      <c r="LQ1506" s="342"/>
      <c r="LR1506" s="342"/>
      <c r="LS1506" s="342"/>
      <c r="LT1506" s="342"/>
      <c r="LU1506" s="13"/>
    </row>
    <row r="1507" spans="6:333" ht="10.75" customHeight="1">
      <c r="F1507" s="342"/>
      <c r="G1507" s="342"/>
      <c r="H1507" s="342"/>
      <c r="I1507" s="342"/>
      <c r="J1507" s="342"/>
      <c r="K1507" s="342"/>
      <c r="L1507" s="342"/>
      <c r="M1507" s="342"/>
      <c r="N1507" s="342"/>
      <c r="O1507" s="342"/>
      <c r="P1507" s="342"/>
      <c r="Q1507" s="342"/>
      <c r="R1507" s="342"/>
      <c r="S1507" s="342"/>
      <c r="T1507" s="342"/>
      <c r="U1507" s="342"/>
      <c r="V1507" s="342"/>
      <c r="W1507" s="342"/>
      <c r="X1507" s="342"/>
      <c r="Y1507" s="342"/>
      <c r="Z1507" s="342"/>
      <c r="AA1507" s="342"/>
      <c r="AB1507" s="342"/>
      <c r="AC1507" s="342"/>
      <c r="AD1507" s="342"/>
      <c r="AE1507" s="342"/>
      <c r="AF1507" s="342"/>
      <c r="AG1507" s="342"/>
      <c r="AH1507" s="342"/>
      <c r="AI1507" s="342"/>
      <c r="AJ1507" s="342"/>
      <c r="AK1507" s="342"/>
      <c r="AL1507" s="342"/>
      <c r="AM1507" s="342"/>
      <c r="AN1507" s="342"/>
      <c r="AO1507" s="342"/>
      <c r="AP1507" s="342"/>
      <c r="AQ1507" s="342"/>
      <c r="AR1507" s="342"/>
      <c r="AS1507" s="342"/>
      <c r="AT1507" s="342"/>
      <c r="AU1507" s="342"/>
      <c r="AV1507" s="342"/>
      <c r="AW1507" s="342"/>
      <c r="AX1507" s="342"/>
      <c r="AY1507" s="342"/>
      <c r="AZ1507" s="342"/>
      <c r="BA1507" s="342"/>
      <c r="BB1507" s="342"/>
      <c r="BC1507" s="342"/>
      <c r="BD1507" s="342"/>
      <c r="BE1507" s="342"/>
      <c r="BF1507" s="342"/>
      <c r="BG1507" s="342"/>
      <c r="BH1507" s="342"/>
      <c r="BI1507" s="342"/>
      <c r="BJ1507" s="342"/>
      <c r="BK1507" s="342"/>
      <c r="BL1507" s="342"/>
      <c r="BM1507" s="342"/>
      <c r="BN1507" s="342"/>
      <c r="BO1507" s="342"/>
      <c r="BP1507" s="342"/>
      <c r="BQ1507" s="342"/>
      <c r="BR1507" s="342"/>
      <c r="BS1507" s="342"/>
      <c r="BT1507" s="342"/>
      <c r="BU1507" s="342"/>
      <c r="BV1507" s="342"/>
      <c r="BW1507" s="342"/>
      <c r="BX1507" s="342"/>
      <c r="BY1507" s="342"/>
      <c r="BZ1507" s="342"/>
      <c r="CA1507" s="342"/>
      <c r="CB1507" s="342"/>
      <c r="CC1507" s="342"/>
      <c r="CD1507" s="342"/>
      <c r="CE1507" s="342"/>
      <c r="CF1507" s="342"/>
      <c r="CG1507" s="342"/>
      <c r="CH1507" s="342"/>
      <c r="CI1507" s="342"/>
      <c r="CJ1507" s="342"/>
      <c r="CK1507" s="342"/>
      <c r="CL1507" s="342"/>
      <c r="CM1507" s="342"/>
      <c r="CN1507" s="342"/>
      <c r="CO1507" s="342"/>
      <c r="CP1507" s="342"/>
      <c r="CQ1507" s="342"/>
      <c r="CR1507" s="342"/>
      <c r="CS1507" s="342"/>
      <c r="CT1507" s="342"/>
      <c r="CU1507" s="342"/>
      <c r="CV1507" s="342"/>
      <c r="CW1507" s="342"/>
      <c r="CX1507" s="342"/>
      <c r="CY1507" s="342"/>
      <c r="CZ1507" s="342"/>
      <c r="DA1507" s="342"/>
      <c r="DB1507" s="342"/>
      <c r="DC1507" s="342"/>
      <c r="DD1507" s="342"/>
      <c r="DE1507" s="342"/>
      <c r="DF1507" s="342"/>
      <c r="DG1507" s="342"/>
      <c r="DH1507" s="342"/>
      <c r="DI1507" s="342"/>
      <c r="DJ1507" s="342"/>
      <c r="DK1507" s="342"/>
      <c r="DL1507" s="342"/>
      <c r="DM1507" s="342"/>
      <c r="DN1507" s="342"/>
      <c r="DO1507" s="342"/>
      <c r="DP1507" s="342"/>
      <c r="DQ1507" s="342"/>
      <c r="DR1507" s="342"/>
      <c r="DS1507" s="342"/>
      <c r="DT1507" s="342"/>
      <c r="DU1507" s="342"/>
      <c r="GT1507" s="12"/>
      <c r="GU1507" s="342"/>
      <c r="GV1507" s="342"/>
      <c r="GW1507" s="342"/>
      <c r="GX1507" s="342"/>
      <c r="GY1507" s="342"/>
      <c r="GZ1507" s="342"/>
      <c r="HA1507" s="342"/>
      <c r="HB1507" s="342"/>
      <c r="HC1507" s="342"/>
      <c r="HD1507" s="342"/>
      <c r="HE1507" s="342"/>
      <c r="HF1507" s="351"/>
      <c r="HG1507" s="351"/>
      <c r="HH1507" s="351"/>
      <c r="HI1507" s="351"/>
      <c r="HJ1507" s="351"/>
      <c r="HK1507" s="351"/>
      <c r="HL1507" s="351"/>
      <c r="HM1507" s="351"/>
      <c r="HN1507" s="351"/>
      <c r="HO1507" s="351"/>
      <c r="HP1507" s="351"/>
      <c r="HQ1507" s="351"/>
      <c r="HR1507" s="351"/>
      <c r="HS1507" s="351"/>
      <c r="HT1507" s="351"/>
      <c r="HU1507" s="351"/>
      <c r="HV1507" s="351"/>
      <c r="HW1507" s="351"/>
      <c r="HX1507" s="351"/>
      <c r="HY1507" s="351"/>
      <c r="HZ1507" s="351"/>
      <c r="IA1507" s="351"/>
      <c r="IB1507" s="351"/>
      <c r="IC1507" s="351"/>
      <c r="ID1507" s="351"/>
      <c r="IE1507" s="351"/>
      <c r="IF1507" s="351"/>
      <c r="IG1507" s="351"/>
      <c r="IH1507" s="351"/>
      <c r="II1507" s="351"/>
      <c r="IJ1507" s="351"/>
      <c r="IK1507" s="351"/>
      <c r="IL1507" s="351"/>
      <c r="IM1507" s="351"/>
      <c r="IN1507" s="351"/>
      <c r="IO1507" s="351"/>
      <c r="IP1507" s="351"/>
      <c r="IQ1507" s="351"/>
      <c r="IR1507" s="351"/>
      <c r="IS1507" s="351"/>
      <c r="IT1507" s="351"/>
      <c r="IU1507" s="351"/>
      <c r="IV1507" s="351"/>
      <c r="IW1507" s="351"/>
      <c r="IX1507" s="351"/>
      <c r="IY1507" s="351"/>
      <c r="IZ1507" s="351"/>
      <c r="JA1507" s="351"/>
      <c r="JB1507" s="351"/>
      <c r="JC1507" s="351"/>
      <c r="JD1507" s="351"/>
      <c r="JE1507" s="351"/>
      <c r="JF1507" s="351"/>
      <c r="JG1507" s="351"/>
      <c r="JH1507" s="351"/>
      <c r="JI1507" s="351"/>
      <c r="JJ1507" s="351"/>
      <c r="JK1507" s="351"/>
      <c r="JL1507" s="351"/>
      <c r="JM1507" s="351"/>
      <c r="JN1507" s="351"/>
      <c r="JO1507" s="351"/>
      <c r="JP1507" s="351"/>
      <c r="JQ1507" s="351"/>
      <c r="JR1507" s="351"/>
      <c r="JS1507" s="351"/>
      <c r="JT1507" s="351"/>
      <c r="JU1507" s="351"/>
      <c r="JV1507" s="351"/>
      <c r="JW1507" s="351"/>
      <c r="JX1507" s="351"/>
      <c r="JY1507" s="351"/>
      <c r="JZ1507" s="351"/>
      <c r="KA1507" s="351"/>
      <c r="KB1507" s="351"/>
      <c r="KC1507" s="351"/>
      <c r="KD1507" s="351"/>
      <c r="KE1507" s="351"/>
      <c r="KF1507" s="351"/>
      <c r="KG1507" s="351"/>
      <c r="KH1507" s="351"/>
      <c r="KI1507" s="351"/>
      <c r="KJ1507" s="351"/>
      <c r="KK1507" s="351"/>
      <c r="KL1507" s="351"/>
      <c r="KM1507" s="351"/>
      <c r="KN1507" s="351"/>
      <c r="KO1507" s="351"/>
      <c r="KP1507" s="351"/>
      <c r="KQ1507" s="351"/>
      <c r="KR1507" s="351"/>
      <c r="KS1507" s="351"/>
      <c r="KT1507" s="351"/>
      <c r="KU1507" s="351"/>
      <c r="KV1507" s="351"/>
      <c r="KW1507" s="351"/>
      <c r="KX1507" s="351"/>
      <c r="KY1507" s="351"/>
      <c r="KZ1507" s="351"/>
      <c r="LA1507" s="351"/>
      <c r="LB1507" s="351"/>
      <c r="LC1507" s="351"/>
      <c r="LD1507" s="351"/>
      <c r="LE1507" s="351"/>
      <c r="LF1507" s="351"/>
      <c r="LG1507" s="351"/>
      <c r="LH1507" s="351"/>
      <c r="LI1507" s="351"/>
      <c r="LJ1507" s="342"/>
      <c r="LK1507" s="342"/>
      <c r="LL1507" s="342"/>
      <c r="LM1507" s="342"/>
      <c r="LN1507" s="342"/>
      <c r="LO1507" s="342"/>
      <c r="LP1507" s="342"/>
      <c r="LQ1507" s="342"/>
      <c r="LR1507" s="342"/>
      <c r="LS1507" s="342"/>
      <c r="LT1507" s="342"/>
      <c r="LU1507" s="13"/>
    </row>
    <row r="1508" spans="6:333" ht="10.75" customHeight="1">
      <c r="F1508" s="342"/>
      <c r="G1508" s="342"/>
      <c r="H1508" s="342"/>
      <c r="I1508" s="342"/>
      <c r="J1508" s="342"/>
      <c r="K1508" s="342"/>
      <c r="L1508" s="342"/>
      <c r="M1508" s="342"/>
      <c r="N1508" s="342"/>
      <c r="O1508" s="342"/>
      <c r="P1508" s="342"/>
      <c r="Q1508" s="342"/>
      <c r="R1508" s="342"/>
      <c r="S1508" s="342"/>
      <c r="T1508" s="342"/>
      <c r="U1508" s="342"/>
      <c r="V1508" s="342"/>
      <c r="W1508" s="342"/>
      <c r="X1508" s="342"/>
      <c r="Y1508" s="342"/>
      <c r="Z1508" s="342"/>
      <c r="AA1508" s="342"/>
      <c r="AB1508" s="342"/>
      <c r="AC1508" s="342"/>
      <c r="AD1508" s="342"/>
      <c r="AE1508" s="342"/>
      <c r="AF1508" s="342"/>
      <c r="AG1508" s="342"/>
      <c r="AH1508" s="342"/>
      <c r="AI1508" s="342"/>
      <c r="AJ1508" s="342"/>
      <c r="AK1508" s="342"/>
      <c r="AL1508" s="342"/>
      <c r="AM1508" s="342"/>
      <c r="AN1508" s="342"/>
      <c r="AO1508" s="342"/>
      <c r="AP1508" s="342"/>
      <c r="AQ1508" s="342"/>
      <c r="AR1508" s="342"/>
      <c r="AS1508" s="342"/>
      <c r="AT1508" s="342"/>
      <c r="AU1508" s="342"/>
      <c r="AV1508" s="342"/>
      <c r="AW1508" s="342"/>
      <c r="AX1508" s="342"/>
      <c r="AY1508" s="342"/>
      <c r="AZ1508" s="342"/>
      <c r="BA1508" s="342"/>
      <c r="BB1508" s="342"/>
      <c r="BC1508" s="342"/>
      <c r="BD1508" s="342"/>
      <c r="BE1508" s="342"/>
      <c r="BF1508" s="342"/>
      <c r="BG1508" s="342"/>
      <c r="BH1508" s="342"/>
      <c r="BI1508" s="342"/>
      <c r="BJ1508" s="342"/>
      <c r="BK1508" s="342"/>
      <c r="BL1508" s="342"/>
      <c r="BM1508" s="342"/>
      <c r="BN1508" s="342"/>
      <c r="BO1508" s="342"/>
      <c r="BP1508" s="342"/>
      <c r="BQ1508" s="342"/>
      <c r="BR1508" s="342"/>
      <c r="BS1508" s="342"/>
      <c r="BT1508" s="342"/>
      <c r="BU1508" s="342"/>
      <c r="BV1508" s="342"/>
      <c r="BW1508" s="342"/>
      <c r="BX1508" s="342"/>
      <c r="BY1508" s="342"/>
      <c r="BZ1508" s="342"/>
      <c r="CA1508" s="342"/>
      <c r="CB1508" s="342"/>
      <c r="CC1508" s="342"/>
      <c r="CD1508" s="342"/>
      <c r="CE1508" s="342"/>
      <c r="CF1508" s="342"/>
      <c r="CG1508" s="342"/>
      <c r="CH1508" s="342"/>
      <c r="CI1508" s="342"/>
      <c r="CJ1508" s="342"/>
      <c r="CK1508" s="342"/>
      <c r="CL1508" s="342"/>
      <c r="CM1508" s="342"/>
      <c r="CN1508" s="342"/>
      <c r="CO1508" s="342"/>
      <c r="CP1508" s="342"/>
      <c r="CQ1508" s="342"/>
      <c r="CR1508" s="342"/>
      <c r="CS1508" s="342"/>
      <c r="CT1508" s="342"/>
      <c r="CU1508" s="342"/>
      <c r="CV1508" s="342"/>
      <c r="CW1508" s="342"/>
      <c r="CX1508" s="342"/>
      <c r="CY1508" s="342"/>
      <c r="CZ1508" s="342"/>
      <c r="DA1508" s="342"/>
      <c r="DB1508" s="342"/>
      <c r="DC1508" s="342"/>
      <c r="DD1508" s="342"/>
      <c r="DE1508" s="342"/>
      <c r="DF1508" s="342"/>
      <c r="DG1508" s="342"/>
      <c r="DH1508" s="342"/>
      <c r="DI1508" s="342"/>
      <c r="DJ1508" s="342"/>
      <c r="DK1508" s="342"/>
      <c r="DL1508" s="342"/>
      <c r="DM1508" s="342"/>
      <c r="DN1508" s="342"/>
      <c r="DO1508" s="342"/>
      <c r="DP1508" s="342"/>
      <c r="DQ1508" s="342"/>
      <c r="DR1508" s="342"/>
      <c r="DS1508" s="342"/>
      <c r="DT1508" s="342"/>
      <c r="DU1508" s="342"/>
      <c r="GT1508" s="12"/>
      <c r="GU1508" s="342"/>
      <c r="GV1508" s="342"/>
      <c r="GW1508" s="342"/>
      <c r="GX1508" s="342"/>
      <c r="GY1508" s="342"/>
      <c r="GZ1508" s="342"/>
      <c r="HA1508" s="342"/>
      <c r="HB1508" s="342"/>
      <c r="HC1508" s="342"/>
      <c r="HD1508" s="342"/>
      <c r="HE1508" s="342"/>
      <c r="HF1508" s="351"/>
      <c r="HG1508" s="351"/>
      <c r="HH1508" s="351"/>
      <c r="HI1508" s="351"/>
      <c r="HJ1508" s="351"/>
      <c r="HK1508" s="351"/>
      <c r="HL1508" s="351"/>
      <c r="HM1508" s="351"/>
      <c r="HN1508" s="351"/>
      <c r="HO1508" s="351"/>
      <c r="HP1508" s="351"/>
      <c r="HQ1508" s="351"/>
      <c r="HR1508" s="351"/>
      <c r="HS1508" s="351"/>
      <c r="HT1508" s="351"/>
      <c r="HU1508" s="351"/>
      <c r="HV1508" s="351"/>
      <c r="HW1508" s="351"/>
      <c r="HX1508" s="351"/>
      <c r="HY1508" s="351"/>
      <c r="HZ1508" s="351"/>
      <c r="IA1508" s="351"/>
      <c r="IB1508" s="351"/>
      <c r="IC1508" s="351"/>
      <c r="ID1508" s="351"/>
      <c r="IE1508" s="351"/>
      <c r="IF1508" s="351"/>
      <c r="IG1508" s="351"/>
      <c r="IH1508" s="351"/>
      <c r="II1508" s="351"/>
      <c r="IJ1508" s="351"/>
      <c r="IK1508" s="351"/>
      <c r="IL1508" s="351"/>
      <c r="IM1508" s="351"/>
      <c r="IN1508" s="351"/>
      <c r="IO1508" s="351"/>
      <c r="IP1508" s="351"/>
      <c r="IQ1508" s="351"/>
      <c r="IR1508" s="351"/>
      <c r="IS1508" s="351"/>
      <c r="IT1508" s="351"/>
      <c r="IU1508" s="351"/>
      <c r="IV1508" s="351"/>
      <c r="IW1508" s="351"/>
      <c r="IX1508" s="351"/>
      <c r="IY1508" s="351"/>
      <c r="IZ1508" s="351"/>
      <c r="JA1508" s="351"/>
      <c r="JB1508" s="351"/>
      <c r="JC1508" s="351"/>
      <c r="JD1508" s="351"/>
      <c r="JE1508" s="351"/>
      <c r="JF1508" s="351"/>
      <c r="JG1508" s="351"/>
      <c r="JH1508" s="351"/>
      <c r="JI1508" s="351"/>
      <c r="JJ1508" s="351"/>
      <c r="JK1508" s="351"/>
      <c r="JL1508" s="351"/>
      <c r="JM1508" s="351"/>
      <c r="JN1508" s="351"/>
      <c r="JO1508" s="351"/>
      <c r="JP1508" s="351"/>
      <c r="JQ1508" s="351"/>
      <c r="JR1508" s="351"/>
      <c r="JS1508" s="351"/>
      <c r="JT1508" s="351"/>
      <c r="JU1508" s="351"/>
      <c r="JV1508" s="351"/>
      <c r="JW1508" s="351"/>
      <c r="JX1508" s="351"/>
      <c r="JY1508" s="351"/>
      <c r="JZ1508" s="351"/>
      <c r="KA1508" s="351"/>
      <c r="KB1508" s="351"/>
      <c r="KC1508" s="351"/>
      <c r="KD1508" s="351"/>
      <c r="KE1508" s="351"/>
      <c r="KF1508" s="351"/>
      <c r="KG1508" s="351"/>
      <c r="KH1508" s="351"/>
      <c r="KI1508" s="351"/>
      <c r="KJ1508" s="351"/>
      <c r="KK1508" s="351"/>
      <c r="KL1508" s="351"/>
      <c r="KM1508" s="351"/>
      <c r="KN1508" s="351"/>
      <c r="KO1508" s="351"/>
      <c r="KP1508" s="351"/>
      <c r="KQ1508" s="351"/>
      <c r="KR1508" s="351"/>
      <c r="KS1508" s="351"/>
      <c r="KT1508" s="351"/>
      <c r="KU1508" s="351"/>
      <c r="KV1508" s="351"/>
      <c r="KW1508" s="351"/>
      <c r="KX1508" s="351"/>
      <c r="KY1508" s="351"/>
      <c r="KZ1508" s="351"/>
      <c r="LA1508" s="351"/>
      <c r="LB1508" s="351"/>
      <c r="LC1508" s="351"/>
      <c r="LD1508" s="351"/>
      <c r="LE1508" s="351"/>
      <c r="LF1508" s="351"/>
      <c r="LG1508" s="351"/>
      <c r="LH1508" s="342"/>
      <c r="LI1508" s="342"/>
      <c r="LJ1508" s="342"/>
      <c r="LK1508" s="342"/>
      <c r="LL1508" s="342"/>
      <c r="LM1508" s="342"/>
      <c r="LN1508" s="342"/>
      <c r="LO1508" s="342"/>
      <c r="LP1508" s="342"/>
      <c r="LQ1508" s="342"/>
      <c r="LR1508" s="342"/>
      <c r="LS1508" s="342"/>
      <c r="LT1508" s="342"/>
      <c r="LU1508" s="13"/>
    </row>
    <row r="1509" spans="6:333" ht="10.75" customHeight="1">
      <c r="F1509" s="342"/>
      <c r="G1509" s="342"/>
      <c r="H1509" s="342"/>
      <c r="I1509" s="342"/>
      <c r="J1509" s="342"/>
      <c r="K1509" s="342"/>
      <c r="L1509" s="342"/>
      <c r="M1509" s="342"/>
      <c r="N1509" s="342"/>
      <c r="O1509" s="342"/>
      <c r="P1509" s="342"/>
      <c r="Q1509" s="342"/>
      <c r="R1509" s="342"/>
      <c r="S1509" s="342"/>
      <c r="T1509" s="342"/>
      <c r="U1509" s="342"/>
      <c r="V1509" s="342"/>
      <c r="W1509" s="342"/>
      <c r="X1509" s="342"/>
      <c r="Y1509" s="342"/>
      <c r="Z1509" s="342"/>
      <c r="AA1509" s="342"/>
      <c r="AB1509" s="342"/>
      <c r="AC1509" s="342"/>
      <c r="AD1509" s="342"/>
      <c r="AE1509" s="342"/>
      <c r="AF1509" s="342"/>
      <c r="AG1509" s="342"/>
      <c r="AH1509" s="342"/>
      <c r="AI1509" s="342"/>
      <c r="AJ1509" s="342"/>
      <c r="AK1509" s="342"/>
      <c r="AL1509" s="342"/>
      <c r="AM1509" s="342"/>
      <c r="AN1509" s="342"/>
      <c r="AO1509" s="342"/>
      <c r="AP1509" s="342"/>
      <c r="AQ1509" s="342"/>
      <c r="AR1509" s="342"/>
      <c r="AS1509" s="342"/>
      <c r="AT1509" s="342"/>
      <c r="AU1509" s="342"/>
      <c r="AV1509" s="342"/>
      <c r="AW1509" s="342"/>
      <c r="AX1509" s="342"/>
      <c r="AY1509" s="342"/>
      <c r="AZ1509" s="342"/>
      <c r="BA1509" s="342"/>
      <c r="BB1509" s="342"/>
      <c r="BC1509" s="342"/>
      <c r="BD1509" s="342"/>
      <c r="BE1509" s="342"/>
      <c r="BF1509" s="342"/>
      <c r="BG1509" s="342"/>
      <c r="BH1509" s="342"/>
      <c r="BI1509" s="342"/>
      <c r="BJ1509" s="342"/>
      <c r="BK1509" s="342"/>
      <c r="BL1509" s="342"/>
      <c r="BM1509" s="342"/>
      <c r="BN1509" s="342"/>
      <c r="BO1509" s="342"/>
      <c r="BP1509" s="342"/>
      <c r="BQ1509" s="342"/>
      <c r="BR1509" s="342"/>
      <c r="BS1509" s="342"/>
      <c r="BT1509" s="342"/>
      <c r="BU1509" s="342"/>
      <c r="BV1509" s="342"/>
      <c r="BW1509" s="342"/>
      <c r="BX1509" s="342"/>
      <c r="BY1509" s="342"/>
      <c r="BZ1509" s="342"/>
      <c r="CA1509" s="342"/>
      <c r="CB1509" s="342"/>
      <c r="CC1509" s="342"/>
      <c r="CD1509" s="342"/>
      <c r="CE1509" s="342"/>
      <c r="CF1509" s="342"/>
      <c r="CG1509" s="342"/>
      <c r="CH1509" s="342"/>
      <c r="CI1509" s="342"/>
      <c r="CJ1509" s="342"/>
      <c r="CK1509" s="342"/>
      <c r="CL1509" s="342"/>
      <c r="CM1509" s="342"/>
      <c r="CN1509" s="342"/>
      <c r="CO1509" s="342"/>
      <c r="CP1509" s="342"/>
      <c r="CQ1509" s="342"/>
      <c r="CR1509" s="342"/>
      <c r="CS1509" s="342"/>
      <c r="CT1509" s="342"/>
      <c r="CU1509" s="342"/>
      <c r="CV1509" s="342"/>
      <c r="CW1509" s="342"/>
      <c r="CX1509" s="342"/>
      <c r="CY1509" s="342"/>
      <c r="CZ1509" s="342"/>
      <c r="DA1509" s="342"/>
      <c r="DB1509" s="342"/>
      <c r="DC1509" s="342"/>
      <c r="DD1509" s="342"/>
      <c r="DE1509" s="342"/>
      <c r="DF1509" s="342"/>
      <c r="DG1509" s="342"/>
      <c r="DH1509" s="342"/>
      <c r="DI1509" s="342"/>
      <c r="DJ1509" s="342"/>
      <c r="DK1509" s="342"/>
      <c r="DL1509" s="342"/>
      <c r="DM1509" s="342"/>
      <c r="DN1509" s="342"/>
      <c r="DO1509" s="342"/>
      <c r="DP1509" s="342"/>
      <c r="DQ1509" s="342"/>
      <c r="DR1509" s="342"/>
      <c r="DS1509" s="342"/>
      <c r="DT1509" s="342"/>
      <c r="DU1509" s="342"/>
      <c r="GT1509" s="12"/>
      <c r="GU1509" s="342"/>
      <c r="GV1509" s="342"/>
      <c r="GW1509" s="342"/>
      <c r="GX1509" s="342"/>
      <c r="GY1509" s="342"/>
      <c r="GZ1509" s="342"/>
      <c r="HA1509" s="342"/>
      <c r="HB1509" s="342"/>
      <c r="HC1509" s="342"/>
      <c r="HD1509" s="342"/>
      <c r="HE1509" s="342"/>
      <c r="HF1509" s="342"/>
      <c r="HG1509" s="342"/>
      <c r="HH1509" s="342"/>
      <c r="HI1509" s="342"/>
      <c r="HJ1509" s="342"/>
      <c r="HK1509" s="342"/>
      <c r="HL1509" s="342"/>
      <c r="HM1509" s="342"/>
      <c r="HN1509" s="342"/>
      <c r="HO1509" s="342"/>
      <c r="HP1509" s="342"/>
      <c r="HQ1509" s="342"/>
      <c r="HR1509" s="342"/>
      <c r="HS1509" s="342"/>
      <c r="HT1509" s="342"/>
      <c r="HU1509" s="342"/>
      <c r="HV1509" s="342"/>
      <c r="HW1509" s="342"/>
      <c r="HX1509" s="342"/>
      <c r="HY1509" s="342"/>
      <c r="HZ1509" s="342"/>
      <c r="IA1509" s="342"/>
      <c r="IB1509" s="342"/>
      <c r="IC1509" s="342"/>
      <c r="ID1509" s="342"/>
      <c r="IE1509" s="342"/>
      <c r="IF1509" s="342"/>
      <c r="IG1509" s="342"/>
      <c r="IH1509" s="342"/>
      <c r="II1509" s="342"/>
      <c r="IJ1509" s="342"/>
      <c r="IK1509" s="342"/>
      <c r="IL1509" s="342"/>
      <c r="IM1509" s="342"/>
      <c r="IN1509" s="342"/>
      <c r="IO1509" s="342"/>
      <c r="IP1509" s="342"/>
      <c r="IQ1509" s="342"/>
      <c r="IR1509" s="342"/>
      <c r="IS1509" s="342"/>
      <c r="IT1509" s="342"/>
      <c r="IU1509" s="342"/>
      <c r="IV1509" s="342"/>
      <c r="IW1509" s="342"/>
      <c r="IX1509" s="342"/>
      <c r="IY1509" s="342"/>
      <c r="IZ1509" s="342"/>
      <c r="JA1509" s="342"/>
      <c r="JB1509" s="342"/>
      <c r="JC1509" s="342"/>
      <c r="JD1509" s="342"/>
      <c r="JE1509" s="342"/>
      <c r="JF1509" s="342"/>
      <c r="JG1509" s="342"/>
      <c r="JH1509" s="342"/>
      <c r="JI1509" s="342"/>
      <c r="JJ1509" s="342"/>
      <c r="JK1509" s="342"/>
      <c r="JL1509" s="342"/>
      <c r="JM1509" s="342"/>
      <c r="JN1509" s="342"/>
      <c r="JO1509" s="342"/>
      <c r="JP1509" s="342"/>
      <c r="JQ1509" s="342"/>
      <c r="JR1509" s="342"/>
      <c r="JS1509" s="342"/>
      <c r="JT1509" s="342"/>
      <c r="JU1509" s="342"/>
      <c r="JV1509" s="342"/>
      <c r="JW1509" s="342"/>
      <c r="JX1509" s="342"/>
      <c r="JY1509" s="342"/>
      <c r="JZ1509" s="342"/>
      <c r="KA1509" s="342"/>
      <c r="KB1509" s="342"/>
      <c r="KC1509" s="342"/>
      <c r="KD1509" s="342"/>
      <c r="KE1509" s="342"/>
      <c r="KF1509" s="342"/>
      <c r="KG1509" s="342"/>
      <c r="KH1509" s="342"/>
      <c r="KI1509" s="342"/>
      <c r="KJ1509" s="342"/>
      <c r="KK1509" s="342"/>
      <c r="KL1509" s="342"/>
      <c r="KM1509" s="342"/>
      <c r="KN1509" s="342"/>
      <c r="KO1509" s="342"/>
      <c r="KP1509" s="342"/>
      <c r="KQ1509" s="342"/>
      <c r="KR1509" s="342"/>
      <c r="KS1509" s="342"/>
      <c r="KT1509" s="342"/>
      <c r="KU1509" s="342"/>
      <c r="KV1509" s="342"/>
      <c r="KW1509" s="342"/>
      <c r="KX1509" s="342"/>
      <c r="KY1509" s="342"/>
      <c r="KZ1509" s="342"/>
      <c r="LA1509" s="342"/>
      <c r="LB1509" s="342"/>
      <c r="LC1509" s="342"/>
      <c r="LD1509" s="342"/>
      <c r="LE1509" s="342"/>
      <c r="LF1509" s="342"/>
      <c r="LG1509" s="342"/>
      <c r="LH1509" s="342"/>
      <c r="LI1509" s="342"/>
      <c r="LJ1509" s="342"/>
      <c r="LK1509" s="342"/>
      <c r="LL1509" s="342"/>
      <c r="LM1509" s="342"/>
      <c r="LN1509" s="342"/>
      <c r="LO1509" s="342"/>
      <c r="LP1509" s="342"/>
      <c r="LQ1509" s="342"/>
      <c r="LR1509" s="342"/>
      <c r="LS1509" s="342"/>
      <c r="LT1509" s="342"/>
      <c r="LU1509" s="13"/>
    </row>
    <row r="1510" spans="6:333" ht="10.75" customHeight="1">
      <c r="F1510" s="342"/>
      <c r="G1510" s="342"/>
      <c r="H1510" s="342"/>
      <c r="I1510" s="342"/>
      <c r="J1510" s="342"/>
      <c r="K1510" s="342"/>
      <c r="L1510" s="342"/>
      <c r="M1510" s="342"/>
      <c r="N1510" s="342"/>
      <c r="O1510" s="342"/>
      <c r="P1510" s="342"/>
      <c r="Q1510" s="342"/>
      <c r="R1510" s="342"/>
      <c r="S1510" s="342"/>
      <c r="T1510" s="342"/>
      <c r="U1510" s="342"/>
      <c r="V1510" s="342"/>
      <c r="W1510" s="342"/>
      <c r="X1510" s="342"/>
      <c r="Y1510" s="342"/>
      <c r="Z1510" s="342"/>
      <c r="AA1510" s="342"/>
      <c r="AB1510" s="342"/>
      <c r="AC1510" s="342"/>
      <c r="AD1510" s="342"/>
      <c r="AE1510" s="342"/>
      <c r="AF1510" s="342"/>
      <c r="AG1510" s="342"/>
      <c r="AH1510" s="342"/>
      <c r="AI1510" s="342"/>
      <c r="AJ1510" s="342"/>
      <c r="AK1510" s="342"/>
      <c r="AL1510" s="342"/>
      <c r="AM1510" s="342"/>
      <c r="AN1510" s="342"/>
      <c r="AO1510" s="342"/>
      <c r="AP1510" s="342"/>
      <c r="AQ1510" s="342"/>
      <c r="AR1510" s="342"/>
      <c r="AS1510" s="342"/>
      <c r="AT1510" s="342"/>
      <c r="AU1510" s="342"/>
      <c r="AV1510" s="342"/>
      <c r="AW1510" s="342"/>
      <c r="AX1510" s="342"/>
      <c r="AY1510" s="342"/>
      <c r="AZ1510" s="342"/>
      <c r="BA1510" s="342"/>
      <c r="BB1510" s="342"/>
      <c r="BC1510" s="342"/>
      <c r="BD1510" s="342"/>
      <c r="BE1510" s="342"/>
      <c r="BF1510" s="342"/>
      <c r="BG1510" s="342"/>
      <c r="BH1510" s="342"/>
      <c r="BI1510" s="342"/>
      <c r="BJ1510" s="342"/>
      <c r="BK1510" s="342"/>
      <c r="BL1510" s="342"/>
      <c r="BM1510" s="342"/>
      <c r="BN1510" s="342"/>
      <c r="BO1510" s="342"/>
      <c r="BP1510" s="342"/>
      <c r="BQ1510" s="342"/>
      <c r="BR1510" s="342"/>
      <c r="BS1510" s="342"/>
      <c r="BT1510" s="342"/>
      <c r="BU1510" s="342"/>
      <c r="BV1510" s="342"/>
      <c r="BW1510" s="342"/>
      <c r="BX1510" s="342"/>
      <c r="BY1510" s="342"/>
      <c r="BZ1510" s="342"/>
      <c r="CA1510" s="342"/>
      <c r="CB1510" s="342"/>
      <c r="CC1510" s="342"/>
      <c r="CD1510" s="342"/>
      <c r="CE1510" s="342"/>
      <c r="CF1510" s="342"/>
      <c r="CG1510" s="342"/>
      <c r="CH1510" s="342"/>
      <c r="CI1510" s="342"/>
      <c r="CJ1510" s="342"/>
      <c r="CK1510" s="342"/>
      <c r="CL1510" s="342"/>
      <c r="CM1510" s="342"/>
      <c r="CN1510" s="342"/>
      <c r="CO1510" s="342"/>
      <c r="CP1510" s="342"/>
      <c r="CQ1510" s="342"/>
      <c r="CR1510" s="342"/>
      <c r="CS1510" s="342"/>
      <c r="CT1510" s="342"/>
      <c r="CU1510" s="342"/>
      <c r="CV1510" s="342"/>
      <c r="CW1510" s="342"/>
      <c r="CX1510" s="342"/>
      <c r="CY1510" s="342"/>
      <c r="CZ1510" s="342"/>
      <c r="DA1510" s="342"/>
      <c r="DB1510" s="342"/>
      <c r="DC1510" s="342"/>
      <c r="DD1510" s="342"/>
      <c r="DE1510" s="342"/>
      <c r="DF1510" s="342"/>
      <c r="DG1510" s="342"/>
      <c r="DH1510" s="342"/>
      <c r="DI1510" s="342"/>
      <c r="DJ1510" s="342"/>
      <c r="DK1510" s="342"/>
      <c r="DL1510" s="342"/>
      <c r="DM1510" s="342"/>
      <c r="DN1510" s="342"/>
      <c r="DO1510" s="342"/>
      <c r="DP1510" s="342"/>
      <c r="DQ1510" s="342"/>
      <c r="DR1510" s="342"/>
      <c r="DS1510" s="342"/>
      <c r="DT1510" s="342"/>
      <c r="DU1510" s="342"/>
      <c r="GT1510" s="12"/>
      <c r="GU1510" s="342"/>
      <c r="GV1510" s="342"/>
      <c r="GW1510" s="342"/>
      <c r="GX1510" s="342"/>
      <c r="GY1510" s="342"/>
      <c r="GZ1510" s="342"/>
      <c r="HA1510" s="342"/>
      <c r="HB1510" s="342"/>
      <c r="HC1510" s="342"/>
      <c r="HD1510" s="342"/>
      <c r="HE1510" s="342"/>
      <c r="HF1510" s="342"/>
      <c r="HG1510" s="342"/>
      <c r="HH1510" s="342"/>
      <c r="HI1510" s="342"/>
      <c r="HJ1510" s="342"/>
      <c r="HK1510" s="342"/>
      <c r="HL1510" s="342"/>
      <c r="HM1510" s="342"/>
      <c r="HN1510" s="342"/>
      <c r="HO1510" s="342"/>
      <c r="HP1510" s="342"/>
      <c r="HQ1510" s="342"/>
      <c r="HR1510" s="342"/>
      <c r="HS1510" s="342"/>
      <c r="HT1510" s="342"/>
      <c r="HU1510" s="342"/>
      <c r="HV1510" s="342"/>
      <c r="HW1510" s="342"/>
      <c r="HX1510" s="342"/>
      <c r="HY1510" s="342"/>
      <c r="HZ1510" s="342"/>
      <c r="IA1510" s="342"/>
      <c r="IB1510" s="342"/>
      <c r="IC1510" s="342"/>
      <c r="ID1510" s="342"/>
      <c r="IE1510" s="342"/>
      <c r="IF1510" s="342"/>
      <c r="IG1510" s="342"/>
      <c r="IH1510" s="342"/>
      <c r="II1510" s="342"/>
      <c r="IJ1510" s="342"/>
      <c r="IK1510" s="342"/>
      <c r="IL1510" s="342"/>
      <c r="IM1510" s="342"/>
      <c r="IN1510" s="342"/>
      <c r="IO1510" s="342"/>
      <c r="IP1510" s="342"/>
      <c r="IQ1510" s="342"/>
      <c r="IR1510" s="342"/>
      <c r="IS1510" s="342"/>
      <c r="IT1510" s="342"/>
      <c r="IU1510" s="342"/>
      <c r="IV1510" s="342"/>
      <c r="IW1510" s="342"/>
      <c r="IX1510" s="342"/>
      <c r="IY1510" s="342"/>
      <c r="IZ1510" s="342"/>
      <c r="JA1510" s="342"/>
      <c r="JB1510" s="342"/>
      <c r="JC1510" s="342"/>
      <c r="JD1510" s="342"/>
      <c r="JE1510" s="342"/>
      <c r="JF1510" s="342"/>
      <c r="JG1510" s="342"/>
      <c r="JH1510" s="342"/>
      <c r="JI1510" s="342"/>
      <c r="JJ1510" s="342"/>
      <c r="JK1510" s="342"/>
      <c r="JL1510" s="342"/>
      <c r="JM1510" s="342"/>
      <c r="JN1510" s="342"/>
      <c r="JO1510" s="342"/>
      <c r="JP1510" s="342"/>
      <c r="JQ1510" s="342"/>
      <c r="JR1510" s="342"/>
      <c r="JS1510" s="342"/>
      <c r="JT1510" s="342"/>
      <c r="JU1510" s="342"/>
      <c r="JV1510" s="342"/>
      <c r="JW1510" s="342"/>
      <c r="JX1510" s="342"/>
      <c r="JY1510" s="342"/>
      <c r="JZ1510" s="342"/>
      <c r="KA1510" s="342"/>
      <c r="KB1510" s="342"/>
      <c r="KC1510" s="342"/>
      <c r="KD1510" s="342"/>
      <c r="KE1510" s="342"/>
      <c r="KF1510" s="342"/>
      <c r="KG1510" s="342"/>
      <c r="KH1510" s="342"/>
      <c r="KI1510" s="342"/>
      <c r="KJ1510" s="342"/>
      <c r="KK1510" s="342"/>
      <c r="KL1510" s="342"/>
      <c r="KM1510" s="342"/>
      <c r="KN1510" s="342"/>
      <c r="KO1510" s="342"/>
      <c r="KP1510" s="342"/>
      <c r="KQ1510" s="342"/>
      <c r="KR1510" s="342"/>
      <c r="KS1510" s="342"/>
      <c r="KT1510" s="342"/>
      <c r="KU1510" s="342"/>
      <c r="KV1510" s="342"/>
      <c r="KW1510" s="342"/>
      <c r="KX1510" s="342"/>
      <c r="KY1510" s="342"/>
      <c r="KZ1510" s="342"/>
      <c r="LA1510" s="342"/>
      <c r="LB1510" s="342"/>
      <c r="LC1510" s="342"/>
      <c r="LD1510" s="342"/>
      <c r="LE1510" s="342"/>
      <c r="LF1510" s="342"/>
      <c r="LG1510" s="342"/>
      <c r="LH1510" s="342"/>
      <c r="LI1510" s="342"/>
      <c r="LJ1510" s="342"/>
      <c r="LK1510" s="342"/>
      <c r="LL1510" s="342"/>
      <c r="LM1510" s="342"/>
      <c r="LN1510" s="342"/>
      <c r="LO1510" s="342"/>
      <c r="LP1510" s="342"/>
      <c r="LQ1510" s="342"/>
      <c r="LR1510" s="342"/>
      <c r="LS1510" s="342"/>
      <c r="LT1510" s="342"/>
      <c r="LU1510" s="13"/>
    </row>
    <row r="1511" spans="6:333" ht="10.75" customHeight="1">
      <c r="F1511" s="342"/>
      <c r="G1511" s="342"/>
      <c r="H1511" s="342"/>
      <c r="I1511" s="342"/>
      <c r="J1511" s="342"/>
      <c r="K1511" s="342"/>
      <c r="L1511" s="342"/>
      <c r="M1511" s="342"/>
      <c r="N1511" s="342"/>
      <c r="O1511" s="342"/>
      <c r="P1511" s="342"/>
      <c r="Q1511" s="342"/>
      <c r="R1511" s="342"/>
      <c r="S1511" s="342"/>
      <c r="T1511" s="342"/>
      <c r="U1511" s="342"/>
      <c r="V1511" s="342"/>
      <c r="W1511" s="342"/>
      <c r="X1511" s="342"/>
      <c r="Y1511" s="342"/>
      <c r="Z1511" s="342"/>
      <c r="AA1511" s="342"/>
      <c r="AB1511" s="342"/>
      <c r="AC1511" s="342"/>
      <c r="AD1511" s="342"/>
      <c r="AE1511" s="342"/>
      <c r="AF1511" s="342"/>
      <c r="AG1511" s="342"/>
      <c r="AH1511" s="342"/>
      <c r="AI1511" s="342"/>
      <c r="AJ1511" s="342"/>
      <c r="AK1511" s="342"/>
      <c r="AL1511" s="342"/>
      <c r="AM1511" s="342"/>
      <c r="AN1511" s="342"/>
      <c r="AO1511" s="342"/>
      <c r="AP1511" s="342"/>
      <c r="AQ1511" s="342"/>
      <c r="AR1511" s="342"/>
      <c r="AS1511" s="342"/>
      <c r="AT1511" s="342"/>
      <c r="AU1511" s="342"/>
      <c r="AV1511" s="342"/>
      <c r="AW1511" s="342"/>
      <c r="AX1511" s="342"/>
      <c r="AY1511" s="342"/>
      <c r="AZ1511" s="342"/>
      <c r="BA1511" s="342"/>
      <c r="BB1511" s="342"/>
      <c r="BC1511" s="342"/>
      <c r="BD1511" s="342"/>
      <c r="BE1511" s="342"/>
      <c r="BF1511" s="342"/>
      <c r="BG1511" s="342"/>
      <c r="BH1511" s="342"/>
      <c r="BI1511" s="342"/>
      <c r="BJ1511" s="342"/>
      <c r="BK1511" s="342"/>
      <c r="BL1511" s="342"/>
      <c r="BM1511" s="342"/>
      <c r="BN1511" s="342"/>
      <c r="BO1511" s="342"/>
      <c r="BP1511" s="342"/>
      <c r="BQ1511" s="342"/>
      <c r="BR1511" s="342"/>
      <c r="BS1511" s="342"/>
      <c r="BT1511" s="342"/>
      <c r="BU1511" s="342"/>
      <c r="BV1511" s="342"/>
      <c r="BW1511" s="342"/>
      <c r="BX1511" s="342"/>
      <c r="BY1511" s="342"/>
      <c r="BZ1511" s="342"/>
      <c r="CA1511" s="342"/>
      <c r="CB1511" s="342"/>
      <c r="CC1511" s="342"/>
      <c r="CD1511" s="342"/>
      <c r="CE1511" s="342"/>
      <c r="CF1511" s="342"/>
      <c r="CG1511" s="342"/>
      <c r="CH1511" s="342"/>
      <c r="CI1511" s="342"/>
      <c r="CJ1511" s="342"/>
      <c r="CK1511" s="342"/>
      <c r="CL1511" s="342"/>
      <c r="CM1511" s="342"/>
      <c r="CN1511" s="342"/>
      <c r="CO1511" s="342"/>
      <c r="CP1511" s="342"/>
      <c r="CQ1511" s="342"/>
      <c r="CR1511" s="342"/>
      <c r="CS1511" s="342"/>
      <c r="CT1511" s="342"/>
      <c r="CU1511" s="342"/>
      <c r="CV1511" s="342"/>
      <c r="CW1511" s="342"/>
      <c r="CX1511" s="342"/>
      <c r="CY1511" s="342"/>
      <c r="CZ1511" s="342"/>
      <c r="DA1511" s="342"/>
      <c r="DB1511" s="342"/>
      <c r="DC1511" s="342"/>
      <c r="DD1511" s="342"/>
      <c r="DE1511" s="342"/>
      <c r="DF1511" s="342"/>
      <c r="DG1511" s="342"/>
      <c r="DH1511" s="342"/>
      <c r="DI1511" s="342"/>
      <c r="DJ1511" s="342"/>
      <c r="DK1511" s="342"/>
      <c r="DL1511" s="342"/>
      <c r="DM1511" s="342"/>
      <c r="DN1511" s="342"/>
      <c r="DO1511" s="342"/>
      <c r="DP1511" s="342"/>
      <c r="DQ1511" s="342"/>
      <c r="DR1511" s="342"/>
      <c r="DS1511" s="342"/>
      <c r="DT1511" s="342"/>
      <c r="DU1511" s="342"/>
      <c r="GT1511" s="12"/>
      <c r="GU1511" s="342"/>
      <c r="GV1511" s="342"/>
      <c r="GW1511" s="342"/>
      <c r="GX1511" s="342"/>
      <c r="GY1511" s="342"/>
      <c r="GZ1511" s="342"/>
      <c r="HA1511" s="342"/>
      <c r="HB1511" s="342"/>
      <c r="HC1511" s="342"/>
      <c r="HD1511" s="342"/>
      <c r="HE1511" s="342"/>
      <c r="HF1511" s="342"/>
      <c r="HG1511" s="342"/>
      <c r="HH1511" s="342"/>
      <c r="HI1511" s="342"/>
      <c r="HJ1511" s="342"/>
      <c r="HK1511" s="342"/>
      <c r="HL1511" s="342"/>
      <c r="HM1511" s="342"/>
      <c r="HN1511" s="342"/>
      <c r="HO1511" s="342"/>
      <c r="HP1511" s="342"/>
      <c r="HQ1511" s="342"/>
      <c r="HR1511" s="342"/>
      <c r="HS1511" s="342"/>
      <c r="HT1511" s="342"/>
      <c r="HU1511" s="342"/>
      <c r="HV1511" s="342"/>
      <c r="HW1511" s="342"/>
      <c r="HX1511" s="342"/>
      <c r="HY1511" s="342"/>
      <c r="HZ1511" s="342"/>
      <c r="IA1511" s="342"/>
      <c r="IB1511" s="342"/>
      <c r="IC1511" s="342"/>
      <c r="ID1511" s="342"/>
      <c r="IE1511" s="342"/>
      <c r="IF1511" s="342"/>
      <c r="IG1511" s="342"/>
      <c r="IH1511" s="342"/>
      <c r="II1511" s="342"/>
      <c r="IJ1511" s="342"/>
      <c r="IK1511" s="342"/>
      <c r="IL1511" s="342"/>
      <c r="IM1511" s="342"/>
      <c r="IN1511" s="342"/>
      <c r="IO1511" s="342"/>
      <c r="IP1511" s="342"/>
      <c r="IQ1511" s="342"/>
      <c r="IR1511" s="342"/>
      <c r="IS1511" s="342"/>
      <c r="IT1511" s="342"/>
      <c r="IU1511" s="342"/>
      <c r="IV1511" s="342"/>
      <c r="IW1511" s="342"/>
      <c r="IX1511" s="342"/>
      <c r="IY1511" s="342"/>
      <c r="IZ1511" s="342"/>
      <c r="JA1511" s="342"/>
      <c r="JB1511" s="342"/>
      <c r="JC1511" s="342"/>
      <c r="JD1511" s="342"/>
      <c r="JE1511" s="342"/>
      <c r="JF1511" s="342"/>
      <c r="JG1511" s="342"/>
      <c r="JH1511" s="342"/>
      <c r="JI1511" s="342"/>
      <c r="JJ1511" s="342"/>
      <c r="JK1511" s="342"/>
      <c r="JL1511" s="342"/>
      <c r="JM1511" s="342"/>
      <c r="JN1511" s="342"/>
      <c r="JO1511" s="342"/>
      <c r="JP1511" s="342"/>
      <c r="JQ1511" s="342"/>
      <c r="JR1511" s="342"/>
      <c r="JS1511" s="342"/>
      <c r="JT1511" s="342"/>
      <c r="JU1511" s="342"/>
      <c r="JV1511" s="342"/>
      <c r="JW1511" s="342"/>
      <c r="JX1511" s="342"/>
      <c r="JY1511" s="342"/>
      <c r="JZ1511" s="342"/>
      <c r="KA1511" s="342"/>
      <c r="KB1511" s="342"/>
      <c r="KC1511" s="342"/>
      <c r="KD1511" s="342"/>
      <c r="KE1511" s="342"/>
      <c r="KF1511" s="342"/>
      <c r="KG1511" s="342"/>
      <c r="KH1511" s="342"/>
      <c r="KI1511" s="342"/>
      <c r="KJ1511" s="342"/>
      <c r="KK1511" s="342"/>
      <c r="KL1511" s="342"/>
      <c r="KM1511" s="342"/>
      <c r="KN1511" s="342"/>
      <c r="KO1511" s="342"/>
      <c r="KP1511" s="342"/>
      <c r="KQ1511" s="342"/>
      <c r="KR1511" s="342"/>
      <c r="KS1511" s="342"/>
      <c r="KT1511" s="342"/>
      <c r="KU1511" s="342"/>
      <c r="KV1511" s="342"/>
      <c r="KW1511" s="342"/>
      <c r="KX1511" s="342"/>
      <c r="KY1511" s="342"/>
      <c r="KZ1511" s="342"/>
      <c r="LA1511" s="342"/>
      <c r="LB1511" s="342"/>
      <c r="LC1511" s="342"/>
      <c r="LD1511" s="342"/>
      <c r="LE1511" s="342"/>
      <c r="LF1511" s="342"/>
      <c r="LG1511" s="342"/>
      <c r="LH1511" s="351"/>
      <c r="LI1511" s="351"/>
      <c r="LJ1511" s="351"/>
      <c r="LK1511" s="342"/>
      <c r="LL1511" s="342"/>
      <c r="LM1511" s="342"/>
      <c r="LN1511" s="342"/>
      <c r="LO1511" s="342"/>
      <c r="LP1511" s="342"/>
      <c r="LQ1511" s="342"/>
      <c r="LR1511" s="342"/>
      <c r="LS1511" s="342"/>
      <c r="LT1511" s="342"/>
      <c r="LU1511" s="13"/>
    </row>
    <row r="1512" spans="6:333" ht="10.75" customHeight="1">
      <c r="F1512" s="342"/>
      <c r="G1512" s="342"/>
      <c r="H1512" s="342"/>
      <c r="I1512" s="342"/>
      <c r="J1512" s="342"/>
      <c r="K1512" s="342"/>
      <c r="L1512" s="342"/>
      <c r="M1512" s="342"/>
      <c r="N1512" s="342"/>
      <c r="O1512" s="342"/>
      <c r="P1512" s="342"/>
      <c r="Q1512" s="342"/>
      <c r="R1512" s="342"/>
      <c r="S1512" s="342"/>
      <c r="T1512" s="342"/>
      <c r="U1512" s="342"/>
      <c r="V1512" s="342"/>
      <c r="W1512" s="342"/>
      <c r="X1512" s="342"/>
      <c r="Y1512" s="342"/>
      <c r="Z1512" s="342"/>
      <c r="AA1512" s="342"/>
      <c r="AB1512" s="342"/>
      <c r="AC1512" s="342"/>
      <c r="AD1512" s="342"/>
      <c r="AE1512" s="342"/>
      <c r="AF1512" s="342"/>
      <c r="AG1512" s="342"/>
      <c r="AH1512" s="342"/>
      <c r="AI1512" s="342"/>
      <c r="AJ1512" s="342"/>
      <c r="AK1512" s="342"/>
      <c r="AL1512" s="342"/>
      <c r="AM1512" s="342"/>
      <c r="AN1512" s="342"/>
      <c r="AO1512" s="342"/>
      <c r="AP1512" s="342"/>
      <c r="AQ1512" s="342"/>
      <c r="AR1512" s="342"/>
      <c r="AS1512" s="342"/>
      <c r="AT1512" s="342"/>
      <c r="AU1512" s="342"/>
      <c r="AV1512" s="342"/>
      <c r="AW1512" s="342"/>
      <c r="AX1512" s="342"/>
      <c r="AY1512" s="342"/>
      <c r="AZ1512" s="342"/>
      <c r="BA1512" s="342"/>
      <c r="BB1512" s="342"/>
      <c r="BC1512" s="342"/>
      <c r="BD1512" s="342"/>
      <c r="BE1512" s="342"/>
      <c r="BF1512" s="342"/>
      <c r="BG1512" s="342"/>
      <c r="BH1512" s="342"/>
      <c r="BI1512" s="342"/>
      <c r="BJ1512" s="342"/>
      <c r="BK1512" s="342"/>
      <c r="BL1512" s="342"/>
      <c r="BM1512" s="342"/>
      <c r="BN1512" s="342"/>
      <c r="BO1512" s="342"/>
      <c r="BP1512" s="342"/>
      <c r="BQ1512" s="342"/>
      <c r="BR1512" s="342"/>
      <c r="BS1512" s="342"/>
      <c r="BT1512" s="342"/>
      <c r="BU1512" s="342"/>
      <c r="BV1512" s="342"/>
      <c r="BW1512" s="342"/>
      <c r="BX1512" s="342"/>
      <c r="BY1512" s="342"/>
      <c r="BZ1512" s="342"/>
      <c r="CA1512" s="342"/>
      <c r="CB1512" s="342"/>
      <c r="CC1512" s="342"/>
      <c r="CD1512" s="342"/>
      <c r="CE1512" s="342"/>
      <c r="CF1512" s="342"/>
      <c r="CG1512" s="342"/>
      <c r="CH1512" s="342"/>
      <c r="CI1512" s="342"/>
      <c r="CJ1512" s="342"/>
      <c r="CK1512" s="342"/>
      <c r="CL1512" s="342"/>
      <c r="CM1512" s="342"/>
      <c r="CN1512" s="342"/>
      <c r="CO1512" s="342"/>
      <c r="CP1512" s="342"/>
      <c r="CQ1512" s="342"/>
      <c r="CR1512" s="342"/>
      <c r="CS1512" s="342"/>
      <c r="CT1512" s="342"/>
      <c r="CU1512" s="342"/>
      <c r="CV1512" s="342"/>
      <c r="CW1512" s="342"/>
      <c r="CX1512" s="342"/>
      <c r="CY1512" s="342"/>
      <c r="CZ1512" s="342"/>
      <c r="DA1512" s="342"/>
      <c r="DB1512" s="342"/>
      <c r="DC1512" s="342"/>
      <c r="DD1512" s="342"/>
      <c r="DE1512" s="342"/>
      <c r="DF1512" s="342"/>
      <c r="DG1512" s="342"/>
      <c r="DH1512" s="342"/>
      <c r="DI1512" s="342"/>
      <c r="DJ1512" s="342"/>
      <c r="DK1512" s="342"/>
      <c r="DL1512" s="342"/>
      <c r="DM1512" s="342"/>
      <c r="DN1512" s="342"/>
      <c r="DO1512" s="342"/>
      <c r="DP1512" s="342"/>
      <c r="DQ1512" s="342"/>
      <c r="DR1512" s="342"/>
      <c r="DS1512" s="342"/>
      <c r="DT1512" s="342"/>
      <c r="DU1512" s="342"/>
      <c r="GT1512" s="12"/>
      <c r="GU1512" s="342"/>
      <c r="GV1512" s="342"/>
      <c r="GW1512" s="342"/>
      <c r="GX1512" s="342"/>
      <c r="GY1512" s="342"/>
      <c r="GZ1512" s="342"/>
      <c r="HA1512" s="342"/>
      <c r="HB1512" s="342"/>
      <c r="HC1512" s="342"/>
      <c r="HD1512" s="342"/>
      <c r="HE1512" s="342"/>
      <c r="HF1512" s="342"/>
      <c r="HG1512" s="342"/>
      <c r="HH1512" s="342"/>
      <c r="HI1512" s="342"/>
      <c r="HJ1512" s="342"/>
      <c r="HK1512" s="342"/>
      <c r="HL1512" s="342"/>
      <c r="HM1512" s="342"/>
      <c r="HN1512" s="342"/>
      <c r="HO1512" s="342"/>
      <c r="HP1512" s="342"/>
      <c r="HQ1512" s="342"/>
      <c r="HR1512" s="342"/>
      <c r="HS1512" s="342"/>
      <c r="HT1512" s="342"/>
      <c r="HU1512" s="342"/>
      <c r="HV1512" s="342"/>
      <c r="HW1512" s="342"/>
      <c r="HX1512" s="342"/>
      <c r="HY1512" s="342"/>
      <c r="HZ1512" s="342"/>
      <c r="IA1512" s="342"/>
      <c r="IB1512" s="342"/>
      <c r="IC1512" s="342"/>
      <c r="ID1512" s="342"/>
      <c r="IE1512" s="342"/>
      <c r="IF1512" s="342"/>
      <c r="IG1512" s="342"/>
      <c r="IH1512" s="342"/>
      <c r="II1512" s="342"/>
      <c r="IJ1512" s="342"/>
      <c r="IK1512" s="342"/>
      <c r="IL1512" s="342"/>
      <c r="IM1512" s="342"/>
      <c r="IN1512" s="342"/>
      <c r="IO1512" s="342"/>
      <c r="IP1512" s="342"/>
      <c r="IQ1512" s="342"/>
      <c r="IR1512" s="342"/>
      <c r="IS1512" s="342"/>
      <c r="IT1512" s="342"/>
      <c r="IU1512" s="342"/>
      <c r="IV1512" s="342"/>
      <c r="IW1512" s="342"/>
      <c r="IX1512" s="342"/>
      <c r="IY1512" s="342"/>
      <c r="IZ1512" s="342"/>
      <c r="JA1512" s="342"/>
      <c r="JB1512" s="342"/>
      <c r="JC1512" s="342"/>
      <c r="JD1512" s="342"/>
      <c r="JE1512" s="342"/>
      <c r="JF1512" s="342"/>
      <c r="JG1512" s="342"/>
      <c r="JH1512" s="342"/>
      <c r="JI1512" s="342"/>
      <c r="JJ1512" s="342"/>
      <c r="JK1512" s="342"/>
      <c r="JL1512" s="342"/>
      <c r="JM1512" s="342"/>
      <c r="JN1512" s="342"/>
      <c r="JO1512" s="342"/>
      <c r="JP1512" s="342"/>
      <c r="JQ1512" s="342"/>
      <c r="JR1512" s="342"/>
      <c r="JS1512" s="342"/>
      <c r="JT1512" s="342"/>
      <c r="JU1512" s="342"/>
      <c r="JV1512" s="342"/>
      <c r="JW1512" s="342"/>
      <c r="JX1512" s="342"/>
      <c r="JY1512" s="342"/>
      <c r="JZ1512" s="342"/>
      <c r="KA1512" s="342"/>
      <c r="KB1512" s="342"/>
      <c r="KC1512" s="342"/>
      <c r="KD1512" s="342"/>
      <c r="KE1512" s="342"/>
      <c r="KF1512" s="342"/>
      <c r="KG1512" s="342"/>
      <c r="KH1512" s="342"/>
      <c r="KI1512" s="342"/>
      <c r="KJ1512" s="342"/>
      <c r="KK1512" s="342"/>
      <c r="KL1512" s="342"/>
      <c r="KM1512" s="342"/>
      <c r="KN1512" s="342"/>
      <c r="KO1512" s="342"/>
      <c r="KP1512" s="342"/>
      <c r="KQ1512" s="342"/>
      <c r="KR1512" s="342"/>
      <c r="KS1512" s="342"/>
      <c r="KT1512" s="342"/>
      <c r="KU1512" s="342"/>
      <c r="KV1512" s="342"/>
      <c r="KW1512" s="342"/>
      <c r="KX1512" s="342"/>
      <c r="KY1512" s="342"/>
      <c r="KZ1512" s="342"/>
      <c r="LA1512" s="342"/>
      <c r="LB1512" s="342"/>
      <c r="LC1512" s="342"/>
      <c r="LD1512" s="342"/>
      <c r="LE1512" s="342"/>
      <c r="LF1512" s="351"/>
      <c r="LG1512" s="351"/>
      <c r="LH1512" s="351"/>
      <c r="LI1512" s="342"/>
      <c r="LJ1512" s="342"/>
      <c r="LK1512" s="342"/>
      <c r="LL1512" s="342"/>
      <c r="LM1512" s="342"/>
      <c r="LN1512" s="342"/>
      <c r="LO1512" s="342"/>
      <c r="LP1512" s="342"/>
      <c r="LQ1512" s="342"/>
      <c r="LR1512" s="342"/>
      <c r="LS1512" s="342"/>
      <c r="LT1512" s="342"/>
      <c r="LU1512" s="13"/>
    </row>
    <row r="1513" spans="6:333" ht="10.75" customHeight="1">
      <c r="GT1513" s="12"/>
      <c r="GU1513" s="342"/>
      <c r="GV1513" s="342"/>
      <c r="GW1513" s="342"/>
      <c r="GX1513" s="342"/>
      <c r="GY1513" s="342"/>
      <c r="GZ1513" s="342"/>
      <c r="HA1513" s="342"/>
      <c r="HB1513" s="342"/>
      <c r="HC1513" s="342"/>
      <c r="HD1513" s="342"/>
      <c r="HE1513" s="342"/>
      <c r="HF1513" s="342"/>
      <c r="HG1513" s="342"/>
      <c r="HH1513" s="342"/>
      <c r="HI1513" s="342"/>
      <c r="HJ1513" s="342"/>
      <c r="HK1513" s="342"/>
      <c r="HL1513" s="342"/>
      <c r="HM1513" s="342"/>
      <c r="HN1513" s="342"/>
      <c r="HO1513" s="342"/>
      <c r="HP1513" s="342"/>
      <c r="HQ1513" s="342"/>
      <c r="HR1513" s="342"/>
      <c r="HS1513" s="342"/>
      <c r="HT1513" s="342"/>
      <c r="HU1513" s="342"/>
      <c r="HV1513" s="342"/>
      <c r="HW1513" s="342"/>
      <c r="HX1513" s="342"/>
      <c r="HY1513" s="342"/>
      <c r="HZ1513" s="342"/>
      <c r="IA1513" s="342"/>
      <c r="IB1513" s="342"/>
      <c r="IC1513" s="342"/>
      <c r="ID1513" s="342"/>
      <c r="IE1513" s="342"/>
      <c r="IF1513" s="342"/>
      <c r="IG1513" s="342"/>
      <c r="IH1513" s="342"/>
      <c r="II1513" s="342"/>
      <c r="IJ1513" s="342"/>
      <c r="IK1513" s="342"/>
      <c r="IL1513" s="342"/>
      <c r="IM1513" s="342"/>
      <c r="IN1513" s="342"/>
      <c r="IO1513" s="342"/>
      <c r="IP1513" s="342"/>
      <c r="IQ1513" s="342"/>
      <c r="IR1513" s="342"/>
      <c r="IS1513" s="342"/>
      <c r="IT1513" s="342"/>
      <c r="IU1513" s="342"/>
      <c r="IV1513" s="342"/>
      <c r="IW1513" s="342"/>
      <c r="IX1513" s="342"/>
      <c r="IY1513" s="342"/>
      <c r="IZ1513" s="342"/>
      <c r="JA1513" s="342"/>
      <c r="JB1513" s="342"/>
      <c r="JC1513" s="342"/>
      <c r="JD1513" s="342"/>
      <c r="JE1513" s="342"/>
      <c r="JF1513" s="342"/>
      <c r="JG1513" s="342"/>
      <c r="JH1513" s="342"/>
      <c r="JI1513" s="342"/>
      <c r="JJ1513" s="342"/>
      <c r="JK1513" s="342"/>
      <c r="JL1513" s="342"/>
      <c r="JM1513" s="342"/>
      <c r="JN1513" s="342"/>
      <c r="JO1513" s="342"/>
      <c r="JP1513" s="342"/>
      <c r="JQ1513" s="342"/>
      <c r="JR1513" s="342"/>
      <c r="JS1513" s="342"/>
      <c r="JT1513" s="342"/>
      <c r="JU1513" s="342"/>
      <c r="JV1513" s="342"/>
      <c r="JW1513" s="342"/>
      <c r="JX1513" s="342"/>
      <c r="JY1513" s="342"/>
      <c r="JZ1513" s="342"/>
      <c r="KA1513" s="342"/>
      <c r="KB1513" s="342"/>
      <c r="KC1513" s="342"/>
      <c r="KD1513" s="342"/>
      <c r="KE1513" s="342"/>
      <c r="KF1513" s="342"/>
      <c r="KG1513" s="342"/>
      <c r="KH1513" s="342"/>
      <c r="KI1513" s="342"/>
      <c r="KJ1513" s="342"/>
      <c r="KK1513" s="342"/>
      <c r="KL1513" s="342"/>
      <c r="KM1513" s="342"/>
      <c r="KN1513" s="342"/>
      <c r="KO1513" s="342"/>
      <c r="KP1513" s="342"/>
      <c r="KQ1513" s="342"/>
      <c r="KR1513" s="342"/>
      <c r="KS1513" s="342"/>
      <c r="KT1513" s="342"/>
      <c r="KU1513" s="342"/>
      <c r="KV1513" s="342"/>
      <c r="KW1513" s="342"/>
      <c r="KX1513" s="342"/>
      <c r="KY1513" s="342"/>
      <c r="KZ1513" s="342"/>
      <c r="LA1513" s="342"/>
      <c r="LB1513" s="342"/>
      <c r="LC1513" s="342"/>
      <c r="LD1513" s="342"/>
      <c r="LE1513" s="342"/>
      <c r="LF1513" s="351"/>
      <c r="LG1513" s="351"/>
      <c r="LH1513" s="351"/>
      <c r="LI1513" s="342"/>
      <c r="LJ1513" s="342"/>
      <c r="LK1513" s="342"/>
      <c r="LL1513" s="342"/>
      <c r="LM1513" s="342"/>
      <c r="LN1513" s="342"/>
      <c r="LO1513" s="342"/>
      <c r="LP1513" s="342"/>
      <c r="LQ1513" s="342"/>
      <c r="LR1513" s="342"/>
      <c r="LS1513" s="342"/>
      <c r="LT1513" s="342"/>
      <c r="LU1513" s="13"/>
    </row>
    <row r="1514" spans="6:333" ht="10.75" customHeight="1">
      <c r="GT1514" s="12"/>
      <c r="GU1514" s="342"/>
      <c r="GV1514" s="342"/>
      <c r="GW1514" s="342"/>
      <c r="GX1514" s="342"/>
      <c r="GY1514" s="342"/>
      <c r="GZ1514" s="342"/>
      <c r="HA1514" s="342"/>
      <c r="HB1514" s="342"/>
      <c r="HC1514" s="342"/>
      <c r="HD1514" s="342"/>
      <c r="HE1514" s="342"/>
      <c r="HF1514" s="342"/>
      <c r="HG1514" s="342"/>
      <c r="HH1514" s="342"/>
      <c r="HI1514" s="342"/>
      <c r="HJ1514" s="342"/>
      <c r="HK1514" s="342"/>
      <c r="HL1514" s="342"/>
      <c r="HM1514" s="342"/>
      <c r="HN1514" s="342"/>
      <c r="HO1514" s="342"/>
      <c r="HP1514" s="342"/>
      <c r="HQ1514" s="342"/>
      <c r="HR1514" s="342"/>
      <c r="HS1514" s="342"/>
      <c r="HT1514" s="342"/>
      <c r="HU1514" s="342"/>
      <c r="HV1514" s="342"/>
      <c r="HW1514" s="342"/>
      <c r="HX1514" s="342"/>
      <c r="HY1514" s="342"/>
      <c r="HZ1514" s="342"/>
      <c r="IA1514" s="342"/>
      <c r="IB1514" s="342"/>
      <c r="IC1514" s="342"/>
      <c r="ID1514" s="342"/>
      <c r="IE1514" s="342"/>
      <c r="IF1514" s="342"/>
      <c r="IG1514" s="342"/>
      <c r="IH1514" s="342"/>
      <c r="II1514" s="342"/>
      <c r="IJ1514" s="342"/>
      <c r="IK1514" s="342"/>
      <c r="IL1514" s="342"/>
      <c r="IM1514" s="342"/>
      <c r="IN1514" s="342"/>
      <c r="IO1514" s="342"/>
      <c r="IP1514" s="342"/>
      <c r="IQ1514" s="342"/>
      <c r="IR1514" s="342"/>
      <c r="IS1514" s="342"/>
      <c r="IT1514" s="342"/>
      <c r="IU1514" s="342"/>
      <c r="IV1514" s="342"/>
      <c r="IW1514" s="342"/>
      <c r="IX1514" s="342"/>
      <c r="IY1514" s="342"/>
      <c r="IZ1514" s="342"/>
      <c r="JA1514" s="342"/>
      <c r="JB1514" s="342"/>
      <c r="JC1514" s="342"/>
      <c r="JD1514" s="342"/>
      <c r="JE1514" s="342"/>
      <c r="JF1514" s="342"/>
      <c r="JG1514" s="342"/>
      <c r="JH1514" s="342"/>
      <c r="JI1514" s="342"/>
      <c r="JJ1514" s="342"/>
      <c r="JK1514" s="342"/>
      <c r="JL1514" s="342"/>
      <c r="JM1514" s="342"/>
      <c r="JN1514" s="342"/>
      <c r="JO1514" s="342"/>
      <c r="JP1514" s="342"/>
      <c r="JQ1514" s="342"/>
      <c r="JR1514" s="342"/>
      <c r="JS1514" s="342"/>
      <c r="JT1514" s="342"/>
      <c r="JU1514" s="342"/>
      <c r="JV1514" s="342"/>
      <c r="JW1514" s="342"/>
      <c r="JX1514" s="342"/>
      <c r="JY1514" s="342"/>
      <c r="JZ1514" s="342"/>
      <c r="KA1514" s="342"/>
      <c r="KB1514" s="342"/>
      <c r="KC1514" s="342"/>
      <c r="KD1514" s="342"/>
      <c r="KE1514" s="342"/>
      <c r="KF1514" s="342"/>
      <c r="KG1514" s="342"/>
      <c r="KH1514" s="342"/>
      <c r="KI1514" s="342"/>
      <c r="KJ1514" s="342"/>
      <c r="KK1514" s="342"/>
      <c r="KL1514" s="342"/>
      <c r="KM1514" s="342"/>
      <c r="KN1514" s="342"/>
      <c r="KO1514" s="342"/>
      <c r="KP1514" s="342"/>
      <c r="KQ1514" s="342"/>
      <c r="KR1514" s="342"/>
      <c r="KS1514" s="342"/>
      <c r="KT1514" s="342"/>
      <c r="KU1514" s="342"/>
      <c r="KV1514" s="342"/>
      <c r="KW1514" s="342"/>
      <c r="KX1514" s="342"/>
      <c r="KY1514" s="342"/>
      <c r="KZ1514" s="342"/>
      <c r="LA1514" s="342"/>
      <c r="LB1514" s="342"/>
      <c r="LC1514" s="342"/>
      <c r="LD1514" s="342"/>
      <c r="LE1514" s="342"/>
      <c r="LF1514" s="351"/>
      <c r="LG1514" s="351"/>
      <c r="LH1514" s="351"/>
      <c r="LI1514" s="342"/>
      <c r="LJ1514" s="342"/>
      <c r="LK1514" s="342"/>
      <c r="LL1514" s="342"/>
      <c r="LM1514" s="342"/>
      <c r="LN1514" s="342"/>
      <c r="LO1514" s="342"/>
      <c r="LP1514" s="342"/>
      <c r="LQ1514" s="342"/>
      <c r="LR1514" s="342"/>
      <c r="LS1514" s="342"/>
      <c r="LT1514" s="342"/>
      <c r="LU1514" s="13"/>
    </row>
    <row r="1515" spans="6:333" ht="10.75" customHeight="1">
      <c r="GT1515" s="12"/>
      <c r="GU1515" s="342"/>
      <c r="GV1515" s="342"/>
      <c r="GW1515" s="342"/>
      <c r="GX1515" s="342"/>
      <c r="GY1515" s="342"/>
      <c r="GZ1515" s="342"/>
      <c r="HA1515" s="342"/>
      <c r="HB1515" s="342"/>
      <c r="HC1515" s="342"/>
      <c r="HD1515" s="342"/>
      <c r="HE1515" s="342"/>
      <c r="HF1515" s="342"/>
      <c r="HG1515" s="342"/>
      <c r="HH1515" s="342"/>
      <c r="HI1515" s="342"/>
      <c r="HJ1515" s="342"/>
      <c r="HK1515" s="342"/>
      <c r="HL1515" s="342"/>
      <c r="HM1515" s="342"/>
      <c r="HN1515" s="342"/>
      <c r="HO1515" s="342"/>
      <c r="HP1515" s="342"/>
      <c r="HQ1515" s="342"/>
      <c r="HR1515" s="342"/>
      <c r="HS1515" s="342"/>
      <c r="HT1515" s="342"/>
      <c r="HU1515" s="342"/>
      <c r="HV1515" s="342"/>
      <c r="HW1515" s="342"/>
      <c r="HX1515" s="342"/>
      <c r="HY1515" s="342"/>
      <c r="HZ1515" s="342"/>
      <c r="IA1515" s="342"/>
      <c r="IB1515" s="342"/>
      <c r="IC1515" s="342"/>
      <c r="ID1515" s="342"/>
      <c r="IE1515" s="342"/>
      <c r="IF1515" s="342"/>
      <c r="IG1515" s="342"/>
      <c r="IH1515" s="342"/>
      <c r="II1515" s="342"/>
      <c r="IJ1515" s="342"/>
      <c r="IK1515" s="342"/>
      <c r="IL1515" s="342"/>
      <c r="IM1515" s="342"/>
      <c r="IN1515" s="342"/>
      <c r="IO1515" s="342"/>
      <c r="IP1515" s="342"/>
      <c r="IQ1515" s="342"/>
      <c r="IR1515" s="342"/>
      <c r="IS1515" s="342"/>
      <c r="IT1515" s="342"/>
      <c r="IU1515" s="342"/>
      <c r="IV1515" s="342"/>
      <c r="IW1515" s="342"/>
      <c r="IX1515" s="342"/>
      <c r="IY1515" s="342"/>
      <c r="IZ1515" s="342"/>
      <c r="JA1515" s="342"/>
      <c r="JB1515" s="342"/>
      <c r="JC1515" s="342"/>
      <c r="JD1515" s="342"/>
      <c r="JE1515" s="342"/>
      <c r="JF1515" s="342"/>
      <c r="JG1515" s="342"/>
      <c r="JH1515" s="342"/>
      <c r="JI1515" s="342"/>
      <c r="JJ1515" s="342"/>
      <c r="JK1515" s="342"/>
      <c r="JL1515" s="342"/>
      <c r="JM1515" s="342"/>
      <c r="JN1515" s="342"/>
      <c r="JO1515" s="342"/>
      <c r="JP1515" s="342"/>
      <c r="JQ1515" s="342"/>
      <c r="JR1515" s="342"/>
      <c r="JS1515" s="342"/>
      <c r="JT1515" s="342"/>
      <c r="JU1515" s="342"/>
      <c r="JV1515" s="342"/>
      <c r="JW1515" s="342"/>
      <c r="JX1515" s="342"/>
      <c r="JY1515" s="342"/>
      <c r="JZ1515" s="342"/>
      <c r="KA1515" s="342"/>
      <c r="KB1515" s="342"/>
      <c r="KC1515" s="342"/>
      <c r="KD1515" s="342"/>
      <c r="KE1515" s="342"/>
      <c r="KF1515" s="342"/>
      <c r="KG1515" s="342"/>
      <c r="KH1515" s="342"/>
      <c r="KI1515" s="342"/>
      <c r="KJ1515" s="342"/>
      <c r="KK1515" s="342"/>
      <c r="KL1515" s="342"/>
      <c r="KM1515" s="342"/>
      <c r="KN1515" s="342"/>
      <c r="KO1515" s="342"/>
      <c r="KP1515" s="342"/>
      <c r="KQ1515" s="342"/>
      <c r="KR1515" s="342"/>
      <c r="KS1515" s="342"/>
      <c r="KT1515" s="342"/>
      <c r="KU1515" s="342"/>
      <c r="KV1515" s="342"/>
      <c r="KW1515" s="342"/>
      <c r="KX1515" s="342"/>
      <c r="KY1515" s="342"/>
      <c r="KZ1515" s="342"/>
      <c r="LA1515" s="342"/>
      <c r="LB1515" s="342"/>
      <c r="LC1515" s="342"/>
      <c r="LD1515" s="342"/>
      <c r="LE1515" s="342"/>
      <c r="LF1515" s="351"/>
      <c r="LG1515" s="351"/>
      <c r="LH1515" s="351"/>
      <c r="LI1515" s="342"/>
      <c r="LJ1515" s="342"/>
      <c r="LK1515" s="342"/>
      <c r="LL1515" s="342"/>
      <c r="LM1515" s="342"/>
      <c r="LN1515" s="342"/>
      <c r="LO1515" s="342"/>
      <c r="LP1515" s="342"/>
      <c r="LQ1515" s="342"/>
      <c r="LR1515" s="342"/>
      <c r="LS1515" s="342"/>
      <c r="LT1515" s="342"/>
      <c r="LU1515" s="13"/>
    </row>
    <row r="1516" spans="6:333" ht="10.75" customHeight="1">
      <c r="GT1516" s="12"/>
      <c r="GU1516" s="342"/>
      <c r="GV1516" s="342"/>
      <c r="GW1516" s="342"/>
      <c r="GX1516" s="342"/>
      <c r="GY1516" s="342"/>
      <c r="GZ1516" s="342"/>
      <c r="HA1516" s="342"/>
      <c r="HB1516" s="342"/>
      <c r="HC1516" s="342"/>
      <c r="HD1516" s="342"/>
      <c r="HE1516" s="342"/>
      <c r="HF1516" s="342"/>
      <c r="HG1516" s="342"/>
      <c r="HH1516" s="342"/>
      <c r="HI1516" s="342"/>
      <c r="HJ1516" s="342"/>
      <c r="HK1516" s="342"/>
      <c r="HL1516" s="342"/>
      <c r="HM1516" s="342"/>
      <c r="HN1516" s="342"/>
      <c r="HO1516" s="342"/>
      <c r="HP1516" s="342"/>
      <c r="HQ1516" s="342"/>
      <c r="HR1516" s="342"/>
      <c r="HS1516" s="342"/>
      <c r="HT1516" s="342"/>
      <c r="HU1516" s="342"/>
      <c r="HV1516" s="342"/>
      <c r="HW1516" s="342"/>
      <c r="HX1516" s="342"/>
      <c r="HY1516" s="342"/>
      <c r="HZ1516" s="342"/>
      <c r="IA1516" s="342"/>
      <c r="IB1516" s="342"/>
      <c r="IC1516" s="342"/>
      <c r="ID1516" s="342"/>
      <c r="IE1516" s="342"/>
      <c r="IF1516" s="342"/>
      <c r="IG1516" s="342"/>
      <c r="IH1516" s="342"/>
      <c r="II1516" s="342"/>
      <c r="IJ1516" s="342"/>
      <c r="IK1516" s="342"/>
      <c r="IL1516" s="342"/>
      <c r="IM1516" s="342"/>
      <c r="IN1516" s="342"/>
      <c r="IO1516" s="342"/>
      <c r="IP1516" s="342"/>
      <c r="IQ1516" s="342"/>
      <c r="IR1516" s="342"/>
      <c r="IS1516" s="342"/>
      <c r="IT1516" s="342"/>
      <c r="IU1516" s="342"/>
      <c r="IV1516" s="342"/>
      <c r="IW1516" s="342"/>
      <c r="IX1516" s="342"/>
      <c r="IY1516" s="342"/>
      <c r="IZ1516" s="342"/>
      <c r="JA1516" s="342"/>
      <c r="JB1516" s="342"/>
      <c r="JC1516" s="342"/>
      <c r="JD1516" s="342"/>
      <c r="JE1516" s="342"/>
      <c r="JF1516" s="342"/>
      <c r="JG1516" s="342"/>
      <c r="JH1516" s="342"/>
      <c r="JI1516" s="342"/>
      <c r="JJ1516" s="342"/>
      <c r="JK1516" s="342"/>
      <c r="JL1516" s="342"/>
      <c r="JM1516" s="342"/>
      <c r="JN1516" s="342"/>
      <c r="JO1516" s="342"/>
      <c r="JP1516" s="342"/>
      <c r="JQ1516" s="342"/>
      <c r="JR1516" s="342"/>
      <c r="JS1516" s="342"/>
      <c r="JT1516" s="342"/>
      <c r="JU1516" s="342"/>
      <c r="JV1516" s="342"/>
      <c r="JW1516" s="342"/>
      <c r="JX1516" s="342"/>
      <c r="JY1516" s="342"/>
      <c r="JZ1516" s="342"/>
      <c r="KA1516" s="342"/>
      <c r="KB1516" s="342"/>
      <c r="KC1516" s="342"/>
      <c r="KD1516" s="342"/>
      <c r="KE1516" s="342"/>
      <c r="KF1516" s="342"/>
      <c r="KG1516" s="342"/>
      <c r="KH1516" s="342"/>
      <c r="KI1516" s="342"/>
      <c r="KJ1516" s="342"/>
      <c r="KK1516" s="342"/>
      <c r="KL1516" s="342"/>
      <c r="KM1516" s="342"/>
      <c r="KN1516" s="342"/>
      <c r="KO1516" s="342"/>
      <c r="KP1516" s="342"/>
      <c r="KQ1516" s="342"/>
      <c r="KR1516" s="342"/>
      <c r="KS1516" s="342"/>
      <c r="KT1516" s="342"/>
      <c r="KU1516" s="342"/>
      <c r="KV1516" s="342"/>
      <c r="KW1516" s="342"/>
      <c r="KX1516" s="342"/>
      <c r="KY1516" s="342"/>
      <c r="KZ1516" s="342"/>
      <c r="LA1516" s="342"/>
      <c r="LB1516" s="342"/>
      <c r="LC1516" s="342"/>
      <c r="LD1516" s="342"/>
      <c r="LE1516" s="342"/>
      <c r="LF1516" s="351"/>
      <c r="LG1516" s="351"/>
      <c r="LH1516" s="351"/>
      <c r="LI1516" s="342"/>
      <c r="LJ1516" s="342"/>
      <c r="LK1516" s="342"/>
      <c r="LL1516" s="342"/>
      <c r="LM1516" s="342"/>
      <c r="LN1516" s="342"/>
      <c r="LO1516" s="342"/>
      <c r="LP1516" s="342"/>
      <c r="LQ1516" s="342"/>
      <c r="LR1516" s="342"/>
      <c r="LS1516" s="342"/>
      <c r="LT1516" s="342"/>
      <c r="LU1516" s="13"/>
    </row>
    <row r="1517" spans="6:333" ht="10.75" customHeight="1">
      <c r="GT1517" s="12"/>
      <c r="GU1517" s="342"/>
      <c r="GV1517" s="342"/>
      <c r="GW1517" s="342"/>
      <c r="GX1517" s="342"/>
      <c r="GY1517" s="342"/>
      <c r="GZ1517" s="342"/>
      <c r="HA1517" s="342"/>
      <c r="HB1517" s="342"/>
      <c r="HC1517" s="342"/>
      <c r="HD1517" s="342"/>
      <c r="HE1517" s="342"/>
      <c r="HF1517" s="342"/>
      <c r="HG1517" s="342"/>
      <c r="HH1517" s="342"/>
      <c r="HI1517" s="342"/>
      <c r="HJ1517" s="342"/>
      <c r="HK1517" s="342"/>
      <c r="HL1517" s="342"/>
      <c r="HM1517" s="342"/>
      <c r="HN1517" s="342"/>
      <c r="HO1517" s="342"/>
      <c r="HP1517" s="342"/>
      <c r="HQ1517" s="342"/>
      <c r="HR1517" s="342"/>
      <c r="HS1517" s="342"/>
      <c r="HT1517" s="342"/>
      <c r="HU1517" s="342"/>
      <c r="HV1517" s="342"/>
      <c r="HW1517" s="342"/>
      <c r="HX1517" s="342"/>
      <c r="HY1517" s="342"/>
      <c r="HZ1517" s="342"/>
      <c r="IA1517" s="342"/>
      <c r="IB1517" s="342"/>
      <c r="IC1517" s="342"/>
      <c r="ID1517" s="342"/>
      <c r="IE1517" s="342"/>
      <c r="IF1517" s="342"/>
      <c r="IG1517" s="342"/>
      <c r="IH1517" s="342"/>
      <c r="II1517" s="342"/>
      <c r="IJ1517" s="342"/>
      <c r="IK1517" s="342"/>
      <c r="IL1517" s="342"/>
      <c r="IM1517" s="342"/>
      <c r="IN1517" s="342"/>
      <c r="IO1517" s="342"/>
      <c r="IP1517" s="342"/>
      <c r="IQ1517" s="342"/>
      <c r="IR1517" s="342"/>
      <c r="IS1517" s="342"/>
      <c r="IT1517" s="342"/>
      <c r="IU1517" s="342"/>
      <c r="IV1517" s="342"/>
      <c r="IW1517" s="342"/>
      <c r="IX1517" s="342"/>
      <c r="IY1517" s="342"/>
      <c r="IZ1517" s="342"/>
      <c r="JA1517" s="342"/>
      <c r="JB1517" s="342"/>
      <c r="JC1517" s="342"/>
      <c r="JD1517" s="342"/>
      <c r="JE1517" s="342"/>
      <c r="JF1517" s="342"/>
      <c r="JG1517" s="342"/>
      <c r="JH1517" s="342"/>
      <c r="JI1517" s="342"/>
      <c r="JJ1517" s="342"/>
      <c r="JK1517" s="342"/>
      <c r="JL1517" s="342"/>
      <c r="JM1517" s="342"/>
      <c r="JN1517" s="342"/>
      <c r="JO1517" s="342"/>
      <c r="JP1517" s="342"/>
      <c r="JQ1517" s="342"/>
      <c r="JR1517" s="342"/>
      <c r="JS1517" s="342"/>
      <c r="JT1517" s="342"/>
      <c r="JU1517" s="342"/>
      <c r="JV1517" s="342"/>
      <c r="JW1517" s="342"/>
      <c r="JX1517" s="342"/>
      <c r="JY1517" s="342"/>
      <c r="JZ1517" s="342"/>
      <c r="KA1517" s="342"/>
      <c r="KB1517" s="342"/>
      <c r="KC1517" s="342"/>
      <c r="KD1517" s="342"/>
      <c r="KE1517" s="342"/>
      <c r="KF1517" s="342"/>
      <c r="KG1517" s="342"/>
      <c r="KH1517" s="342"/>
      <c r="KI1517" s="342"/>
      <c r="KJ1517" s="342"/>
      <c r="KK1517" s="342"/>
      <c r="KL1517" s="342"/>
      <c r="KM1517" s="342"/>
      <c r="KN1517" s="342"/>
      <c r="KO1517" s="342"/>
      <c r="KP1517" s="342"/>
      <c r="KQ1517" s="342"/>
      <c r="KR1517" s="342"/>
      <c r="KS1517" s="342"/>
      <c r="KT1517" s="342"/>
      <c r="KU1517" s="342"/>
      <c r="KV1517" s="342"/>
      <c r="KW1517" s="342"/>
      <c r="KX1517" s="342"/>
      <c r="KY1517" s="342"/>
      <c r="KZ1517" s="342"/>
      <c r="LA1517" s="342"/>
      <c r="LB1517" s="342"/>
      <c r="LC1517" s="342"/>
      <c r="LD1517" s="342"/>
      <c r="LE1517" s="342"/>
      <c r="LF1517" s="351"/>
      <c r="LG1517" s="351"/>
      <c r="LH1517" s="351"/>
      <c r="LI1517" s="342"/>
      <c r="LJ1517" s="342"/>
      <c r="LK1517" s="342"/>
      <c r="LL1517" s="342"/>
      <c r="LM1517" s="342"/>
      <c r="LN1517" s="342"/>
      <c r="LO1517" s="342"/>
      <c r="LP1517" s="342"/>
      <c r="LQ1517" s="342"/>
      <c r="LR1517" s="342"/>
      <c r="LS1517" s="342"/>
      <c r="LT1517" s="342"/>
      <c r="LU1517" s="13"/>
    </row>
    <row r="1518" spans="6:333" ht="10.75" customHeight="1">
      <c r="GT1518" s="12"/>
      <c r="GU1518" s="342"/>
      <c r="GV1518" s="342"/>
      <c r="GW1518" s="342"/>
      <c r="GX1518" s="342"/>
      <c r="GY1518" s="342"/>
      <c r="GZ1518" s="342"/>
      <c r="HA1518" s="342"/>
      <c r="HB1518" s="342"/>
      <c r="HC1518" s="342"/>
      <c r="HD1518" s="342"/>
      <c r="HE1518" s="342"/>
      <c r="HF1518" s="342"/>
      <c r="HG1518" s="342"/>
      <c r="HH1518" s="342"/>
      <c r="HI1518" s="342"/>
      <c r="HJ1518" s="342"/>
      <c r="HK1518" s="342"/>
      <c r="HL1518" s="342"/>
      <c r="HM1518" s="342"/>
      <c r="HN1518" s="342"/>
      <c r="HO1518" s="342"/>
      <c r="HP1518" s="342"/>
      <c r="HQ1518" s="342"/>
      <c r="HR1518" s="342"/>
      <c r="HS1518" s="342"/>
      <c r="HT1518" s="342"/>
      <c r="HU1518" s="342"/>
      <c r="HV1518" s="342"/>
      <c r="HW1518" s="342"/>
      <c r="HX1518" s="342"/>
      <c r="HY1518" s="342"/>
      <c r="HZ1518" s="342"/>
      <c r="IA1518" s="342"/>
      <c r="IB1518" s="342"/>
      <c r="IC1518" s="342"/>
      <c r="ID1518" s="342"/>
      <c r="IE1518" s="342"/>
      <c r="IF1518" s="342"/>
      <c r="IG1518" s="342"/>
      <c r="IH1518" s="342"/>
      <c r="II1518" s="342"/>
      <c r="IJ1518" s="342"/>
      <c r="IK1518" s="342"/>
      <c r="IL1518" s="342"/>
      <c r="IM1518" s="342"/>
      <c r="IN1518" s="342"/>
      <c r="IO1518" s="342"/>
      <c r="IP1518" s="342"/>
      <c r="IQ1518" s="342"/>
      <c r="IR1518" s="342"/>
      <c r="IS1518" s="342"/>
      <c r="IT1518" s="342"/>
      <c r="IU1518" s="342"/>
      <c r="IV1518" s="342"/>
      <c r="IW1518" s="342"/>
      <c r="IX1518" s="342"/>
      <c r="IY1518" s="342"/>
      <c r="IZ1518" s="342"/>
      <c r="JA1518" s="342"/>
      <c r="JB1518" s="342"/>
      <c r="JC1518" s="342"/>
      <c r="JD1518" s="342"/>
      <c r="JE1518" s="342"/>
      <c r="JF1518" s="342"/>
      <c r="JG1518" s="342"/>
      <c r="JH1518" s="342"/>
      <c r="JI1518" s="342"/>
      <c r="JJ1518" s="342"/>
      <c r="JK1518" s="342"/>
      <c r="JL1518" s="342"/>
      <c r="JM1518" s="342"/>
      <c r="JN1518" s="342"/>
      <c r="JO1518" s="342"/>
      <c r="JP1518" s="342"/>
      <c r="JQ1518" s="342"/>
      <c r="JR1518" s="342"/>
      <c r="JS1518" s="342"/>
      <c r="JT1518" s="342"/>
      <c r="JU1518" s="342"/>
      <c r="JV1518" s="342"/>
      <c r="JW1518" s="342"/>
      <c r="JX1518" s="342"/>
      <c r="JY1518" s="342"/>
      <c r="JZ1518" s="342"/>
      <c r="KA1518" s="342"/>
      <c r="KB1518" s="342"/>
      <c r="KC1518" s="342"/>
      <c r="KD1518" s="342"/>
      <c r="KE1518" s="342"/>
      <c r="KF1518" s="342"/>
      <c r="KG1518" s="342"/>
      <c r="KH1518" s="342"/>
      <c r="KI1518" s="342"/>
      <c r="KJ1518" s="342"/>
      <c r="KK1518" s="342"/>
      <c r="KL1518" s="342"/>
      <c r="KM1518" s="342"/>
      <c r="KN1518" s="342"/>
      <c r="KO1518" s="342"/>
      <c r="KP1518" s="342"/>
      <c r="KQ1518" s="342"/>
      <c r="KR1518" s="342"/>
      <c r="KS1518" s="342"/>
      <c r="KT1518" s="342"/>
      <c r="KU1518" s="342"/>
      <c r="KV1518" s="342"/>
      <c r="KW1518" s="342"/>
      <c r="KX1518" s="342"/>
      <c r="KY1518" s="342"/>
      <c r="KZ1518" s="342"/>
      <c r="LA1518" s="342"/>
      <c r="LB1518" s="342"/>
      <c r="LC1518" s="342"/>
      <c r="LD1518" s="342"/>
      <c r="LE1518" s="342"/>
      <c r="LF1518" s="351"/>
      <c r="LG1518" s="351"/>
      <c r="LH1518" s="351"/>
      <c r="LI1518" s="342"/>
      <c r="LJ1518" s="342"/>
      <c r="LK1518" s="342"/>
      <c r="LL1518" s="342"/>
      <c r="LM1518" s="342"/>
      <c r="LN1518" s="342"/>
      <c r="LO1518" s="342"/>
      <c r="LP1518" s="342"/>
      <c r="LQ1518" s="342"/>
      <c r="LR1518" s="342"/>
      <c r="LS1518" s="342"/>
      <c r="LT1518" s="342"/>
      <c r="LU1518" s="13"/>
    </row>
    <row r="1519" spans="6:333" ht="10.75" customHeight="1">
      <c r="GT1519" s="12"/>
      <c r="GU1519" s="342"/>
      <c r="GV1519" s="342"/>
      <c r="GW1519" s="342"/>
      <c r="GX1519" s="342"/>
      <c r="GY1519" s="342"/>
      <c r="GZ1519" s="342"/>
      <c r="HA1519" s="342"/>
      <c r="HB1519" s="342"/>
      <c r="HC1519" s="342"/>
      <c r="HD1519" s="342"/>
      <c r="HE1519" s="342"/>
      <c r="HF1519" s="342"/>
      <c r="HG1519" s="342"/>
      <c r="HH1519" s="342"/>
      <c r="HI1519" s="342"/>
      <c r="HJ1519" s="342"/>
      <c r="HK1519" s="342"/>
      <c r="HL1519" s="342"/>
      <c r="HM1519" s="342"/>
      <c r="HN1519" s="342"/>
      <c r="HO1519" s="342"/>
      <c r="HP1519" s="342"/>
      <c r="HQ1519" s="342"/>
      <c r="HR1519" s="342"/>
      <c r="HS1519" s="342"/>
      <c r="HT1519" s="342"/>
      <c r="HU1519" s="342"/>
      <c r="HV1519" s="342"/>
      <c r="HW1519" s="342"/>
      <c r="HX1519" s="342"/>
      <c r="HY1519" s="342"/>
      <c r="HZ1519" s="342"/>
      <c r="IA1519" s="342"/>
      <c r="IB1519" s="342"/>
      <c r="IC1519" s="342"/>
      <c r="ID1519" s="342"/>
      <c r="IE1519" s="342"/>
      <c r="IF1519" s="342"/>
      <c r="IG1519" s="342"/>
      <c r="IH1519" s="342"/>
      <c r="II1519" s="342"/>
      <c r="IJ1519" s="342"/>
      <c r="IK1519" s="342"/>
      <c r="IL1519" s="342"/>
      <c r="IM1519" s="342"/>
      <c r="IN1519" s="342"/>
      <c r="IO1519" s="342"/>
      <c r="IP1519" s="342"/>
      <c r="IQ1519" s="342"/>
      <c r="IR1519" s="342"/>
      <c r="IS1519" s="342"/>
      <c r="IT1519" s="342"/>
      <c r="IU1519" s="342"/>
      <c r="IV1519" s="342"/>
      <c r="IW1519" s="342"/>
      <c r="IX1519" s="342"/>
      <c r="IY1519" s="342"/>
      <c r="IZ1519" s="342"/>
      <c r="JA1519" s="342"/>
      <c r="JB1519" s="342"/>
      <c r="JC1519" s="342"/>
      <c r="JD1519" s="342"/>
      <c r="JE1519" s="342"/>
      <c r="JF1519" s="342"/>
      <c r="JG1519" s="342"/>
      <c r="JH1519" s="342"/>
      <c r="JI1519" s="342"/>
      <c r="JJ1519" s="342"/>
      <c r="JK1519" s="342"/>
      <c r="JL1519" s="342"/>
      <c r="JM1519" s="342"/>
      <c r="JN1519" s="342"/>
      <c r="JO1519" s="342"/>
      <c r="JP1519" s="342"/>
      <c r="JQ1519" s="342"/>
      <c r="JR1519" s="342"/>
      <c r="JS1519" s="342"/>
      <c r="JT1519" s="342"/>
      <c r="JU1519" s="342"/>
      <c r="JV1519" s="342"/>
      <c r="JW1519" s="342"/>
      <c r="JX1519" s="342"/>
      <c r="JY1519" s="342"/>
      <c r="JZ1519" s="342"/>
      <c r="KA1519" s="342"/>
      <c r="KB1519" s="342"/>
      <c r="KC1519" s="342"/>
      <c r="KD1519" s="342"/>
      <c r="KE1519" s="342"/>
      <c r="KF1519" s="342"/>
      <c r="KG1519" s="342"/>
      <c r="KH1519" s="342"/>
      <c r="KI1519" s="342"/>
      <c r="KJ1519" s="342"/>
      <c r="KK1519" s="342"/>
      <c r="KL1519" s="342"/>
      <c r="KM1519" s="342"/>
      <c r="KN1519" s="342"/>
      <c r="KO1519" s="342"/>
      <c r="KP1519" s="342"/>
      <c r="KQ1519" s="342"/>
      <c r="KR1519" s="342"/>
      <c r="KS1519" s="342"/>
      <c r="KT1519" s="342"/>
      <c r="KU1519" s="342"/>
      <c r="KV1519" s="342"/>
      <c r="KW1519" s="342"/>
      <c r="KX1519" s="342"/>
      <c r="KY1519" s="342"/>
      <c r="KZ1519" s="342"/>
      <c r="LA1519" s="342"/>
      <c r="LB1519" s="342"/>
      <c r="LC1519" s="342"/>
      <c r="LD1519" s="342"/>
      <c r="LE1519" s="342"/>
      <c r="LF1519" s="351"/>
      <c r="LG1519" s="351"/>
      <c r="LH1519" s="351"/>
      <c r="LI1519" s="342"/>
      <c r="LJ1519" s="342"/>
      <c r="LK1519" s="342"/>
      <c r="LL1519" s="342"/>
      <c r="LM1519" s="342"/>
      <c r="LN1519" s="342"/>
      <c r="LO1519" s="342"/>
      <c r="LP1519" s="342"/>
      <c r="LQ1519" s="342"/>
      <c r="LR1519" s="342"/>
      <c r="LS1519" s="342"/>
      <c r="LT1519" s="342"/>
      <c r="LU1519" s="13"/>
    </row>
    <row r="1520" spans="6:333" ht="10.75" customHeight="1">
      <c r="GT1520" s="12"/>
      <c r="GU1520" s="342"/>
      <c r="GV1520" s="342"/>
      <c r="GW1520" s="342"/>
      <c r="GX1520" s="342"/>
      <c r="GY1520" s="342"/>
      <c r="GZ1520" s="342"/>
      <c r="HA1520" s="342"/>
      <c r="HB1520" s="342"/>
      <c r="HC1520" s="342"/>
      <c r="HD1520" s="342"/>
      <c r="HE1520" s="342"/>
      <c r="HF1520" s="342"/>
      <c r="HG1520" s="342"/>
      <c r="HH1520" s="342"/>
      <c r="HI1520" s="342"/>
      <c r="HJ1520" s="342"/>
      <c r="HK1520" s="342"/>
      <c r="HL1520" s="342"/>
      <c r="HM1520" s="342"/>
      <c r="HN1520" s="342"/>
      <c r="HO1520" s="342"/>
      <c r="HP1520" s="342"/>
      <c r="HQ1520" s="342"/>
      <c r="HR1520" s="342"/>
      <c r="HS1520" s="342"/>
      <c r="HT1520" s="342"/>
      <c r="HU1520" s="342"/>
      <c r="HV1520" s="342"/>
      <c r="HW1520" s="342"/>
      <c r="HX1520" s="342"/>
      <c r="HY1520" s="342"/>
      <c r="HZ1520" s="342"/>
      <c r="IA1520" s="342"/>
      <c r="IB1520" s="342"/>
      <c r="IC1520" s="342"/>
      <c r="ID1520" s="342"/>
      <c r="IE1520" s="342"/>
      <c r="IF1520" s="342"/>
      <c r="IG1520" s="342"/>
      <c r="IH1520" s="342"/>
      <c r="II1520" s="342"/>
      <c r="IJ1520" s="342"/>
      <c r="IK1520" s="342"/>
      <c r="IL1520" s="342"/>
      <c r="IM1520" s="342"/>
      <c r="IN1520" s="342"/>
      <c r="IO1520" s="342"/>
      <c r="IP1520" s="342"/>
      <c r="IQ1520" s="342"/>
      <c r="IR1520" s="342"/>
      <c r="IS1520" s="342"/>
      <c r="IT1520" s="342"/>
      <c r="IU1520" s="342"/>
      <c r="IV1520" s="342"/>
      <c r="IW1520" s="342"/>
      <c r="IX1520" s="342"/>
      <c r="IY1520" s="342"/>
      <c r="IZ1520" s="342"/>
      <c r="JA1520" s="342"/>
      <c r="JB1520" s="342"/>
      <c r="JC1520" s="342"/>
      <c r="JD1520" s="342"/>
      <c r="JE1520" s="342"/>
      <c r="JF1520" s="342"/>
      <c r="JG1520" s="342"/>
      <c r="JH1520" s="342"/>
      <c r="JI1520" s="342"/>
      <c r="JJ1520" s="342"/>
      <c r="JK1520" s="342"/>
      <c r="JL1520" s="342"/>
      <c r="JM1520" s="342"/>
      <c r="JN1520" s="342"/>
      <c r="JO1520" s="342"/>
      <c r="JP1520" s="342"/>
      <c r="JQ1520" s="342"/>
      <c r="JR1520" s="342"/>
      <c r="JS1520" s="342"/>
      <c r="JT1520" s="342"/>
      <c r="JU1520" s="342"/>
      <c r="JV1520" s="342"/>
      <c r="JW1520" s="342"/>
      <c r="JX1520" s="342"/>
      <c r="JY1520" s="342"/>
      <c r="JZ1520" s="342"/>
      <c r="KA1520" s="342"/>
      <c r="KB1520" s="342"/>
      <c r="KC1520" s="342"/>
      <c r="KD1520" s="342"/>
      <c r="KE1520" s="342"/>
      <c r="KF1520" s="342"/>
      <c r="KG1520" s="342"/>
      <c r="KH1520" s="342"/>
      <c r="KI1520" s="342"/>
      <c r="KJ1520" s="342"/>
      <c r="KK1520" s="342"/>
      <c r="KL1520" s="342"/>
      <c r="KM1520" s="342"/>
      <c r="KN1520" s="342"/>
      <c r="KO1520" s="342"/>
      <c r="KP1520" s="342"/>
      <c r="KQ1520" s="342"/>
      <c r="KR1520" s="342"/>
      <c r="KS1520" s="342"/>
      <c r="KT1520" s="342"/>
      <c r="KU1520" s="342"/>
      <c r="KV1520" s="342"/>
      <c r="KW1520" s="342"/>
      <c r="KX1520" s="342"/>
      <c r="KY1520" s="342"/>
      <c r="KZ1520" s="342"/>
      <c r="LA1520" s="342"/>
      <c r="LB1520" s="342"/>
      <c r="LC1520" s="342"/>
      <c r="LD1520" s="342"/>
      <c r="LE1520" s="342"/>
      <c r="LF1520" s="351"/>
      <c r="LG1520" s="351"/>
      <c r="LH1520" s="351"/>
      <c r="LI1520" s="342"/>
      <c r="LJ1520" s="342"/>
      <c r="LK1520" s="342"/>
      <c r="LL1520" s="342"/>
      <c r="LM1520" s="342"/>
      <c r="LN1520" s="342"/>
      <c r="LO1520" s="342"/>
      <c r="LP1520" s="342"/>
      <c r="LQ1520" s="342"/>
      <c r="LR1520" s="342"/>
      <c r="LS1520" s="342"/>
      <c r="LT1520" s="342"/>
      <c r="LU1520" s="13"/>
    </row>
    <row r="1521" spans="202:333" ht="10.75" customHeight="1">
      <c r="GT1521" s="12"/>
      <c r="GU1521" s="342"/>
      <c r="GV1521" s="342"/>
      <c r="GW1521" s="342"/>
      <c r="GX1521" s="342"/>
      <c r="GY1521" s="342"/>
      <c r="GZ1521" s="342"/>
      <c r="HA1521" s="342"/>
      <c r="HB1521" s="342"/>
      <c r="HC1521" s="342"/>
      <c r="HD1521" s="342"/>
      <c r="HE1521" s="342"/>
      <c r="HF1521" s="342"/>
      <c r="HG1521" s="342"/>
      <c r="HH1521" s="342"/>
      <c r="HI1521" s="342"/>
      <c r="HJ1521" s="342"/>
      <c r="HK1521" s="342"/>
      <c r="HL1521" s="342"/>
      <c r="HM1521" s="342"/>
      <c r="HN1521" s="342"/>
      <c r="HO1521" s="342"/>
      <c r="HP1521" s="342"/>
      <c r="HQ1521" s="342"/>
      <c r="HR1521" s="342"/>
      <c r="HS1521" s="342"/>
      <c r="HT1521" s="342"/>
      <c r="HU1521" s="342"/>
      <c r="HV1521" s="342"/>
      <c r="HW1521" s="342"/>
      <c r="HX1521" s="342"/>
      <c r="HY1521" s="342"/>
      <c r="HZ1521" s="342"/>
      <c r="IA1521" s="342"/>
      <c r="IB1521" s="342"/>
      <c r="IC1521" s="342"/>
      <c r="ID1521" s="342"/>
      <c r="IE1521" s="342"/>
      <c r="IF1521" s="342"/>
      <c r="IG1521" s="342"/>
      <c r="IH1521" s="342"/>
      <c r="II1521" s="342"/>
      <c r="IJ1521" s="342"/>
      <c r="IK1521" s="342"/>
      <c r="IL1521" s="342"/>
      <c r="IM1521" s="342"/>
      <c r="IN1521" s="342"/>
      <c r="IO1521" s="342"/>
      <c r="IP1521" s="342"/>
      <c r="IQ1521" s="342"/>
      <c r="IR1521" s="342"/>
      <c r="IS1521" s="342"/>
      <c r="IT1521" s="342"/>
      <c r="IU1521" s="342"/>
      <c r="IV1521" s="342"/>
      <c r="IW1521" s="342"/>
      <c r="IX1521" s="342"/>
      <c r="IY1521" s="342"/>
      <c r="IZ1521" s="342"/>
      <c r="JA1521" s="342"/>
      <c r="JB1521" s="342"/>
      <c r="JC1521" s="342"/>
      <c r="JD1521" s="342"/>
      <c r="JE1521" s="342"/>
      <c r="JF1521" s="342"/>
      <c r="JG1521" s="342"/>
      <c r="JH1521" s="342"/>
      <c r="JI1521" s="342"/>
      <c r="JJ1521" s="342"/>
      <c r="JK1521" s="342"/>
      <c r="JL1521" s="342"/>
      <c r="JM1521" s="342"/>
      <c r="JN1521" s="342"/>
      <c r="JO1521" s="342"/>
      <c r="JP1521" s="342"/>
      <c r="JQ1521" s="342"/>
      <c r="JR1521" s="342"/>
      <c r="JS1521" s="342"/>
      <c r="JT1521" s="342"/>
      <c r="JU1521" s="342"/>
      <c r="JV1521" s="342"/>
      <c r="JW1521" s="342"/>
      <c r="JX1521" s="342"/>
      <c r="JY1521" s="342"/>
      <c r="JZ1521" s="342"/>
      <c r="KA1521" s="342"/>
      <c r="KB1521" s="342"/>
      <c r="KC1521" s="342"/>
      <c r="KD1521" s="342"/>
      <c r="KE1521" s="342"/>
      <c r="KF1521" s="342"/>
      <c r="KG1521" s="342"/>
      <c r="KH1521" s="342"/>
      <c r="KI1521" s="342"/>
      <c r="KJ1521" s="342"/>
      <c r="KK1521" s="342"/>
      <c r="KL1521" s="342"/>
      <c r="KM1521" s="342"/>
      <c r="KN1521" s="342"/>
      <c r="KO1521" s="342"/>
      <c r="KP1521" s="342"/>
      <c r="KQ1521" s="342"/>
      <c r="KR1521" s="342"/>
      <c r="KS1521" s="342"/>
      <c r="KT1521" s="342"/>
      <c r="KU1521" s="342"/>
      <c r="KV1521" s="342"/>
      <c r="KW1521" s="342"/>
      <c r="KX1521" s="342"/>
      <c r="KY1521" s="342"/>
      <c r="KZ1521" s="342"/>
      <c r="LA1521" s="342"/>
      <c r="LB1521" s="342"/>
      <c r="LC1521" s="342"/>
      <c r="LD1521" s="342"/>
      <c r="LE1521" s="342"/>
      <c r="LF1521" s="351"/>
      <c r="LG1521" s="351"/>
      <c r="LH1521" s="351"/>
      <c r="LI1521" s="342"/>
      <c r="LJ1521" s="342"/>
      <c r="LK1521" s="342"/>
      <c r="LL1521" s="342"/>
      <c r="LM1521" s="342"/>
      <c r="LN1521" s="342"/>
      <c r="LO1521" s="342"/>
      <c r="LP1521" s="342"/>
      <c r="LQ1521" s="342"/>
      <c r="LR1521" s="342"/>
      <c r="LS1521" s="342"/>
      <c r="LT1521" s="342"/>
      <c r="LU1521" s="13"/>
    </row>
    <row r="1522" spans="202:333" ht="10.75" customHeight="1">
      <c r="GT1522" s="12"/>
      <c r="GU1522" s="342"/>
      <c r="GV1522" s="342"/>
      <c r="GW1522" s="342"/>
      <c r="GX1522" s="342"/>
      <c r="GY1522" s="342"/>
      <c r="GZ1522" s="342"/>
      <c r="HA1522" s="342"/>
      <c r="HB1522" s="342"/>
      <c r="HC1522" s="342"/>
      <c r="HD1522" s="342"/>
      <c r="HE1522" s="342"/>
      <c r="HF1522" s="342"/>
      <c r="HG1522" s="342"/>
      <c r="HH1522" s="342"/>
      <c r="HI1522" s="342"/>
      <c r="HJ1522" s="342"/>
      <c r="HK1522" s="342"/>
      <c r="HL1522" s="342"/>
      <c r="HM1522" s="342"/>
      <c r="HN1522" s="342"/>
      <c r="HO1522" s="342"/>
      <c r="HP1522" s="342"/>
      <c r="HQ1522" s="342"/>
      <c r="HR1522" s="342"/>
      <c r="HS1522" s="342"/>
      <c r="HT1522" s="342"/>
      <c r="HU1522" s="342"/>
      <c r="HV1522" s="342"/>
      <c r="HW1522" s="342"/>
      <c r="HX1522" s="342"/>
      <c r="HY1522" s="342"/>
      <c r="HZ1522" s="342"/>
      <c r="IA1522" s="342"/>
      <c r="IB1522" s="342"/>
      <c r="IC1522" s="342"/>
      <c r="ID1522" s="342"/>
      <c r="IE1522" s="342"/>
      <c r="IF1522" s="342"/>
      <c r="IG1522" s="342"/>
      <c r="IH1522" s="342"/>
      <c r="II1522" s="342"/>
      <c r="IJ1522" s="342"/>
      <c r="IK1522" s="342"/>
      <c r="IL1522" s="342"/>
      <c r="IM1522" s="342"/>
      <c r="IN1522" s="342"/>
      <c r="IO1522" s="342"/>
      <c r="IP1522" s="342"/>
      <c r="IQ1522" s="342"/>
      <c r="IR1522" s="342"/>
      <c r="IS1522" s="342"/>
      <c r="IT1522" s="342"/>
      <c r="IU1522" s="342"/>
      <c r="IV1522" s="342"/>
      <c r="IW1522" s="342"/>
      <c r="IX1522" s="342"/>
      <c r="IY1522" s="342"/>
      <c r="IZ1522" s="342"/>
      <c r="JA1522" s="342"/>
      <c r="JB1522" s="342"/>
      <c r="JC1522" s="342"/>
      <c r="JD1522" s="342"/>
      <c r="JE1522" s="342"/>
      <c r="JF1522" s="342"/>
      <c r="JG1522" s="342"/>
      <c r="JH1522" s="342"/>
      <c r="JI1522" s="342"/>
      <c r="JJ1522" s="342"/>
      <c r="JK1522" s="342"/>
      <c r="JL1522" s="342"/>
      <c r="JM1522" s="342"/>
      <c r="JN1522" s="342"/>
      <c r="JO1522" s="342"/>
      <c r="JP1522" s="342"/>
      <c r="JQ1522" s="342"/>
      <c r="JR1522" s="342"/>
      <c r="JS1522" s="342"/>
      <c r="JT1522" s="342"/>
      <c r="JU1522" s="342"/>
      <c r="JV1522" s="342"/>
      <c r="JW1522" s="342"/>
      <c r="JX1522" s="342"/>
      <c r="JY1522" s="342"/>
      <c r="JZ1522" s="342"/>
      <c r="KA1522" s="342"/>
      <c r="KB1522" s="342"/>
      <c r="KC1522" s="342"/>
      <c r="KD1522" s="342"/>
      <c r="KE1522" s="342"/>
      <c r="KF1522" s="342"/>
      <c r="KG1522" s="342"/>
      <c r="KH1522" s="342"/>
      <c r="KI1522" s="342"/>
      <c r="KJ1522" s="342"/>
      <c r="KK1522" s="342"/>
      <c r="KL1522" s="342"/>
      <c r="KM1522" s="342"/>
      <c r="KN1522" s="342"/>
      <c r="KO1522" s="342"/>
      <c r="KP1522" s="342"/>
      <c r="KQ1522" s="342"/>
      <c r="KR1522" s="342"/>
      <c r="KS1522" s="342"/>
      <c r="KT1522" s="342"/>
      <c r="KU1522" s="342"/>
      <c r="KV1522" s="342"/>
      <c r="KW1522" s="342"/>
      <c r="KX1522" s="342"/>
      <c r="KY1522" s="342"/>
      <c r="KZ1522" s="342"/>
      <c r="LA1522" s="342"/>
      <c r="LB1522" s="342"/>
      <c r="LC1522" s="342"/>
      <c r="LD1522" s="342"/>
      <c r="LE1522" s="342"/>
      <c r="LF1522" s="351"/>
      <c r="LG1522" s="351"/>
      <c r="LH1522" s="351"/>
      <c r="LI1522" s="342"/>
      <c r="LJ1522" s="342"/>
      <c r="LK1522" s="342"/>
      <c r="LL1522" s="342"/>
      <c r="LM1522" s="342"/>
      <c r="LN1522" s="342"/>
      <c r="LO1522" s="342"/>
      <c r="LP1522" s="342"/>
      <c r="LQ1522" s="342"/>
      <c r="LR1522" s="342"/>
      <c r="LS1522" s="342"/>
      <c r="LT1522" s="342"/>
      <c r="LU1522" s="13"/>
    </row>
    <row r="1523" spans="202:333" ht="10.75" customHeight="1">
      <c r="GT1523" s="12"/>
      <c r="GU1523" s="342"/>
      <c r="GV1523" s="342"/>
      <c r="GW1523" s="342"/>
      <c r="GX1523" s="342"/>
      <c r="GY1523" s="342"/>
      <c r="GZ1523" s="342"/>
      <c r="HA1523" s="342"/>
      <c r="HB1523" s="342"/>
      <c r="HC1523" s="342"/>
      <c r="HD1523" s="342"/>
      <c r="HE1523" s="342"/>
      <c r="HF1523" s="342"/>
      <c r="HG1523" s="342"/>
      <c r="HH1523" s="342"/>
      <c r="HI1523" s="342"/>
      <c r="HJ1523" s="342"/>
      <c r="HK1523" s="342"/>
      <c r="HL1523" s="342"/>
      <c r="HM1523" s="342"/>
      <c r="HN1523" s="342"/>
      <c r="HO1523" s="342"/>
      <c r="HP1523" s="342"/>
      <c r="HQ1523" s="342"/>
      <c r="HR1523" s="342"/>
      <c r="HS1523" s="342"/>
      <c r="HT1523" s="342"/>
      <c r="HU1523" s="342"/>
      <c r="HV1523" s="342"/>
      <c r="HW1523" s="342"/>
      <c r="HX1523" s="342"/>
      <c r="HY1523" s="342"/>
      <c r="HZ1523" s="342"/>
      <c r="IA1523" s="342"/>
      <c r="IB1523" s="342"/>
      <c r="IC1523" s="342"/>
      <c r="ID1523" s="342"/>
      <c r="IE1523" s="342"/>
      <c r="IF1523" s="342"/>
      <c r="IG1523" s="342"/>
      <c r="IH1523" s="342"/>
      <c r="II1523" s="342"/>
      <c r="IJ1523" s="342"/>
      <c r="IK1523" s="342"/>
      <c r="IL1523" s="342"/>
      <c r="IM1523" s="342"/>
      <c r="IN1523" s="342"/>
      <c r="IO1523" s="342"/>
      <c r="IP1523" s="342"/>
      <c r="IQ1523" s="342"/>
      <c r="IR1523" s="342"/>
      <c r="IS1523" s="342"/>
      <c r="IT1523" s="342"/>
      <c r="IU1523" s="342"/>
      <c r="IV1523" s="342"/>
      <c r="IW1523" s="342"/>
      <c r="IX1523" s="342"/>
      <c r="IY1523" s="342"/>
      <c r="IZ1523" s="342"/>
      <c r="JA1523" s="342"/>
      <c r="JB1523" s="342"/>
      <c r="JC1523" s="342"/>
      <c r="JD1523" s="342"/>
      <c r="JE1523" s="342"/>
      <c r="JF1523" s="342"/>
      <c r="JG1523" s="342"/>
      <c r="JH1523" s="342"/>
      <c r="JI1523" s="342"/>
      <c r="JJ1523" s="342"/>
      <c r="JK1523" s="342"/>
      <c r="JL1523" s="342"/>
      <c r="JM1523" s="342"/>
      <c r="JN1523" s="342"/>
      <c r="JO1523" s="342"/>
      <c r="JP1523" s="342"/>
      <c r="JQ1523" s="342"/>
      <c r="JR1523" s="342"/>
      <c r="JS1523" s="342"/>
      <c r="JT1523" s="342"/>
      <c r="JU1523" s="342"/>
      <c r="JV1523" s="342"/>
      <c r="JW1523" s="342"/>
      <c r="JX1523" s="342"/>
      <c r="JY1523" s="342"/>
      <c r="JZ1523" s="342"/>
      <c r="KA1523" s="342"/>
      <c r="KB1523" s="342"/>
      <c r="KC1523" s="342"/>
      <c r="KD1523" s="342"/>
      <c r="KE1523" s="342"/>
      <c r="KF1523" s="342"/>
      <c r="KG1523" s="342"/>
      <c r="KH1523" s="342"/>
      <c r="KI1523" s="342"/>
      <c r="KJ1523" s="342"/>
      <c r="KK1523" s="342"/>
      <c r="KL1523" s="342"/>
      <c r="KM1523" s="342"/>
      <c r="KN1523" s="342"/>
      <c r="KO1523" s="342"/>
      <c r="KP1523" s="342"/>
      <c r="KQ1523" s="342"/>
      <c r="KR1523" s="342"/>
      <c r="KS1523" s="342"/>
      <c r="KT1523" s="342"/>
      <c r="KU1523" s="342"/>
      <c r="KV1523" s="342"/>
      <c r="KW1523" s="342"/>
      <c r="KX1523" s="342"/>
      <c r="KY1523" s="342"/>
      <c r="KZ1523" s="342"/>
      <c r="LA1523" s="342"/>
      <c r="LB1523" s="342"/>
      <c r="LC1523" s="342"/>
      <c r="LD1523" s="342"/>
      <c r="LE1523" s="342"/>
      <c r="LF1523" s="342"/>
      <c r="LG1523" s="342"/>
      <c r="LH1523" s="342"/>
      <c r="LI1523" s="342"/>
      <c r="LJ1523" s="342"/>
      <c r="LK1523" s="342"/>
      <c r="LL1523" s="342"/>
      <c r="LM1523" s="342"/>
      <c r="LN1523" s="342"/>
      <c r="LO1523" s="342"/>
      <c r="LP1523" s="342"/>
      <c r="LQ1523" s="342"/>
      <c r="LR1523" s="342"/>
      <c r="LS1523" s="342"/>
      <c r="LT1523" s="342"/>
      <c r="LU1523" s="13"/>
    </row>
    <row r="1524" spans="202:333" ht="10.75" customHeight="1">
      <c r="GT1524" s="12"/>
      <c r="GU1524" s="342"/>
      <c r="GV1524" s="342"/>
      <c r="GW1524" s="342"/>
      <c r="GX1524" s="342"/>
      <c r="GY1524" s="342"/>
      <c r="GZ1524" s="342"/>
      <c r="HA1524" s="342"/>
      <c r="HB1524" s="342"/>
      <c r="HC1524" s="342"/>
      <c r="HD1524" s="342"/>
      <c r="HE1524" s="342"/>
      <c r="HF1524" s="342"/>
      <c r="HG1524" s="342"/>
      <c r="HH1524" s="342"/>
      <c r="HI1524" s="342"/>
      <c r="HJ1524" s="342"/>
      <c r="HK1524" s="342"/>
      <c r="HL1524" s="342"/>
      <c r="HM1524" s="342"/>
      <c r="HN1524" s="342"/>
      <c r="HO1524" s="342"/>
      <c r="HP1524" s="342"/>
      <c r="HQ1524" s="342"/>
      <c r="HR1524" s="342"/>
      <c r="HS1524" s="342"/>
      <c r="HT1524" s="342"/>
      <c r="HU1524" s="342"/>
      <c r="HV1524" s="342"/>
      <c r="HW1524" s="342"/>
      <c r="HX1524" s="342"/>
      <c r="HY1524" s="342"/>
      <c r="HZ1524" s="342"/>
      <c r="IA1524" s="342"/>
      <c r="IB1524" s="342"/>
      <c r="IC1524" s="342"/>
      <c r="ID1524" s="342"/>
      <c r="IE1524" s="342"/>
      <c r="IF1524" s="342"/>
      <c r="IG1524" s="342"/>
      <c r="IH1524" s="342"/>
      <c r="II1524" s="342"/>
      <c r="IJ1524" s="342"/>
      <c r="IK1524" s="342"/>
      <c r="IL1524" s="342"/>
      <c r="IM1524" s="342"/>
      <c r="IN1524" s="342"/>
      <c r="IO1524" s="342"/>
      <c r="IP1524" s="342"/>
      <c r="IQ1524" s="342"/>
      <c r="IR1524" s="342"/>
      <c r="IS1524" s="342"/>
      <c r="IT1524" s="342"/>
      <c r="IU1524" s="342"/>
      <c r="IV1524" s="342"/>
      <c r="IW1524" s="342"/>
      <c r="IX1524" s="342"/>
      <c r="IY1524" s="342"/>
      <c r="IZ1524" s="342"/>
      <c r="JA1524" s="342"/>
      <c r="JB1524" s="342"/>
      <c r="JC1524" s="342"/>
      <c r="JD1524" s="342"/>
      <c r="JE1524" s="342"/>
      <c r="JF1524" s="342"/>
      <c r="JG1524" s="342"/>
      <c r="JH1524" s="342"/>
      <c r="JI1524" s="342"/>
      <c r="JJ1524" s="342"/>
      <c r="JK1524" s="342"/>
      <c r="JL1524" s="342"/>
      <c r="JM1524" s="342"/>
      <c r="JN1524" s="342"/>
      <c r="JO1524" s="342"/>
      <c r="JP1524" s="342"/>
      <c r="JQ1524" s="342"/>
      <c r="JR1524" s="342"/>
      <c r="JS1524" s="342"/>
      <c r="JT1524" s="342"/>
      <c r="JU1524" s="342"/>
      <c r="JV1524" s="342"/>
      <c r="JW1524" s="342"/>
      <c r="JX1524" s="342"/>
      <c r="JY1524" s="342"/>
      <c r="JZ1524" s="342"/>
      <c r="KA1524" s="342"/>
      <c r="KB1524" s="342"/>
      <c r="KC1524" s="342"/>
      <c r="KD1524" s="342"/>
      <c r="KE1524" s="342"/>
      <c r="KF1524" s="342"/>
      <c r="KG1524" s="342"/>
      <c r="KH1524" s="342"/>
      <c r="KI1524" s="342"/>
      <c r="KJ1524" s="342"/>
      <c r="KK1524" s="342"/>
      <c r="KL1524" s="342"/>
      <c r="KM1524" s="342"/>
      <c r="KN1524" s="342"/>
      <c r="KO1524" s="342"/>
      <c r="KP1524" s="342"/>
      <c r="KQ1524" s="342"/>
      <c r="KR1524" s="342"/>
      <c r="KS1524" s="342"/>
      <c r="KT1524" s="342"/>
      <c r="KU1524" s="342"/>
      <c r="KV1524" s="342"/>
      <c r="KW1524" s="342"/>
      <c r="KX1524" s="342"/>
      <c r="KY1524" s="342"/>
      <c r="KZ1524" s="342"/>
      <c r="LA1524" s="342"/>
      <c r="LB1524" s="342"/>
      <c r="LC1524" s="342"/>
      <c r="LD1524" s="342"/>
      <c r="LE1524" s="342"/>
      <c r="LF1524" s="342"/>
      <c r="LG1524" s="342"/>
      <c r="LH1524" s="342"/>
      <c r="LI1524" s="342"/>
      <c r="LJ1524" s="342"/>
      <c r="LK1524" s="342"/>
      <c r="LL1524" s="342"/>
      <c r="LM1524" s="342"/>
      <c r="LN1524" s="342"/>
      <c r="LO1524" s="342"/>
      <c r="LP1524" s="342"/>
      <c r="LQ1524" s="342"/>
      <c r="LR1524" s="342"/>
      <c r="LS1524" s="342"/>
      <c r="LT1524" s="342"/>
      <c r="LU1524" s="13"/>
    </row>
    <row r="1525" spans="202:333" ht="10.75" customHeight="1">
      <c r="GT1525" s="12"/>
      <c r="GU1525" s="342"/>
      <c r="GV1525" s="342"/>
      <c r="GW1525" s="342"/>
      <c r="GX1525" s="342"/>
      <c r="GY1525" s="342"/>
      <c r="GZ1525" s="342"/>
      <c r="HA1525" s="342"/>
      <c r="HB1525" s="342"/>
      <c r="HC1525" s="342"/>
      <c r="HD1525" s="342"/>
      <c r="HE1525" s="342"/>
      <c r="HF1525" s="342"/>
      <c r="HG1525" s="342"/>
      <c r="HH1525" s="342"/>
      <c r="HI1525" s="342"/>
      <c r="HJ1525" s="342"/>
      <c r="HK1525" s="342"/>
      <c r="HL1525" s="342"/>
      <c r="HM1525" s="342"/>
      <c r="HN1525" s="342"/>
      <c r="HO1525" s="342"/>
      <c r="HP1525" s="342"/>
      <c r="HQ1525" s="342"/>
      <c r="HR1525" s="342"/>
      <c r="HS1525" s="342"/>
      <c r="HT1525" s="342"/>
      <c r="HU1525" s="342"/>
      <c r="HV1525" s="342"/>
      <c r="HW1525" s="342"/>
      <c r="HX1525" s="342"/>
      <c r="HY1525" s="342"/>
      <c r="HZ1525" s="342"/>
      <c r="IA1525" s="342"/>
      <c r="IB1525" s="342"/>
      <c r="IC1525" s="342"/>
      <c r="ID1525" s="342"/>
      <c r="IE1525" s="342"/>
      <c r="IF1525" s="342"/>
      <c r="IG1525" s="342"/>
      <c r="IH1525" s="342"/>
      <c r="II1525" s="342"/>
      <c r="IJ1525" s="342"/>
      <c r="IK1525" s="342"/>
      <c r="IL1525" s="342"/>
      <c r="IM1525" s="342"/>
      <c r="IN1525" s="342"/>
      <c r="IO1525" s="342"/>
      <c r="IP1525" s="342"/>
      <c r="IQ1525" s="342"/>
      <c r="IR1525" s="342"/>
      <c r="IS1525" s="342"/>
      <c r="IT1525" s="342"/>
      <c r="IU1525" s="342"/>
      <c r="IV1525" s="342"/>
      <c r="IW1525" s="342"/>
      <c r="IX1525" s="342"/>
      <c r="IY1525" s="342"/>
      <c r="IZ1525" s="342"/>
      <c r="JA1525" s="342"/>
      <c r="JB1525" s="342"/>
      <c r="JC1525" s="342"/>
      <c r="JD1525" s="342"/>
      <c r="JE1525" s="342"/>
      <c r="JF1525" s="342"/>
      <c r="JG1525" s="342"/>
      <c r="JH1525" s="342"/>
      <c r="JI1525" s="342"/>
      <c r="JJ1525" s="342"/>
      <c r="JK1525" s="342"/>
      <c r="JL1525" s="342"/>
      <c r="JM1525" s="342"/>
      <c r="JN1525" s="342"/>
      <c r="JO1525" s="342"/>
      <c r="JP1525" s="342"/>
      <c r="JQ1525" s="342"/>
      <c r="JR1525" s="342"/>
      <c r="JS1525" s="342"/>
      <c r="JT1525" s="342"/>
      <c r="JU1525" s="342"/>
      <c r="JV1525" s="342"/>
      <c r="JW1525" s="342"/>
      <c r="JX1525" s="342"/>
      <c r="JY1525" s="342"/>
      <c r="JZ1525" s="342"/>
      <c r="KA1525" s="342"/>
      <c r="KB1525" s="342"/>
      <c r="KC1525" s="342"/>
      <c r="KD1525" s="342"/>
      <c r="KE1525" s="342"/>
      <c r="KF1525" s="342"/>
      <c r="KG1525" s="342"/>
      <c r="KH1525" s="342"/>
      <c r="KI1525" s="342"/>
      <c r="KJ1525" s="342"/>
      <c r="KK1525" s="342"/>
      <c r="KL1525" s="342"/>
      <c r="KM1525" s="342"/>
      <c r="KN1525" s="342"/>
      <c r="KO1525" s="342"/>
      <c r="KP1525" s="342"/>
      <c r="KQ1525" s="342"/>
      <c r="KR1525" s="342"/>
      <c r="KS1525" s="342"/>
      <c r="KT1525" s="342"/>
      <c r="KU1525" s="342"/>
      <c r="KV1525" s="342"/>
      <c r="KW1525" s="342"/>
      <c r="KX1525" s="342"/>
      <c r="KY1525" s="342"/>
      <c r="KZ1525" s="342"/>
      <c r="LA1525" s="342"/>
      <c r="LB1525" s="342"/>
      <c r="LC1525" s="342"/>
      <c r="LD1525" s="342"/>
      <c r="LE1525" s="342"/>
      <c r="LF1525" s="342"/>
      <c r="LG1525" s="342"/>
      <c r="LH1525" s="342"/>
      <c r="LI1525" s="342"/>
      <c r="LJ1525" s="342"/>
      <c r="LK1525" s="342"/>
      <c r="LL1525" s="342"/>
      <c r="LM1525" s="342"/>
      <c r="LN1525" s="342"/>
      <c r="LO1525" s="342"/>
      <c r="LP1525" s="342"/>
      <c r="LQ1525" s="342"/>
      <c r="LR1525" s="342"/>
      <c r="LS1525" s="342"/>
      <c r="LT1525" s="342"/>
      <c r="LU1525" s="13"/>
    </row>
    <row r="1526" spans="202:333" ht="10.75" customHeight="1">
      <c r="GT1526" s="12"/>
      <c r="GU1526" s="342"/>
      <c r="GV1526" s="342"/>
      <c r="GW1526" s="342"/>
      <c r="GX1526" s="342"/>
      <c r="GY1526" s="342"/>
      <c r="GZ1526" s="342"/>
      <c r="HA1526" s="342"/>
      <c r="HB1526" s="342"/>
      <c r="HC1526" s="342"/>
      <c r="HD1526" s="342"/>
      <c r="HE1526" s="342"/>
      <c r="HF1526" s="342"/>
      <c r="HG1526" s="342"/>
      <c r="HH1526" s="342"/>
      <c r="HI1526" s="342"/>
      <c r="HJ1526" s="342"/>
      <c r="HK1526" s="342"/>
      <c r="HL1526" s="342"/>
      <c r="HM1526" s="342"/>
      <c r="HN1526" s="342"/>
      <c r="HO1526" s="342"/>
      <c r="HP1526" s="342"/>
      <c r="HQ1526" s="342"/>
      <c r="HR1526" s="342"/>
      <c r="HS1526" s="342"/>
      <c r="HT1526" s="342"/>
      <c r="HU1526" s="342"/>
      <c r="HV1526" s="342"/>
      <c r="HW1526" s="342"/>
      <c r="HX1526" s="342"/>
      <c r="HY1526" s="342"/>
      <c r="HZ1526" s="342"/>
      <c r="IA1526" s="342"/>
      <c r="IB1526" s="342"/>
      <c r="IC1526" s="342"/>
      <c r="ID1526" s="342"/>
      <c r="IE1526" s="342"/>
      <c r="IF1526" s="342"/>
      <c r="IG1526" s="342"/>
      <c r="IH1526" s="342"/>
      <c r="II1526" s="342"/>
      <c r="IJ1526" s="342"/>
      <c r="IK1526" s="342"/>
      <c r="IL1526" s="342"/>
      <c r="IM1526" s="342"/>
      <c r="IN1526" s="342"/>
      <c r="IO1526" s="342"/>
      <c r="IP1526" s="342"/>
      <c r="IQ1526" s="342"/>
      <c r="IR1526" s="342"/>
      <c r="IS1526" s="342"/>
      <c r="IT1526" s="342"/>
      <c r="IU1526" s="342"/>
      <c r="IV1526" s="342"/>
      <c r="IW1526" s="342"/>
      <c r="IX1526" s="342"/>
      <c r="IY1526" s="342"/>
      <c r="IZ1526" s="342"/>
      <c r="JA1526" s="342"/>
      <c r="JB1526" s="342"/>
      <c r="JC1526" s="342"/>
      <c r="JD1526" s="342"/>
      <c r="JE1526" s="342"/>
      <c r="JF1526" s="342"/>
      <c r="JG1526" s="342"/>
      <c r="JH1526" s="342"/>
      <c r="JI1526" s="342"/>
      <c r="JJ1526" s="342"/>
      <c r="JK1526" s="342"/>
      <c r="JL1526" s="342"/>
      <c r="JM1526" s="342"/>
      <c r="JN1526" s="342"/>
      <c r="JO1526" s="342"/>
      <c r="JP1526" s="342"/>
      <c r="JQ1526" s="342"/>
      <c r="JR1526" s="342"/>
      <c r="JS1526" s="342"/>
      <c r="JT1526" s="342"/>
      <c r="JU1526" s="342"/>
      <c r="JV1526" s="342"/>
      <c r="JW1526" s="342"/>
      <c r="JX1526" s="342"/>
      <c r="JY1526" s="342"/>
      <c r="JZ1526" s="342"/>
      <c r="KA1526" s="342"/>
      <c r="KB1526" s="342"/>
      <c r="KC1526" s="342"/>
      <c r="KD1526" s="342"/>
      <c r="KE1526" s="342"/>
      <c r="KF1526" s="342"/>
      <c r="KG1526" s="342"/>
      <c r="KH1526" s="342"/>
      <c r="KI1526" s="342"/>
      <c r="KJ1526" s="342"/>
      <c r="KK1526" s="342"/>
      <c r="KL1526" s="342"/>
      <c r="KM1526" s="342"/>
      <c r="KN1526" s="342"/>
      <c r="KO1526" s="342"/>
      <c r="KP1526" s="342"/>
      <c r="KQ1526" s="342"/>
      <c r="KR1526" s="342"/>
      <c r="KS1526" s="342"/>
      <c r="KT1526" s="342"/>
      <c r="KU1526" s="342"/>
      <c r="KV1526" s="342"/>
      <c r="KW1526" s="342"/>
      <c r="KX1526" s="342"/>
      <c r="KY1526" s="342"/>
      <c r="KZ1526" s="342"/>
      <c r="LA1526" s="342"/>
      <c r="LB1526" s="342"/>
      <c r="LC1526" s="342"/>
      <c r="LD1526" s="342"/>
      <c r="LE1526" s="342"/>
      <c r="LF1526" s="342"/>
      <c r="LG1526" s="342"/>
      <c r="LH1526" s="342"/>
      <c r="LI1526" s="342"/>
      <c r="LJ1526" s="342"/>
      <c r="LK1526" s="342"/>
      <c r="LL1526" s="342"/>
      <c r="LM1526" s="342"/>
      <c r="LN1526" s="342"/>
      <c r="LO1526" s="342"/>
      <c r="LP1526" s="342"/>
      <c r="LQ1526" s="342"/>
      <c r="LR1526" s="342"/>
      <c r="LS1526" s="342"/>
      <c r="LT1526" s="342"/>
      <c r="LU1526" s="13"/>
    </row>
    <row r="1527" spans="202:333" ht="10.75" customHeight="1">
      <c r="GT1527" s="12"/>
      <c r="GU1527" s="342"/>
      <c r="GV1527" s="342"/>
      <c r="GW1527" s="342"/>
      <c r="GX1527" s="342"/>
      <c r="GY1527" s="342"/>
      <c r="GZ1527" s="342"/>
      <c r="HA1527" s="342"/>
      <c r="HB1527" s="342"/>
      <c r="HC1527" s="342"/>
      <c r="HD1527" s="342"/>
      <c r="HE1527" s="342"/>
      <c r="HF1527" s="342"/>
      <c r="HG1527" s="342"/>
      <c r="HH1527" s="342"/>
      <c r="HI1527" s="342"/>
      <c r="HJ1527" s="342"/>
      <c r="HK1527" s="342"/>
      <c r="HL1527" s="342"/>
      <c r="HM1527" s="342"/>
      <c r="HN1527" s="342"/>
      <c r="HO1527" s="342"/>
      <c r="HP1527" s="342"/>
      <c r="HQ1527" s="342"/>
      <c r="HR1527" s="342"/>
      <c r="HS1527" s="342"/>
      <c r="HT1527" s="342"/>
      <c r="HU1527" s="342"/>
      <c r="HV1527" s="342"/>
      <c r="HW1527" s="342"/>
      <c r="HX1527" s="342"/>
      <c r="HY1527" s="342"/>
      <c r="HZ1527" s="342"/>
      <c r="IA1527" s="342"/>
      <c r="IB1527" s="342"/>
      <c r="IC1527" s="342"/>
      <c r="ID1527" s="342"/>
      <c r="IE1527" s="342"/>
      <c r="IF1527" s="342"/>
      <c r="IG1527" s="342"/>
      <c r="IH1527" s="342"/>
      <c r="II1527" s="342"/>
      <c r="IJ1527" s="342"/>
      <c r="IK1527" s="342"/>
      <c r="IL1527" s="342"/>
      <c r="IM1527" s="342"/>
      <c r="IN1527" s="342"/>
      <c r="IO1527" s="342"/>
      <c r="IP1527" s="342"/>
      <c r="IQ1527" s="342"/>
      <c r="IR1527" s="342"/>
      <c r="IS1527" s="342"/>
      <c r="IT1527" s="342"/>
      <c r="IU1527" s="342"/>
      <c r="IV1527" s="342"/>
      <c r="IW1527" s="342"/>
      <c r="IX1527" s="342"/>
      <c r="IY1527" s="342"/>
      <c r="IZ1527" s="342"/>
      <c r="JA1527" s="342"/>
      <c r="JB1527" s="342"/>
      <c r="JC1527" s="342"/>
      <c r="JD1527" s="342"/>
      <c r="JE1527" s="342"/>
      <c r="JF1527" s="342"/>
      <c r="JG1527" s="342"/>
      <c r="JH1527" s="342"/>
      <c r="JI1527" s="342"/>
      <c r="JJ1527" s="342"/>
      <c r="JK1527" s="342"/>
      <c r="JL1527" s="342"/>
      <c r="JM1527" s="342"/>
      <c r="JN1527" s="342"/>
      <c r="JO1527" s="342"/>
      <c r="JP1527" s="342"/>
      <c r="JQ1527" s="342"/>
      <c r="JR1527" s="342"/>
      <c r="JS1527" s="342"/>
      <c r="JT1527" s="342"/>
      <c r="JU1527" s="342"/>
      <c r="JV1527" s="342"/>
      <c r="JW1527" s="342"/>
      <c r="JX1527" s="342"/>
      <c r="JY1527" s="342"/>
      <c r="JZ1527" s="342"/>
      <c r="KA1527" s="342"/>
      <c r="KB1527" s="342"/>
      <c r="KC1527" s="342"/>
      <c r="KD1527" s="342"/>
      <c r="KE1527" s="342"/>
      <c r="KF1527" s="342"/>
      <c r="KG1527" s="342"/>
      <c r="KH1527" s="342"/>
      <c r="KI1527" s="342"/>
      <c r="KJ1527" s="342"/>
      <c r="KK1527" s="342"/>
      <c r="KL1527" s="342"/>
      <c r="KM1527" s="342"/>
      <c r="KN1527" s="342"/>
      <c r="KO1527" s="342"/>
      <c r="KP1527" s="342"/>
      <c r="KQ1527" s="342"/>
      <c r="KR1527" s="342"/>
      <c r="KS1527" s="342"/>
      <c r="KT1527" s="342"/>
      <c r="KU1527" s="342"/>
      <c r="KV1527" s="342"/>
      <c r="KW1527" s="342"/>
      <c r="KX1527" s="342"/>
      <c r="KY1527" s="342"/>
      <c r="KZ1527" s="342"/>
      <c r="LA1527" s="342"/>
      <c r="LB1527" s="342"/>
      <c r="LC1527" s="342"/>
      <c r="LD1527" s="342"/>
      <c r="LE1527" s="342"/>
      <c r="LF1527" s="342"/>
      <c r="LG1527" s="342"/>
      <c r="LH1527" s="342"/>
      <c r="LI1527" s="342"/>
      <c r="LJ1527" s="342"/>
      <c r="LK1527" s="342"/>
      <c r="LL1527" s="342"/>
      <c r="LM1527" s="342"/>
      <c r="LN1527" s="342"/>
      <c r="LO1527" s="342"/>
      <c r="LP1527" s="342"/>
      <c r="LQ1527" s="342"/>
      <c r="LR1527" s="342"/>
      <c r="LS1527" s="342"/>
      <c r="LT1527" s="342"/>
      <c r="LU1527" s="13"/>
    </row>
    <row r="1528" spans="202:333" ht="10.75" customHeight="1">
      <c r="GT1528" s="14"/>
      <c r="GU1528" s="15"/>
      <c r="GV1528" s="15"/>
      <c r="GW1528" s="15"/>
      <c r="GX1528" s="15"/>
      <c r="GY1528" s="15"/>
      <c r="GZ1528" s="15"/>
      <c r="HA1528" s="15"/>
      <c r="HB1528" s="15"/>
      <c r="HC1528" s="15"/>
      <c r="HD1528" s="15"/>
      <c r="HE1528" s="15"/>
      <c r="HF1528" s="15"/>
      <c r="HG1528" s="15"/>
      <c r="HH1528" s="15"/>
      <c r="HI1528" s="15"/>
      <c r="HJ1528" s="15"/>
      <c r="HK1528" s="15"/>
      <c r="HL1528" s="15"/>
      <c r="HM1528" s="15"/>
      <c r="HN1528" s="15"/>
      <c r="HO1528" s="15"/>
      <c r="HP1528" s="15"/>
      <c r="HQ1528" s="15"/>
      <c r="HR1528" s="15"/>
      <c r="HS1528" s="15"/>
      <c r="HT1528" s="15"/>
      <c r="HU1528" s="15"/>
      <c r="HV1528" s="15"/>
      <c r="HW1528" s="15"/>
      <c r="HX1528" s="15"/>
      <c r="HY1528" s="15"/>
      <c r="HZ1528" s="15"/>
      <c r="IA1528" s="15"/>
      <c r="IB1528" s="15"/>
      <c r="IC1528" s="15"/>
      <c r="ID1528" s="15"/>
      <c r="IE1528" s="15"/>
      <c r="IF1528" s="15"/>
      <c r="IG1528" s="15"/>
      <c r="IH1528" s="15"/>
      <c r="II1528" s="15"/>
      <c r="IJ1528" s="15"/>
      <c r="IK1528" s="15"/>
      <c r="IL1528" s="15"/>
      <c r="IM1528" s="15"/>
      <c r="IN1528" s="15"/>
      <c r="IO1528" s="15"/>
      <c r="IP1528" s="15"/>
      <c r="IQ1528" s="15"/>
      <c r="IR1528" s="15"/>
      <c r="IS1528" s="15"/>
      <c r="IT1528" s="15"/>
      <c r="IU1528" s="15"/>
      <c r="IV1528" s="15"/>
      <c r="IW1528" s="15"/>
      <c r="IX1528" s="15"/>
      <c r="IY1528" s="15"/>
      <c r="IZ1528" s="15"/>
      <c r="JA1528" s="15"/>
      <c r="JB1528" s="15"/>
      <c r="JC1528" s="15"/>
      <c r="JD1528" s="15"/>
      <c r="JE1528" s="15"/>
      <c r="JF1528" s="15"/>
      <c r="JG1528" s="15"/>
      <c r="JH1528" s="15"/>
      <c r="JI1528" s="15"/>
      <c r="JJ1528" s="15"/>
      <c r="JK1528" s="15"/>
      <c r="JL1528" s="15"/>
      <c r="JM1528" s="15"/>
      <c r="JN1528" s="15"/>
      <c r="JO1528" s="15"/>
      <c r="JP1528" s="15"/>
      <c r="JQ1528" s="15"/>
      <c r="JR1528" s="15"/>
      <c r="JS1528" s="15"/>
      <c r="JT1528" s="15"/>
      <c r="JU1528" s="15"/>
      <c r="JV1528" s="15"/>
      <c r="JW1528" s="15"/>
      <c r="JX1528" s="15"/>
      <c r="JY1528" s="15"/>
      <c r="JZ1528" s="15"/>
      <c r="KA1528" s="15"/>
      <c r="KB1528" s="15"/>
      <c r="KC1528" s="15"/>
      <c r="KD1528" s="15"/>
      <c r="KE1528" s="15"/>
      <c r="KF1528" s="15"/>
      <c r="KG1528" s="15"/>
      <c r="KH1528" s="15"/>
      <c r="KI1528" s="15"/>
      <c r="KJ1528" s="15"/>
      <c r="KK1528" s="15"/>
      <c r="KL1528" s="15"/>
      <c r="KM1528" s="15"/>
      <c r="KN1528" s="15"/>
      <c r="KO1528" s="15"/>
      <c r="KP1528" s="15"/>
      <c r="KQ1528" s="15"/>
      <c r="KR1528" s="15"/>
      <c r="KS1528" s="15"/>
      <c r="KT1528" s="15"/>
      <c r="KU1528" s="15"/>
      <c r="KV1528" s="15"/>
      <c r="KW1528" s="15"/>
      <c r="KX1528" s="15"/>
      <c r="KY1528" s="15"/>
      <c r="KZ1528" s="15"/>
      <c r="LA1528" s="15"/>
      <c r="LB1528" s="15"/>
      <c r="LC1528" s="15"/>
      <c r="LD1528" s="15"/>
      <c r="LE1528" s="15"/>
      <c r="LF1528" s="15"/>
      <c r="LG1528" s="15"/>
      <c r="LH1528" s="15"/>
      <c r="LI1528" s="15"/>
      <c r="LJ1528" s="15"/>
      <c r="LK1528" s="15"/>
      <c r="LL1528" s="15"/>
      <c r="LM1528" s="15"/>
      <c r="LN1528" s="15"/>
      <c r="LO1528" s="15"/>
      <c r="LP1528" s="15"/>
      <c r="LQ1528" s="15"/>
      <c r="LR1528" s="15"/>
      <c r="LS1528" s="15"/>
      <c r="LT1528" s="15"/>
      <c r="LU1528" s="16"/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Sheet4</vt:lpstr>
      <vt:lpstr>Calc-2</vt:lpstr>
      <vt:lpstr>Sheet1 (3)</vt:lpstr>
      <vt:lpstr>Sheet1 (4)</vt:lpstr>
      <vt:lpstr>Sheet1 (5)</vt:lpstr>
      <vt:lpstr>Calc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 Reddy</dc:creator>
  <cp:lastModifiedBy>Venkat Reddy</cp:lastModifiedBy>
  <dcterms:created xsi:type="dcterms:W3CDTF">2023-12-29T23:55:15Z</dcterms:created>
  <dcterms:modified xsi:type="dcterms:W3CDTF">2024-02-13T09:23:47Z</dcterms:modified>
</cp:coreProperties>
</file>